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MEGA COURSE FOLDER\NOTES\EXCELR COURSE NOTES\EXCEL TOTAL FILES\"/>
    </mc:Choice>
  </mc:AlternateContent>
  <xr:revisionPtr revIDLastSave="0" documentId="13_ncr:1_{FC1B7619-0214-4246-A0F8-E60D5EF3DCAF}" xr6:coauthVersionLast="47" xr6:coauthVersionMax="47" xr10:uidLastSave="{00000000-0000-0000-0000-000000000000}"/>
  <bookViews>
    <workbookView xWindow="-120" yWindow="-120" windowWidth="29040" windowHeight="16440" activeTab="8" xr2:uid="{7AE4078D-C50C-431B-BD59-B234B7A82D09}"/>
  </bookViews>
  <sheets>
    <sheet name="Sheet1" sheetId="1" r:id="rId1"/>
    <sheet name="Cleaned DATA" sheetId="2" r:id="rId2"/>
    <sheet name="KPIs" sheetId="11" r:id="rId3"/>
    <sheet name="TFC" sheetId="3" r:id="rId4"/>
    <sheet name="FPM" sheetId="4" r:id="rId5"/>
    <sheet name="FAG" sheetId="13" r:id="rId6"/>
    <sheet name="MFAC" sheetId="15" r:id="rId7"/>
    <sheet name="FAC" sheetId="18" r:id="rId8"/>
    <sheet name="DASHBOARD" sheetId="19" r:id="rId9"/>
  </sheets>
  <definedNames>
    <definedName name="ExternalData_1" localSheetId="1" hidden="1">'Cleaned DATA'!$A$1:$S$2611</definedName>
    <definedName name="NativeTimeline_TransactionDate">#N/A</definedName>
    <definedName name="Slicer_Age_Group">#N/A</definedName>
    <definedName name="Slicer_CustomerCountry">#N/A</definedName>
    <definedName name="Slicer_MerchantCategory">#N/A</definedName>
    <definedName name="Slicer_PaymentMetho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1" l="1"/>
  <c r="B17" i="11"/>
  <c r="B18" i="11"/>
  <c r="B14" i="11"/>
  <c r="B15" i="11"/>
  <c r="B13" i="11"/>
  <c r="C6" i="11"/>
  <c r="C8" i="11"/>
  <c r="C7" i="11"/>
  <c r="C5" i="11"/>
  <c r="C4" i="11"/>
  <c r="C3" i="11"/>
  <c r="D8" i="11"/>
  <c r="D5" i="11"/>
  <c r="D6" i="11"/>
  <c r="D7" i="11"/>
  <c r="D4" i="11"/>
  <c r="D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E90922-A229-47AA-9209-59EA822CC47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<sst xmlns="http://schemas.openxmlformats.org/spreadsheetml/2006/main" count="76177" uniqueCount="12913">
  <si>
    <t>TransactionID</t>
  </si>
  <si>
    <t>TransactionDate</t>
  </si>
  <si>
    <t>TransactionTime</t>
  </si>
  <si>
    <t>Amount</t>
  </si>
  <si>
    <t>Currency</t>
  </si>
  <si>
    <t>MerchantID</t>
  </si>
  <si>
    <t>MerchantCategory</t>
  </si>
  <si>
    <t>MerchantCountry</t>
  </si>
  <si>
    <t>CustomerID</t>
  </si>
  <si>
    <t>CustomerAge</t>
  </si>
  <si>
    <t>CustomerGender</t>
  </si>
  <si>
    <t>CustomerCountry</t>
  </si>
  <si>
    <t>PaymentMethod</t>
  </si>
  <si>
    <t>CardType</t>
  </si>
  <si>
    <t>CardBIN</t>
  </si>
  <si>
    <t>IsInternational</t>
  </si>
  <si>
    <t>IP_Address</t>
  </si>
  <si>
    <t>DeviceID</t>
  </si>
  <si>
    <t>TransactionStatus</t>
  </si>
  <si>
    <t>FraudLabel</t>
  </si>
  <si>
    <t>TX1002211</t>
  </si>
  <si>
    <t>M1831</t>
  </si>
  <si>
    <t>Utilities</t>
  </si>
  <si>
    <t>South Africa</t>
  </si>
  <si>
    <t>C92398</t>
  </si>
  <si>
    <t>M</t>
  </si>
  <si>
    <t>France</t>
  </si>
  <si>
    <t>BankTransfer</t>
  </si>
  <si>
    <t>Y</t>
  </si>
  <si>
    <t>178.235.33.18</t>
  </si>
  <si>
    <t>D165237</t>
  </si>
  <si>
    <t>Success</t>
  </si>
  <si>
    <t>TX1002905</t>
  </si>
  <si>
    <t>M1950</t>
  </si>
  <si>
    <t>Entertainment</t>
  </si>
  <si>
    <t>Norway</t>
  </si>
  <si>
    <t>C74125</t>
  </si>
  <si>
    <t>Other</t>
  </si>
  <si>
    <t>Poland</t>
  </si>
  <si>
    <t>Wallet</t>
  </si>
  <si>
    <t>253.169.42.160</t>
  </si>
  <si>
    <t>D189405</t>
  </si>
  <si>
    <t>Pending</t>
  </si>
  <si>
    <t>TX1001411</t>
  </si>
  <si>
    <t>USD</t>
  </si>
  <si>
    <t>M1039</t>
  </si>
  <si>
    <t>Fashion</t>
  </si>
  <si>
    <t>United Kingdom</t>
  </si>
  <si>
    <t>C56923</t>
  </si>
  <si>
    <t>F</t>
  </si>
  <si>
    <t>Nigeria</t>
  </si>
  <si>
    <t>Card</t>
  </si>
  <si>
    <t>Visa</t>
  </si>
  <si>
    <t>92.154.2.132</t>
  </si>
  <si>
    <t>D113557</t>
  </si>
  <si>
    <t>TX1000251</t>
  </si>
  <si>
    <t>M1376</t>
  </si>
  <si>
    <t>Travel</t>
  </si>
  <si>
    <t>Australia</t>
  </si>
  <si>
    <t>C57690</t>
  </si>
  <si>
    <t>212.253.60.58</t>
  </si>
  <si>
    <t>D193528</t>
  </si>
  <si>
    <t>TX1000794</t>
  </si>
  <si>
    <t>M1150</t>
  </si>
  <si>
    <t>Retail</t>
  </si>
  <si>
    <t>C75422</t>
  </si>
  <si>
    <t>Kenya</t>
  </si>
  <si>
    <t>5.203.219.242</t>
  </si>
  <si>
    <t>D171761</t>
  </si>
  <si>
    <t>TX1002573</t>
  </si>
  <si>
    <t>M1420</t>
  </si>
  <si>
    <t>FoodDelivery</t>
  </si>
  <si>
    <t>C56767</t>
  </si>
  <si>
    <t>249.245.137.32</t>
  </si>
  <si>
    <t>D182845</t>
  </si>
  <si>
    <t>TX1001413</t>
  </si>
  <si>
    <t>M1407</t>
  </si>
  <si>
    <t>Health</t>
  </si>
  <si>
    <t>C74888</t>
  </si>
  <si>
    <t>23.136.13.51</t>
  </si>
  <si>
    <t>D138019</t>
  </si>
  <si>
    <t>TX1001177</t>
  </si>
  <si>
    <t>M1417</t>
  </si>
  <si>
    <t>C56168</t>
  </si>
  <si>
    <t>MobileMoney</t>
  </si>
  <si>
    <t>191.212.52.108</t>
  </si>
  <si>
    <t>D178208</t>
  </si>
  <si>
    <t>TX1000408</t>
  </si>
  <si>
    <t>M1890</t>
  </si>
  <si>
    <t>Gaming</t>
  </si>
  <si>
    <t>C56688</t>
  </si>
  <si>
    <t>Spain</t>
  </si>
  <si>
    <t>48.136.14.122</t>
  </si>
  <si>
    <t>D186754</t>
  </si>
  <si>
    <t>TX1002439</t>
  </si>
  <si>
    <t>M1226</t>
  </si>
  <si>
    <t>Electronics</t>
  </si>
  <si>
    <t>United States</t>
  </si>
  <si>
    <t>C57817</t>
  </si>
  <si>
    <t>74.45.73.51</t>
  </si>
  <si>
    <t>D190711</t>
  </si>
  <si>
    <t>Failed</t>
  </si>
  <si>
    <t>TX1002378</t>
  </si>
  <si>
    <t>M1646</t>
  </si>
  <si>
    <t>C57471</t>
  </si>
  <si>
    <t>UPI</t>
  </si>
  <si>
    <t>104.15.100.238</t>
  </si>
  <si>
    <t>D127343</t>
  </si>
  <si>
    <t>TX1000052</t>
  </si>
  <si>
    <t>M1655</t>
  </si>
  <si>
    <t>Canada</t>
  </si>
  <si>
    <t>C90373</t>
  </si>
  <si>
    <t>NetBanking</t>
  </si>
  <si>
    <t>N</t>
  </si>
  <si>
    <t>101.33.158.179</t>
  </si>
  <si>
    <t>D157342</t>
  </si>
  <si>
    <t>TX1002095</t>
  </si>
  <si>
    <t>M1998</t>
  </si>
  <si>
    <t>C53899</t>
  </si>
  <si>
    <t>Netherlands</t>
  </si>
  <si>
    <t>159.85.157.218</t>
  </si>
  <si>
    <t>D120274</t>
  </si>
  <si>
    <t>TX1001381</t>
  </si>
  <si>
    <t>M1416</t>
  </si>
  <si>
    <t>Grocery</t>
  </si>
  <si>
    <t>C54581</t>
  </si>
  <si>
    <t>236.122.31.248</t>
  </si>
  <si>
    <t>D160992</t>
  </si>
  <si>
    <t>TX1002778</t>
  </si>
  <si>
    <t>M1674</t>
  </si>
  <si>
    <t>India</t>
  </si>
  <si>
    <t>C88196</t>
  </si>
  <si>
    <t>89.205.46.186</t>
  </si>
  <si>
    <t>D101400</t>
  </si>
  <si>
    <t>TX1000612</t>
  </si>
  <si>
    <t>M1193</t>
  </si>
  <si>
    <t>C82443</t>
  </si>
  <si>
    <t>51.136.26.252</t>
  </si>
  <si>
    <t>D156060</t>
  </si>
  <si>
    <t>TX1002611</t>
  </si>
  <si>
    <t>M1926</t>
  </si>
  <si>
    <t>C97657</t>
  </si>
  <si>
    <t>255.113.108.128</t>
  </si>
  <si>
    <t>D177309</t>
  </si>
  <si>
    <t>TX1000472</t>
  </si>
  <si>
    <t>M1767</t>
  </si>
  <si>
    <t>Sweden</t>
  </si>
  <si>
    <t>C56808</t>
  </si>
  <si>
    <t>223.67.42.108</t>
  </si>
  <si>
    <t>D115653</t>
  </si>
  <si>
    <t>TX1000581</t>
  </si>
  <si>
    <t>M1321</t>
  </si>
  <si>
    <t>C85147</t>
  </si>
  <si>
    <t>188.31.99.135</t>
  </si>
  <si>
    <t>D166077</t>
  </si>
  <si>
    <t>TX1000650</t>
  </si>
  <si>
    <t>M1729</t>
  </si>
  <si>
    <t>C87837</t>
  </si>
  <si>
    <t>193.20.159.236</t>
  </si>
  <si>
    <t>D155072</t>
  </si>
  <si>
    <t>TX1000044</t>
  </si>
  <si>
    <t>M1526</t>
  </si>
  <si>
    <t>C99158</t>
  </si>
  <si>
    <t>222.67.127.38</t>
  </si>
  <si>
    <t>D193243</t>
  </si>
  <si>
    <t>TX1000289</t>
  </si>
  <si>
    <t>M1008</t>
  </si>
  <si>
    <t>C74279</t>
  </si>
  <si>
    <t>92.98.46.209</t>
  </si>
  <si>
    <t>D180405</t>
  </si>
  <si>
    <t>TX1002034</t>
  </si>
  <si>
    <t>M1490</t>
  </si>
  <si>
    <t>C90491</t>
  </si>
  <si>
    <t>RuPay</t>
  </si>
  <si>
    <t>247.119.224.185</t>
  </si>
  <si>
    <t>D153875</t>
  </si>
  <si>
    <t>TX1002839</t>
  </si>
  <si>
    <t>M1305</t>
  </si>
  <si>
    <t>C60106</t>
  </si>
  <si>
    <t>50.127.254.85</t>
  </si>
  <si>
    <t>D191689</t>
  </si>
  <si>
    <t>TX1001362</t>
  </si>
  <si>
    <t>M1710</t>
  </si>
  <si>
    <t>C60971</t>
  </si>
  <si>
    <t>108.187.165.36</t>
  </si>
  <si>
    <t>D197078</t>
  </si>
  <si>
    <t>TX1000785</t>
  </si>
  <si>
    <t>M1263</t>
  </si>
  <si>
    <t>C57573</t>
  </si>
  <si>
    <t>251.242.103.207</t>
  </si>
  <si>
    <t>D140744</t>
  </si>
  <si>
    <t>TX1002848</t>
  </si>
  <si>
    <t>M1234</t>
  </si>
  <si>
    <t>C71186</t>
  </si>
  <si>
    <t>218.192.46.78</t>
  </si>
  <si>
    <t>D120869</t>
  </si>
  <si>
    <t>TX1000903</t>
  </si>
  <si>
    <t>M1747</t>
  </si>
  <si>
    <t>C59897</t>
  </si>
  <si>
    <t>46.191.40.254</t>
  </si>
  <si>
    <t>D165012</t>
  </si>
  <si>
    <t>TX1000296</t>
  </si>
  <si>
    <t>M1455</t>
  </si>
  <si>
    <t>C59022</t>
  </si>
  <si>
    <t>80.74.75.121</t>
  </si>
  <si>
    <t>D140458</t>
  </si>
  <si>
    <t>TX1000871</t>
  </si>
  <si>
    <t>M1859</t>
  </si>
  <si>
    <t>C91282</t>
  </si>
  <si>
    <t>75.14.135.75</t>
  </si>
  <si>
    <t>D141423</t>
  </si>
  <si>
    <t>TX1002310</t>
  </si>
  <si>
    <t>M1539</t>
  </si>
  <si>
    <t>C73087</t>
  </si>
  <si>
    <t>163.229.191.196</t>
  </si>
  <si>
    <t>D180337</t>
  </si>
  <si>
    <t>TX1002330</t>
  </si>
  <si>
    <t>M1101</t>
  </si>
  <si>
    <t>C55842</t>
  </si>
  <si>
    <t>215.78.108.18</t>
  </si>
  <si>
    <t>D146354</t>
  </si>
  <si>
    <t>TX1002256</t>
  </si>
  <si>
    <t>M1051</t>
  </si>
  <si>
    <t>C86935</t>
  </si>
  <si>
    <t>54.14.2.46</t>
  </si>
  <si>
    <t>D176695</t>
  </si>
  <si>
    <t>TX1002825</t>
  </si>
  <si>
    <t>M1458</t>
  </si>
  <si>
    <t>C63300</t>
  </si>
  <si>
    <t>18.55.124.242</t>
  </si>
  <si>
    <t>D195460</t>
  </si>
  <si>
    <t>TX1000291</t>
  </si>
  <si>
    <t>M1694</t>
  </si>
  <si>
    <t>C94416</t>
  </si>
  <si>
    <t>173.26.165.111</t>
  </si>
  <si>
    <t>D153330</t>
  </si>
  <si>
    <t>TX1001084</t>
  </si>
  <si>
    <t>M1165</t>
  </si>
  <si>
    <t>C92939</t>
  </si>
  <si>
    <t>77.162.69.233</t>
  </si>
  <si>
    <t>D163514</t>
  </si>
  <si>
    <t>TX1001106</t>
  </si>
  <si>
    <t>M1629</t>
  </si>
  <si>
    <t>C55261</t>
  </si>
  <si>
    <t>15.176.90.169</t>
  </si>
  <si>
    <t>D161725</t>
  </si>
  <si>
    <t>TX1000322</t>
  </si>
  <si>
    <t>M1744</t>
  </si>
  <si>
    <t>Germany</t>
  </si>
  <si>
    <t>C74933</t>
  </si>
  <si>
    <t>35.240.100.40</t>
  </si>
  <si>
    <t>D124854</t>
  </si>
  <si>
    <t>TX1000298</t>
  </si>
  <si>
    <t>M1043</t>
  </si>
  <si>
    <t>C50242</t>
  </si>
  <si>
    <t>197.169.192.53</t>
  </si>
  <si>
    <t>D152469</t>
  </si>
  <si>
    <t>TX1002707</t>
  </si>
  <si>
    <t>M1047</t>
  </si>
  <si>
    <t>C95014</t>
  </si>
  <si>
    <t>76.144.33.243</t>
  </si>
  <si>
    <t>D171849</t>
  </si>
  <si>
    <t>TX1000194</t>
  </si>
  <si>
    <t>M1971</t>
  </si>
  <si>
    <t>C74890</t>
  </si>
  <si>
    <t>238.229.195.174</t>
  </si>
  <si>
    <t>D141377</t>
  </si>
  <si>
    <t>TX1000063</t>
  </si>
  <si>
    <t>C68335</t>
  </si>
  <si>
    <t>255.9.195.201</t>
  </si>
  <si>
    <t>D193502</t>
  </si>
  <si>
    <t>TX1000393</t>
  </si>
  <si>
    <t>M1236</t>
  </si>
  <si>
    <t>C58279</t>
  </si>
  <si>
    <t>215.81.165.53</t>
  </si>
  <si>
    <t>D112223</t>
  </si>
  <si>
    <t>TX1001269</t>
  </si>
  <si>
    <t>M1330</t>
  </si>
  <si>
    <t>C70022</t>
  </si>
  <si>
    <t>221.135.129.136</t>
  </si>
  <si>
    <t>D172834</t>
  </si>
  <si>
    <t>TX1001920</t>
  </si>
  <si>
    <t>M1172</t>
  </si>
  <si>
    <t>C92845</t>
  </si>
  <si>
    <t>159.180.54.82</t>
  </si>
  <si>
    <t>D116154</t>
  </si>
  <si>
    <t>TX1001608</t>
  </si>
  <si>
    <t>M1296</t>
  </si>
  <si>
    <t>C79333</t>
  </si>
  <si>
    <t>122.26.37.248</t>
  </si>
  <si>
    <t>D120985</t>
  </si>
  <si>
    <t>TX1002526</t>
  </si>
  <si>
    <t>M1836</t>
  </si>
  <si>
    <t>C99272</t>
  </si>
  <si>
    <t>138.110.255.209</t>
  </si>
  <si>
    <t>D189611</t>
  </si>
  <si>
    <t>TX1000014</t>
  </si>
  <si>
    <t>M1775</t>
  </si>
  <si>
    <t>C93522</t>
  </si>
  <si>
    <t>136.185.39.235</t>
  </si>
  <si>
    <t>D173946</t>
  </si>
  <si>
    <t>TX1000857</t>
  </si>
  <si>
    <t>M1441</t>
  </si>
  <si>
    <t>C71969</t>
  </si>
  <si>
    <t>MasterCard</t>
  </si>
  <si>
    <t>186.54.114.168</t>
  </si>
  <si>
    <t>D170557</t>
  </si>
  <si>
    <t>TX1000744</t>
  </si>
  <si>
    <t>M1798</t>
  </si>
  <si>
    <t>C59607</t>
  </si>
  <si>
    <t>129.148.15.209</t>
  </si>
  <si>
    <t>D109254</t>
  </si>
  <si>
    <t>TX1002627</t>
  </si>
  <si>
    <t>M1483</t>
  </si>
  <si>
    <t>C84857</t>
  </si>
  <si>
    <t>251.104.15.140</t>
  </si>
  <si>
    <t>D164532</t>
  </si>
  <si>
    <t>TX1001929</t>
  </si>
  <si>
    <t>M1792</t>
  </si>
  <si>
    <t>C87469</t>
  </si>
  <si>
    <t>52.21.77.173</t>
  </si>
  <si>
    <t>D148448</t>
  </si>
  <si>
    <t>TX1000203</t>
  </si>
  <si>
    <t>M1174</t>
  </si>
  <si>
    <t>C56968</t>
  </si>
  <si>
    <t>208.205.166.31</t>
  </si>
  <si>
    <t>D189664</t>
  </si>
  <si>
    <t>TX1001551</t>
  </si>
  <si>
    <t>M1637</t>
  </si>
  <si>
    <t>C93490</t>
  </si>
  <si>
    <t>64.151.117.71</t>
  </si>
  <si>
    <t>D150452</t>
  </si>
  <si>
    <t>TX1000152</t>
  </si>
  <si>
    <t>M1227</t>
  </si>
  <si>
    <t>C70637</t>
  </si>
  <si>
    <t>236.79.48.10</t>
  </si>
  <si>
    <t>D160341</t>
  </si>
  <si>
    <t>TX1000907</t>
  </si>
  <si>
    <t>M1113</t>
  </si>
  <si>
    <t>C85858</t>
  </si>
  <si>
    <t>63.208.27.252</t>
  </si>
  <si>
    <t>D118966</t>
  </si>
  <si>
    <t>TX1001361</t>
  </si>
  <si>
    <t>M1572</t>
  </si>
  <si>
    <t>C59523</t>
  </si>
  <si>
    <t>Amex</t>
  </si>
  <si>
    <t>159.165.251.189</t>
  </si>
  <si>
    <t>D170972</t>
  </si>
  <si>
    <t>TX1002161</t>
  </si>
  <si>
    <t>M1498</t>
  </si>
  <si>
    <t>C72406</t>
  </si>
  <si>
    <t>194.218.251.104</t>
  </si>
  <si>
    <t>D196357</t>
  </si>
  <si>
    <t>TX1002768</t>
  </si>
  <si>
    <t>M1176</t>
  </si>
  <si>
    <t>C52603</t>
  </si>
  <si>
    <t>237.10.52.41</t>
  </si>
  <si>
    <t>D109872</t>
  </si>
  <si>
    <t>TX1001949</t>
  </si>
  <si>
    <t>M1469</t>
  </si>
  <si>
    <t>C66858</t>
  </si>
  <si>
    <t>36.220.182.16</t>
  </si>
  <si>
    <t>D141927</t>
  </si>
  <si>
    <t>TX1002702</t>
  </si>
  <si>
    <t>M1510</t>
  </si>
  <si>
    <t>C89703</t>
  </si>
  <si>
    <t>138.55.56.166</t>
  </si>
  <si>
    <t>D109799</t>
  </si>
  <si>
    <t>TX1001745</t>
  </si>
  <si>
    <t>M1006</t>
  </si>
  <si>
    <t>C85601</t>
  </si>
  <si>
    <t>54.78.182.216</t>
  </si>
  <si>
    <t>D117400</t>
  </si>
  <si>
    <t>TX1000741</t>
  </si>
  <si>
    <t>M1604</t>
  </si>
  <si>
    <t>C57882</t>
  </si>
  <si>
    <t>245.50.76.56</t>
  </si>
  <si>
    <t>D163564</t>
  </si>
  <si>
    <t>TX1000266</t>
  </si>
  <si>
    <t>M1645</t>
  </si>
  <si>
    <t>C82486</t>
  </si>
  <si>
    <t>125.249.118.183</t>
  </si>
  <si>
    <t>D107956</t>
  </si>
  <si>
    <t>TX1000051</t>
  </si>
  <si>
    <t>M1396</t>
  </si>
  <si>
    <t>C73947</t>
  </si>
  <si>
    <t>18.7.134.56</t>
  </si>
  <si>
    <t>D105220</t>
  </si>
  <si>
    <t>TX1002451</t>
  </si>
  <si>
    <t>M1867</t>
  </si>
  <si>
    <t>C56345</t>
  </si>
  <si>
    <t>181.143.135.196</t>
  </si>
  <si>
    <t>D114611</t>
  </si>
  <si>
    <t>TX1001738</t>
  </si>
  <si>
    <t>M1466</t>
  </si>
  <si>
    <t>C70761</t>
  </si>
  <si>
    <t>75.91.80.2</t>
  </si>
  <si>
    <t>D123580</t>
  </si>
  <si>
    <t>TX1002188</t>
  </si>
  <si>
    <t>M1200</t>
  </si>
  <si>
    <t>C98193</t>
  </si>
  <si>
    <t>162.66.41.195</t>
  </si>
  <si>
    <t>D189574</t>
  </si>
  <si>
    <t>TX1002866</t>
  </si>
  <si>
    <t>C74945</t>
  </si>
  <si>
    <t>74.94.197.144</t>
  </si>
  <si>
    <t>D125739</t>
  </si>
  <si>
    <t>TX1002181</t>
  </si>
  <si>
    <t>M1911</t>
  </si>
  <si>
    <t>C72857</t>
  </si>
  <si>
    <t>178.89.45.9</t>
  </si>
  <si>
    <t>D113137</t>
  </si>
  <si>
    <t>TX1000543</t>
  </si>
  <si>
    <t>M1502</t>
  </si>
  <si>
    <t>C58739</t>
  </si>
  <si>
    <t>85.119.208.37</t>
  </si>
  <si>
    <t>D170728</t>
  </si>
  <si>
    <t>TX1002665</t>
  </si>
  <si>
    <t>M1540</t>
  </si>
  <si>
    <t>C67585</t>
  </si>
  <si>
    <t>242.102.209.137</t>
  </si>
  <si>
    <t>D161271</t>
  </si>
  <si>
    <t>TX1002671</t>
  </si>
  <si>
    <t>M1194</t>
  </si>
  <si>
    <t>C56986</t>
  </si>
  <si>
    <t>149.255.98.66</t>
  </si>
  <si>
    <t>D113543</t>
  </si>
  <si>
    <t>TX1001924</t>
  </si>
  <si>
    <t>M1643</t>
  </si>
  <si>
    <t>C52500</t>
  </si>
  <si>
    <t>204.2.145.73</t>
  </si>
  <si>
    <t>D161273</t>
  </si>
  <si>
    <t>TX1000102</t>
  </si>
  <si>
    <t>M1293</t>
  </si>
  <si>
    <t>C54065</t>
  </si>
  <si>
    <t>27.114.199.61</t>
  </si>
  <si>
    <t>D166967</t>
  </si>
  <si>
    <t>TX1001559</t>
  </si>
  <si>
    <t>M1128</t>
  </si>
  <si>
    <t>C97613</t>
  </si>
  <si>
    <t>200.80.5.36</t>
  </si>
  <si>
    <t>D141043</t>
  </si>
  <si>
    <t>TX1002334</t>
  </si>
  <si>
    <t>C57341</t>
  </si>
  <si>
    <t>17.211.254.77</t>
  </si>
  <si>
    <t>D192887</t>
  </si>
  <si>
    <t>TX1002456</t>
  </si>
  <si>
    <t>M1277</t>
  </si>
  <si>
    <t>C57450</t>
  </si>
  <si>
    <t>210.195.202.13</t>
  </si>
  <si>
    <t>D118724</t>
  </si>
  <si>
    <t>TX1001576</t>
  </si>
  <si>
    <t>M1284</t>
  </si>
  <si>
    <t>C64734</t>
  </si>
  <si>
    <t>105.43.233.213</t>
  </si>
  <si>
    <t>D194921</t>
  </si>
  <si>
    <t>TX1002357</t>
  </si>
  <si>
    <t>M1884</t>
  </si>
  <si>
    <t>C77782</t>
  </si>
  <si>
    <t>242.228.215.215</t>
  </si>
  <si>
    <t>D150127</t>
  </si>
  <si>
    <t>TX1001845</t>
  </si>
  <si>
    <t>M1038</t>
  </si>
  <si>
    <t>C88840</t>
  </si>
  <si>
    <t>75.120.43.130</t>
  </si>
  <si>
    <t>D170386</t>
  </si>
  <si>
    <t>TX1000976</t>
  </si>
  <si>
    <t>M1917</t>
  </si>
  <si>
    <t>C80628</t>
  </si>
  <si>
    <t>226.44.190.210</t>
  </si>
  <si>
    <t>D167833</t>
  </si>
  <si>
    <t>TX1001453</t>
  </si>
  <si>
    <t>M1138</t>
  </si>
  <si>
    <t>C67379</t>
  </si>
  <si>
    <t>19.241.253.93</t>
  </si>
  <si>
    <t>D168439</t>
  </si>
  <si>
    <t>TX1001228</t>
  </si>
  <si>
    <t>C73423</t>
  </si>
  <si>
    <t>85.81.250.71</t>
  </si>
  <si>
    <t>D170444</t>
  </si>
  <si>
    <t>TX1002406</t>
  </si>
  <si>
    <t>M1341</t>
  </si>
  <si>
    <t>C88340</t>
  </si>
  <si>
    <t>61.159.128.2</t>
  </si>
  <si>
    <t>D108738</t>
  </si>
  <si>
    <t>TX1000144</t>
  </si>
  <si>
    <t>M1813</t>
  </si>
  <si>
    <t>C57841</t>
  </si>
  <si>
    <t>153.79.190.198</t>
  </si>
  <si>
    <t>D111728</t>
  </si>
  <si>
    <t>TX1001992</t>
  </si>
  <si>
    <t>C75139</t>
  </si>
  <si>
    <t>191.89.104.181</t>
  </si>
  <si>
    <t>D152462</t>
  </si>
  <si>
    <t>TX1001988</t>
  </si>
  <si>
    <t>M1865</t>
  </si>
  <si>
    <t>C92281</t>
  </si>
  <si>
    <t>161.167.196.40</t>
  </si>
  <si>
    <t>D122155</t>
  </si>
  <si>
    <t>TX1001395</t>
  </si>
  <si>
    <t>M1026</t>
  </si>
  <si>
    <t>C92502</t>
  </si>
  <si>
    <t>30.153.186.225</t>
  </si>
  <si>
    <t>D137516</t>
  </si>
  <si>
    <t>TX1002836</t>
  </si>
  <si>
    <t>M1763</t>
  </si>
  <si>
    <t>C58958</t>
  </si>
  <si>
    <t>Maestro</t>
  </si>
  <si>
    <t>77.43.184.119</t>
  </si>
  <si>
    <t>D159711</t>
  </si>
  <si>
    <t>TX1000321</t>
  </si>
  <si>
    <t>M1206</t>
  </si>
  <si>
    <t>C81534</t>
  </si>
  <si>
    <t>130.221.79.210</t>
  </si>
  <si>
    <t>D163176</t>
  </si>
  <si>
    <t>TX1001263</t>
  </si>
  <si>
    <t>M1742</t>
  </si>
  <si>
    <t>C57672</t>
  </si>
  <si>
    <t>42.247.26.117</t>
  </si>
  <si>
    <t>D177902</t>
  </si>
  <si>
    <t>TX1000829</t>
  </si>
  <si>
    <t>M1583</t>
  </si>
  <si>
    <t>C97244</t>
  </si>
  <si>
    <t>207.94.30.123</t>
  </si>
  <si>
    <t>D100069</t>
  </si>
  <si>
    <t>TX1001271</t>
  </si>
  <si>
    <t>M1457</t>
  </si>
  <si>
    <t>C51796</t>
  </si>
  <si>
    <t>228.38.246.9</t>
  </si>
  <si>
    <t>D112193</t>
  </si>
  <si>
    <t>TX1001762</t>
  </si>
  <si>
    <t>M1789</t>
  </si>
  <si>
    <t>C96675</t>
  </si>
  <si>
    <t>189.91.142.41</t>
  </si>
  <si>
    <t>D182209</t>
  </si>
  <si>
    <t>TX1000416</t>
  </si>
  <si>
    <t>M1949</t>
  </si>
  <si>
    <t>C94624</t>
  </si>
  <si>
    <t>74.33.150.4</t>
  </si>
  <si>
    <t>D159488</t>
  </si>
  <si>
    <t>TX1001736</t>
  </si>
  <si>
    <t>M1481</t>
  </si>
  <si>
    <t>C59666</t>
  </si>
  <si>
    <t>230.108.99.89</t>
  </si>
  <si>
    <t>D134875</t>
  </si>
  <si>
    <t>TX1000764</t>
  </si>
  <si>
    <t>M1346</t>
  </si>
  <si>
    <t>C62898</t>
  </si>
  <si>
    <t>253.229.146.198</t>
  </si>
  <si>
    <t>D170420</t>
  </si>
  <si>
    <t>TX1000174</t>
  </si>
  <si>
    <t>M1212</t>
  </si>
  <si>
    <t>C77134</t>
  </si>
  <si>
    <t>177.144.130.203</t>
  </si>
  <si>
    <t>D108891</t>
  </si>
  <si>
    <t>TX1001431</t>
  </si>
  <si>
    <t>M1409</t>
  </si>
  <si>
    <t>C58006</t>
  </si>
  <si>
    <t>252.12.31.185</t>
  </si>
  <si>
    <t>D146944</t>
  </si>
  <si>
    <t>TX1001583</t>
  </si>
  <si>
    <t>M1791</t>
  </si>
  <si>
    <t>C90210</t>
  </si>
  <si>
    <t>164.29.133.205</t>
  </si>
  <si>
    <t>D129829</t>
  </si>
  <si>
    <t>TX1000045</t>
  </si>
  <si>
    <t>M1077</t>
  </si>
  <si>
    <t>C83791</t>
  </si>
  <si>
    <t>1.47.234.163</t>
  </si>
  <si>
    <t>D187050</t>
  </si>
  <si>
    <t>TX1001747</t>
  </si>
  <si>
    <t>M1254</t>
  </si>
  <si>
    <t>C81947</t>
  </si>
  <si>
    <t>57.5.107.245</t>
  </si>
  <si>
    <t>D181804</t>
  </si>
  <si>
    <t>TX1000874</t>
  </si>
  <si>
    <t>M1353</t>
  </si>
  <si>
    <t>C94487</t>
  </si>
  <si>
    <t>5.183.198.75</t>
  </si>
  <si>
    <t>D112725</t>
  </si>
  <si>
    <t>TX1001971</t>
  </si>
  <si>
    <t>M1672</t>
  </si>
  <si>
    <t>C94633</t>
  </si>
  <si>
    <t>106.226.16.146</t>
  </si>
  <si>
    <t>D181517</t>
  </si>
  <si>
    <t>TX1002351</t>
  </si>
  <si>
    <t>M1134</t>
  </si>
  <si>
    <t>C55669</t>
  </si>
  <si>
    <t>224.223.172.204</t>
  </si>
  <si>
    <t>D198233</t>
  </si>
  <si>
    <t>TX1002245</t>
  </si>
  <si>
    <t>M1477</t>
  </si>
  <si>
    <t>C75298</t>
  </si>
  <si>
    <t>116.10.247.193</t>
  </si>
  <si>
    <t>D187581</t>
  </si>
  <si>
    <t>TX1000331</t>
  </si>
  <si>
    <t>M1454</t>
  </si>
  <si>
    <t>C81754</t>
  </si>
  <si>
    <t>232.51.197.76</t>
  </si>
  <si>
    <t>D179583</t>
  </si>
  <si>
    <t>TX1000093</t>
  </si>
  <si>
    <t>M1706</t>
  </si>
  <si>
    <t>C77639</t>
  </si>
  <si>
    <t>27.213.247.206</t>
  </si>
  <si>
    <t>D174572</t>
  </si>
  <si>
    <t>TX1000527</t>
  </si>
  <si>
    <t>M1531</t>
  </si>
  <si>
    <t>C73948</t>
  </si>
  <si>
    <t>183.151.64.224</t>
  </si>
  <si>
    <t>D145563</t>
  </si>
  <si>
    <t>TX1002493</t>
  </si>
  <si>
    <t>M1521</t>
  </si>
  <si>
    <t>C71279</t>
  </si>
  <si>
    <t>3.0.231.128</t>
  </si>
  <si>
    <t>D162404</t>
  </si>
  <si>
    <t>TX1000506</t>
  </si>
  <si>
    <t>M1737</t>
  </si>
  <si>
    <t>C92115</t>
  </si>
  <si>
    <t>154.138.252.162</t>
  </si>
  <si>
    <t>D123138</t>
  </si>
  <si>
    <t>TX1002828</t>
  </si>
  <si>
    <t>M1873</t>
  </si>
  <si>
    <t>C85033</t>
  </si>
  <si>
    <t>117.43.9.91</t>
  </si>
  <si>
    <t>D184024</t>
  </si>
  <si>
    <t>TX1002720</t>
  </si>
  <si>
    <t>C81999</t>
  </si>
  <si>
    <t>240.19.81.206</t>
  </si>
  <si>
    <t>D156861</t>
  </si>
  <si>
    <t>TX1000495</t>
  </si>
  <si>
    <t>M1545</t>
  </si>
  <si>
    <t>C80410</t>
  </si>
  <si>
    <t>106.96.14.159</t>
  </si>
  <si>
    <t>D129385</t>
  </si>
  <si>
    <t>TX1002134</t>
  </si>
  <si>
    <t>C92425</t>
  </si>
  <si>
    <t>78.247.18.64</t>
  </si>
  <si>
    <t>D126264</t>
  </si>
  <si>
    <t>TX1000000</t>
  </si>
  <si>
    <t>M1074</t>
  </si>
  <si>
    <t>C78809</t>
  </si>
  <si>
    <t>82.176.204.34</t>
  </si>
  <si>
    <t>D199701</t>
  </si>
  <si>
    <t>TX1000314</t>
  </si>
  <si>
    <t>M1781</t>
  </si>
  <si>
    <t>C67907</t>
  </si>
  <si>
    <t>114.24.52.100</t>
  </si>
  <si>
    <t>D190485</t>
  </si>
  <si>
    <t>TX1002178</t>
  </si>
  <si>
    <t>M1505</t>
  </si>
  <si>
    <t>C86178</t>
  </si>
  <si>
    <t>24.137.183.118</t>
  </si>
  <si>
    <t>D179912</t>
  </si>
  <si>
    <t>TX1002089</t>
  </si>
  <si>
    <t>C73124</t>
  </si>
  <si>
    <t>168.55.16.168</t>
  </si>
  <si>
    <t>D113083</t>
  </si>
  <si>
    <t>TX1002551</t>
  </si>
  <si>
    <t>M1500</t>
  </si>
  <si>
    <t>C58246</t>
  </si>
  <si>
    <t>155.218.142.134</t>
  </si>
  <si>
    <t>D190384</t>
  </si>
  <si>
    <t>TX1002820</t>
  </si>
  <si>
    <t>M1593</t>
  </si>
  <si>
    <t>C84671</t>
  </si>
  <si>
    <t>186.139.106.85</t>
  </si>
  <si>
    <t>D187408</t>
  </si>
  <si>
    <t>TX1000756</t>
  </si>
  <si>
    <t>M1568</t>
  </si>
  <si>
    <t>C77606</t>
  </si>
  <si>
    <t>67.167.190.154</t>
  </si>
  <si>
    <t>D107315</t>
  </si>
  <si>
    <t>TX1001752</t>
  </si>
  <si>
    <t>M1569</t>
  </si>
  <si>
    <t>C57233</t>
  </si>
  <si>
    <t>216.60.85.218</t>
  </si>
  <si>
    <t>D164296</t>
  </si>
  <si>
    <t>TX1002069</t>
  </si>
  <si>
    <t>M1253</t>
  </si>
  <si>
    <t>C99930</t>
  </si>
  <si>
    <t>222.113.91.24</t>
  </si>
  <si>
    <t>D143323</t>
  </si>
  <si>
    <t>TX1001017</t>
  </si>
  <si>
    <t>M1374</t>
  </si>
  <si>
    <t>C51780</t>
  </si>
  <si>
    <t>186.46.216.128</t>
  </si>
  <si>
    <t>D112306</t>
  </si>
  <si>
    <t>TX1002119</t>
  </si>
  <si>
    <t>M1627</t>
  </si>
  <si>
    <t>C78754</t>
  </si>
  <si>
    <t>184.184.250.183</t>
  </si>
  <si>
    <t>D127328</t>
  </si>
  <si>
    <t>TX1002642</t>
  </si>
  <si>
    <t>M1874</t>
  </si>
  <si>
    <t>C73931</t>
  </si>
  <si>
    <t>39.242.232.14</t>
  </si>
  <si>
    <t>D111068</t>
  </si>
  <si>
    <t>TX1000844</t>
  </si>
  <si>
    <t>M1476</t>
  </si>
  <si>
    <t>C52460</t>
  </si>
  <si>
    <t>243.24.83.42</t>
  </si>
  <si>
    <t>D173280</t>
  </si>
  <si>
    <t>TX1002366</t>
  </si>
  <si>
    <t>M1995</t>
  </si>
  <si>
    <t>C61493</t>
  </si>
  <si>
    <t>47.124.251.186</t>
  </si>
  <si>
    <t>D132538</t>
  </si>
  <si>
    <t>TX1002379</t>
  </si>
  <si>
    <t>M1736</t>
  </si>
  <si>
    <t>C93428</t>
  </si>
  <si>
    <t>117.227.211.247</t>
  </si>
  <si>
    <t>D158083</t>
  </si>
  <si>
    <t>TX1001376</t>
  </si>
  <si>
    <t>M1281</t>
  </si>
  <si>
    <t>C99765</t>
  </si>
  <si>
    <t>158.253.68.3</t>
  </si>
  <si>
    <t>D143902</t>
  </si>
  <si>
    <t>TX1000598</t>
  </si>
  <si>
    <t>M1195</t>
  </si>
  <si>
    <t>C52038</t>
  </si>
  <si>
    <t>116.60.216.242</t>
  </si>
  <si>
    <t>D146860</t>
  </si>
  <si>
    <t>TX1002840</t>
  </si>
  <si>
    <t>M1438</t>
  </si>
  <si>
    <t>C72266</t>
  </si>
  <si>
    <t>170.92.199.89</t>
  </si>
  <si>
    <t>D131317</t>
  </si>
  <si>
    <t>TX1002519</t>
  </si>
  <si>
    <t>M1060</t>
  </si>
  <si>
    <t>C57696</t>
  </si>
  <si>
    <t>211.126.82.28</t>
  </si>
  <si>
    <t>D146560</t>
  </si>
  <si>
    <t>TX1000436</t>
  </si>
  <si>
    <t>M1554</t>
  </si>
  <si>
    <t>C53538</t>
  </si>
  <si>
    <t>234.70.118.79</t>
  </si>
  <si>
    <t>D197243</t>
  </si>
  <si>
    <t>TX1000196</t>
  </si>
  <si>
    <t>M1421</t>
  </si>
  <si>
    <t>C56809</t>
  </si>
  <si>
    <t>15.111.62.182</t>
  </si>
  <si>
    <t>D115725</t>
  </si>
  <si>
    <t>TX1001764</t>
  </si>
  <si>
    <t>M1340</t>
  </si>
  <si>
    <t>C76788</t>
  </si>
  <si>
    <t>252.254.4.94</t>
  </si>
  <si>
    <t>D120504</t>
  </si>
  <si>
    <t>TX1000572</t>
  </si>
  <si>
    <t>M1749</t>
  </si>
  <si>
    <t>C54015</t>
  </si>
  <si>
    <t>148.96.63.180</t>
  </si>
  <si>
    <t>D199833</t>
  </si>
  <si>
    <t>TX1000932</t>
  </si>
  <si>
    <t>M1962</t>
  </si>
  <si>
    <t>C96877</t>
  </si>
  <si>
    <t>166.145.238.211</t>
  </si>
  <si>
    <t>D168666</t>
  </si>
  <si>
    <t>TX1002446</t>
  </si>
  <si>
    <t>M1050</t>
  </si>
  <si>
    <t>C63931</t>
  </si>
  <si>
    <t>224.185.169.180</t>
  </si>
  <si>
    <t>D112761</t>
  </si>
  <si>
    <t>TX1001270</t>
  </si>
  <si>
    <t>M1532</t>
  </si>
  <si>
    <t>C60926</t>
  </si>
  <si>
    <t>250.227.210.195</t>
  </si>
  <si>
    <t>D139673</t>
  </si>
  <si>
    <t>TX1001200</t>
  </si>
  <si>
    <t>M1735</t>
  </si>
  <si>
    <t>C56878</t>
  </si>
  <si>
    <t>108.45.244.183</t>
  </si>
  <si>
    <t>D197358</t>
  </si>
  <si>
    <t>TX1002781</t>
  </si>
  <si>
    <t>C88856</t>
  </si>
  <si>
    <t>94.34.83.151</t>
  </si>
  <si>
    <t>D102508</t>
  </si>
  <si>
    <t>TX1002857</t>
  </si>
  <si>
    <t>M1237</t>
  </si>
  <si>
    <t>C74342</t>
  </si>
  <si>
    <t>185.135.146.93</t>
  </si>
  <si>
    <t>D158928</t>
  </si>
  <si>
    <t>TX1000450</t>
  </si>
  <si>
    <t>M1530</t>
  </si>
  <si>
    <t>C83307</t>
  </si>
  <si>
    <t>111.142.160.26</t>
  </si>
  <si>
    <t>D145527</t>
  </si>
  <si>
    <t>TX1002166</t>
  </si>
  <si>
    <t>M1840</t>
  </si>
  <si>
    <t>C73301</t>
  </si>
  <si>
    <t>115.228.170.86</t>
  </si>
  <si>
    <t>D100076</t>
  </si>
  <si>
    <t>TX1001292</t>
  </si>
  <si>
    <t>M1864</t>
  </si>
  <si>
    <t>C98022</t>
  </si>
  <si>
    <t>177.158.130.239</t>
  </si>
  <si>
    <t>D199888</t>
  </si>
  <si>
    <t>TX1001480</t>
  </si>
  <si>
    <t>M1705</t>
  </si>
  <si>
    <t>C87761</t>
  </si>
  <si>
    <t>94.107.184.202</t>
  </si>
  <si>
    <t>D173269</t>
  </si>
  <si>
    <t>TX1000270</t>
  </si>
  <si>
    <t>C79958</t>
  </si>
  <si>
    <t>130.53.85.162</t>
  </si>
  <si>
    <t>D115474</t>
  </si>
  <si>
    <t>TX1001036</t>
  </si>
  <si>
    <t>C67549</t>
  </si>
  <si>
    <t>86.24.114.8</t>
  </si>
  <si>
    <t>D179785</t>
  </si>
  <si>
    <t>TX1002487</t>
  </si>
  <si>
    <t>M1369</t>
  </si>
  <si>
    <t>C79644</t>
  </si>
  <si>
    <t>62.71.2.241</t>
  </si>
  <si>
    <t>TX1000979</t>
  </si>
  <si>
    <t>M1778</t>
  </si>
  <si>
    <t>C89177</t>
  </si>
  <si>
    <t>78.86.246.253</t>
  </si>
  <si>
    <t>D152403</t>
  </si>
  <si>
    <t>TX1001475</t>
  </si>
  <si>
    <t>M1470</t>
  </si>
  <si>
    <t>C82530</t>
  </si>
  <si>
    <t>103.6.1.173</t>
  </si>
  <si>
    <t>D158888</t>
  </si>
  <si>
    <t>TX1000354</t>
  </si>
  <si>
    <t>M1275</t>
  </si>
  <si>
    <t>C93009</t>
  </si>
  <si>
    <t>51.56.97.73</t>
  </si>
  <si>
    <t>D105276</t>
  </si>
  <si>
    <t>TX1000912</t>
  </si>
  <si>
    <t>M1965</t>
  </si>
  <si>
    <t>C89841</t>
  </si>
  <si>
    <t>139.137.223.70</t>
  </si>
  <si>
    <t>D158857</t>
  </si>
  <si>
    <t>TX1000184</t>
  </si>
  <si>
    <t>M1803</t>
  </si>
  <si>
    <t>C72426</t>
  </si>
  <si>
    <t>147.249.58.152</t>
  </si>
  <si>
    <t>D178128</t>
  </si>
  <si>
    <t>TX1002594</t>
  </si>
  <si>
    <t>M1967</t>
  </si>
  <si>
    <t>C90223</t>
  </si>
  <si>
    <t>131.189.51.241</t>
  </si>
  <si>
    <t>D145622</t>
  </si>
  <si>
    <t>TX1001616</t>
  </si>
  <si>
    <t>M1820</t>
  </si>
  <si>
    <t>C60434</t>
  </si>
  <si>
    <t>170.3.148.184</t>
  </si>
  <si>
    <t>D135796</t>
  </si>
  <si>
    <t>TX1001234</t>
  </si>
  <si>
    <t>M1613</t>
  </si>
  <si>
    <t>C84780</t>
  </si>
  <si>
    <t>94.21.87.252</t>
  </si>
  <si>
    <t>D111205</t>
  </si>
  <si>
    <t>TX1001703</t>
  </si>
  <si>
    <t>M1615</t>
  </si>
  <si>
    <t>C64740</t>
  </si>
  <si>
    <t>40.128.175.33</t>
  </si>
  <si>
    <t>D190344</t>
  </si>
  <si>
    <t>TX1001091</t>
  </si>
  <si>
    <t>C50863</t>
  </si>
  <si>
    <t>152.152.16.1</t>
  </si>
  <si>
    <t>D135772</t>
  </si>
  <si>
    <t>TX1000246</t>
  </si>
  <si>
    <t>M1021</t>
  </si>
  <si>
    <t>C98460</t>
  </si>
  <si>
    <t>142.196.158.164</t>
  </si>
  <si>
    <t>D191831</t>
  </si>
  <si>
    <t>TX1001468</t>
  </si>
  <si>
    <t>M1641</t>
  </si>
  <si>
    <t>C70369</t>
  </si>
  <si>
    <t>Discover</t>
  </si>
  <si>
    <t>174.95.12.85</t>
  </si>
  <si>
    <t>D106037</t>
  </si>
  <si>
    <t>TX1002208</t>
  </si>
  <si>
    <t>M1097</t>
  </si>
  <si>
    <t>C81692</t>
  </si>
  <si>
    <t>239.114.120.167</t>
  </si>
  <si>
    <t>D194075</t>
  </si>
  <si>
    <t>TX1000705</t>
  </si>
  <si>
    <t>C54160</t>
  </si>
  <si>
    <t>139.76.223.130</t>
  </si>
  <si>
    <t>D165172</t>
  </si>
  <si>
    <t>TX1000067</t>
  </si>
  <si>
    <t>M1405</t>
  </si>
  <si>
    <t>C72056</t>
  </si>
  <si>
    <t>82.89.182.58</t>
  </si>
  <si>
    <t>D187232</t>
  </si>
  <si>
    <t>TX1000781</t>
  </si>
  <si>
    <t>M1408</t>
  </si>
  <si>
    <t>C96145</t>
  </si>
  <si>
    <t>72.240.90.129</t>
  </si>
  <si>
    <t>D121358</t>
  </si>
  <si>
    <t>TX1002286</t>
  </si>
  <si>
    <t>M1822</t>
  </si>
  <si>
    <t>C69065</t>
  </si>
  <si>
    <t>131.150.84.35</t>
  </si>
  <si>
    <t>D136043</t>
  </si>
  <si>
    <t>TX1000533</t>
  </si>
  <si>
    <t>M1986</t>
  </si>
  <si>
    <t>C53712</t>
  </si>
  <si>
    <t>164.168.214.171</t>
  </si>
  <si>
    <t>D132931</t>
  </si>
  <si>
    <t>TX1000945</t>
  </si>
  <si>
    <t>M1487</t>
  </si>
  <si>
    <t>C59067</t>
  </si>
  <si>
    <t>156.26.208.230</t>
  </si>
  <si>
    <t>D188057</t>
  </si>
  <si>
    <t>TX1002015</t>
  </si>
  <si>
    <t>M1595</t>
  </si>
  <si>
    <t>C51138</t>
  </si>
  <si>
    <t>91.248.150.249</t>
  </si>
  <si>
    <t>D199551</t>
  </si>
  <si>
    <t>TX1002683</t>
  </si>
  <si>
    <t>M1309</t>
  </si>
  <si>
    <t>C77653</t>
  </si>
  <si>
    <t>217.26.153.125</t>
  </si>
  <si>
    <t>D152574</t>
  </si>
  <si>
    <t>TX1001578</t>
  </si>
  <si>
    <t>C61973</t>
  </si>
  <si>
    <t>81.215.233.3</t>
  </si>
  <si>
    <t>D118385</t>
  </si>
  <si>
    <t>TX1002936</t>
  </si>
  <si>
    <t>M1977</t>
  </si>
  <si>
    <t>C76593</t>
  </si>
  <si>
    <t>130.123.242.36</t>
  </si>
  <si>
    <t>D103551</t>
  </si>
  <si>
    <t>TX1001350</t>
  </si>
  <si>
    <t>M1400</t>
  </si>
  <si>
    <t>C98078</t>
  </si>
  <si>
    <t>133.168.27.119</t>
  </si>
  <si>
    <t>D179425</t>
  </si>
  <si>
    <t>TX1001235</t>
  </si>
  <si>
    <t>M1881</t>
  </si>
  <si>
    <t>C82579</t>
  </si>
  <si>
    <t>107.133.111.242</t>
  </si>
  <si>
    <t>D179605</t>
  </si>
  <si>
    <t>TX1002891</t>
  </si>
  <si>
    <t>M1885</t>
  </si>
  <si>
    <t>C71349</t>
  </si>
  <si>
    <t>28.77.60.52</t>
  </si>
  <si>
    <t>D109765</t>
  </si>
  <si>
    <t>TX1001985</t>
  </si>
  <si>
    <t>C78034</t>
  </si>
  <si>
    <t>56.194.9.135</t>
  </si>
  <si>
    <t>D107928</t>
  </si>
  <si>
    <t>TX1001748</t>
  </si>
  <si>
    <t>M1669</t>
  </si>
  <si>
    <t>C62334</t>
  </si>
  <si>
    <t>222.15.47.22</t>
  </si>
  <si>
    <t>D133286</t>
  </si>
  <si>
    <t>TX1000463</t>
  </si>
  <si>
    <t>C86858</t>
  </si>
  <si>
    <t>182.247.41.236</t>
  </si>
  <si>
    <t>D113768</t>
  </si>
  <si>
    <t>TX1002339</t>
  </si>
  <si>
    <t>C79157</t>
  </si>
  <si>
    <t>37.150.90.32</t>
  </si>
  <si>
    <t>D144158</t>
  </si>
  <si>
    <t>TX1001688</t>
  </si>
  <si>
    <t>M1958</t>
  </si>
  <si>
    <t>C86863</t>
  </si>
  <si>
    <t>117.127.27.45</t>
  </si>
  <si>
    <t>D176432</t>
  </si>
  <si>
    <t>TX1002864</t>
  </si>
  <si>
    <t>C61658</t>
  </si>
  <si>
    <t>38.187.239.157</t>
  </si>
  <si>
    <t>D139179</t>
  </si>
  <si>
    <t>TX1000124</t>
  </si>
  <si>
    <t>M1628</t>
  </si>
  <si>
    <t>C75500</t>
  </si>
  <si>
    <t>112.45.32.68</t>
  </si>
  <si>
    <t>D129067</t>
  </si>
  <si>
    <t>TX1000178</t>
  </si>
  <si>
    <t>M1157</t>
  </si>
  <si>
    <t>C81684</t>
  </si>
  <si>
    <t>174.67.105.186</t>
  </si>
  <si>
    <t>D104791</t>
  </si>
  <si>
    <t>TX1000192</t>
  </si>
  <si>
    <t>M1287</t>
  </si>
  <si>
    <t>C66839</t>
  </si>
  <si>
    <t>233.77.228.95</t>
  </si>
  <si>
    <t>D122989</t>
  </si>
  <si>
    <t>TX1002309</t>
  </si>
  <si>
    <t>M1094</t>
  </si>
  <si>
    <t>C98637</t>
  </si>
  <si>
    <t>6.133.109.216</t>
  </si>
  <si>
    <t>D183797</t>
  </si>
  <si>
    <t>TX1002875</t>
  </si>
  <si>
    <t>M1726</t>
  </si>
  <si>
    <t>C74167</t>
  </si>
  <si>
    <t>180.153.213.168</t>
  </si>
  <si>
    <t>D157585</t>
  </si>
  <si>
    <t>TX1002592</t>
  </si>
  <si>
    <t>C75437</t>
  </si>
  <si>
    <t>241.92.176.73</t>
  </si>
  <si>
    <t>D140847</t>
  </si>
  <si>
    <t>TX1002779</t>
  </si>
  <si>
    <t>M1984</t>
  </si>
  <si>
    <t>C54700</t>
  </si>
  <si>
    <t>158.99.214.229</t>
  </si>
  <si>
    <t>D141540</t>
  </si>
  <si>
    <t>TX1000736</t>
  </si>
  <si>
    <t>M1529</t>
  </si>
  <si>
    <t>C97629</t>
  </si>
  <si>
    <t>181.31.237.22</t>
  </si>
  <si>
    <t>D125622</t>
  </si>
  <si>
    <t>TX1002113</t>
  </si>
  <si>
    <t>M1596</t>
  </si>
  <si>
    <t>C61563</t>
  </si>
  <si>
    <t>82.255.39.235</t>
  </si>
  <si>
    <t>D113320</t>
  </si>
  <si>
    <t>TX1000478</t>
  </si>
  <si>
    <t>M1367</t>
  </si>
  <si>
    <t>C77617</t>
  </si>
  <si>
    <t>120.95.11.113</t>
  </si>
  <si>
    <t>D180820</t>
  </si>
  <si>
    <t>TX1000962</t>
  </si>
  <si>
    <t>M1619</t>
  </si>
  <si>
    <t>C95378</t>
  </si>
  <si>
    <t>182.130.164.180</t>
  </si>
  <si>
    <t>D170739</t>
  </si>
  <si>
    <t>TX1002603</t>
  </si>
  <si>
    <t>C63181</t>
  </si>
  <si>
    <t>78.142.0.239</t>
  </si>
  <si>
    <t>D120137</t>
  </si>
  <si>
    <t>TX1000368</t>
  </si>
  <si>
    <t>C59124</t>
  </si>
  <si>
    <t>40.124.28.140</t>
  </si>
  <si>
    <t>D190707</t>
  </si>
  <si>
    <t>TX1002755</t>
  </si>
  <si>
    <t>M1429</t>
  </si>
  <si>
    <t>C62444</t>
  </si>
  <si>
    <t>147.78.129.252</t>
  </si>
  <si>
    <t>D162089</t>
  </si>
  <si>
    <t>TX1000621</t>
  </si>
  <si>
    <t>M1127</t>
  </si>
  <si>
    <t>C99863</t>
  </si>
  <si>
    <t>197.139.10.129</t>
  </si>
  <si>
    <t>D166127</t>
  </si>
  <si>
    <t>TX1000256</t>
  </si>
  <si>
    <t>M1452</t>
  </si>
  <si>
    <t>C86756</t>
  </si>
  <si>
    <t>24.104.145.47</t>
  </si>
  <si>
    <t>D122058</t>
  </si>
  <si>
    <t>TX1001783</t>
  </si>
  <si>
    <t>M1784</t>
  </si>
  <si>
    <t>C85521</t>
  </si>
  <si>
    <t>204.146.236.85</t>
  </si>
  <si>
    <t>D190185</t>
  </si>
  <si>
    <t>TX1000567</t>
  </si>
  <si>
    <t>M1363</t>
  </si>
  <si>
    <t>C82423</t>
  </si>
  <si>
    <t>94.129.98.132</t>
  </si>
  <si>
    <t>D136732</t>
  </si>
  <si>
    <t>TX1000211</t>
  </si>
  <si>
    <t>C77898</t>
  </si>
  <si>
    <t>62.42.6.178</t>
  </si>
  <si>
    <t>D195916</t>
  </si>
  <si>
    <t>TX1000605</t>
  </si>
  <si>
    <t>C69683</t>
  </si>
  <si>
    <t>171.136.4.78</t>
  </si>
  <si>
    <t>D117964</t>
  </si>
  <si>
    <t>TX1001952</t>
  </si>
  <si>
    <t>M1719</t>
  </si>
  <si>
    <t>C94505</t>
  </si>
  <si>
    <t>73.27.151.220</t>
  </si>
  <si>
    <t>D161924</t>
  </si>
  <si>
    <t>TX1001364</t>
  </si>
  <si>
    <t>M1426</t>
  </si>
  <si>
    <t>C80677</t>
  </si>
  <si>
    <t>132.232.78.140</t>
  </si>
  <si>
    <t>D140149</t>
  </si>
  <si>
    <t>TX1000847</t>
  </si>
  <si>
    <t>C64207</t>
  </si>
  <si>
    <t>118.34.8.24</t>
  </si>
  <si>
    <t>D159535</t>
  </si>
  <si>
    <t>TX1001251</t>
  </si>
  <si>
    <t>M1782</t>
  </si>
  <si>
    <t>C64013</t>
  </si>
  <si>
    <t>15.105.51.177</t>
  </si>
  <si>
    <t>D177740</t>
  </si>
  <si>
    <t>TX1000568</t>
  </si>
  <si>
    <t>M1443</t>
  </si>
  <si>
    <t>C67880</t>
  </si>
  <si>
    <t>189.9.154.98</t>
  </si>
  <si>
    <t>D126167</t>
  </si>
  <si>
    <t>TX1002028</t>
  </si>
  <si>
    <t>M1585</t>
  </si>
  <si>
    <t>C88899</t>
  </si>
  <si>
    <t>243.89.21.113</t>
  </si>
  <si>
    <t>D121940</t>
  </si>
  <si>
    <t>TX1001134</t>
  </si>
  <si>
    <t>M1088</t>
  </si>
  <si>
    <t>C98908</t>
  </si>
  <si>
    <t>72.106.73.127</t>
  </si>
  <si>
    <t>D115013</t>
  </si>
  <si>
    <t>TX1001712</t>
  </si>
  <si>
    <t>C60540</t>
  </si>
  <si>
    <t>33.161.139.253</t>
  </si>
  <si>
    <t>D164924</t>
  </si>
  <si>
    <t>TX1001375</t>
  </si>
  <si>
    <t>M1819</t>
  </si>
  <si>
    <t>C66402</t>
  </si>
  <si>
    <t>153.113.84.20</t>
  </si>
  <si>
    <t>D131819</t>
  </si>
  <si>
    <t>TX1002835</t>
  </si>
  <si>
    <t>C66116</t>
  </si>
  <si>
    <t>157.13.150.7</t>
  </si>
  <si>
    <t>D182432</t>
  </si>
  <si>
    <t>TX1002090</t>
  </si>
  <si>
    <t>M1518</t>
  </si>
  <si>
    <t>C70537</t>
  </si>
  <si>
    <t>122.37.69.227</t>
  </si>
  <si>
    <t>D157991</t>
  </si>
  <si>
    <t>TX1000080</t>
  </si>
  <si>
    <t>M1662</t>
  </si>
  <si>
    <t>C63548</t>
  </si>
  <si>
    <t>234.67.88.154</t>
  </si>
  <si>
    <t>D101109</t>
  </si>
  <si>
    <t>TX1000032</t>
  </si>
  <si>
    <t>M1257</t>
  </si>
  <si>
    <t>C90962</t>
  </si>
  <si>
    <t>86.194.168.113</t>
  </si>
  <si>
    <t>D143874</t>
  </si>
  <si>
    <t>TX1000414</t>
  </si>
  <si>
    <t>C64434</t>
  </si>
  <si>
    <t>250.220.184.53</t>
  </si>
  <si>
    <t>D197565</t>
  </si>
  <si>
    <t>TX1001078</t>
  </si>
  <si>
    <t>C80157</t>
  </si>
  <si>
    <t>58.111.168.57</t>
  </si>
  <si>
    <t>D178653</t>
  </si>
  <si>
    <t>TX1000942</t>
  </si>
  <si>
    <t>M1299</t>
  </si>
  <si>
    <t>C98375</t>
  </si>
  <si>
    <t>10.183.33.114</t>
  </si>
  <si>
    <t>D113336</t>
  </si>
  <si>
    <t>TX1000881</t>
  </si>
  <si>
    <t>M1465</t>
  </si>
  <si>
    <t>C80907</t>
  </si>
  <si>
    <t>224.151.57.214</t>
  </si>
  <si>
    <t>D160456</t>
  </si>
  <si>
    <t>TX1001299</t>
  </si>
  <si>
    <t>M1261</t>
  </si>
  <si>
    <t>C89817</t>
  </si>
  <si>
    <t>145.18.222.98</t>
  </si>
  <si>
    <t>D169055</t>
  </si>
  <si>
    <t>TX1002184</t>
  </si>
  <si>
    <t>M1677</t>
  </si>
  <si>
    <t>C62713</t>
  </si>
  <si>
    <t>163.13.193.211</t>
  </si>
  <si>
    <t>D193021</t>
  </si>
  <si>
    <t>TX1002994</t>
  </si>
  <si>
    <t>M1308</t>
  </si>
  <si>
    <t>C82375</t>
  </si>
  <si>
    <t>79.219.13.53</t>
  </si>
  <si>
    <t>D149261</t>
  </si>
  <si>
    <t>TX1000535</t>
  </si>
  <si>
    <t>M1807</t>
  </si>
  <si>
    <t>C80195</t>
  </si>
  <si>
    <t>172.13.110.146</t>
  </si>
  <si>
    <t>D123689</t>
  </si>
  <si>
    <t>TX1000457</t>
  </si>
  <si>
    <t>M1651</t>
  </si>
  <si>
    <t>C79336</t>
  </si>
  <si>
    <t>157.168.66.155</t>
  </si>
  <si>
    <t>D170748</t>
  </si>
  <si>
    <t>TX1000139</t>
  </si>
  <si>
    <t>M1773</t>
  </si>
  <si>
    <t>C50598</t>
  </si>
  <si>
    <t>49.210.223.102</t>
  </si>
  <si>
    <t>D132754</t>
  </si>
  <si>
    <t>TX1002647</t>
  </si>
  <si>
    <t>C99675</t>
  </si>
  <si>
    <t>52.233.167.253</t>
  </si>
  <si>
    <t>D176741</t>
  </si>
  <si>
    <t>TX1001027</t>
  </si>
  <si>
    <t>M1014</t>
  </si>
  <si>
    <t>C96306</t>
  </si>
  <si>
    <t>227.134.210.187</t>
  </si>
  <si>
    <t>D109302</t>
  </si>
  <si>
    <t>TX1000088</t>
  </si>
  <si>
    <t>M1233</t>
  </si>
  <si>
    <t>C58598</t>
  </si>
  <si>
    <t>203.19.192.225</t>
  </si>
  <si>
    <t>D183928</t>
  </si>
  <si>
    <t>TX1001444</t>
  </si>
  <si>
    <t>C78867</t>
  </si>
  <si>
    <t>129.15.169.100</t>
  </si>
  <si>
    <t>D157244</t>
  </si>
  <si>
    <t>TX1002054</t>
  </si>
  <si>
    <t>C56107</t>
  </si>
  <si>
    <t>206.123.115.62</t>
  </si>
  <si>
    <t>D143086</t>
  </si>
  <si>
    <t>TX1001208</t>
  </si>
  <si>
    <t>M1238</t>
  </si>
  <si>
    <t>C97840</t>
  </si>
  <si>
    <t>215.246.123.160</t>
  </si>
  <si>
    <t>D170127</t>
  </si>
  <si>
    <t>TX1000254</t>
  </si>
  <si>
    <t>M1515</t>
  </si>
  <si>
    <t>C72228</t>
  </si>
  <si>
    <t>30.160.22.251</t>
  </si>
  <si>
    <t>D116760</t>
  </si>
  <si>
    <t>TX1002679</t>
  </si>
  <si>
    <t>M1745</t>
  </si>
  <si>
    <t>C85588</t>
  </si>
  <si>
    <t>130.192.155.158</t>
  </si>
  <si>
    <t>D109293</t>
  </si>
  <si>
    <t>TX1002529</t>
  </si>
  <si>
    <t>M1680</t>
  </si>
  <si>
    <t>C55463</t>
  </si>
  <si>
    <t>16.32.39.131</t>
  </si>
  <si>
    <t>D160960</t>
  </si>
  <si>
    <t>TX1001317</t>
  </si>
  <si>
    <t>M1606</t>
  </si>
  <si>
    <t>C68305</t>
  </si>
  <si>
    <t>105.175.191.241</t>
  </si>
  <si>
    <t>D121202</t>
  </si>
  <si>
    <t>TX1001601</t>
  </si>
  <si>
    <t>C58531</t>
  </si>
  <si>
    <t>133.174.26.229</t>
  </si>
  <si>
    <t>D120959</t>
  </si>
  <si>
    <t>TX1002667</t>
  </si>
  <si>
    <t>M1925</t>
  </si>
  <si>
    <t>C55189</t>
  </si>
  <si>
    <t>44.133.95.16</t>
  </si>
  <si>
    <t>D151163</t>
  </si>
  <si>
    <t>TX1002421</t>
  </si>
  <si>
    <t>M1422</t>
  </si>
  <si>
    <t>C69331</t>
  </si>
  <si>
    <t>83.63.201.126</t>
  </si>
  <si>
    <t>D171245</t>
  </si>
  <si>
    <t>TX1002474</t>
  </si>
  <si>
    <t>M1232</t>
  </si>
  <si>
    <t>C82869</t>
  </si>
  <si>
    <t>168.145.127.247</t>
  </si>
  <si>
    <t>D199778</t>
  </si>
  <si>
    <t>TX1001729</t>
  </si>
  <si>
    <t>C64723</t>
  </si>
  <si>
    <t>111.243.97.84</t>
  </si>
  <si>
    <t>D187521</t>
  </si>
  <si>
    <t>TX1001114</t>
  </si>
  <si>
    <t>C95191</t>
  </si>
  <si>
    <t>249.252.237.220</t>
  </si>
  <si>
    <t>D117949</t>
  </si>
  <si>
    <t>TX1002066</t>
  </si>
  <si>
    <t>M1678</t>
  </si>
  <si>
    <t>C66520</t>
  </si>
  <si>
    <t>149.10.204.212</t>
  </si>
  <si>
    <t>D134039</t>
  </si>
  <si>
    <t>TX1000141</t>
  </si>
  <si>
    <t>M1992</t>
  </si>
  <si>
    <t>C62185</t>
  </si>
  <si>
    <t>24.77.7.127</t>
  </si>
  <si>
    <t>D128467</t>
  </si>
  <si>
    <t>TX1000443</t>
  </si>
  <si>
    <t>M1436</t>
  </si>
  <si>
    <t>C51618</t>
  </si>
  <si>
    <t>242.150.15.42</t>
  </si>
  <si>
    <t>D148274</t>
  </si>
  <si>
    <t>TX1001842</t>
  </si>
  <si>
    <t>M1546</t>
  </si>
  <si>
    <t>C86198</t>
  </si>
  <si>
    <t>11.226.115.121</t>
  </si>
  <si>
    <t>D125685</t>
  </si>
  <si>
    <t>TX1000486</t>
  </si>
  <si>
    <t>M1445</t>
  </si>
  <si>
    <t>C68462</t>
  </si>
  <si>
    <t>65.217.172.173</t>
  </si>
  <si>
    <t>D138816</t>
  </si>
  <si>
    <t>TX1002203</t>
  </si>
  <si>
    <t>M1495</t>
  </si>
  <si>
    <t>C86155</t>
  </si>
  <si>
    <t>137.30.82.6</t>
  </si>
  <si>
    <t>D120305</t>
  </si>
  <si>
    <t>TX1001472</t>
  </si>
  <si>
    <t>M1248</t>
  </si>
  <si>
    <t>C88052</t>
  </si>
  <si>
    <t>192.105.154.58</t>
  </si>
  <si>
    <t>D138599</t>
  </si>
  <si>
    <t>TX1001933</t>
  </si>
  <si>
    <t>M1024</t>
  </si>
  <si>
    <t>C85800</t>
  </si>
  <si>
    <t>167.78.199.11</t>
  </si>
  <si>
    <t>D196760</t>
  </si>
  <si>
    <t>TX1002534</t>
  </si>
  <si>
    <t>C88271</t>
  </si>
  <si>
    <t>68.100.179.189</t>
  </si>
  <si>
    <t>D199206</t>
  </si>
  <si>
    <t>TX1000175</t>
  </si>
  <si>
    <t>M1741</t>
  </si>
  <si>
    <t>C51908</t>
  </si>
  <si>
    <t>205.18.69.124</t>
  </si>
  <si>
    <t>D120366</t>
  </si>
  <si>
    <t>TX1001123</t>
  </si>
  <si>
    <t>M1602</t>
  </si>
  <si>
    <t>C71440</t>
  </si>
  <si>
    <t>168.83.144.41</t>
  </si>
  <si>
    <t>D150842</t>
  </si>
  <si>
    <t>TX1001803</t>
  </si>
  <si>
    <t>M1666</t>
  </si>
  <si>
    <t>C84719</t>
  </si>
  <si>
    <t>143.215.249.153</t>
  </si>
  <si>
    <t>D164464</t>
  </si>
  <si>
    <t>TX1001025</t>
  </si>
  <si>
    <t>M1961</t>
  </si>
  <si>
    <t>C97577</t>
  </si>
  <si>
    <t>8.226.1.54</t>
  </si>
  <si>
    <t>D173205</t>
  </si>
  <si>
    <t>TX1002754</t>
  </si>
  <si>
    <t>M1228</t>
  </si>
  <si>
    <t>C81840</t>
  </si>
  <si>
    <t>113.144.203.120</t>
  </si>
  <si>
    <t>D141267</t>
  </si>
  <si>
    <t>TX1001417</t>
  </si>
  <si>
    <t>M1590</t>
  </si>
  <si>
    <t>C96519</t>
  </si>
  <si>
    <t>192.198.219.148</t>
  </si>
  <si>
    <t>D143162</t>
  </si>
  <si>
    <t>TX1001360</t>
  </si>
  <si>
    <t>M1664</t>
  </si>
  <si>
    <t>C65575</t>
  </si>
  <si>
    <t>41.193.75.29</t>
  </si>
  <si>
    <t>D100320</t>
  </si>
  <si>
    <t>TX1002024</t>
  </si>
  <si>
    <t>M1665</t>
  </si>
  <si>
    <t>C92086</t>
  </si>
  <si>
    <t>74.250.211.66</t>
  </si>
  <si>
    <t>D176104</t>
  </si>
  <si>
    <t>TX1001558</t>
  </si>
  <si>
    <t>M1989</t>
  </si>
  <si>
    <t>C59799</t>
  </si>
  <si>
    <t>226.70.111.27</t>
  </si>
  <si>
    <t>D147094</t>
  </si>
  <si>
    <t>TX1002937</t>
  </si>
  <si>
    <t>M1224</t>
  </si>
  <si>
    <t>C71374</t>
  </si>
  <si>
    <t>216.18.155.175</t>
  </si>
  <si>
    <t>D131689</t>
  </si>
  <si>
    <t>TX1000177</t>
  </si>
  <si>
    <t>M1801</t>
  </si>
  <si>
    <t>C70611</t>
  </si>
  <si>
    <t>213.154.110.135</t>
  </si>
  <si>
    <t>D139625</t>
  </si>
  <si>
    <t>TX1000746</t>
  </si>
  <si>
    <t>M1412</t>
  </si>
  <si>
    <t>C92464</t>
  </si>
  <si>
    <t>70.84.216.144</t>
  </si>
  <si>
    <t>D166150</t>
  </si>
  <si>
    <t>TX1000599</t>
  </si>
  <si>
    <t>M1650</t>
  </si>
  <si>
    <t>C52744</t>
  </si>
  <si>
    <t>122.196.50.109</t>
  </si>
  <si>
    <t>D190255</t>
  </si>
  <si>
    <t>TX1002539</t>
  </si>
  <si>
    <t>M1772</t>
  </si>
  <si>
    <t>C80173</t>
  </si>
  <si>
    <t>184.14.129.27</t>
  </si>
  <si>
    <t>D134925</t>
  </si>
  <si>
    <t>TX1002504</t>
  </si>
  <si>
    <t>M1059</t>
  </si>
  <si>
    <t>C84789</t>
  </si>
  <si>
    <t>243.100.62.109</t>
  </si>
  <si>
    <t>D102607</t>
  </si>
  <si>
    <t>TX1002761</t>
  </si>
  <si>
    <t>M1566</t>
  </si>
  <si>
    <t>C79073</t>
  </si>
  <si>
    <t>162.34.4.70</t>
  </si>
  <si>
    <t>D122092</t>
  </si>
  <si>
    <t>TX1000767</t>
  </si>
  <si>
    <t>M1070</t>
  </si>
  <si>
    <t>C81075</t>
  </si>
  <si>
    <t>66.130.184.67</t>
  </si>
  <si>
    <t>D134326</t>
  </si>
  <si>
    <t>TX1000479</t>
  </si>
  <si>
    <t>C52629</t>
  </si>
  <si>
    <t>110.137.205.152</t>
  </si>
  <si>
    <t>D103742</t>
  </si>
  <si>
    <t>TX1002513</t>
  </si>
  <si>
    <t>M1010</t>
  </si>
  <si>
    <t>C75180</t>
  </si>
  <si>
    <t>148.66.44.181</t>
  </si>
  <si>
    <t>D102280</t>
  </si>
  <si>
    <t>TX1001010</t>
  </si>
  <si>
    <t>C75585</t>
  </si>
  <si>
    <t>108.248.198.105</t>
  </si>
  <si>
    <t>D117336</t>
  </si>
  <si>
    <t>TX1002270</t>
  </si>
  <si>
    <t>C69463</t>
  </si>
  <si>
    <t>194.231.89.90</t>
  </si>
  <si>
    <t>D154712</t>
  </si>
  <si>
    <t>TX1001878</t>
  </si>
  <si>
    <t>M1941</t>
  </si>
  <si>
    <t>C58492</t>
  </si>
  <si>
    <t>77.65.152.111</t>
  </si>
  <si>
    <t>D173253</t>
  </si>
  <si>
    <t>TX1001105</t>
  </si>
  <si>
    <t>M1139</t>
  </si>
  <si>
    <t>C75235</t>
  </si>
  <si>
    <t>97.148.225.188</t>
  </si>
  <si>
    <t>D137740</t>
  </si>
  <si>
    <t>TX1000969</t>
  </si>
  <si>
    <t>M1056</t>
  </si>
  <si>
    <t>C58506</t>
  </si>
  <si>
    <t>84.116.237.45</t>
  </si>
  <si>
    <t>D126199</t>
  </si>
  <si>
    <t>TX1002863</t>
  </si>
  <si>
    <t>M1758</t>
  </si>
  <si>
    <t>C79337</t>
  </si>
  <si>
    <t>18.216.164.111</t>
  </si>
  <si>
    <t>D161881</t>
  </si>
  <si>
    <t>TX1001125</t>
  </si>
  <si>
    <t>M1324</t>
  </si>
  <si>
    <t>C74312</t>
  </si>
  <si>
    <t>110.54.122.2</t>
  </si>
  <si>
    <t>D171351</t>
  </si>
  <si>
    <t>TX1001860</t>
  </si>
  <si>
    <t>M1657</t>
  </si>
  <si>
    <t>C77871</t>
  </si>
  <si>
    <t>140.23.247.138</t>
  </si>
  <si>
    <t>D156129</t>
  </si>
  <si>
    <t>TX1000162</t>
  </si>
  <si>
    <t>C59051</t>
  </si>
  <si>
    <t>168.80.162.18</t>
  </si>
  <si>
    <t>D173051</t>
  </si>
  <si>
    <t>TX1000685</t>
  </si>
  <si>
    <t>M1243</t>
  </si>
  <si>
    <t>C93719</t>
  </si>
  <si>
    <t>166.191.63.14</t>
  </si>
  <si>
    <t>D113431</t>
  </si>
  <si>
    <t>TX1002127</t>
  </si>
  <si>
    <t>C79811</t>
  </si>
  <si>
    <t>17.143.221.43</t>
  </si>
  <si>
    <t>D177857</t>
  </si>
  <si>
    <t>TX1000471</t>
  </si>
  <si>
    <t>M1096</t>
  </si>
  <si>
    <t>C66630</t>
  </si>
  <si>
    <t>102.22.129.71</t>
  </si>
  <si>
    <t>D181955</t>
  </si>
  <si>
    <t>TX1000845</t>
  </si>
  <si>
    <t>M1203</t>
  </si>
  <si>
    <t>C84099</t>
  </si>
  <si>
    <t>103.55.110.53</t>
  </si>
  <si>
    <t>D101305</t>
  </si>
  <si>
    <t>TX1000999</t>
  </si>
  <si>
    <t>M1004</t>
  </si>
  <si>
    <t>C93180</t>
  </si>
  <si>
    <t>147.170.245.40</t>
  </si>
  <si>
    <t>D199312</t>
  </si>
  <si>
    <t>TX1000812</t>
  </si>
  <si>
    <t>M1854</t>
  </si>
  <si>
    <t>C93808</t>
  </si>
  <si>
    <t>200.199.137.128</t>
  </si>
  <si>
    <t>D143361</t>
  </si>
  <si>
    <t>TX1000030</t>
  </si>
  <si>
    <t>M1398</t>
  </si>
  <si>
    <t>C56982</t>
  </si>
  <si>
    <t>23.95.220.115</t>
  </si>
  <si>
    <t>D173005</t>
  </si>
  <si>
    <t>TX1002892</t>
  </si>
  <si>
    <t>C95512</t>
  </si>
  <si>
    <t>4.196.1.20</t>
  </si>
  <si>
    <t>D138199</t>
  </si>
  <si>
    <t>TX1000423</t>
  </si>
  <si>
    <t>M1697</t>
  </si>
  <si>
    <t>C93133</t>
  </si>
  <si>
    <t>169.123.87.131</t>
  </si>
  <si>
    <t>D197211</t>
  </si>
  <si>
    <t>TX1000511</t>
  </si>
  <si>
    <t>M1280</t>
  </si>
  <si>
    <t>C65934</t>
  </si>
  <si>
    <t>100.249.127.72</t>
  </si>
  <si>
    <t>D179522</t>
  </si>
  <si>
    <t>TX1001846</t>
  </si>
  <si>
    <t>M1177</t>
  </si>
  <si>
    <t>C78082</t>
  </si>
  <si>
    <t>93.187.8.72</t>
  </si>
  <si>
    <t>D144064</t>
  </si>
  <si>
    <t>TX1002793</t>
  </si>
  <si>
    <t>M1790</t>
  </si>
  <si>
    <t>C83051</t>
  </si>
  <si>
    <t>250.251.102.17</t>
  </si>
  <si>
    <t>D173988</t>
  </si>
  <si>
    <t>TX1000897</t>
  </si>
  <si>
    <t>M1137</t>
  </si>
  <si>
    <t>C56714</t>
  </si>
  <si>
    <t>59.162.108.238</t>
  </si>
  <si>
    <t>D102832</t>
  </si>
  <si>
    <t>TX1002841</t>
  </si>
  <si>
    <t>M1880</t>
  </si>
  <si>
    <t>C65428</t>
  </si>
  <si>
    <t>8.93.234.93</t>
  </si>
  <si>
    <t>D147551</t>
  </si>
  <si>
    <t>TX1002384</t>
  </si>
  <si>
    <t>C75015</t>
  </si>
  <si>
    <t>185.227.233.37</t>
  </si>
  <si>
    <t>D119595</t>
  </si>
  <si>
    <t>TX1000601</t>
  </si>
  <si>
    <t>M1131</t>
  </si>
  <si>
    <t>C94252</t>
  </si>
  <si>
    <t>179.198.24.65</t>
  </si>
  <si>
    <t>D176763</t>
  </si>
  <si>
    <t>TX1002813</t>
  </si>
  <si>
    <t>M1631</t>
  </si>
  <si>
    <t>C60307</t>
  </si>
  <si>
    <t>39.191.125.216</t>
  </si>
  <si>
    <t>D176936</t>
  </si>
  <si>
    <t>TX1002416</t>
  </si>
  <si>
    <t>M1656</t>
  </si>
  <si>
    <t>C81859</t>
  </si>
  <si>
    <t>81.52.83.132</t>
  </si>
  <si>
    <t>D167251</t>
  </si>
  <si>
    <t>TX1001660</t>
  </si>
  <si>
    <t>M1315</t>
  </si>
  <si>
    <t>C94875</t>
  </si>
  <si>
    <t>193.140.171.179</t>
  </si>
  <si>
    <t>D153329</t>
  </si>
  <si>
    <t>TX1000402</t>
  </si>
  <si>
    <t>M1605</t>
  </si>
  <si>
    <t>C87775</t>
  </si>
  <si>
    <t>253.2.236.73</t>
  </si>
  <si>
    <t>D117178</t>
  </si>
  <si>
    <t>TX1000433</t>
  </si>
  <si>
    <t>M1870</t>
  </si>
  <si>
    <t>C53627</t>
  </si>
  <si>
    <t>221.194.9.142</t>
  </si>
  <si>
    <t>D163199</t>
  </si>
  <si>
    <t>TX1002292</t>
  </si>
  <si>
    <t>M1316</t>
  </si>
  <si>
    <t>C69163</t>
  </si>
  <si>
    <t>137.201.152.98</t>
  </si>
  <si>
    <t>D141681</t>
  </si>
  <si>
    <t>TX1000073</t>
  </si>
  <si>
    <t>C59904</t>
  </si>
  <si>
    <t>59.31.198.210</t>
  </si>
  <si>
    <t>D168495</t>
  </si>
  <si>
    <t>TX1001844</t>
  </si>
  <si>
    <t>M1668</t>
  </si>
  <si>
    <t>C84303</t>
  </si>
  <si>
    <t>59.60.169.241</t>
  </si>
  <si>
    <t>D122821</t>
  </si>
  <si>
    <t>TX1001706</t>
  </si>
  <si>
    <t>M1720</t>
  </si>
  <si>
    <t>C87191</t>
  </si>
  <si>
    <t>79.134.151.49</t>
  </si>
  <si>
    <t>D187936</t>
  </si>
  <si>
    <t>TX1001710</t>
  </si>
  <si>
    <t>M1017</t>
  </si>
  <si>
    <t>C79084</t>
  </si>
  <si>
    <t>124.0.235.164</t>
  </si>
  <si>
    <t>D113191</t>
  </si>
  <si>
    <t>TX1001188</t>
  </si>
  <si>
    <t>M1931</t>
  </si>
  <si>
    <t>C54986</t>
  </si>
  <si>
    <t>82.136.92.192</t>
  </si>
  <si>
    <t>D175747</t>
  </si>
  <si>
    <t>TX1001640</t>
  </si>
  <si>
    <t>M1016</t>
  </si>
  <si>
    <t>C63127</t>
  </si>
  <si>
    <t>43.189.16.23</t>
  </si>
  <si>
    <t>D193886</t>
  </si>
  <si>
    <t>TX1001477</t>
  </si>
  <si>
    <t>M1797</t>
  </si>
  <si>
    <t>C88419</t>
  </si>
  <si>
    <t>103.203.16.228</t>
  </si>
  <si>
    <t>D135804</t>
  </si>
  <si>
    <t>TX1000324</t>
  </si>
  <si>
    <t>M1394</t>
  </si>
  <si>
    <t>C66173</t>
  </si>
  <si>
    <t>67.233.75.66</t>
  </si>
  <si>
    <t>D132429</t>
  </si>
  <si>
    <t>TX1000332</t>
  </si>
  <si>
    <t>M1815</t>
  </si>
  <si>
    <t>C94109</t>
  </si>
  <si>
    <t>170.123.124.55</t>
  </si>
  <si>
    <t>D122338</t>
  </si>
  <si>
    <t>TX1001726</t>
  </si>
  <si>
    <t>M1704</t>
  </si>
  <si>
    <t>C91414</t>
  </si>
  <si>
    <t>207.92.110.162</t>
  </si>
  <si>
    <t>D161524</t>
  </si>
  <si>
    <t>TX1002091</t>
  </si>
  <si>
    <t>M1098</t>
  </si>
  <si>
    <t>C67787</t>
  </si>
  <si>
    <t>8.81.85.145</t>
  </si>
  <si>
    <t>D183258</t>
  </si>
  <si>
    <t>TX1002238</t>
  </si>
  <si>
    <t>M1520</t>
  </si>
  <si>
    <t>C54151</t>
  </si>
  <si>
    <t>91.38.194.212</t>
  </si>
  <si>
    <t>D154061</t>
  </si>
  <si>
    <t>TX1000817</t>
  </si>
  <si>
    <t>M1954</t>
  </si>
  <si>
    <t>C70862</t>
  </si>
  <si>
    <t>111.235.132.69</t>
  </si>
  <si>
    <t>D189165</t>
  </si>
  <si>
    <t>TX1002308</t>
  </si>
  <si>
    <t>M1085</t>
  </si>
  <si>
    <t>C92926</t>
  </si>
  <si>
    <t>234.113.35.28</t>
  </si>
  <si>
    <t>D156124</t>
  </si>
  <si>
    <t>TX1000544</t>
  </si>
  <si>
    <t>M1072</t>
  </si>
  <si>
    <t>8.253.61.85</t>
  </si>
  <si>
    <t>D111679</t>
  </si>
  <si>
    <t>TX1001837</t>
  </si>
  <si>
    <t>M1109</t>
  </si>
  <si>
    <t>C89116</t>
  </si>
  <si>
    <t>175.113.96.52</t>
  </si>
  <si>
    <t>D113344</t>
  </si>
  <si>
    <t>TX1001023</t>
  </si>
  <si>
    <t>M1817</t>
  </si>
  <si>
    <t>C68278</t>
  </si>
  <si>
    <t>135.76.4.205</t>
  </si>
  <si>
    <t>D188167</t>
  </si>
  <si>
    <t>TX1001626</t>
  </si>
  <si>
    <t>M1937</t>
  </si>
  <si>
    <t>C73942</t>
  </si>
  <si>
    <t>44.156.138.107</t>
  </si>
  <si>
    <t>D190259</t>
  </si>
  <si>
    <t>TX1001179</t>
  </si>
  <si>
    <t>M1247</t>
  </si>
  <si>
    <t>C90233</t>
  </si>
  <si>
    <t>155.28.124.122</t>
  </si>
  <si>
    <t>D188153</t>
  </si>
  <si>
    <t>TX1000927</t>
  </si>
  <si>
    <t>M1970</t>
  </si>
  <si>
    <t>C55693</t>
  </si>
  <si>
    <t>42.182.131.148</t>
  </si>
  <si>
    <t>D122553</t>
  </si>
  <si>
    <t>TX1002098</t>
  </si>
  <si>
    <t>M1058</t>
  </si>
  <si>
    <t>C54226</t>
  </si>
  <si>
    <t>119.49.140.85</t>
  </si>
  <si>
    <t>D134505</t>
  </si>
  <si>
    <t>TX1002375</t>
  </si>
  <si>
    <t>M1673</t>
  </si>
  <si>
    <t>C78730</t>
  </si>
  <si>
    <t>16.25.73.66</t>
  </si>
  <si>
    <t>D141435</t>
  </si>
  <si>
    <t>TX1002792</t>
  </si>
  <si>
    <t>M1116</t>
  </si>
  <si>
    <t>C81813</t>
  </si>
  <si>
    <t>13.78.60.9</t>
  </si>
  <si>
    <t>D177113</t>
  </si>
  <si>
    <t>TX1001681</t>
  </si>
  <si>
    <t>M1448</t>
  </si>
  <si>
    <t>C86717</t>
  </si>
  <si>
    <t>107.163.240.228</t>
  </si>
  <si>
    <t>D141964</t>
  </si>
  <si>
    <t>TX1000239</t>
  </si>
  <si>
    <t>M1514</t>
  </si>
  <si>
    <t>C90293</t>
  </si>
  <si>
    <t>55.147.135.13</t>
  </si>
  <si>
    <t>D138970</t>
  </si>
  <si>
    <t>TX1002691</t>
  </si>
  <si>
    <t>C64563</t>
  </si>
  <si>
    <t>102.40.214.73</t>
  </si>
  <si>
    <t>D167946</t>
  </si>
  <si>
    <t>TX1002606</t>
  </si>
  <si>
    <t>M1638</t>
  </si>
  <si>
    <t>C70987</t>
  </si>
  <si>
    <t>59.85.253.37</t>
  </si>
  <si>
    <t>D129556</t>
  </si>
  <si>
    <t>TX1001100</t>
  </si>
  <si>
    <t>M1015</t>
  </si>
  <si>
    <t>C60783</t>
  </si>
  <si>
    <t>159.173.149.92</t>
  </si>
  <si>
    <t>D123761</t>
  </si>
  <si>
    <t>TX1000765</t>
  </si>
  <si>
    <t>C63518</t>
  </si>
  <si>
    <t>8.98.194.176</t>
  </si>
  <si>
    <t>D122245</t>
  </si>
  <si>
    <t>TX1001510</t>
  </si>
  <si>
    <t>C60029</t>
  </si>
  <si>
    <t>243.57.103.71</t>
  </si>
  <si>
    <t>D113529</t>
  </si>
  <si>
    <t>TX1002067</t>
  </si>
  <si>
    <t>C94699</t>
  </si>
  <si>
    <t>192.0.61.18</t>
  </si>
  <si>
    <t>D123707</t>
  </si>
  <si>
    <t>TX1002116</t>
  </si>
  <si>
    <t>M1154</t>
  </si>
  <si>
    <t>C97257</t>
  </si>
  <si>
    <t>167.101.195.237</t>
  </si>
  <si>
    <t>D166497</t>
  </si>
  <si>
    <t>TX1002175</t>
  </si>
  <si>
    <t>C86567</t>
  </si>
  <si>
    <t>241.89.249.43</t>
  </si>
  <si>
    <t>D140283</t>
  </si>
  <si>
    <t>TX1000783</t>
  </si>
  <si>
    <t>M1625</t>
  </si>
  <si>
    <t>C80397</t>
  </si>
  <si>
    <t>21.22.185.59</t>
  </si>
  <si>
    <t>D157748</t>
  </si>
  <si>
    <t>TX1001225</t>
  </si>
  <si>
    <t>C58398</t>
  </si>
  <si>
    <t>164.28.169.187</t>
  </si>
  <si>
    <t>D128975</t>
  </si>
  <si>
    <t>TX1001005</t>
  </si>
  <si>
    <t>M1282</t>
  </si>
  <si>
    <t>C66295</t>
  </si>
  <si>
    <t>7.107.195.101</t>
  </si>
  <si>
    <t>D121013</t>
  </si>
  <si>
    <t>TX1000805</t>
  </si>
  <si>
    <t>C99761</t>
  </si>
  <si>
    <t>51.1.29.89</t>
  </si>
  <si>
    <t>D193748</t>
  </si>
  <si>
    <t>TX1001820</t>
  </si>
  <si>
    <t>M1762</t>
  </si>
  <si>
    <t>C93184</t>
  </si>
  <si>
    <t>137.33.13.161</t>
  </si>
  <si>
    <t>D170854</t>
  </si>
  <si>
    <t>TX1002569</t>
  </si>
  <si>
    <t>M1482</t>
  </si>
  <si>
    <t>C79698</t>
  </si>
  <si>
    <t>29.39.174.104</t>
  </si>
  <si>
    <t>D138668</t>
  </si>
  <si>
    <t>TX1000343</t>
  </si>
  <si>
    <t>C92771</t>
  </si>
  <si>
    <t>77.186.87.109</t>
  </si>
  <si>
    <t>D186266</t>
  </si>
  <si>
    <t>TX1001791</t>
  </si>
  <si>
    <t>M1818</t>
  </si>
  <si>
    <t>C81595</t>
  </si>
  <si>
    <t>113.47.131.1</t>
  </si>
  <si>
    <t>D161644</t>
  </si>
  <si>
    <t>TX1000930</t>
  </si>
  <si>
    <t>M1761</t>
  </si>
  <si>
    <t>C50274</t>
  </si>
  <si>
    <t>99.27.29.52</t>
  </si>
  <si>
    <t>D121385</t>
  </si>
  <si>
    <t>TX1001864</t>
  </si>
  <si>
    <t>M1969</t>
  </si>
  <si>
    <t>C89737</t>
  </si>
  <si>
    <t>221.137.18.208</t>
  </si>
  <si>
    <t>D190439</t>
  </si>
  <si>
    <t>TX1002903</t>
  </si>
  <si>
    <t>M1270</t>
  </si>
  <si>
    <t>C90096</t>
  </si>
  <si>
    <t>30.82.55.163</t>
  </si>
  <si>
    <t>D188381</t>
  </si>
  <si>
    <t>TX1002484</t>
  </si>
  <si>
    <t>C85060</t>
  </si>
  <si>
    <t>198.208.169.24</t>
  </si>
  <si>
    <t>D169634</t>
  </si>
  <si>
    <t>TX1002724</t>
  </si>
  <si>
    <t>C53889</t>
  </si>
  <si>
    <t>249.172.181.6</t>
  </si>
  <si>
    <t>D167473</t>
  </si>
  <si>
    <t>TX1000411</t>
  </si>
  <si>
    <t>M1003</t>
  </si>
  <si>
    <t>C82980</t>
  </si>
  <si>
    <t>81.35.85.48</t>
  </si>
  <si>
    <t>D143536</t>
  </si>
  <si>
    <t>TX1001117</t>
  </si>
  <si>
    <t>M1209</t>
  </si>
  <si>
    <t>C79580</t>
  </si>
  <si>
    <t>155.207.255.186</t>
  </si>
  <si>
    <t>D197001</t>
  </si>
  <si>
    <t>TX1002475</t>
  </si>
  <si>
    <t>C77432</t>
  </si>
  <si>
    <t>145.1.38.178</t>
  </si>
  <si>
    <t>D194521</t>
  </si>
  <si>
    <t>TX1000108</t>
  </si>
  <si>
    <t>M1734</t>
  </si>
  <si>
    <t>C55735</t>
  </si>
  <si>
    <t>234.132.208.100</t>
  </si>
  <si>
    <t>D159129</t>
  </si>
  <si>
    <t>TX1000911</t>
  </si>
  <si>
    <t>M1512</t>
  </si>
  <si>
    <t>C70444</t>
  </si>
  <si>
    <t>147.16.251.75</t>
  </si>
  <si>
    <t>D181226</t>
  </si>
  <si>
    <t>TX1002708</t>
  </si>
  <si>
    <t>M1480</t>
  </si>
  <si>
    <t>C84946</t>
  </si>
  <si>
    <t>197.252.187.204</t>
  </si>
  <si>
    <t>D192985</t>
  </si>
  <si>
    <t>TX1000318</t>
  </si>
  <si>
    <t>C58130</t>
  </si>
  <si>
    <t>96.255.151.52</t>
  </si>
  <si>
    <t>D119879</t>
  </si>
  <si>
    <t>TX1001037</t>
  </si>
  <si>
    <t>M1621</t>
  </si>
  <si>
    <t>C81771</t>
  </si>
  <si>
    <t>87.78.137.29</t>
  </si>
  <si>
    <t>D127491</t>
  </si>
  <si>
    <t>TX1000676</t>
  </si>
  <si>
    <t>M1286</t>
  </si>
  <si>
    <t>C87729</t>
  </si>
  <si>
    <t>143.91.141.85</t>
  </si>
  <si>
    <t>D195092</t>
  </si>
  <si>
    <t>TX1001588</t>
  </si>
  <si>
    <t>C98140</t>
  </si>
  <si>
    <t>113.162.78.103</t>
  </si>
  <si>
    <t>D169463</t>
  </si>
  <si>
    <t>TX1001538</t>
  </si>
  <si>
    <t>M1415</t>
  </si>
  <si>
    <t>C51580</t>
  </si>
  <si>
    <t>211.251.253.201</t>
  </si>
  <si>
    <t>D106521</t>
  </si>
  <si>
    <t>TX1001410</t>
  </si>
  <si>
    <t>M1576</t>
  </si>
  <si>
    <t>C65762</t>
  </si>
  <si>
    <t>133.159.211.108</t>
  </si>
  <si>
    <t>D135844</t>
  </si>
  <si>
    <t>TX1000727</t>
  </si>
  <si>
    <t>C87826</t>
  </si>
  <si>
    <t>51.244.141.168</t>
  </si>
  <si>
    <t>D196327</t>
  </si>
  <si>
    <t>TX1001885</t>
  </si>
  <si>
    <t>M1120</t>
  </si>
  <si>
    <t>C71620</t>
  </si>
  <si>
    <t>19.221.140.124</t>
  </si>
  <si>
    <t>D163464</t>
  </si>
  <si>
    <t>TX1001196</t>
  </si>
  <si>
    <t>M1418</t>
  </si>
  <si>
    <t>C96360</t>
  </si>
  <si>
    <t>192.135.91.204</t>
  </si>
  <si>
    <t>D173530</t>
  </si>
  <si>
    <t>TX1000678</t>
  </si>
  <si>
    <t>M1557</t>
  </si>
  <si>
    <t>C63016</t>
  </si>
  <si>
    <t>165.165.115.11</t>
  </si>
  <si>
    <t>D153300</t>
  </si>
  <si>
    <t>TX1000790</t>
  </si>
  <si>
    <t>C90696</t>
  </si>
  <si>
    <t>46.0.42.171</t>
  </si>
  <si>
    <t>D117725</t>
  </si>
  <si>
    <t>TX1002653</t>
  </si>
  <si>
    <t>M1952</t>
  </si>
  <si>
    <t>C58966</t>
  </si>
  <si>
    <t>116.37.126.215</t>
  </si>
  <si>
    <t>D197744</t>
  </si>
  <si>
    <t>TX1001366</t>
  </si>
  <si>
    <t>C74096</t>
  </si>
  <si>
    <t>195.134.68.143</t>
  </si>
  <si>
    <t>D189746</t>
  </si>
  <si>
    <t>TX1001871</t>
  </si>
  <si>
    <t>M1329</t>
  </si>
  <si>
    <t>C99603</t>
  </si>
  <si>
    <t>4.180.225.246</t>
  </si>
  <si>
    <t>D168049</t>
  </si>
  <si>
    <t>TX1002176</t>
  </si>
  <si>
    <t>M1910</t>
  </si>
  <si>
    <t>C76454</t>
  </si>
  <si>
    <t>136.253.101.17</t>
  </si>
  <si>
    <t>D138242</t>
  </si>
  <si>
    <t>TX1000432</t>
  </si>
  <si>
    <t>C89977</t>
  </si>
  <si>
    <t>157.41.245.243</t>
  </si>
  <si>
    <t>D116969</t>
  </si>
  <si>
    <t>TX1000565</t>
  </si>
  <si>
    <t>C68430</t>
  </si>
  <si>
    <t>25.20.69.226</t>
  </si>
  <si>
    <t>D149931</t>
  </si>
  <si>
    <t>TX1002960</t>
  </si>
  <si>
    <t>M1198</t>
  </si>
  <si>
    <t>C67735</t>
  </si>
  <si>
    <t>57.138.107.204</t>
  </si>
  <si>
    <t>D178143</t>
  </si>
  <si>
    <t>TX1001778</t>
  </si>
  <si>
    <t>M1927</t>
  </si>
  <si>
    <t>C84892</t>
  </si>
  <si>
    <t>214.16.82.232</t>
  </si>
  <si>
    <t>D117590</t>
  </si>
  <si>
    <t>TX1000070</t>
  </si>
  <si>
    <t>M1462</t>
  </si>
  <si>
    <t>C52189</t>
  </si>
  <si>
    <t>42.38.47.87</t>
  </si>
  <si>
    <t>D177860</t>
  </si>
  <si>
    <t>TX1002670</t>
  </si>
  <si>
    <t>M1661</t>
  </si>
  <si>
    <t>C75893</t>
  </si>
  <si>
    <t>117.8.34.145</t>
  </si>
  <si>
    <t>D170432</t>
  </si>
  <si>
    <t>TX1002168</t>
  </si>
  <si>
    <t>C95252</t>
  </si>
  <si>
    <t>20.227.82.179</t>
  </si>
  <si>
    <t>D158930</t>
  </si>
  <si>
    <t>TX1000554</t>
  </si>
  <si>
    <t>M1117</t>
  </si>
  <si>
    <t>C82016</t>
  </si>
  <si>
    <t>239.203.145.138</t>
  </si>
  <si>
    <t>D137544</t>
  </si>
  <si>
    <t>TX1000056</t>
  </si>
  <si>
    <t>M1823</t>
  </si>
  <si>
    <t>C76275</t>
  </si>
  <si>
    <t>3.188.102.75</t>
  </si>
  <si>
    <t>D173899</t>
  </si>
  <si>
    <t>TX1002195</t>
  </si>
  <si>
    <t>C73250</t>
  </si>
  <si>
    <t>66.11.178.177</t>
  </si>
  <si>
    <t>D185698</t>
  </si>
  <si>
    <t>TX1002499</t>
  </si>
  <si>
    <t>M1380</t>
  </si>
  <si>
    <t>C96448</t>
  </si>
  <si>
    <t>89.243.69.97</t>
  </si>
  <si>
    <t>D124956</t>
  </si>
  <si>
    <t>TX1001462</t>
  </si>
  <si>
    <t>C74220</t>
  </si>
  <si>
    <t>230.186.254.244</t>
  </si>
  <si>
    <t>D117319</t>
  </si>
  <si>
    <t>TX1001295</t>
  </si>
  <si>
    <t>M1898</t>
  </si>
  <si>
    <t>C62441</t>
  </si>
  <si>
    <t>10.55.22.21</t>
  </si>
  <si>
    <t>D137293</t>
  </si>
  <si>
    <t>TX1002816</t>
  </si>
  <si>
    <t>M1843</t>
  </si>
  <si>
    <t>C50728</t>
  </si>
  <si>
    <t>222.253.255.85</t>
  </si>
  <si>
    <t>D130956</t>
  </si>
  <si>
    <t>TX1000309</t>
  </si>
  <si>
    <t>M1334</t>
  </si>
  <si>
    <t>C60291</t>
  </si>
  <si>
    <t>34.105.158.111</t>
  </si>
  <si>
    <t>D193018</t>
  </si>
  <si>
    <t>TX1001651</t>
  </si>
  <si>
    <t>M1732</t>
  </si>
  <si>
    <t>C50707</t>
  </si>
  <si>
    <t>14.23.121.169</t>
  </si>
  <si>
    <t>D196046</t>
  </si>
  <si>
    <t>TX1002644</t>
  </si>
  <si>
    <t>M1577</t>
  </si>
  <si>
    <t>C60528</t>
  </si>
  <si>
    <t>52.115.116.168</t>
  </si>
  <si>
    <t>D111652</t>
  </si>
  <si>
    <t>TX1000949</t>
  </si>
  <si>
    <t>M1274</t>
  </si>
  <si>
    <t>C87822</t>
  </si>
  <si>
    <t>220.91.95.8</t>
  </si>
  <si>
    <t>D123616</t>
  </si>
  <si>
    <t>TX1002157</t>
  </si>
  <si>
    <t>M1272</t>
  </si>
  <si>
    <t>C68395</t>
  </si>
  <si>
    <t>33.86.238.177</t>
  </si>
  <si>
    <t>D158184</t>
  </si>
  <si>
    <t>TX1002908</t>
  </si>
  <si>
    <t>C91410</t>
  </si>
  <si>
    <t>22.181.182.225</t>
  </si>
  <si>
    <t>D162520</t>
  </si>
  <si>
    <t>TX1001124</t>
  </si>
  <si>
    <t>M1338</t>
  </si>
  <si>
    <t>C67542</t>
  </si>
  <si>
    <t>2.77.174.53</t>
  </si>
  <si>
    <t>D120655</t>
  </si>
  <si>
    <t>TX1000610</t>
  </si>
  <si>
    <t>M1692</t>
  </si>
  <si>
    <t>C67295</t>
  </si>
  <si>
    <t>76.97.185.183</t>
  </si>
  <si>
    <t>D171142</t>
  </si>
  <si>
    <t>TX1002932</t>
  </si>
  <si>
    <t>C77839</t>
  </si>
  <si>
    <t>14.31.113.57</t>
  </si>
  <si>
    <t>D157754</t>
  </si>
  <si>
    <t>TX1002548</t>
  </si>
  <si>
    <t>C87396</t>
  </si>
  <si>
    <t>171.128.108.44</t>
  </si>
  <si>
    <t>D156519</t>
  </si>
  <si>
    <t>TX1002097</t>
  </si>
  <si>
    <t>M1527</t>
  </si>
  <si>
    <t>C76214</t>
  </si>
  <si>
    <t>154.13.179.83</t>
  </si>
  <si>
    <t>D172756</t>
  </si>
  <si>
    <t>TX1001216</t>
  </si>
  <si>
    <t>M1571</t>
  </si>
  <si>
    <t>C88732</t>
  </si>
  <si>
    <t>40.28.213.79</t>
  </si>
  <si>
    <t>D189710</t>
  </si>
  <si>
    <t>TX1001966</t>
  </si>
  <si>
    <t>M1112</t>
  </si>
  <si>
    <t>C72909</t>
  </si>
  <si>
    <t>112.231.66.5</t>
  </si>
  <si>
    <t>D162503</t>
  </si>
  <si>
    <t>TX1000555</t>
  </si>
  <si>
    <t>M1509</t>
  </si>
  <si>
    <t>C83962</t>
  </si>
  <si>
    <t>48.42.34.62</t>
  </si>
  <si>
    <t>D157140</t>
  </si>
  <si>
    <t>TX1002396</t>
  </si>
  <si>
    <t>M1832</t>
  </si>
  <si>
    <t>C58570</t>
  </si>
  <si>
    <t>254.55.112.243</t>
  </si>
  <si>
    <t>D132679</t>
  </si>
  <si>
    <t>TX1002961</t>
  </si>
  <si>
    <t>M1201</t>
  </si>
  <si>
    <t>C80966</t>
  </si>
  <si>
    <t>251.228.94.115</t>
  </si>
  <si>
    <t>D134619</t>
  </si>
  <si>
    <t>TX1002849</t>
  </si>
  <si>
    <t>M1785</t>
  </si>
  <si>
    <t>C51040</t>
  </si>
  <si>
    <t>159.52.103.238</t>
  </si>
  <si>
    <t>D142155</t>
  </si>
  <si>
    <t>TX1002171</t>
  </si>
  <si>
    <t>M1185</t>
  </si>
  <si>
    <t>C93753</t>
  </si>
  <si>
    <t>212.132.7.60</t>
  </si>
  <si>
    <t>D139970</t>
  </si>
  <si>
    <t>TX1002318</t>
  </si>
  <si>
    <t>C59205</t>
  </si>
  <si>
    <t>11.163.49.217</t>
  </si>
  <si>
    <t>D197674</t>
  </si>
  <si>
    <t>TX1001770</t>
  </si>
  <si>
    <t>C88847</t>
  </si>
  <si>
    <t>50.110.144.183</t>
  </si>
  <si>
    <t>D103298</t>
  </si>
  <si>
    <t>TX1002629</t>
  </si>
  <si>
    <t>C83258</t>
  </si>
  <si>
    <t>66.14.50.222</t>
  </si>
  <si>
    <t>D121991</t>
  </si>
  <si>
    <t>TX1001815</t>
  </si>
  <si>
    <t>C88276</t>
  </si>
  <si>
    <t>206.161.46.184</t>
  </si>
  <si>
    <t>D177373</t>
  </si>
  <si>
    <t>TX1000120</t>
  </si>
  <si>
    <t>C83053</t>
  </si>
  <si>
    <t>154.19.60.24</t>
  </si>
  <si>
    <t>D163208</t>
  </si>
  <si>
    <t>TX1002907</t>
  </si>
  <si>
    <t>M1862</t>
  </si>
  <si>
    <t>C60338</t>
  </si>
  <si>
    <t>239.91.56.48</t>
  </si>
  <si>
    <t>D178696</t>
  </si>
  <si>
    <t>TX1000810</t>
  </si>
  <si>
    <t>C94138</t>
  </si>
  <si>
    <t>127.50.208.38</t>
  </si>
  <si>
    <t>D183816</t>
  </si>
  <si>
    <t>TX1002999</t>
  </si>
  <si>
    <t>C71508</t>
  </si>
  <si>
    <t>104.93.157.159</t>
  </si>
  <si>
    <t>D171763</t>
  </si>
  <si>
    <t>TX1001502</t>
  </si>
  <si>
    <t>C55137</t>
  </si>
  <si>
    <t>239.64.28.78</t>
  </si>
  <si>
    <t>D169251</t>
  </si>
  <si>
    <t>TX1000313</t>
  </si>
  <si>
    <t>C93928</t>
  </si>
  <si>
    <t>244.224.71.121</t>
  </si>
  <si>
    <t>D136587</t>
  </si>
  <si>
    <t>TX1000958</t>
  </si>
  <si>
    <t>M1276</t>
  </si>
  <si>
    <t>C87996</t>
  </si>
  <si>
    <t>154.68.28.31</t>
  </si>
  <si>
    <t>D118696</t>
  </si>
  <si>
    <t>TX1000233</t>
  </si>
  <si>
    <t>M1066</t>
  </si>
  <si>
    <t>C72192</t>
  </si>
  <si>
    <t>72.139.204.92</t>
  </si>
  <si>
    <t>D162367</t>
  </si>
  <si>
    <t>TX1000507</t>
  </si>
  <si>
    <t>C70237</t>
  </si>
  <si>
    <t>229.240.253.42</t>
  </si>
  <si>
    <t>D123435</t>
  </si>
  <si>
    <t>TX1001451</t>
  </si>
  <si>
    <t>C73346</t>
  </si>
  <si>
    <t>106.224.41.129</t>
  </si>
  <si>
    <t>D156767</t>
  </si>
  <si>
    <t>TX1002153</t>
  </si>
  <si>
    <t>M1534</t>
  </si>
  <si>
    <t>C50940</t>
  </si>
  <si>
    <t>24.60.244.112</t>
  </si>
  <si>
    <t>D157525</t>
  </si>
  <si>
    <t>TX1000111</t>
  </si>
  <si>
    <t>C57511</t>
  </si>
  <si>
    <t>141.37.148.172</t>
  </si>
  <si>
    <t>D108829</t>
  </si>
  <si>
    <t>TX1001133</t>
  </si>
  <si>
    <t>C73911</t>
  </si>
  <si>
    <t>231.85.255.172</t>
  </si>
  <si>
    <t>D116847</t>
  </si>
  <si>
    <t>TX1000410</t>
  </si>
  <si>
    <t>M1036</t>
  </si>
  <si>
    <t>C65647</t>
  </si>
  <si>
    <t>101.201.51.57</t>
  </si>
  <si>
    <t>D196196</t>
  </si>
  <si>
    <t>TX1000218</t>
  </si>
  <si>
    <t>M1292</t>
  </si>
  <si>
    <t>C96406</t>
  </si>
  <si>
    <t>148.64.225.67</t>
  </si>
  <si>
    <t>D148453</t>
  </si>
  <si>
    <t>TX1000642</t>
  </si>
  <si>
    <t>C89337</t>
  </si>
  <si>
    <t>200.59.120.237</t>
  </si>
  <si>
    <t>D150990</t>
  </si>
  <si>
    <t>TX1001309</t>
  </si>
  <si>
    <t>M1087</t>
  </si>
  <si>
    <t>C79766</t>
  </si>
  <si>
    <t>188.161.193.245</t>
  </si>
  <si>
    <t>D186216</t>
  </si>
  <si>
    <t>TX1002287</t>
  </si>
  <si>
    <t>M1244</t>
  </si>
  <si>
    <t>C94300</t>
  </si>
  <si>
    <t>190.242.87.86</t>
  </si>
  <si>
    <t>D192695</t>
  </si>
  <si>
    <t>TX1002447</t>
  </si>
  <si>
    <t>M1808</t>
  </si>
  <si>
    <t>C74359</t>
  </si>
  <si>
    <t>18.54.61.246</t>
  </si>
  <si>
    <t>D131600</t>
  </si>
  <si>
    <t>TX1002338</t>
  </si>
  <si>
    <t>M1354</t>
  </si>
  <si>
    <t>C88983</t>
  </si>
  <si>
    <t>117.249.111.28</t>
  </si>
  <si>
    <t>D123030</t>
  </si>
  <si>
    <t>TX1001213</t>
  </si>
  <si>
    <t>C66921</t>
  </si>
  <si>
    <t>27.189.237.191</t>
  </si>
  <si>
    <t>D131740</t>
  </si>
  <si>
    <t>TX1000439</t>
  </si>
  <si>
    <t>C85046</t>
  </si>
  <si>
    <t>120.121.67.233</t>
  </si>
  <si>
    <t>D101990</t>
  </si>
  <si>
    <t>TX1001272</t>
  </si>
  <si>
    <t>C80931</t>
  </si>
  <si>
    <t>212.39.128.206</t>
  </si>
  <si>
    <t>D120644</t>
  </si>
  <si>
    <t>TX1000485</t>
  </si>
  <si>
    <t>M1826</t>
  </si>
  <si>
    <t>C74433</t>
  </si>
  <si>
    <t>252.217.196.223</t>
  </si>
  <si>
    <t>D188436</t>
  </si>
  <si>
    <t>TX1001611</t>
  </si>
  <si>
    <t>M1806</t>
  </si>
  <si>
    <t>C74078</t>
  </si>
  <si>
    <t>139.0.170.235</t>
  </si>
  <si>
    <t>D164370</t>
  </si>
  <si>
    <t>TX1000387</t>
  </si>
  <si>
    <t>C59863</t>
  </si>
  <si>
    <t>105.134.1.253</t>
  </si>
  <si>
    <t>D159055</t>
  </si>
  <si>
    <t>TX1000772</t>
  </si>
  <si>
    <t>C51953</t>
  </si>
  <si>
    <t>99.62.5.141</t>
  </si>
  <si>
    <t>D110959</t>
  </si>
  <si>
    <t>TX1002293</t>
  </si>
  <si>
    <t>M1158</t>
  </si>
  <si>
    <t>C89056</t>
  </si>
  <si>
    <t>135.112.109.125</t>
  </si>
  <si>
    <t>D163555</t>
  </si>
  <si>
    <t>TX1001029</t>
  </si>
  <si>
    <t>M1446</t>
  </si>
  <si>
    <t>C58359</t>
  </si>
  <si>
    <t>26.80.38.170</t>
  </si>
  <si>
    <t>D113674</t>
  </si>
  <si>
    <t>TX1002232</t>
  </si>
  <si>
    <t>M1179</t>
  </si>
  <si>
    <t>C76715</t>
  </si>
  <si>
    <t>41.255.213.190</t>
  </si>
  <si>
    <t>D116510</t>
  </si>
  <si>
    <t>TX1002921</t>
  </si>
  <si>
    <t>C57262</t>
  </si>
  <si>
    <t>202.129.130.81</t>
  </si>
  <si>
    <t>D130186</t>
  </si>
  <si>
    <t>TX1001032</t>
  </si>
  <si>
    <t>M1478</t>
  </si>
  <si>
    <t>C85158</t>
  </si>
  <si>
    <t>110.227.137.146</t>
  </si>
  <si>
    <t>D150701</t>
  </si>
  <si>
    <t>TX1002899</t>
  </si>
  <si>
    <t>M1432</t>
  </si>
  <si>
    <t>C96102</t>
  </si>
  <si>
    <t>191.241.142.91</t>
  </si>
  <si>
    <t>D133610</t>
  </si>
  <si>
    <t>TX1001545</t>
  </si>
  <si>
    <t>C50529</t>
  </si>
  <si>
    <t>166.28.161.84</t>
  </si>
  <si>
    <t>D163223</t>
  </si>
  <si>
    <t>TX1000135</t>
  </si>
  <si>
    <t>C91371</t>
  </si>
  <si>
    <t>81.162.149.182</t>
  </si>
  <si>
    <t>D135058</t>
  </si>
  <si>
    <t>TX1001226</t>
  </si>
  <si>
    <t>M1541</t>
  </si>
  <si>
    <t>C71740</t>
  </si>
  <si>
    <t>241.95.81.135</t>
  </si>
  <si>
    <t>D121594</t>
  </si>
  <si>
    <t>TX1002997</t>
  </si>
  <si>
    <t>M1730</t>
  </si>
  <si>
    <t>C62830</t>
  </si>
  <si>
    <t>45.136.134.153</t>
  </si>
  <si>
    <t>D111448</t>
  </si>
  <si>
    <t>TX1002809</t>
  </si>
  <si>
    <t>C89410</t>
  </si>
  <si>
    <t>191.36.35.187</t>
  </si>
  <si>
    <t>D157346</t>
  </si>
  <si>
    <t>TX1002258</t>
  </si>
  <si>
    <t>M1215</t>
  </si>
  <si>
    <t>C91585</t>
  </si>
  <si>
    <t>54.148.102.203</t>
  </si>
  <si>
    <t>D106955</t>
  </si>
  <si>
    <t>TX1000366</t>
  </si>
  <si>
    <t>M1923</t>
  </si>
  <si>
    <t>C82503</t>
  </si>
  <si>
    <t>47.144.10.80</t>
  </si>
  <si>
    <t>D121354</t>
  </si>
  <si>
    <t>TX1001261</t>
  </si>
  <si>
    <t>M1118</t>
  </si>
  <si>
    <t>C76457</t>
  </si>
  <si>
    <t>58.158.166.242</t>
  </si>
  <si>
    <t>D185990</t>
  </si>
  <si>
    <t>TX1002108</t>
  </si>
  <si>
    <t>C92446</t>
  </si>
  <si>
    <t>2.55.193.114</t>
  </si>
  <si>
    <t>D191375</t>
  </si>
  <si>
    <t>TX1000029</t>
  </si>
  <si>
    <t>M1649</t>
  </si>
  <si>
    <t>C79527</t>
  </si>
  <si>
    <t>170.194.43.198</t>
  </si>
  <si>
    <t>D181083</t>
  </si>
  <si>
    <t>TX1002503</t>
  </si>
  <si>
    <t>M1392</t>
  </si>
  <si>
    <t>C79293</t>
  </si>
  <si>
    <t>47.134.238.212</t>
  </si>
  <si>
    <t>D146195</t>
  </si>
  <si>
    <t>TX1000022</t>
  </si>
  <si>
    <t>M1406</t>
  </si>
  <si>
    <t>C71077</t>
  </si>
  <si>
    <t>132.254.238.26</t>
  </si>
  <si>
    <t>D194688</t>
  </si>
  <si>
    <t>TX1002911</t>
  </si>
  <si>
    <t>M1427</t>
  </si>
  <si>
    <t>C66115</t>
  </si>
  <si>
    <t>45.230.14.216</t>
  </si>
  <si>
    <t>D130881</t>
  </si>
  <si>
    <t>TX1001553</t>
  </si>
  <si>
    <t>M1298</t>
  </si>
  <si>
    <t>C72148</t>
  </si>
  <si>
    <t>171.43.171.70</t>
  </si>
  <si>
    <t>D115970</t>
  </si>
  <si>
    <t>TX1001423</t>
  </si>
  <si>
    <t>M1991</t>
  </si>
  <si>
    <t>C83085</t>
  </si>
  <si>
    <t>197.154.250.55</t>
  </si>
  <si>
    <t>D195901</t>
  </si>
  <si>
    <t>TX1001760</t>
  </si>
  <si>
    <t>M1905</t>
  </si>
  <si>
    <t>C59426</t>
  </si>
  <si>
    <t>18.163.158.108</t>
  </si>
  <si>
    <t>D135744</t>
  </si>
  <si>
    <t>TX1000183</t>
  </si>
  <si>
    <t>M1472</t>
  </si>
  <si>
    <t>C72846</t>
  </si>
  <si>
    <t>167.36.154.137</t>
  </si>
  <si>
    <t>D160420</t>
  </si>
  <si>
    <t>TX1000838</t>
  </si>
  <si>
    <t>M1574</t>
  </si>
  <si>
    <t>C64714</t>
  </si>
  <si>
    <t>240.111.138.26</t>
  </si>
  <si>
    <t>D132660</t>
  </si>
  <si>
    <t>TX1000188</t>
  </si>
  <si>
    <t>M1011</t>
  </si>
  <si>
    <t>C51029</t>
  </si>
  <si>
    <t>207.212.233.229</t>
  </si>
  <si>
    <t>D191146</t>
  </si>
  <si>
    <t>TX1000420</t>
  </si>
  <si>
    <t>M1594</t>
  </si>
  <si>
    <t>C58341</t>
  </si>
  <si>
    <t>172.3.236.207</t>
  </si>
  <si>
    <t>D167896</t>
  </si>
  <si>
    <t>TX1000170</t>
  </si>
  <si>
    <t>M1675</t>
  </si>
  <si>
    <t>C76879</t>
  </si>
  <si>
    <t>161.106.25.48</t>
  </si>
  <si>
    <t>D119432</t>
  </si>
  <si>
    <t>TX1001765</t>
  </si>
  <si>
    <t>C94147</t>
  </si>
  <si>
    <t>45.162.203.153</t>
  </si>
  <si>
    <t>D119722</t>
  </si>
  <si>
    <t>TX1000460</t>
  </si>
  <si>
    <t>C59951</t>
  </si>
  <si>
    <t>201.165.217.132</t>
  </si>
  <si>
    <t>D197449</t>
  </si>
  <si>
    <t>TX1000043</t>
  </si>
  <si>
    <t>M1794</t>
  </si>
  <si>
    <t>C98340</t>
  </si>
  <si>
    <t>36.105.105.207</t>
  </si>
  <si>
    <t>D107780</t>
  </si>
  <si>
    <t>TX1000087</t>
  </si>
  <si>
    <t>M1105</t>
  </si>
  <si>
    <t>C88579</t>
  </si>
  <si>
    <t>153.172.222.228</t>
  </si>
  <si>
    <t>D190017</t>
  </si>
  <si>
    <t>TX1000755</t>
  </si>
  <si>
    <t>C93247</t>
  </si>
  <si>
    <t>255.184.126.179</t>
  </si>
  <si>
    <t>D150002</t>
  </si>
  <si>
    <t>TX1002299</t>
  </si>
  <si>
    <t>C51600</t>
  </si>
  <si>
    <t>57.68.150.166</t>
  </si>
  <si>
    <t>D129807</t>
  </si>
  <si>
    <t>TX1002473</t>
  </si>
  <si>
    <t>C70293</t>
  </si>
  <si>
    <t>75.199.90.80</t>
  </si>
  <si>
    <t>D162227</t>
  </si>
  <si>
    <t>TX1001740</t>
  </si>
  <si>
    <t>M1908</t>
  </si>
  <si>
    <t>C65637</t>
  </si>
  <si>
    <t>194.86.249.65</t>
  </si>
  <si>
    <t>D178689</t>
  </si>
  <si>
    <t>TX1000282</t>
  </si>
  <si>
    <t>C51243</t>
  </si>
  <si>
    <t>83.205.23.126</t>
  </si>
  <si>
    <t>D103049</t>
  </si>
  <si>
    <t>TX1000557</t>
  </si>
  <si>
    <t>M1738</t>
  </si>
  <si>
    <t>C78870</t>
  </si>
  <si>
    <t>247.162.29.29</t>
  </si>
  <si>
    <t>D189753</t>
  </si>
  <si>
    <t>TX1002638</t>
  </si>
  <si>
    <t>C53026</t>
  </si>
  <si>
    <t>59.172.53.125</t>
  </si>
  <si>
    <t>D149097</t>
  </si>
  <si>
    <t>TX1002507</t>
  </si>
  <si>
    <t>M1981</t>
  </si>
  <si>
    <t>C71306</t>
  </si>
  <si>
    <t>110.84.72.223</t>
  </si>
  <si>
    <t>D127404</t>
  </si>
  <si>
    <t>TX1002726</t>
  </si>
  <si>
    <t>C61613</t>
  </si>
  <si>
    <t>193.64.246.16</t>
  </si>
  <si>
    <t>D140918</t>
  </si>
  <si>
    <t>TX1000257</t>
  </si>
  <si>
    <t>C77290</t>
  </si>
  <si>
    <t>175.62.201.96</t>
  </si>
  <si>
    <t>D177376</t>
  </si>
  <si>
    <t>TX1001255</t>
  </si>
  <si>
    <t>M1262</t>
  </si>
  <si>
    <t>C80622</t>
  </si>
  <si>
    <t>193.118.10.100</t>
  </si>
  <si>
    <t>D132790</t>
  </si>
  <si>
    <t>TX1002596</t>
  </si>
  <si>
    <t>M1034</t>
  </si>
  <si>
    <t>C86351</t>
  </si>
  <si>
    <t>59.5.158.121</t>
  </si>
  <si>
    <t>D184033</t>
  </si>
  <si>
    <t>TX1001357</t>
  </si>
  <si>
    <t>M1348</t>
  </si>
  <si>
    <t>C53345</t>
  </si>
  <si>
    <t>125.159.110.60</t>
  </si>
  <si>
    <t>D184694</t>
  </si>
  <si>
    <t>TX1002860</t>
  </si>
  <si>
    <t>C78740</t>
  </si>
  <si>
    <t>223.47.155.241</t>
  </si>
  <si>
    <t>D163400</t>
  </si>
  <si>
    <t>TX1001476</t>
  </si>
  <si>
    <t>M1660</t>
  </si>
  <si>
    <t>C57924</t>
  </si>
  <si>
    <t>43.246.133.196</t>
  </si>
  <si>
    <t>D157719</t>
  </si>
  <si>
    <t>TX1000670</t>
  </si>
  <si>
    <t>M1558</t>
  </si>
  <si>
    <t>C93787</t>
  </si>
  <si>
    <t>212.147.21.81</t>
  </si>
  <si>
    <t>D149734</t>
  </si>
  <si>
    <t>TX1002634</t>
  </si>
  <si>
    <t>C87362</t>
  </si>
  <si>
    <t>148.162.67.85</t>
  </si>
  <si>
    <t>D132946</t>
  </si>
  <si>
    <t>TX1000149</t>
  </si>
  <si>
    <t>M1841</t>
  </si>
  <si>
    <t>C96427</t>
  </si>
  <si>
    <t>20.110.49.26</t>
  </si>
  <si>
    <t>D195049</t>
  </si>
  <si>
    <t>TX1002118</t>
  </si>
  <si>
    <t>M1484</t>
  </si>
  <si>
    <t>C91586</t>
  </si>
  <si>
    <t>204.115.112.86</t>
  </si>
  <si>
    <t>D147970</t>
  </si>
  <si>
    <t>TX1002360</t>
  </si>
  <si>
    <t>M1486</t>
  </si>
  <si>
    <t>C83306</t>
  </si>
  <si>
    <t>90.251.182.120</t>
  </si>
  <si>
    <t>D191825</t>
  </si>
  <si>
    <t>TX1002394</t>
  </si>
  <si>
    <t>M1357</t>
  </si>
  <si>
    <t>C83510</t>
  </si>
  <si>
    <t>229.108.243.147</t>
  </si>
  <si>
    <t>D191690</t>
  </si>
  <si>
    <t>TX1001910</t>
  </si>
  <si>
    <t>C57373</t>
  </si>
  <si>
    <t>104.97.140.204</t>
  </si>
  <si>
    <t>D199168</t>
  </si>
  <si>
    <t>TX1002114</t>
  </si>
  <si>
    <t>C76978</t>
  </si>
  <si>
    <t>163.17.66.135</t>
  </si>
  <si>
    <t>D197466</t>
  </si>
  <si>
    <t>TX1001307</t>
  </si>
  <si>
    <t>C59210</t>
  </si>
  <si>
    <t>40.7.74.41</t>
  </si>
  <si>
    <t>D134016</t>
  </si>
  <si>
    <t>TX1000134</t>
  </si>
  <si>
    <t>M1020</t>
  </si>
  <si>
    <t>C73009</t>
  </si>
  <si>
    <t>45.145.181.84</t>
  </si>
  <si>
    <t>D188236</t>
  </si>
  <si>
    <t>TX1002084</t>
  </si>
  <si>
    <t>C68746</t>
  </si>
  <si>
    <t>187.154.247.7</t>
  </si>
  <si>
    <t>D179172</t>
  </si>
  <si>
    <t>TX1002240</t>
  </si>
  <si>
    <t>M1148</t>
  </si>
  <si>
    <t>216.245.98.250</t>
  </si>
  <si>
    <t>D167267</t>
  </si>
  <si>
    <t>TX1002795</t>
  </si>
  <si>
    <t>M1787</t>
  </si>
  <si>
    <t>C73381</t>
  </si>
  <si>
    <t>28.179.21.1</t>
  </si>
  <si>
    <t>D156560</t>
  </si>
  <si>
    <t>TX1000695</t>
  </si>
  <si>
    <t>M1164</t>
  </si>
  <si>
    <t>C89439</t>
  </si>
  <si>
    <t>18.99.101.52</t>
  </si>
  <si>
    <t>D159489</t>
  </si>
  <si>
    <t>TX1001089</t>
  </si>
  <si>
    <t>M1084</t>
  </si>
  <si>
    <t>C92854</t>
  </si>
  <si>
    <t>245.215.92.67</t>
  </si>
  <si>
    <t>D105311</t>
  </si>
  <si>
    <t>TX1002325</t>
  </si>
  <si>
    <t>M1928</t>
  </si>
  <si>
    <t>C96843</t>
  </si>
  <si>
    <t>253.164.135.188</t>
  </si>
  <si>
    <t>D139935</t>
  </si>
  <si>
    <t>TX1001797</t>
  </si>
  <si>
    <t>M1766</t>
  </si>
  <si>
    <t>C77237</t>
  </si>
  <si>
    <t>82.200.225.118</t>
  </si>
  <si>
    <t>D161448</t>
  </si>
  <si>
    <t>TX1001987</t>
  </si>
  <si>
    <t>M1450</t>
  </si>
  <si>
    <t>C85201</t>
  </si>
  <si>
    <t>48.38.90.181</t>
  </si>
  <si>
    <t>D119665</t>
  </si>
  <si>
    <t>TX1002111</t>
  </si>
  <si>
    <t>M1679</t>
  </si>
  <si>
    <t>C77519</t>
  </si>
  <si>
    <t>77.31.71.233</t>
  </si>
  <si>
    <t>D182341</t>
  </si>
  <si>
    <t>TX1000430</t>
  </si>
  <si>
    <t>C57728</t>
  </si>
  <si>
    <t>237.128.199.181</t>
  </si>
  <si>
    <t>D146911</t>
  </si>
  <si>
    <t>TX1002349</t>
  </si>
  <si>
    <t>M1525</t>
  </si>
  <si>
    <t>C75393</t>
  </si>
  <si>
    <t>149.74.244.21</t>
  </si>
  <si>
    <t>D174237</t>
  </si>
  <si>
    <t>TX1001746</t>
  </si>
  <si>
    <t>M1018</t>
  </si>
  <si>
    <t>C89826</t>
  </si>
  <si>
    <t>108.148.26.56</t>
  </si>
  <si>
    <t>D187351</t>
  </si>
  <si>
    <t>TX1002132</t>
  </si>
  <si>
    <t>M1467</t>
  </si>
  <si>
    <t>C97126</t>
  </si>
  <si>
    <t>190.187.194.223</t>
  </si>
  <si>
    <t>D147586</t>
  </si>
  <si>
    <t>TX1002959</t>
  </si>
  <si>
    <t>M1760</t>
  </si>
  <si>
    <t>C55215</t>
  </si>
  <si>
    <t>66.55.38.211</t>
  </si>
  <si>
    <t>D165940</t>
  </si>
  <si>
    <t>TX1000532</t>
  </si>
  <si>
    <t>M1896</t>
  </si>
  <si>
    <t>C75002</t>
  </si>
  <si>
    <t>178.249.149.58</t>
  </si>
  <si>
    <t>D168529</t>
  </si>
  <si>
    <t>TX1000221</t>
  </si>
  <si>
    <t>M1869</t>
  </si>
  <si>
    <t>C94011</t>
  </si>
  <si>
    <t>131.28.184.102</t>
  </si>
  <si>
    <t>D119391</t>
  </si>
  <si>
    <t>TX1001918</t>
  </si>
  <si>
    <t>C80399</t>
  </si>
  <si>
    <t>27.87.23.89</t>
  </si>
  <si>
    <t>D177726</t>
  </si>
  <si>
    <t>TX1001204</t>
  </si>
  <si>
    <t>M1297</t>
  </si>
  <si>
    <t>C66001</t>
  </si>
  <si>
    <t>88.92.102.222</t>
  </si>
  <si>
    <t>D188713</t>
  </si>
  <si>
    <t>TX1000564</t>
  </si>
  <si>
    <t>C54326</t>
  </si>
  <si>
    <t>181.89.148.78</t>
  </si>
  <si>
    <t>D113303</t>
  </si>
  <si>
    <t>TX1002885</t>
  </si>
  <si>
    <t>C66767</t>
  </si>
  <si>
    <t>177.68.61.79</t>
  </si>
  <si>
    <t>D152311</t>
  </si>
  <si>
    <t>TX1001316</t>
  </si>
  <si>
    <t>M1492</t>
  </si>
  <si>
    <t>C70312</t>
  </si>
  <si>
    <t>114.54.216.214</t>
  </si>
  <si>
    <t>D106825</t>
  </si>
  <si>
    <t>TX1002494</t>
  </si>
  <si>
    <t>C80427</t>
  </si>
  <si>
    <t>80.216.139.163</t>
  </si>
  <si>
    <t>D128735</t>
  </si>
  <si>
    <t>TX1000173</t>
  </si>
  <si>
    <t>M1868</t>
  </si>
  <si>
    <t>C84432</t>
  </si>
  <si>
    <t>187.254.252.207</t>
  </si>
  <si>
    <t>TX1001995</t>
  </si>
  <si>
    <t>M1170</t>
  </si>
  <si>
    <t>C96753</t>
  </si>
  <si>
    <t>178.225.158.100</t>
  </si>
  <si>
    <t>D100966</t>
  </si>
  <si>
    <t>TX1001370</t>
  </si>
  <si>
    <t>M1922</t>
  </si>
  <si>
    <t>C90918</t>
  </si>
  <si>
    <t>221.170.117.223</t>
  </si>
  <si>
    <t>D178531</t>
  </si>
  <si>
    <t>TX1002032</t>
  </si>
  <si>
    <t>C96423</t>
  </si>
  <si>
    <t>91.113.175.124</t>
  </si>
  <si>
    <t>D159360</t>
  </si>
  <si>
    <t>TX1001512</t>
  </si>
  <si>
    <t>C51964</t>
  </si>
  <si>
    <t>175.241.164.197</t>
  </si>
  <si>
    <t>D120797</t>
  </si>
  <si>
    <t>TX1000644</t>
  </si>
  <si>
    <t>M1245</t>
  </si>
  <si>
    <t>C99705</t>
  </si>
  <si>
    <t>197.238.62.124</t>
  </si>
  <si>
    <t>D187555</t>
  </si>
  <si>
    <t>TX1000528</t>
  </si>
  <si>
    <t>M1199</t>
  </si>
  <si>
    <t>C94602</t>
  </si>
  <si>
    <t>145.24.185.139</t>
  </si>
  <si>
    <t>D130202</t>
  </si>
  <si>
    <t>TX1000759</t>
  </si>
  <si>
    <t>C77442</t>
  </si>
  <si>
    <t>89.117.27.3</t>
  </si>
  <si>
    <t>D191067</t>
  </si>
  <si>
    <t>TX1001613</t>
  </si>
  <si>
    <t>C65703</t>
  </si>
  <si>
    <t>21.249.158.229</t>
  </si>
  <si>
    <t>D137186</t>
  </si>
  <si>
    <t>TX1000272</t>
  </si>
  <si>
    <t>M1821</t>
  </si>
  <si>
    <t>C76824</t>
  </si>
  <si>
    <t>38.5.35.22</t>
  </si>
  <si>
    <t>D144342</t>
  </si>
  <si>
    <t>TX1000521</t>
  </si>
  <si>
    <t>C89072</t>
  </si>
  <si>
    <t>108.88.89.240</t>
  </si>
  <si>
    <t>D167973</t>
  </si>
  <si>
    <t>TX1002902</t>
  </si>
  <si>
    <t>C61589</t>
  </si>
  <si>
    <t>37.180.68.175</t>
  </si>
  <si>
    <t>D186845</t>
  </si>
  <si>
    <t>TX1002633</t>
  </si>
  <si>
    <t>M1724</t>
  </si>
  <si>
    <t>C81053</t>
  </si>
  <si>
    <t>83.24.65.233</t>
  </si>
  <si>
    <t>D122898</t>
  </si>
  <si>
    <t>TX1001805</t>
  </si>
  <si>
    <t>M1440</t>
  </si>
  <si>
    <t>C57500</t>
  </si>
  <si>
    <t>141.255.125.74</t>
  </si>
  <si>
    <t>D141054</t>
  </si>
  <si>
    <t>TX1002453</t>
  </si>
  <si>
    <t>C60402</t>
  </si>
  <si>
    <t>33.184.107.135</t>
  </si>
  <si>
    <t>D145865</t>
  </si>
  <si>
    <t>TX1002274</t>
  </si>
  <si>
    <t>M1839</t>
  </si>
  <si>
    <t>C58809</t>
  </si>
  <si>
    <t>131.237.134.152</t>
  </si>
  <si>
    <t>D161773</t>
  </si>
  <si>
    <t>TX1001338</t>
  </si>
  <si>
    <t>M1620</t>
  </si>
  <si>
    <t>C77233</t>
  </si>
  <si>
    <t>215.241.156.3</t>
  </si>
  <si>
    <t>D132601</t>
  </si>
  <si>
    <t>TX1002924</t>
  </si>
  <si>
    <t>M1974</t>
  </si>
  <si>
    <t>C87975</t>
  </si>
  <si>
    <t>91.147.36.185</t>
  </si>
  <si>
    <t>D105885</t>
  </si>
  <si>
    <t>TX1002948</t>
  </si>
  <si>
    <t>C97043</t>
  </si>
  <si>
    <t>244.223.18.118</t>
  </si>
  <si>
    <t>D153458</t>
  </si>
  <si>
    <t>TX1002595</t>
  </si>
  <si>
    <t>C70139</t>
  </si>
  <si>
    <t>209.178.39.83</t>
  </si>
  <si>
    <t>D191505</t>
  </si>
  <si>
    <t>TX1002949</t>
  </si>
  <si>
    <t>M1352</t>
  </si>
  <si>
    <t>C97337</t>
  </si>
  <si>
    <t>243.95.241.8</t>
  </si>
  <si>
    <t>D119036</t>
  </si>
  <si>
    <t>TX1001102</t>
  </si>
  <si>
    <t>M1700</t>
  </si>
  <si>
    <t>C61540</t>
  </si>
  <si>
    <t>253.64.181.193</t>
  </si>
  <si>
    <t>D104327</t>
  </si>
  <si>
    <t>TX1002374</t>
  </si>
  <si>
    <t>M1141</t>
  </si>
  <si>
    <t>C75771</t>
  </si>
  <si>
    <t>215.161.189.248</t>
  </si>
  <si>
    <t>D196876</t>
  </si>
  <si>
    <t>TX1001088</t>
  </si>
  <si>
    <t>C76338</t>
  </si>
  <si>
    <t>115.44.233.40</t>
  </si>
  <si>
    <t>D151080</t>
  </si>
  <si>
    <t>TX1000168</t>
  </si>
  <si>
    <t>M1708</t>
  </si>
  <si>
    <t>C98055</t>
  </si>
  <si>
    <t>99.81.193.141</t>
  </si>
  <si>
    <t>D149886</t>
  </si>
  <si>
    <t>TX1001880</t>
  </si>
  <si>
    <t>C65345</t>
  </si>
  <si>
    <t>193.212.134.72</t>
  </si>
  <si>
    <t>D142183</t>
  </si>
  <si>
    <t>TX1001448</t>
  </si>
  <si>
    <t>M1083</t>
  </si>
  <si>
    <t>C57588</t>
  </si>
  <si>
    <t>104.160.179.142</t>
  </si>
  <si>
    <t>D153578</t>
  </si>
  <si>
    <t>TX1002895</t>
  </si>
  <si>
    <t>C96035</t>
  </si>
  <si>
    <t>136.160.197.251</t>
  </si>
  <si>
    <t>D132548</t>
  </si>
  <si>
    <t>TX1002826</t>
  </si>
  <si>
    <t>M1553</t>
  </si>
  <si>
    <t>C73675</t>
  </si>
  <si>
    <t>233.249.123.91</t>
  </si>
  <si>
    <t>D104694</t>
  </si>
  <si>
    <t>TX1001230</t>
  </si>
  <si>
    <t>M1451</t>
  </si>
  <si>
    <t>C77968</t>
  </si>
  <si>
    <t>189.94.31.214</t>
  </si>
  <si>
    <t>D114451</t>
  </si>
  <si>
    <t>TX1002236</t>
  </si>
  <si>
    <t>M1559</t>
  </si>
  <si>
    <t>C69409</t>
  </si>
  <si>
    <t>110.2.174.212</t>
  </si>
  <si>
    <t>D160855</t>
  </si>
  <si>
    <t>TX1002071</t>
  </si>
  <si>
    <t>M1242</t>
  </si>
  <si>
    <t>C79696</t>
  </si>
  <si>
    <t>118.82.13.129</t>
  </si>
  <si>
    <t>D186599</t>
  </si>
  <si>
    <t>TX1000367</t>
  </si>
  <si>
    <t>C84522</t>
  </si>
  <si>
    <t>196.22.67.64</t>
  </si>
  <si>
    <t>D110957</t>
  </si>
  <si>
    <t>TX1002692</t>
  </si>
  <si>
    <t>M1616</t>
  </si>
  <si>
    <t>C82751</t>
  </si>
  <si>
    <t>70.107.195.23</t>
  </si>
  <si>
    <t>D114533</t>
  </si>
  <si>
    <t>TX1002012</t>
  </si>
  <si>
    <t>M1079</t>
  </si>
  <si>
    <t>C87590</t>
  </si>
  <si>
    <t>132.221.61.3</t>
  </si>
  <si>
    <t>D118907</t>
  </si>
  <si>
    <t>TX1002542</t>
  </si>
  <si>
    <t>C90044</t>
  </si>
  <si>
    <t>179.46.226.109</t>
  </si>
  <si>
    <t>TX1000351</t>
  </si>
  <si>
    <t>C94205</t>
  </si>
  <si>
    <t>132.180.26.109</t>
  </si>
  <si>
    <t>D164947</t>
  </si>
  <si>
    <t>TX1001110</t>
  </si>
  <si>
    <t>M1699</t>
  </si>
  <si>
    <t>C72445</t>
  </si>
  <si>
    <t>200.140.15.209</t>
  </si>
  <si>
    <t>D150834</t>
  </si>
  <si>
    <t>TX1002212</t>
  </si>
  <si>
    <t>C65142</t>
  </si>
  <si>
    <t>138.203.234.30</t>
  </si>
  <si>
    <t>D115666</t>
  </si>
  <si>
    <t>TX1000809</t>
  </si>
  <si>
    <t>M1581</t>
  </si>
  <si>
    <t>C50559</t>
  </si>
  <si>
    <t>99.68.222.226</t>
  </si>
  <si>
    <t>D115397</t>
  </si>
  <si>
    <t>TX1001850</t>
  </si>
  <si>
    <t>M1861</t>
  </si>
  <si>
    <t>C78899</t>
  </si>
  <si>
    <t>154.188.44.121</t>
  </si>
  <si>
    <t>D156649</t>
  </si>
  <si>
    <t>TX1002372</t>
  </si>
  <si>
    <t>C92672</t>
  </si>
  <si>
    <t>37.85.193.142</t>
  </si>
  <si>
    <t>D152777</t>
  </si>
  <si>
    <t>TX1000498</t>
  </si>
  <si>
    <t>C77334</t>
  </si>
  <si>
    <t>183.12.224.124</t>
  </si>
  <si>
    <t>D195162</t>
  </si>
  <si>
    <t>TX1002174</t>
  </si>
  <si>
    <t>C93401</t>
  </si>
  <si>
    <t>206.143.31.40</t>
  </si>
  <si>
    <t>D180647</t>
  </si>
  <si>
    <t>TX1000210</t>
  </si>
  <si>
    <t>M1877</t>
  </si>
  <si>
    <t>C64184</t>
  </si>
  <si>
    <t>64.167.222.149</t>
  </si>
  <si>
    <t>D129151</t>
  </si>
  <si>
    <t>TX1000718</t>
  </si>
  <si>
    <t>M1833</t>
  </si>
  <si>
    <t>C85609</t>
  </si>
  <si>
    <t>156.73.3.161</t>
  </si>
  <si>
    <t>D139959</t>
  </si>
  <si>
    <t>TX1000602</t>
  </si>
  <si>
    <t>M1703</t>
  </si>
  <si>
    <t>C55034</t>
  </si>
  <si>
    <t>232.90.192.12</t>
  </si>
  <si>
    <t>D139620</t>
  </si>
  <si>
    <t>TX1000227</t>
  </si>
  <si>
    <t>C72302</t>
  </si>
  <si>
    <t>204.58.213.118</t>
  </si>
  <si>
    <t>D110013</t>
  </si>
  <si>
    <t>TX1000365</t>
  </si>
  <si>
    <t>M1799</t>
  </si>
  <si>
    <t>C97356</t>
  </si>
  <si>
    <t>142.105.226.57</t>
  </si>
  <si>
    <t>D142501</t>
  </si>
  <si>
    <t>TX1001511</t>
  </si>
  <si>
    <t>M1361</t>
  </si>
  <si>
    <t>C72033</t>
  </si>
  <si>
    <t>245.109.104.96</t>
  </si>
  <si>
    <t>D186248</t>
  </si>
  <si>
    <t>TX1001891</t>
  </si>
  <si>
    <t>C73267</t>
  </si>
  <si>
    <t>217.223.108.204</t>
  </si>
  <si>
    <t>D196165</t>
  </si>
  <si>
    <t>TX1001937</t>
  </si>
  <si>
    <t>C52705</t>
  </si>
  <si>
    <t>235.177.132.66</t>
  </si>
  <si>
    <t>D169560</t>
  </si>
  <si>
    <t>TX1000594</t>
  </si>
  <si>
    <t>C86111</t>
  </si>
  <si>
    <t>96.239.177.197</t>
  </si>
  <si>
    <t>D138331</t>
  </si>
  <si>
    <t>TX1000637</t>
  </si>
  <si>
    <t>C60258</t>
  </si>
  <si>
    <t>209.254.237.169</t>
  </si>
  <si>
    <t>D152099</t>
  </si>
  <si>
    <t>TX1000407</t>
  </si>
  <si>
    <t>C70536</t>
  </si>
  <si>
    <t>57.186.197.250</t>
  </si>
  <si>
    <t>D159301</t>
  </si>
  <si>
    <t>TX1002855</t>
  </si>
  <si>
    <t>C88827</t>
  </si>
  <si>
    <t>171.118.142.79</t>
  </si>
  <si>
    <t>D140085</t>
  </si>
  <si>
    <t>TX1002196</t>
  </si>
  <si>
    <t>M1506</t>
  </si>
  <si>
    <t>C52438</t>
  </si>
  <si>
    <t>218.69.98.171</t>
  </si>
  <si>
    <t>D132877</t>
  </si>
  <si>
    <t>TX1000679</t>
  </si>
  <si>
    <t>C82812</t>
  </si>
  <si>
    <t>54.13.15.151</t>
  </si>
  <si>
    <t>D113991</t>
  </si>
  <si>
    <t>TX1001057</t>
  </si>
  <si>
    <t>C59932</t>
  </si>
  <si>
    <t>166.196.95.30</t>
  </si>
  <si>
    <t>D173115</t>
  </si>
  <si>
    <t>TX1002409</t>
  </si>
  <si>
    <t>C62414</t>
  </si>
  <si>
    <t>101.218.39.217</t>
  </si>
  <si>
    <t>D167824</t>
  </si>
  <si>
    <t>TX1000978</t>
  </si>
  <si>
    <t>M1216</t>
  </si>
  <si>
    <t>C81656</t>
  </si>
  <si>
    <t>47.93.215.106</t>
  </si>
  <si>
    <t>D162308</t>
  </si>
  <si>
    <t>TX1000007</t>
  </si>
  <si>
    <t>C81731</t>
  </si>
  <si>
    <t>181.106.250.82</t>
  </si>
  <si>
    <t>D162888</t>
  </si>
  <si>
    <t>TX1001963</t>
  </si>
  <si>
    <t>M1612</t>
  </si>
  <si>
    <t>C97853</t>
  </si>
  <si>
    <t>74.197.95.46</t>
  </si>
  <si>
    <t>D151802</t>
  </si>
  <si>
    <t>TX1001206</t>
  </si>
  <si>
    <t>M1082</t>
  </si>
  <si>
    <t>C56671</t>
  </si>
  <si>
    <t>20.159.156.121</t>
  </si>
  <si>
    <t>D158809</t>
  </si>
  <si>
    <t>TX1002732</t>
  </si>
  <si>
    <t>M1403</t>
  </si>
  <si>
    <t>C82705</t>
  </si>
  <si>
    <t>198.200.111.39</t>
  </si>
  <si>
    <t>D131421</t>
  </si>
  <si>
    <t>TX1000415</t>
  </si>
  <si>
    <t>C67387</t>
  </si>
  <si>
    <t>49.21.175.214</t>
  </si>
  <si>
    <t>D180264</t>
  </si>
  <si>
    <t>TX1000680</t>
  </si>
  <si>
    <t>M1652</t>
  </si>
  <si>
    <t>C97792</t>
  </si>
  <si>
    <t>101.188.177.35</t>
  </si>
  <si>
    <t>D107594</t>
  </si>
  <si>
    <t>TX1000651</t>
  </si>
  <si>
    <t>M1912</t>
  </si>
  <si>
    <t>C80751</t>
  </si>
  <si>
    <t>21.171.86.48</t>
  </si>
  <si>
    <t>D184998</t>
  </si>
  <si>
    <t>TX1000693</t>
  </si>
  <si>
    <t>M1663</t>
  </si>
  <si>
    <t>C69204</t>
  </si>
  <si>
    <t>221.100.226.165</t>
  </si>
  <si>
    <t>D153888</t>
  </si>
  <si>
    <t>TX1000199</t>
  </si>
  <si>
    <t>C52479</t>
  </si>
  <si>
    <t>123.223.206.217</t>
  </si>
  <si>
    <t>D195389</t>
  </si>
  <si>
    <t>TX1000283</t>
  </si>
  <si>
    <t>M1187</t>
  </si>
  <si>
    <t>C55873</t>
  </si>
  <si>
    <t>7.29.152.100</t>
  </si>
  <si>
    <t>D112942</t>
  </si>
  <si>
    <t>TX1000231</t>
  </si>
  <si>
    <t>C77793</t>
  </si>
  <si>
    <t>127.184.147.143</t>
  </si>
  <si>
    <t>D194651</t>
  </si>
  <si>
    <t>TX1002561</t>
  </si>
  <si>
    <t>M1940</t>
  </si>
  <si>
    <t>C56946</t>
  </si>
  <si>
    <t>161.192.122.46</t>
  </si>
  <si>
    <t>D107723</t>
  </si>
  <si>
    <t>TX1000926</t>
  </si>
  <si>
    <t>M1654</t>
  </si>
  <si>
    <t>C50985</t>
  </si>
  <si>
    <t>124.154.74.33</t>
  </si>
  <si>
    <t>D130840</t>
  </si>
  <si>
    <t>TX1000096</t>
  </si>
  <si>
    <t>C55768</t>
  </si>
  <si>
    <t>106.18.0.212</t>
  </si>
  <si>
    <t>D111913</t>
  </si>
  <si>
    <t>TX1001391</t>
  </si>
  <si>
    <t>C93983</t>
  </si>
  <si>
    <t>73.169.180.137</t>
  </si>
  <si>
    <t>D160980</t>
  </si>
  <si>
    <t>TX1002571</t>
  </si>
  <si>
    <t>M1214</t>
  </si>
  <si>
    <t>C58688</t>
  </si>
  <si>
    <t>1.48.79.223</t>
  </si>
  <si>
    <t>D110968</t>
  </si>
  <si>
    <t>TX1001939</t>
  </si>
  <si>
    <t>C91965</t>
  </si>
  <si>
    <t>3.108.227.135</t>
  </si>
  <si>
    <t>D122672</t>
  </si>
  <si>
    <t>TX1001373</t>
  </si>
  <si>
    <t>M1814</t>
  </si>
  <si>
    <t>C89237</t>
  </si>
  <si>
    <t>131.40.140.70</t>
  </si>
  <si>
    <t>D177100</t>
  </si>
  <si>
    <t>TX1001807</t>
  </si>
  <si>
    <t>M1769</t>
  </si>
  <si>
    <t>C97231</t>
  </si>
  <si>
    <t>90.230.153.130</t>
  </si>
  <si>
    <t>D197977</t>
  </si>
  <si>
    <t>TX1001097</t>
  </si>
  <si>
    <t>M1339</t>
  </si>
  <si>
    <t>C65767</t>
  </si>
  <si>
    <t>82.73.227.107</t>
  </si>
  <si>
    <t>D112220</t>
  </si>
  <si>
    <t>TX1002865</t>
  </si>
  <si>
    <t>C88348</t>
  </si>
  <si>
    <t>174.250.250.52</t>
  </si>
  <si>
    <t>D135630</t>
  </si>
  <si>
    <t>TX1002589</t>
  </si>
  <si>
    <t>C66546</t>
  </si>
  <si>
    <t>120.31.218.122</t>
  </si>
  <si>
    <t>D183188</t>
  </si>
  <si>
    <t>TX1002147</t>
  </si>
  <si>
    <t>M1479</t>
  </si>
  <si>
    <t>C67766</t>
  </si>
  <si>
    <t>170.197.233.118</t>
  </si>
  <si>
    <t>D166531</t>
  </si>
  <si>
    <t>TX1002851</t>
  </si>
  <si>
    <t>C90478</t>
  </si>
  <si>
    <t>46.11.36.206</t>
  </si>
  <si>
    <t>D117373</t>
  </si>
  <si>
    <t>TX1000104</t>
  </si>
  <si>
    <t>C67317</t>
  </si>
  <si>
    <t>11.78.165.153</t>
  </si>
  <si>
    <t>D106665</t>
  </si>
  <si>
    <t>TX1001048</t>
  </si>
  <si>
    <t>M1447</t>
  </si>
  <si>
    <t>C79761</t>
  </si>
  <si>
    <t>131.211.115.250</t>
  </si>
  <si>
    <t>D125035</t>
  </si>
  <si>
    <t>TX1002096</t>
  </si>
  <si>
    <t>C91732</t>
  </si>
  <si>
    <t>23.27.72.198</t>
  </si>
  <si>
    <t>D197841</t>
  </si>
  <si>
    <t>TX1000998</t>
  </si>
  <si>
    <t>C72074</t>
  </si>
  <si>
    <t>144.205.64.235</t>
  </si>
  <si>
    <t>D174499</t>
  </si>
  <si>
    <t>TX1001494</t>
  </si>
  <si>
    <t>M1883</t>
  </si>
  <si>
    <t>C55714</t>
  </si>
  <si>
    <t>181.242.107.219</t>
  </si>
  <si>
    <t>D144747</t>
  </si>
  <si>
    <t>TX1001298</t>
  </si>
  <si>
    <t>C63813</t>
  </si>
  <si>
    <t>200.14.113.13</t>
  </si>
  <si>
    <t>D152473</t>
  </si>
  <si>
    <t>TX1001961</t>
  </si>
  <si>
    <t>M1681</t>
  </si>
  <si>
    <t>C69579</t>
  </si>
  <si>
    <t>192.48.237.98</t>
  </si>
  <si>
    <t>D147287</t>
  </si>
  <si>
    <t>TX1000226</t>
  </si>
  <si>
    <t>M1542</t>
  </si>
  <si>
    <t>C62701</t>
  </si>
  <si>
    <t>224.161.154.70</t>
  </si>
  <si>
    <t>D189842</t>
  </si>
  <si>
    <t>TX1000729</t>
  </si>
  <si>
    <t>C90469</t>
  </si>
  <si>
    <t>195.224.127.51</t>
  </si>
  <si>
    <t>D181654</t>
  </si>
  <si>
    <t>TX1002505</t>
  </si>
  <si>
    <t>M1204</t>
  </si>
  <si>
    <t>C80344</t>
  </si>
  <si>
    <t>217.140.45.170</t>
  </si>
  <si>
    <t>D156028</t>
  </si>
  <si>
    <t>TX1002313</t>
  </si>
  <si>
    <t>M1731</t>
  </si>
  <si>
    <t>C88889</t>
  </si>
  <si>
    <t>187.188.197.49</t>
  </si>
  <si>
    <t>D141702</t>
  </si>
  <si>
    <t>TX1001804</t>
  </si>
  <si>
    <t>M1437</t>
  </si>
  <si>
    <t>C75172</t>
  </si>
  <si>
    <t>210.227.226.71</t>
  </si>
  <si>
    <t>D197485</t>
  </si>
  <si>
    <t>TX1001637</t>
  </si>
  <si>
    <t>M1303</t>
  </si>
  <si>
    <t>C63152</t>
  </si>
  <si>
    <t>94.55.255.102</t>
  </si>
  <si>
    <t>D174564</t>
  </si>
  <si>
    <t>TX1002419</t>
  </si>
  <si>
    <t>M1987</t>
  </si>
  <si>
    <t>C54139</t>
  </si>
  <si>
    <t>186.77.130.121</t>
  </si>
  <si>
    <t>D113370</t>
  </si>
  <si>
    <t>TX1001278</t>
  </si>
  <si>
    <t>C62956</t>
  </si>
  <si>
    <t>247.190.165.208</t>
  </si>
  <si>
    <t>D116369</t>
  </si>
  <si>
    <t>TX1001591</t>
  </si>
  <si>
    <t>M1289</t>
  </si>
  <si>
    <t>C78492</t>
  </si>
  <si>
    <t>237.69.199.77</t>
  </si>
  <si>
    <t>D171609</t>
  </si>
  <si>
    <t>TX1000464</t>
  </si>
  <si>
    <t>M1202</t>
  </si>
  <si>
    <t>C57449</t>
  </si>
  <si>
    <t>192.214.204.3</t>
  </si>
  <si>
    <t>D138895</t>
  </si>
  <si>
    <t>TX1002783</t>
  </si>
  <si>
    <t>M1344</t>
  </si>
  <si>
    <t>C83513</t>
  </si>
  <si>
    <t>139.199.206.249</t>
  </si>
  <si>
    <t>D187078</t>
  </si>
  <si>
    <t>TX1000691</t>
  </si>
  <si>
    <t>C87454</t>
  </si>
  <si>
    <t>103.76.123.151</t>
  </si>
  <si>
    <t>D140729</t>
  </si>
  <si>
    <t>TX1001273</t>
  </si>
  <si>
    <t>M1307</t>
  </si>
  <si>
    <t>C50546</t>
  </si>
  <si>
    <t>21.21.91.135</t>
  </si>
  <si>
    <t>D163919</t>
  </si>
  <si>
    <t>TX1001264</t>
  </si>
  <si>
    <t>M1107</t>
  </si>
  <si>
    <t>C81727</t>
  </si>
  <si>
    <t>173.179.214.88</t>
  </si>
  <si>
    <t>D160468</t>
  </si>
  <si>
    <t>TX1001582</t>
  </si>
  <si>
    <t>M1424</t>
  </si>
  <si>
    <t>C57535</t>
  </si>
  <si>
    <t>41.167.237.199</t>
  </si>
  <si>
    <t>D106161</t>
  </si>
  <si>
    <t>TX1002929</t>
  </si>
  <si>
    <t>M1872</t>
  </si>
  <si>
    <t>C89518</t>
  </si>
  <si>
    <t>59.135.86.135</t>
  </si>
  <si>
    <t>D173895</t>
  </si>
  <si>
    <t>TX1000212</t>
  </si>
  <si>
    <t>C88250</t>
  </si>
  <si>
    <t>224.207.94.203</t>
  </si>
  <si>
    <t>D148551</t>
  </si>
  <si>
    <t>TX1000012</t>
  </si>
  <si>
    <t>M1876</t>
  </si>
  <si>
    <t>C78029</t>
  </si>
  <si>
    <t>240.127.3.67</t>
  </si>
  <si>
    <t>D150275</t>
  </si>
  <si>
    <t>TX1002906</t>
  </si>
  <si>
    <t>C54154</t>
  </si>
  <si>
    <t>41.86.79.157</t>
  </si>
  <si>
    <t>D157524</t>
  </si>
  <si>
    <t>TX1000422</t>
  </si>
  <si>
    <t>M1824</t>
  </si>
  <si>
    <t>C95074</t>
  </si>
  <si>
    <t>27.242.12.214</t>
  </si>
  <si>
    <t>D166296</t>
  </si>
  <si>
    <t>TX1000807</t>
  </si>
  <si>
    <t>C68081</t>
  </si>
  <si>
    <t>241.60.214.125</t>
  </si>
  <si>
    <t>D101833</t>
  </si>
  <si>
    <t>TX1001801</t>
  </si>
  <si>
    <t>M1241</t>
  </si>
  <si>
    <t>C85597</t>
  </si>
  <si>
    <t>90.209.153.125</t>
  </si>
  <si>
    <t>D120532</t>
  </si>
  <si>
    <t>TX1002641</t>
  </si>
  <si>
    <t>C71164</t>
  </si>
  <si>
    <t>11.175.173.142</t>
  </si>
  <si>
    <t>D194585</t>
  </si>
  <si>
    <t>TX1002472</t>
  </si>
  <si>
    <t>M1895</t>
  </si>
  <si>
    <t>C93205</t>
  </si>
  <si>
    <t>228.57.102.135</t>
  </si>
  <si>
    <t>D160463</t>
  </si>
  <si>
    <t>TX1002227</t>
  </si>
  <si>
    <t>C88873</t>
  </si>
  <si>
    <t>173.206.248.155</t>
  </si>
  <si>
    <t>D109343</t>
  </si>
  <si>
    <t>TX1002092</t>
  </si>
  <si>
    <t>M1711</t>
  </si>
  <si>
    <t>C80446</t>
  </si>
  <si>
    <t>248.66.7.238</t>
  </si>
  <si>
    <t>D122098</t>
  </si>
  <si>
    <t>TX1001596</t>
  </si>
  <si>
    <t>M1746</t>
  </si>
  <si>
    <t>C64980</t>
  </si>
  <si>
    <t>154.106.201.221</t>
  </si>
  <si>
    <t>D187249</t>
  </si>
  <si>
    <t>TX1000509</t>
  </si>
  <si>
    <t>M1609</t>
  </si>
  <si>
    <t>C97609</t>
  </si>
  <si>
    <t>79.170.181.213</t>
  </si>
  <si>
    <t>D197676</t>
  </si>
  <si>
    <t>TX1000597</t>
  </si>
  <si>
    <t>M1359</t>
  </si>
  <si>
    <t>C99254</t>
  </si>
  <si>
    <t>184.0.55.127</t>
  </si>
  <si>
    <t>D118920</t>
  </si>
  <si>
    <t>TX1001442</t>
  </si>
  <si>
    <t>M1879</t>
  </si>
  <si>
    <t>C70286</t>
  </si>
  <si>
    <t>51.240.182.158</t>
  </si>
  <si>
    <t>D147587</t>
  </si>
  <si>
    <t>TX1002230</t>
  </si>
  <si>
    <t>M1523</t>
  </si>
  <si>
    <t>C91648</t>
  </si>
  <si>
    <t>104.195.12.139</t>
  </si>
  <si>
    <t>D102900</t>
  </si>
  <si>
    <t>TX1001374</t>
  </si>
  <si>
    <t>M1046</t>
  </si>
  <si>
    <t>C66743</t>
  </si>
  <si>
    <t>67.191.124.82</t>
  </si>
  <si>
    <t>D119052</t>
  </si>
  <si>
    <t>TX1002645</t>
  </si>
  <si>
    <t>C50523</t>
  </si>
  <si>
    <t>157.229.44.9</t>
  </si>
  <si>
    <t>D174369</t>
  </si>
  <si>
    <t>TX1000518</t>
  </si>
  <si>
    <t>M1027</t>
  </si>
  <si>
    <t>C78812</t>
  </si>
  <si>
    <t>54.194.25.115</t>
  </si>
  <si>
    <t>D157481</t>
  </si>
  <si>
    <t>TX1000700</t>
  </si>
  <si>
    <t>M1029</t>
  </si>
  <si>
    <t>C87514</t>
  </si>
  <si>
    <t>185.219.206.175</t>
  </si>
  <si>
    <t>D115596</t>
  </si>
  <si>
    <t>TX1000573</t>
  </si>
  <si>
    <t>C77952</t>
  </si>
  <si>
    <t>65.144.82.17</t>
  </si>
  <si>
    <t>D108076</t>
  </si>
  <si>
    <t>TX1002727</t>
  </si>
  <si>
    <t>M1331</t>
  </si>
  <si>
    <t>C67190</t>
  </si>
  <si>
    <t>26.181.143.185</t>
  </si>
  <si>
    <t>D170300</t>
  </si>
  <si>
    <t>TX1001099</t>
  </si>
  <si>
    <t>C52091</t>
  </si>
  <si>
    <t>64.203.55.84</t>
  </si>
  <si>
    <t>D170068</t>
  </si>
  <si>
    <t>TX1001950</t>
  </si>
  <si>
    <t>M1382</t>
  </si>
  <si>
    <t>C73092</t>
  </si>
  <si>
    <t>88.183.252.237</t>
  </si>
  <si>
    <t>D141474</t>
  </si>
  <si>
    <t>TX1002661</t>
  </si>
  <si>
    <t>C59276</t>
  </si>
  <si>
    <t>206.184.66.182</t>
  </si>
  <si>
    <t>D153453</t>
  </si>
  <si>
    <t>TX1001422</t>
  </si>
  <si>
    <t>C84385</t>
  </si>
  <si>
    <t>72.37.1.125</t>
  </si>
  <si>
    <t>D195383</t>
  </si>
  <si>
    <t>TX1002117</t>
  </si>
  <si>
    <t>M1739</t>
  </si>
  <si>
    <t>C68828</t>
  </si>
  <si>
    <t>239.184.121.12</t>
  </si>
  <si>
    <t>D153163</t>
  </si>
  <si>
    <t>TX1000965</t>
  </si>
  <si>
    <t>M1312</t>
  </si>
  <si>
    <t>C91788</t>
  </si>
  <si>
    <t>41.88.93.223</t>
  </si>
  <si>
    <t>D145922</t>
  </si>
  <si>
    <t>TX1001732</t>
  </si>
  <si>
    <t>C75829</t>
  </si>
  <si>
    <t>80.25.145.201</t>
  </si>
  <si>
    <t>D187489</t>
  </si>
  <si>
    <t>TX1002910</t>
  </si>
  <si>
    <t>C82941</t>
  </si>
  <si>
    <t>142.208.169.140</t>
  </si>
  <si>
    <t>D142698</t>
  </si>
  <si>
    <t>TX1000358</t>
  </si>
  <si>
    <t>M1648</t>
  </si>
  <si>
    <t>C72031</t>
  </si>
  <si>
    <t>94.143.179.183</t>
  </si>
  <si>
    <t>D154797</t>
  </si>
  <si>
    <t>TX1000761</t>
  </si>
  <si>
    <t>C57100</t>
  </si>
  <si>
    <t>51.40.88.148</t>
  </si>
  <si>
    <t>D178056</t>
  </si>
  <si>
    <t>TX1002746</t>
  </si>
  <si>
    <t>4.12.127.177</t>
  </si>
  <si>
    <t>D191788</t>
  </si>
  <si>
    <t>TX1001610</t>
  </si>
  <si>
    <t>M1853</t>
  </si>
  <si>
    <t>C97530</t>
  </si>
  <si>
    <t>94.199.247.254</t>
  </si>
  <si>
    <t>D124194</t>
  </si>
  <si>
    <t>TX1000259</t>
  </si>
  <si>
    <t>C76143</t>
  </si>
  <si>
    <t>193.78.61.77</t>
  </si>
  <si>
    <t>D164336</t>
  </si>
  <si>
    <t>TX1002877</t>
  </si>
  <si>
    <t>C78374</t>
  </si>
  <si>
    <t>26.209.27.117</t>
  </si>
  <si>
    <t>D152065</t>
  </si>
  <si>
    <t>TX1000787</t>
  </si>
  <si>
    <t>C85910</t>
  </si>
  <si>
    <t>141.155.90.82</t>
  </si>
  <si>
    <t>D129864</t>
  </si>
  <si>
    <t>TX1002411</t>
  </si>
  <si>
    <t>M1690</t>
  </si>
  <si>
    <t>C53118</t>
  </si>
  <si>
    <t>127.193.122.183</t>
  </si>
  <si>
    <t>D118180</t>
  </si>
  <si>
    <t>TX1001127</t>
  </si>
  <si>
    <t>C50564</t>
  </si>
  <si>
    <t>37.99.151.173</t>
  </si>
  <si>
    <t>D138045</t>
  </si>
  <si>
    <t>TX1001011</t>
  </si>
  <si>
    <t>M1013</t>
  </si>
  <si>
    <t>C75189</t>
  </si>
  <si>
    <t>233.229.3.56</t>
  </si>
  <si>
    <t>D150890</t>
  </si>
  <si>
    <t>TX1002410</t>
  </si>
  <si>
    <t>M1143</t>
  </si>
  <si>
    <t>C61134</t>
  </si>
  <si>
    <t>238.8.159.186</t>
  </si>
  <si>
    <t>D150484</t>
  </si>
  <si>
    <t>TX1002837</t>
  </si>
  <si>
    <t>M1322</t>
  </si>
  <si>
    <t>C91779</t>
  </si>
  <si>
    <t>132.184.106.191</t>
  </si>
  <si>
    <t>D189487</t>
  </si>
  <si>
    <t>TX1002340</t>
  </si>
  <si>
    <t>C71211</t>
  </si>
  <si>
    <t>175.42.28.234</t>
  </si>
  <si>
    <t>D145850</t>
  </si>
  <si>
    <t>TX1002307</t>
  </si>
  <si>
    <t>C73308</t>
  </si>
  <si>
    <t>178.22.184.153</t>
  </si>
  <si>
    <t>D155938</t>
  </si>
  <si>
    <t>TX1002718</t>
  </si>
  <si>
    <t>C89771</t>
  </si>
  <si>
    <t>195.123.237.222</t>
  </si>
  <si>
    <t>D142003</t>
  </si>
  <si>
    <t>TX1002668</t>
  </si>
  <si>
    <t>M1351</t>
  </si>
  <si>
    <t>C71869</t>
  </si>
  <si>
    <t>182.229.42.149</t>
  </si>
  <si>
    <t>D196241</t>
  </si>
  <si>
    <t>TX1000456</t>
  </si>
  <si>
    <t>C77001</t>
  </si>
  <si>
    <t>198.165.133.173</t>
  </si>
  <si>
    <t>D141630</t>
  </si>
  <si>
    <t>TX1000462</t>
  </si>
  <si>
    <t>C86758</t>
  </si>
  <si>
    <t>158.242.119.16</t>
  </si>
  <si>
    <t>D164673</t>
  </si>
  <si>
    <t>TX1002226</t>
  </si>
  <si>
    <t>M1033</t>
  </si>
  <si>
    <t>C63473</t>
  </si>
  <si>
    <t>251.140.203.171</t>
  </si>
  <si>
    <t>D135195</t>
  </si>
  <si>
    <t>TX1002705</t>
  </si>
  <si>
    <t>M1347</t>
  </si>
  <si>
    <t>C69109</t>
  </si>
  <si>
    <t>141.134.243.192</t>
  </si>
  <si>
    <t>D165459</t>
  </si>
  <si>
    <t>TX1000381</t>
  </si>
  <si>
    <t>M1888</t>
  </si>
  <si>
    <t>C56167</t>
  </si>
  <si>
    <t>91.45.36.46</t>
  </si>
  <si>
    <t>D193146</t>
  </si>
  <si>
    <t>TX1000831</t>
  </si>
  <si>
    <t>C78694</t>
  </si>
  <si>
    <t>137.243.215.91</t>
  </si>
  <si>
    <t>D131094</t>
  </si>
  <si>
    <t>TX1001564</t>
  </si>
  <si>
    <t>M1936</t>
  </si>
  <si>
    <t>C92627</t>
  </si>
  <si>
    <t>175.95.41.167</t>
  </si>
  <si>
    <t>D125056</t>
  </si>
  <si>
    <t>TX1002321</t>
  </si>
  <si>
    <t>C71419</t>
  </si>
  <si>
    <t>22.72.166.214</t>
  </si>
  <si>
    <t>D134521</t>
  </si>
  <si>
    <t>TX1000776</t>
  </si>
  <si>
    <t>C86811</t>
  </si>
  <si>
    <t>137.207.81.100</t>
  </si>
  <si>
    <t>D179551</t>
  </si>
  <si>
    <t>TX1000798</t>
  </si>
  <si>
    <t>M1402</t>
  </si>
  <si>
    <t>C58918</t>
  </si>
  <si>
    <t>143.230.165.220</t>
  </si>
  <si>
    <t>D174133</t>
  </si>
  <si>
    <t>TX1002470</t>
  </si>
  <si>
    <t>M1068</t>
  </si>
  <si>
    <t>C96489</t>
  </si>
  <si>
    <t>239.92.196.160</t>
  </si>
  <si>
    <t>D113011</t>
  </si>
  <si>
    <t>TX1001742</t>
  </si>
  <si>
    <t>C53067</t>
  </si>
  <si>
    <t>131.253.54.86</t>
  </si>
  <si>
    <t>D176618</t>
  </si>
  <si>
    <t>TX1000900</t>
  </si>
  <si>
    <t>C97991</t>
  </si>
  <si>
    <t>25.119.4.155</t>
  </si>
  <si>
    <t>D101632</t>
  </si>
  <si>
    <t>TX1001323</t>
  </si>
  <si>
    <t>M1054</t>
  </si>
  <si>
    <t>C93700</t>
  </si>
  <si>
    <t>19.212.36.217</t>
  </si>
  <si>
    <t>D176732</t>
  </si>
  <si>
    <t>TX1002420</t>
  </si>
  <si>
    <t>M1218</t>
  </si>
  <si>
    <t>C61764</t>
  </si>
  <si>
    <t>25.213.114.35</t>
  </si>
  <si>
    <t>D125038</t>
  </si>
  <si>
    <t>TX1001392</t>
  </si>
  <si>
    <t>M1607</t>
  </si>
  <si>
    <t>16.43.65.242</t>
  </si>
  <si>
    <t>D194163</t>
  </si>
  <si>
    <t>TX1001412</t>
  </si>
  <si>
    <t>M1913</t>
  </si>
  <si>
    <t>C77136</t>
  </si>
  <si>
    <t>20.45.85.103</t>
  </si>
  <si>
    <t>D198109</t>
  </si>
  <si>
    <t>TX1002362</t>
  </si>
  <si>
    <t>C77895</t>
  </si>
  <si>
    <t>48.197.169.16</t>
  </si>
  <si>
    <t>D184079</t>
  </si>
  <si>
    <t>TX1002289</t>
  </si>
  <si>
    <t>M1108</t>
  </si>
  <si>
    <t>C50646</t>
  </si>
  <si>
    <t>87.109.199.40</t>
  </si>
  <si>
    <t>D175371</t>
  </si>
  <si>
    <t>TX1000864</t>
  </si>
  <si>
    <t>M1878</t>
  </si>
  <si>
    <t>C86425</t>
  </si>
  <si>
    <t>55.247.208.231</t>
  </si>
  <si>
    <t>D197908</t>
  </si>
  <si>
    <t>TX1001606</t>
  </si>
  <si>
    <t>C86270</t>
  </si>
  <si>
    <t>38.54.249.225</t>
  </si>
  <si>
    <t>D150602</t>
  </si>
  <si>
    <t>TX1000542</t>
  </si>
  <si>
    <t>M1633</t>
  </si>
  <si>
    <t>C88735</t>
  </si>
  <si>
    <t>15.177.244.223</t>
  </si>
  <si>
    <t>D192577</t>
  </si>
  <si>
    <t>TX1002550</t>
  </si>
  <si>
    <t>C55522</t>
  </si>
  <si>
    <t>160.233.148.148</t>
  </si>
  <si>
    <t>D136786</t>
  </si>
  <si>
    <t>TX1002869</t>
  </si>
  <si>
    <t>C79155</t>
  </si>
  <si>
    <t>95.140.7.94</t>
  </si>
  <si>
    <t>D175676</t>
  </si>
  <si>
    <t>TX1001896</t>
  </si>
  <si>
    <t>C89325</t>
  </si>
  <si>
    <t>213.203.52.111</t>
  </si>
  <si>
    <t>D146515</t>
  </si>
  <si>
    <t>TX1001767</t>
  </si>
  <si>
    <t>C54334</t>
  </si>
  <si>
    <t>196.45.203.71</t>
  </si>
  <si>
    <t>D189554</t>
  </si>
  <si>
    <t>TX1002760</t>
  </si>
  <si>
    <t>M1136</t>
  </si>
  <si>
    <t>201.80.63.27</t>
  </si>
  <si>
    <t>D104667</t>
  </si>
  <si>
    <t>TX1002423</t>
  </si>
  <si>
    <t>M1035</t>
  </si>
  <si>
    <t>C55430</t>
  </si>
  <si>
    <t>88.173.70.117</t>
  </si>
  <si>
    <t>D173293</t>
  </si>
  <si>
    <t>TX1002344</t>
  </si>
  <si>
    <t>M1701</t>
  </si>
  <si>
    <t>C58021</t>
  </si>
  <si>
    <t>103.47.102.178</t>
  </si>
  <si>
    <t>D108104</t>
  </si>
  <si>
    <t>TX1001345</t>
  </si>
  <si>
    <t>C94749</t>
  </si>
  <si>
    <t>119.19.55.225</t>
  </si>
  <si>
    <t>D145695</t>
  </si>
  <si>
    <t>TX1001909</t>
  </si>
  <si>
    <t>C55571</t>
  </si>
  <si>
    <t>213.241.42.17</t>
  </si>
  <si>
    <t>D173021</t>
  </si>
  <si>
    <t>TX1002896</t>
  </si>
  <si>
    <t>C63386</t>
  </si>
  <si>
    <t>74.100.183.156</t>
  </si>
  <si>
    <t>D197318</t>
  </si>
  <si>
    <t>TX1001694</t>
  </si>
  <si>
    <t>M1929</t>
  </si>
  <si>
    <t>C83298</t>
  </si>
  <si>
    <t>174.213.41.221</t>
  </si>
  <si>
    <t>D155229</t>
  </si>
  <si>
    <t>TX1001075</t>
  </si>
  <si>
    <t>C56652</t>
  </si>
  <si>
    <t>128.106.242.34</t>
  </si>
  <si>
    <t>D149747</t>
  </si>
  <si>
    <t>TX1002422</t>
  </si>
  <si>
    <t>C63635</t>
  </si>
  <si>
    <t>49.172.181.204</t>
  </si>
  <si>
    <t>D135221</t>
  </si>
  <si>
    <t>TX1002562</t>
  </si>
  <si>
    <t>C71981</t>
  </si>
  <si>
    <t>167.59.84.189</t>
  </si>
  <si>
    <t>D157655</t>
  </si>
  <si>
    <t>TX1000889</t>
  </si>
  <si>
    <t>M1793</t>
  </si>
  <si>
    <t>C66106</t>
  </si>
  <si>
    <t>148.5.11.189</t>
  </si>
  <si>
    <t>D180897</t>
  </si>
  <si>
    <t>TX1000435</t>
  </si>
  <si>
    <t>C76071</t>
  </si>
  <si>
    <t>181.182.112.114</t>
  </si>
  <si>
    <t>D193471</t>
  </si>
  <si>
    <t>TX1000819</t>
  </si>
  <si>
    <t>M1365</t>
  </si>
  <si>
    <t>C78791</t>
  </si>
  <si>
    <t>169.23.18.7</t>
  </si>
  <si>
    <t>D119920</t>
  </si>
  <si>
    <t>TX1000237</t>
  </si>
  <si>
    <t>C74013</t>
  </si>
  <si>
    <t>25.219.176.254</t>
  </si>
  <si>
    <t>D146840</t>
  </si>
  <si>
    <t>TX1002925</t>
  </si>
  <si>
    <t>M1691</t>
  </si>
  <si>
    <t>C52672</t>
  </si>
  <si>
    <t>210.163.98.201</t>
  </si>
  <si>
    <t>D159584</t>
  </si>
  <si>
    <t>TX1000109</t>
  </si>
  <si>
    <t>M1599</t>
  </si>
  <si>
    <t>C54757</t>
  </si>
  <si>
    <t>98.202.15.122</t>
  </si>
  <si>
    <t>D120489</t>
  </si>
  <si>
    <t>TX1002057</t>
  </si>
  <si>
    <t>M1266</t>
  </si>
  <si>
    <t>C53394</t>
  </si>
  <si>
    <t>253.58.153.174</t>
  </si>
  <si>
    <t>D127545</t>
  </si>
  <si>
    <t>TX1000163</t>
  </si>
  <si>
    <t>M1996</t>
  </si>
  <si>
    <t>C69880</t>
  </si>
  <si>
    <t>28.67.94.7</t>
  </si>
  <si>
    <t>D199935</t>
  </si>
  <si>
    <t>TX1000288</t>
  </si>
  <si>
    <t>M1009</t>
  </si>
  <si>
    <t>C86424</t>
  </si>
  <si>
    <t>167.39.15.229</t>
  </si>
  <si>
    <t>D188029</t>
  </si>
  <si>
    <t>TX1000252</t>
  </si>
  <si>
    <t>M1220</t>
  </si>
  <si>
    <t>C94380</t>
  </si>
  <si>
    <t>159.230.127.95</t>
  </si>
  <si>
    <t>D176402</t>
  </si>
  <si>
    <t>TX1001977</t>
  </si>
  <si>
    <t>C60520</t>
  </si>
  <si>
    <t>246.25.216.212</t>
  </si>
  <si>
    <t>D168502</t>
  </si>
  <si>
    <t>TX1001554</t>
  </si>
  <si>
    <t>C54413</t>
  </si>
  <si>
    <t>166.50.191.187</t>
  </si>
  <si>
    <t>D162055</t>
  </si>
  <si>
    <t>TX1001886</t>
  </si>
  <si>
    <t>M1985</t>
  </si>
  <si>
    <t>C60243</t>
  </si>
  <si>
    <t>79.192.51.106</t>
  </si>
  <si>
    <t>D166833</t>
  </si>
  <si>
    <t>TX1001080</t>
  </si>
  <si>
    <t>M1845</t>
  </si>
  <si>
    <t>C95308</t>
  </si>
  <si>
    <t>56.19.37.65</t>
  </si>
  <si>
    <t>D171356</t>
  </si>
  <si>
    <t>TX1001061</t>
  </si>
  <si>
    <t>C52947</t>
  </si>
  <si>
    <t>88.32.106.213</t>
  </si>
  <si>
    <t>D135531</t>
  </si>
  <si>
    <t>TX1001532</t>
  </si>
  <si>
    <t>M1323</t>
  </si>
  <si>
    <t>C74137</t>
  </si>
  <si>
    <t>231.144.61.104</t>
  </si>
  <si>
    <t>D134543</t>
  </si>
  <si>
    <t>TX1001393</t>
  </si>
  <si>
    <t>M1887</t>
  </si>
  <si>
    <t>C85671</t>
  </si>
  <si>
    <t>199.38.19.139</t>
  </si>
  <si>
    <t>D188297</t>
  </si>
  <si>
    <t>TX1002335</t>
  </si>
  <si>
    <t>M1485</t>
  </si>
  <si>
    <t>C86545</t>
  </si>
  <si>
    <t>206.82.156.86</t>
  </si>
  <si>
    <t>D179576</t>
  </si>
  <si>
    <t>TX1002756</t>
  </si>
  <si>
    <t>M1040</t>
  </si>
  <si>
    <t>C75137</t>
  </si>
  <si>
    <t>15.200.251.208</t>
  </si>
  <si>
    <t>D143216</t>
  </si>
  <si>
    <t>TX1000840</t>
  </si>
  <si>
    <t>M1390</t>
  </si>
  <si>
    <t>C97417</t>
  </si>
  <si>
    <t>28.69.58.53</t>
  </si>
  <si>
    <t>D196185</t>
  </si>
  <si>
    <t>TX1001151</t>
  </si>
  <si>
    <t>M1474</t>
  </si>
  <si>
    <t>C50536</t>
  </si>
  <si>
    <t>146.23.239.115</t>
  </si>
  <si>
    <t>D129789</t>
  </si>
  <si>
    <t>TX1001833</t>
  </si>
  <si>
    <t>C91184</t>
  </si>
  <si>
    <t>129.31.140.166</t>
  </si>
  <si>
    <t>D168890</t>
  </si>
  <si>
    <t>TX1001506</t>
  </si>
  <si>
    <t>C51995</t>
  </si>
  <si>
    <t>7.227.211.153</t>
  </si>
  <si>
    <t>D147331</t>
  </si>
  <si>
    <t>TX1002402</t>
  </si>
  <si>
    <t>C70450</t>
  </si>
  <si>
    <t>138.30.191.193</t>
  </si>
  <si>
    <t>D127084</t>
  </si>
  <si>
    <t>TX1000461</t>
  </si>
  <si>
    <t>M1095</t>
  </si>
  <si>
    <t>C86765</t>
  </si>
  <si>
    <t>244.190.55.116</t>
  </si>
  <si>
    <t>D129368</t>
  </si>
  <si>
    <t>TX1000990</t>
  </si>
  <si>
    <t>M1019</t>
  </si>
  <si>
    <t>C60237</t>
  </si>
  <si>
    <t>146.231.207.211</t>
  </si>
  <si>
    <t>D192302</t>
  </si>
  <si>
    <t>TX1001437</t>
  </si>
  <si>
    <t>C74519</t>
  </si>
  <si>
    <t>33.169.5.102</t>
  </si>
  <si>
    <t>D157135</t>
  </si>
  <si>
    <t>TX1000157</t>
  </si>
  <si>
    <t>M1149</t>
  </si>
  <si>
    <t>C65301</t>
  </si>
  <si>
    <t>14.124.75.223</t>
  </si>
  <si>
    <t>D137707</t>
  </si>
  <si>
    <t>TX1001922</t>
  </si>
  <si>
    <t>C51202</t>
  </si>
  <si>
    <t>221.254.49.210</t>
  </si>
  <si>
    <t>D170230</t>
  </si>
  <si>
    <t>TX1002123</t>
  </si>
  <si>
    <t>C58624</t>
  </si>
  <si>
    <t>40.87.147.62</t>
  </si>
  <si>
    <t>D102930</t>
  </si>
  <si>
    <t>TX1000677</t>
  </si>
  <si>
    <t>C63411</t>
  </si>
  <si>
    <t>66.161.62.102</t>
  </si>
  <si>
    <t>D195479</t>
  </si>
  <si>
    <t>TX1002436</t>
  </si>
  <si>
    <t>C65459</t>
  </si>
  <si>
    <t>75.154.80.37</t>
  </si>
  <si>
    <t>D154034</t>
  </si>
  <si>
    <t>TX1002620</t>
  </si>
  <si>
    <t>M1516</t>
  </si>
  <si>
    <t>C82396</t>
  </si>
  <si>
    <t>165.243.92.125</t>
  </si>
  <si>
    <t>D190609</t>
  </si>
  <si>
    <t>TX1000238</t>
  </si>
  <si>
    <t>C51291</t>
  </si>
  <si>
    <t>69.10.240.151</t>
  </si>
  <si>
    <t>D102914</t>
  </si>
  <si>
    <t>TX1000789</t>
  </si>
  <si>
    <t>C95864</t>
  </si>
  <si>
    <t>200.198.48.154</t>
  </si>
  <si>
    <t>D190004</t>
  </si>
  <si>
    <t>TX1001093</t>
  </si>
  <si>
    <t>M1979</t>
  </si>
  <si>
    <t>C52682</t>
  </si>
  <si>
    <t>27.147.168.63</t>
  </si>
  <si>
    <t>D139489</t>
  </si>
  <si>
    <t>TX1001978</t>
  </si>
  <si>
    <t>C80578</t>
  </si>
  <si>
    <t>13.15.175.190</t>
  </si>
  <si>
    <t>D168010</t>
  </si>
  <si>
    <t>TX1000100</t>
  </si>
  <si>
    <t>M1623</t>
  </si>
  <si>
    <t>C76074</t>
  </si>
  <si>
    <t>180.153.160.183</t>
  </si>
  <si>
    <t>D196576</t>
  </si>
  <si>
    <t>TX1000315</t>
  </si>
  <si>
    <t>M1093</t>
  </si>
  <si>
    <t>C51831</t>
  </si>
  <si>
    <t>186.85.22.107</t>
  </si>
  <si>
    <t>D167174</t>
  </si>
  <si>
    <t>TX1001720</t>
  </si>
  <si>
    <t>C62170</t>
  </si>
  <si>
    <t>136.246.56.153</t>
  </si>
  <si>
    <t>D184332</t>
  </si>
  <si>
    <t>TX1001041</t>
  </si>
  <si>
    <t>C78138</t>
  </si>
  <si>
    <t>43.235.215.215</t>
  </si>
  <si>
    <t>D162988</t>
  </si>
  <si>
    <t>TX1001907</t>
  </si>
  <si>
    <t>C87173</t>
  </si>
  <si>
    <t>60.3.94.242</t>
  </si>
  <si>
    <t>D113586</t>
  </si>
  <si>
    <t>TX1000879</t>
  </si>
  <si>
    <t>M1889</t>
  </si>
  <si>
    <t>C96997</t>
  </si>
  <si>
    <t>41.217.138.138</t>
  </si>
  <si>
    <t>D184218</t>
  </si>
  <si>
    <t>TX1000261</t>
  </si>
  <si>
    <t>M1507</t>
  </si>
  <si>
    <t>C92416</t>
  </si>
  <si>
    <t>252.65.153.216</t>
  </si>
  <si>
    <t>D132591</t>
  </si>
  <si>
    <t>TX1001754</t>
  </si>
  <si>
    <t>M1579</t>
  </si>
  <si>
    <t>C51428</t>
  </si>
  <si>
    <t>182.48.138.192</t>
  </si>
  <si>
    <t>D140032</t>
  </si>
  <si>
    <t>TX1002003</t>
  </si>
  <si>
    <t>C73642</t>
  </si>
  <si>
    <t>74.82.30.26</t>
  </si>
  <si>
    <t>D165798</t>
  </si>
  <si>
    <t>TX1000195</t>
  </si>
  <si>
    <t>C67716</t>
  </si>
  <si>
    <t>192.123.99.134</t>
  </si>
  <si>
    <t>D144224</t>
  </si>
  <si>
    <t>TX1001777</t>
  </si>
  <si>
    <t>C50994</t>
  </si>
  <si>
    <t>235.212.72.244</t>
  </si>
  <si>
    <t>D160094</t>
  </si>
  <si>
    <t>TX1002652</t>
  </si>
  <si>
    <t>187.249.29.87</t>
  </si>
  <si>
    <t>D181730</t>
  </si>
  <si>
    <t>TX1001737</t>
  </si>
  <si>
    <t>C51571</t>
  </si>
  <si>
    <t>8.217.222.114</t>
  </si>
  <si>
    <t>D112358</t>
  </si>
  <si>
    <t>TX1000179</t>
  </si>
  <si>
    <t>M1089</t>
  </si>
  <si>
    <t>C53023</t>
  </si>
  <si>
    <t>164.107.164.52</t>
  </si>
  <si>
    <t>D125237</t>
  </si>
  <si>
    <t>TX1002319</t>
  </si>
  <si>
    <t>C88536</t>
  </si>
  <si>
    <t>216.33.20.215</t>
  </si>
  <si>
    <t>D114402</t>
  </si>
  <si>
    <t>TX1000340</t>
  </si>
  <si>
    <t>C75994</t>
  </si>
  <si>
    <t>254.45.237.222</t>
  </si>
  <si>
    <t>D185237</t>
  </si>
  <si>
    <t>TX1002669</t>
  </si>
  <si>
    <t>M1972</t>
  </si>
  <si>
    <t>C90858</t>
  </si>
  <si>
    <t>221.153.31.84</t>
  </si>
  <si>
    <t>D153701</t>
  </si>
  <si>
    <t>TX1001911</t>
  </si>
  <si>
    <t>M1153</t>
  </si>
  <si>
    <t>C72933</t>
  </si>
  <si>
    <t>80.205.133.194</t>
  </si>
  <si>
    <t>D107457</t>
  </si>
  <si>
    <t>TX1000748</t>
  </si>
  <si>
    <t>C69192</t>
  </si>
  <si>
    <t>97.196.127.185</t>
  </si>
  <si>
    <t>D134711</t>
  </si>
  <si>
    <t>TX1001260</t>
  </si>
  <si>
    <t>C82788</t>
  </si>
  <si>
    <t>98.2.168.24</t>
  </si>
  <si>
    <t>D151401</t>
  </si>
  <si>
    <t>TX1000662</t>
  </si>
  <si>
    <t>C60946</t>
  </si>
  <si>
    <t>204.210.169.26</t>
  </si>
  <si>
    <t>D111627</t>
  </si>
  <si>
    <t>TX1000480</t>
  </si>
  <si>
    <t>M1142</t>
  </si>
  <si>
    <t>C71833</t>
  </si>
  <si>
    <t>118.202.84.118</t>
  </si>
  <si>
    <t>D100110</t>
  </si>
  <si>
    <t>TX1002947</t>
  </si>
  <si>
    <t>C51171</t>
  </si>
  <si>
    <t>236.60.61.69</t>
  </si>
  <si>
    <t>D130961</t>
  </si>
  <si>
    <t>TX1001192</t>
  </si>
  <si>
    <t>C89896</t>
  </si>
  <si>
    <t>110.216.145.84</t>
  </si>
  <si>
    <t>D127463</t>
  </si>
  <si>
    <t>TX1001657</t>
  </si>
  <si>
    <t>M1522</t>
  </si>
  <si>
    <t>C71474</t>
  </si>
  <si>
    <t>117.226.124.239</t>
  </si>
  <si>
    <t>D195038</t>
  </si>
  <si>
    <t>TX1002437</t>
  </si>
  <si>
    <t>C87250</t>
  </si>
  <si>
    <t>98.221.254.23</t>
  </si>
  <si>
    <t>D127152</t>
  </si>
  <si>
    <t>TX1000549</t>
  </si>
  <si>
    <t>C93483</t>
  </si>
  <si>
    <t>194.102.144.83</t>
  </si>
  <si>
    <t>D117757</t>
  </si>
  <si>
    <t>TX1001580</t>
  </si>
  <si>
    <t>M1897</t>
  </si>
  <si>
    <t>C96911</t>
  </si>
  <si>
    <t>174.4.141.6</t>
  </si>
  <si>
    <t>D199103</t>
  </si>
  <si>
    <t>TX1002710</t>
  </si>
  <si>
    <t>C51576</t>
  </si>
  <si>
    <t>169.44.243.192</t>
  </si>
  <si>
    <t>D101883</t>
  </si>
  <si>
    <t>TX1000742</t>
  </si>
  <si>
    <t>C95146</t>
  </si>
  <si>
    <t>207.7.34.183</t>
  </si>
  <si>
    <t>D134617</t>
  </si>
  <si>
    <t>TX1002417</t>
  </si>
  <si>
    <t>M1464</t>
  </si>
  <si>
    <t>195.252.182.202</t>
  </si>
  <si>
    <t>D127553</t>
  </si>
  <si>
    <t>TX1002789</t>
  </si>
  <si>
    <t>M1846</t>
  </si>
  <si>
    <t>C64833</t>
  </si>
  <si>
    <t>96.238.181.89</t>
  </si>
  <si>
    <t>D196533</t>
  </si>
  <si>
    <t>TX1000940</t>
  </si>
  <si>
    <t>C99876</t>
  </si>
  <si>
    <t>202.217.62.82</t>
  </si>
  <si>
    <t>D161926</t>
  </si>
  <si>
    <t>TX1002164</t>
  </si>
  <si>
    <t>C81416</t>
  </si>
  <si>
    <t>204.149.254.133</t>
  </si>
  <si>
    <t>D155683</t>
  </si>
  <si>
    <t>TX1001912</t>
  </si>
  <si>
    <t>C56939</t>
  </si>
  <si>
    <t>143.49.195.15</t>
  </si>
  <si>
    <t>D148377</t>
  </si>
  <si>
    <t>TX1002998</t>
  </si>
  <si>
    <t>C92290</t>
  </si>
  <si>
    <t>195.8.251.4</t>
  </si>
  <si>
    <t>D128978</t>
  </si>
  <si>
    <t>TX1002296</t>
  </si>
  <si>
    <t>M1000</t>
  </si>
  <si>
    <t>C84697</t>
  </si>
  <si>
    <t>249.212.115.41</t>
  </si>
  <si>
    <t>D111483</t>
  </si>
  <si>
    <t>TX1001001</t>
  </si>
  <si>
    <t>M1589</t>
  </si>
  <si>
    <t>C59608</t>
  </si>
  <si>
    <t>133.247.99.54</t>
  </si>
  <si>
    <t>D160243</t>
  </si>
  <si>
    <t>TX1000247</t>
  </si>
  <si>
    <t>M1939</t>
  </si>
  <si>
    <t>C55914</t>
  </si>
  <si>
    <t>162.162.208.203</t>
  </si>
  <si>
    <t>D104440</t>
  </si>
  <si>
    <t>TX1001894</t>
  </si>
  <si>
    <t>M1278</t>
  </si>
  <si>
    <t>C96437</t>
  </si>
  <si>
    <t>42.240.240.34</t>
  </si>
  <si>
    <t>D169202</t>
  </si>
  <si>
    <t>TX1001399</t>
  </si>
  <si>
    <t>23.69.121.232</t>
  </si>
  <si>
    <t>D120167</t>
  </si>
  <si>
    <t>TX1002722</t>
  </si>
  <si>
    <t>C98480</t>
  </si>
  <si>
    <t>232.73.199.133</t>
  </si>
  <si>
    <t>D161662</t>
  </si>
  <si>
    <t>TX1000626</t>
  </si>
  <si>
    <t>M1944</t>
  </si>
  <si>
    <t>C50724</t>
  </si>
  <si>
    <t>56.190.12.115</t>
  </si>
  <si>
    <t>D152876</t>
  </si>
  <si>
    <t>TX1000347</t>
  </si>
  <si>
    <t>C82087</t>
  </si>
  <si>
    <t>26.24.87.82</t>
  </si>
  <si>
    <t>D198549</t>
  </si>
  <si>
    <t>TX1000278</t>
  </si>
  <si>
    <t>M1517</t>
  </si>
  <si>
    <t>C96605</t>
  </si>
  <si>
    <t>117.242.16.192</t>
  </si>
  <si>
    <t>D120557</t>
  </si>
  <si>
    <t>TX1001786</t>
  </si>
  <si>
    <t>C54236</t>
  </si>
  <si>
    <t>247.26.44.159</t>
  </si>
  <si>
    <t>D136802</t>
  </si>
  <si>
    <t>TX1002282</t>
  </si>
  <si>
    <t>M1140</t>
  </si>
  <si>
    <t>C90888</t>
  </si>
  <si>
    <t>53.133.133.226</t>
  </si>
  <si>
    <t>D125516</t>
  </si>
  <si>
    <t>TX1000655</t>
  </si>
  <si>
    <t>C84004</t>
  </si>
  <si>
    <t>91.96.124.126</t>
  </si>
  <si>
    <t>D164082</t>
  </si>
  <si>
    <t>TX1002209</t>
  </si>
  <si>
    <t>C90727</t>
  </si>
  <si>
    <t>11.249.58.29</t>
  </si>
  <si>
    <t>D179118</t>
  </si>
  <si>
    <t>TX1000839</t>
  </si>
  <si>
    <t>C52841</t>
  </si>
  <si>
    <t>182.211.189.87</t>
  </si>
  <si>
    <t>D161946</t>
  </si>
  <si>
    <t>TX1002626</t>
  </si>
  <si>
    <t>M1816</t>
  </si>
  <si>
    <t>C94353</t>
  </si>
  <si>
    <t>237.200.198.116</t>
  </si>
  <si>
    <t>D174508</t>
  </si>
  <si>
    <t>TX1002590</t>
  </si>
  <si>
    <t>M1075</t>
  </si>
  <si>
    <t>C67063</t>
  </si>
  <si>
    <t>82.116.83.26</t>
  </si>
  <si>
    <t>D151989</t>
  </si>
  <si>
    <t>TX1001286</t>
  </si>
  <si>
    <t>M1207</t>
  </si>
  <si>
    <t>C86881</t>
  </si>
  <si>
    <t>15.221.153.216</t>
  </si>
  <si>
    <t>D159412</t>
  </si>
  <si>
    <t>TX1001711</t>
  </si>
  <si>
    <t>M1603</t>
  </si>
  <si>
    <t>C81346</t>
  </si>
  <si>
    <t>186.2.174.70</t>
  </si>
  <si>
    <t>D155798</t>
  </si>
  <si>
    <t>TX1002882</t>
  </si>
  <si>
    <t>M1582</t>
  </si>
  <si>
    <t>C58376</t>
  </si>
  <si>
    <t>13.14.143.218</t>
  </si>
  <si>
    <t>D165665</t>
  </si>
  <si>
    <t>TX1000964</t>
  </si>
  <si>
    <t>C82994</t>
  </si>
  <si>
    <t>250.164.223.182</t>
  </si>
  <si>
    <t>D162629</t>
  </si>
  <si>
    <t>TX1000445</t>
  </si>
  <si>
    <t>C84370</t>
  </si>
  <si>
    <t>85.124.185.60</t>
  </si>
  <si>
    <t>D159745</t>
  </si>
  <si>
    <t>TX1000617</t>
  </si>
  <si>
    <t>C95805</t>
  </si>
  <si>
    <t>71.127.148.231</t>
  </si>
  <si>
    <t>D130263</t>
  </si>
  <si>
    <t>TX1001220</t>
  </si>
  <si>
    <t>M1624</t>
  </si>
  <si>
    <t>C69348</t>
  </si>
  <si>
    <t>6.75.204.5</t>
  </si>
  <si>
    <t>D149820</t>
  </si>
  <si>
    <t>TX1001071</t>
  </si>
  <si>
    <t>C61636</t>
  </si>
  <si>
    <t>196.199.80.95</t>
  </si>
  <si>
    <t>D132281</t>
  </si>
  <si>
    <t>TX1001068</t>
  </si>
  <si>
    <t>M1381</t>
  </si>
  <si>
    <t>C92927</t>
  </si>
  <si>
    <t>194.23.38.30</t>
  </si>
  <si>
    <t>D199374</t>
  </si>
  <si>
    <t>TX1001128</t>
  </si>
  <si>
    <t>C90569</t>
  </si>
  <si>
    <t>162.243.55.97</t>
  </si>
  <si>
    <t>D147810</t>
  </si>
  <si>
    <t>TX1001563</t>
  </si>
  <si>
    <t>C86132</t>
  </si>
  <si>
    <t>161.85.235.141</t>
  </si>
  <si>
    <t>D185316</t>
  </si>
  <si>
    <t>TX1002554</t>
  </si>
  <si>
    <t>M1951</t>
  </si>
  <si>
    <t>C92536</t>
  </si>
  <si>
    <t>78.74.59.29</t>
  </si>
  <si>
    <t>D191335</t>
  </si>
  <si>
    <t>TX1000547</t>
  </si>
  <si>
    <t>M1587</t>
  </si>
  <si>
    <t>C78881</t>
  </si>
  <si>
    <t>10.61.159.240</t>
  </si>
  <si>
    <t>D138198</t>
  </si>
  <si>
    <t>TX1001776</t>
  </si>
  <si>
    <t>C83029</t>
  </si>
  <si>
    <t>227.18.112.95</t>
  </si>
  <si>
    <t>D135559</t>
  </si>
  <si>
    <t>TX1001330</t>
  </si>
  <si>
    <t>M1543</t>
  </si>
  <si>
    <t>C89960</t>
  </si>
  <si>
    <t>187.136.199.245</t>
  </si>
  <si>
    <t>D130851</t>
  </si>
  <si>
    <t>TX1000263</t>
  </si>
  <si>
    <t>M1349</t>
  </si>
  <si>
    <t>C62129</t>
  </si>
  <si>
    <t>5.2.202.30</t>
  </si>
  <si>
    <t>D101743</t>
  </si>
  <si>
    <t>TX1002086</t>
  </si>
  <si>
    <t>M1942</t>
  </si>
  <si>
    <t>C72352</t>
  </si>
  <si>
    <t>205.169.58.106</t>
  </si>
  <si>
    <t>D177688</t>
  </si>
  <si>
    <t>TX1002355</t>
  </si>
  <si>
    <t>C99685</t>
  </si>
  <si>
    <t>211.20.179.15</t>
  </si>
  <si>
    <t>D128565</t>
  </si>
  <si>
    <t>TX1001818</t>
  </si>
  <si>
    <t>M1295</t>
  </si>
  <si>
    <t>C70327</t>
  </si>
  <si>
    <t>145.18.190.136</t>
  </si>
  <si>
    <t>D128278</t>
  </si>
  <si>
    <t>TX1000353</t>
  </si>
  <si>
    <t>C73234</t>
  </si>
  <si>
    <t>22.78.210.32</t>
  </si>
  <si>
    <t>D163886</t>
  </si>
  <si>
    <t>TX1000867</t>
  </si>
  <si>
    <t>C54919</t>
  </si>
  <si>
    <t>178.56.180.249</t>
  </si>
  <si>
    <t>D177780</t>
  </si>
  <si>
    <t>TX1000208</t>
  </si>
  <si>
    <t>C64927</t>
  </si>
  <si>
    <t>150.248.27.228</t>
  </si>
  <si>
    <t>D157129</t>
  </si>
  <si>
    <t>TX1000613</t>
  </si>
  <si>
    <t>C54605</t>
  </si>
  <si>
    <t>176.216.104.11</t>
  </si>
  <si>
    <t>D186546</t>
  </si>
  <si>
    <t>TX1000869</t>
  </si>
  <si>
    <t>C93985</t>
  </si>
  <si>
    <t>149.11.227.69</t>
  </si>
  <si>
    <t>D182234</t>
  </si>
  <si>
    <t>TX1001656</t>
  </si>
  <si>
    <t>M1560</t>
  </si>
  <si>
    <t>C82072</t>
  </si>
  <si>
    <t>126.25.3.144</t>
  </si>
  <si>
    <t>D185858</t>
  </si>
  <si>
    <t>TX1001620</t>
  </si>
  <si>
    <t>C85141</t>
  </si>
  <si>
    <t>205.245.71.79</t>
  </si>
  <si>
    <t>D154379</t>
  </si>
  <si>
    <t>TX1001450</t>
  </si>
  <si>
    <t>C52042</t>
  </si>
  <si>
    <t>24.191.28.99</t>
  </si>
  <si>
    <t>D197999</t>
  </si>
  <si>
    <t>TX1002243</t>
  </si>
  <si>
    <t>C57061</t>
  </si>
  <si>
    <t>9.203.68.146</t>
  </si>
  <si>
    <t>D184537</t>
  </si>
  <si>
    <t>TX1001503</t>
  </si>
  <si>
    <t>C79378</t>
  </si>
  <si>
    <t>227.104.76.70</t>
  </si>
  <si>
    <t>D193938</t>
  </si>
  <si>
    <t>TX1000057</t>
  </si>
  <si>
    <t>C50417</t>
  </si>
  <si>
    <t>195.192.157.27</t>
  </si>
  <si>
    <t>D126895</t>
  </si>
  <si>
    <t>TX1001817</t>
  </si>
  <si>
    <t>C52978</t>
  </si>
  <si>
    <t>141.124.230.201</t>
  </si>
  <si>
    <t>D103682</t>
  </si>
  <si>
    <t>TX1000811</t>
  </si>
  <si>
    <t>M1205</t>
  </si>
  <si>
    <t>C65690</t>
  </si>
  <si>
    <t>171.29.186.137</t>
  </si>
  <si>
    <t>D130913</t>
  </si>
  <si>
    <t>TX1002194</t>
  </si>
  <si>
    <t>C71401</t>
  </si>
  <si>
    <t>156.23.98.123</t>
  </si>
  <si>
    <t>D103107</t>
  </si>
  <si>
    <t>TX1000561</t>
  </si>
  <si>
    <t>C64218</t>
  </si>
  <si>
    <t>94.237.209.96</t>
  </si>
  <si>
    <t>D184410</t>
  </si>
  <si>
    <t>TX1002050</t>
  </si>
  <si>
    <t>M1871</t>
  </si>
  <si>
    <t>C54587</t>
  </si>
  <si>
    <t>31.123.5.241</t>
  </si>
  <si>
    <t>D125936</t>
  </si>
  <si>
    <t>TX1000229</t>
  </si>
  <si>
    <t>C53884</t>
  </si>
  <si>
    <t>53.102.94.172</t>
  </si>
  <si>
    <t>D146076</t>
  </si>
  <si>
    <t>TX1002770</t>
  </si>
  <si>
    <t>M1391</t>
  </si>
  <si>
    <t>C59876</t>
  </si>
  <si>
    <t>49.43.0.177</t>
  </si>
  <si>
    <t>D168830</t>
  </si>
  <si>
    <t>TX1001723</t>
  </si>
  <si>
    <t>C77555</t>
  </si>
  <si>
    <t>3.103.107.18</t>
  </si>
  <si>
    <t>D176400</t>
  </si>
  <si>
    <t>TX1002714</t>
  </si>
  <si>
    <t>C52889</t>
  </si>
  <si>
    <t>253.179.120.88</t>
  </si>
  <si>
    <t>D100420</t>
  </si>
  <si>
    <t>TX1001868</t>
  </si>
  <si>
    <t>M1146</t>
  </si>
  <si>
    <t>C93418</t>
  </si>
  <si>
    <t>207.1.186.92</t>
  </si>
  <si>
    <t>D190320</t>
  </si>
  <si>
    <t>TX1001236</t>
  </si>
  <si>
    <t>M1851</t>
  </si>
  <si>
    <t>C72504</t>
  </si>
  <si>
    <t>17.233.247.96</t>
  </si>
  <si>
    <t>D148539</t>
  </si>
  <si>
    <t>TX1001073</t>
  </si>
  <si>
    <t>M1255</t>
  </si>
  <si>
    <t>C63274</t>
  </si>
  <si>
    <t>27.173.243.21</t>
  </si>
  <si>
    <t>TX1002798</t>
  </si>
  <si>
    <t>C84401</t>
  </si>
  <si>
    <t>143.61.250.157</t>
  </si>
  <si>
    <t>D150828</t>
  </si>
  <si>
    <t>TX1001889</t>
  </si>
  <si>
    <t>M1980</t>
  </si>
  <si>
    <t>C65984</t>
  </si>
  <si>
    <t>219.240.105.116</t>
  </si>
  <si>
    <t>D169616</t>
  </si>
  <si>
    <t>TX1000929</t>
  </si>
  <si>
    <t>C51520</t>
  </si>
  <si>
    <t>47.46.82.209</t>
  </si>
  <si>
    <t>D148636</t>
  </si>
  <si>
    <t>TX1001055</t>
  </si>
  <si>
    <t>M1290</t>
  </si>
  <si>
    <t>C91098</t>
  </si>
  <si>
    <t>87.6.82.230</t>
  </si>
  <si>
    <t>D121703</t>
  </si>
  <si>
    <t>TX1000707</t>
  </si>
  <si>
    <t>C94106</t>
  </si>
  <si>
    <t>69.128.93.240</t>
  </si>
  <si>
    <t>D168627</t>
  </si>
  <si>
    <t>TX1000424</t>
  </si>
  <si>
    <t>M1395</t>
  </si>
  <si>
    <t>C77321</t>
  </si>
  <si>
    <t>9.227.21.233</t>
  </si>
  <si>
    <t>D146494</t>
  </si>
  <si>
    <t>TX1000069</t>
  </si>
  <si>
    <t>C66820</t>
  </si>
  <si>
    <t>227.211.252.226</t>
  </si>
  <si>
    <t>D149638</t>
  </si>
  <si>
    <t>TX1000842</t>
  </si>
  <si>
    <t>C76699</t>
  </si>
  <si>
    <t>118.149.93.68</t>
  </si>
  <si>
    <t>D153290</t>
  </si>
  <si>
    <t>TX1001835</t>
  </si>
  <si>
    <t>C58101</t>
  </si>
  <si>
    <t>118.150.77.250</t>
  </si>
  <si>
    <t>D175389</t>
  </si>
  <si>
    <t>TX1002618</t>
  </si>
  <si>
    <t>C91227</t>
  </si>
  <si>
    <t>234.100.20.197</t>
  </si>
  <si>
    <t>D129173</t>
  </si>
  <si>
    <t>TX1002531</t>
  </si>
  <si>
    <t>M1302</t>
  </si>
  <si>
    <t>C96316</t>
  </si>
  <si>
    <t>22.93.126.221</t>
  </si>
  <si>
    <t>D127058</t>
  </si>
  <si>
    <t>TX1001727</t>
  </si>
  <si>
    <t>M1423</t>
  </si>
  <si>
    <t>C87407</t>
  </si>
  <si>
    <t>147.143.46.198</t>
  </si>
  <si>
    <t>D193418</t>
  </si>
  <si>
    <t>TX1002583</t>
  </si>
  <si>
    <t>C93207</t>
  </si>
  <si>
    <t>145.42.107.227</t>
  </si>
  <si>
    <t>D194811</t>
  </si>
  <si>
    <t>TX1001665</t>
  </si>
  <si>
    <t>C60357</t>
  </si>
  <si>
    <t>177.68.47.96</t>
  </si>
  <si>
    <t>D152213</t>
  </si>
  <si>
    <t>TX1002251</t>
  </si>
  <si>
    <t>C95371</t>
  </si>
  <si>
    <t>208.59.223.95</t>
  </si>
  <si>
    <t>D127811</t>
  </si>
  <si>
    <t>TX1000620</t>
  </si>
  <si>
    <t>M1319</t>
  </si>
  <si>
    <t>C54376</t>
  </si>
  <si>
    <t>141.240.216.230</t>
  </si>
  <si>
    <t>D122010</t>
  </si>
  <si>
    <t>TX1000859</t>
  </si>
  <si>
    <t>C85208</t>
  </si>
  <si>
    <t>146.254.226.164</t>
  </si>
  <si>
    <t>D168736</t>
  </si>
  <si>
    <t>TX1001904</t>
  </si>
  <si>
    <t>C51180</t>
  </si>
  <si>
    <t>246.195.160.47</t>
  </si>
  <si>
    <t>D198218</t>
  </si>
  <si>
    <t>TX1000862</t>
  </si>
  <si>
    <t>M1562</t>
  </si>
  <si>
    <t>C64374</t>
  </si>
  <si>
    <t>1.31.2.90</t>
  </si>
  <si>
    <t>D125782</t>
  </si>
  <si>
    <t>TX1001034</t>
  </si>
  <si>
    <t>C61281</t>
  </si>
  <si>
    <t>87.212.67.75</t>
  </si>
  <si>
    <t>D189560</t>
  </si>
  <si>
    <t>TX1001507</t>
  </si>
  <si>
    <t>M1063</t>
  </si>
  <si>
    <t>C96648</t>
  </si>
  <si>
    <t>161.254.252.70</t>
  </si>
  <si>
    <t>D148772</t>
  </si>
  <si>
    <t>TX1001743</t>
  </si>
  <si>
    <t>M1053</t>
  </si>
  <si>
    <t>C68935</t>
  </si>
  <si>
    <t>32.248.128.219</t>
  </si>
  <si>
    <t>D193619</t>
  </si>
  <si>
    <t>TX1001584</t>
  </si>
  <si>
    <t>M1413</t>
  </si>
  <si>
    <t>C68587</t>
  </si>
  <si>
    <t>110.147.125.35</t>
  </si>
  <si>
    <t>D132435</t>
  </si>
  <si>
    <t>TX1002971</t>
  </si>
  <si>
    <t>C73728</t>
  </si>
  <si>
    <t>35.65.153.69</t>
  </si>
  <si>
    <t>D189313</t>
  </si>
  <si>
    <t>TX1001397</t>
  </si>
  <si>
    <t>C93569</t>
  </si>
  <si>
    <t>7.72.153.244</t>
  </si>
  <si>
    <t>D107429</t>
  </si>
  <si>
    <t>TX1000279</t>
  </si>
  <si>
    <t>M1156</t>
  </si>
  <si>
    <t>C69983</t>
  </si>
  <si>
    <t>108.24.156.228</t>
  </si>
  <si>
    <t>D137156</t>
  </si>
  <si>
    <t>TX1001174</t>
  </si>
  <si>
    <t>M1608</t>
  </si>
  <si>
    <t>C92195</t>
  </si>
  <si>
    <t>13.193.74.149</t>
  </si>
  <si>
    <t>D112345</t>
  </si>
  <si>
    <t>TX1001505</t>
  </si>
  <si>
    <t>M1959</t>
  </si>
  <si>
    <t>C87695</t>
  </si>
  <si>
    <t>129.232.198.27</t>
  </si>
  <si>
    <t>D188500</t>
  </si>
  <si>
    <t>TX1001378</t>
  </si>
  <si>
    <t>C67186</t>
  </si>
  <si>
    <t>89.73.92.109</t>
  </si>
  <si>
    <t>D158459</t>
  </si>
  <si>
    <t>TX1001831</t>
  </si>
  <si>
    <t>M1827</t>
  </si>
  <si>
    <t>C66156</t>
  </si>
  <si>
    <t>172.213.1.181</t>
  </si>
  <si>
    <t>D163680</t>
  </si>
  <si>
    <t>TX1001650</t>
  </si>
  <si>
    <t>M1904</t>
  </si>
  <si>
    <t>C99660</t>
  </si>
  <si>
    <t>233.246.58.96</t>
  </si>
  <si>
    <t>D109532</t>
  </si>
  <si>
    <t>TX1000553</t>
  </si>
  <si>
    <t>C91038</t>
  </si>
  <si>
    <t>97.142.97.210</t>
  </si>
  <si>
    <t>D163991</t>
  </si>
  <si>
    <t>TX1000834</t>
  </si>
  <si>
    <t>M1963</t>
  </si>
  <si>
    <t>C63192</t>
  </si>
  <si>
    <t>9.11.208.63</t>
  </si>
  <si>
    <t>D146268</t>
  </si>
  <si>
    <t>TX1002461</t>
  </si>
  <si>
    <t>C54643</t>
  </si>
  <si>
    <t>66.131.28.84</t>
  </si>
  <si>
    <t>D148481</t>
  </si>
  <si>
    <t>TX1000596</t>
  </si>
  <si>
    <t>C85651</t>
  </si>
  <si>
    <t>190.116.171.126</t>
  </si>
  <si>
    <t>D115325</t>
  </si>
  <si>
    <t>TX1001467</t>
  </si>
  <si>
    <t>C90406</t>
  </si>
  <si>
    <t>116.144.177.222</t>
  </si>
  <si>
    <t>D116711</t>
  </si>
  <si>
    <t>TX1000802</t>
  </si>
  <si>
    <t>M1547</t>
  </si>
  <si>
    <t>C64152</t>
  </si>
  <si>
    <t>123.88.141.85</t>
  </si>
  <si>
    <t>D140762</t>
  </si>
  <si>
    <t>TX1002138</t>
  </si>
  <si>
    <t>C75672</t>
  </si>
  <si>
    <t>79.10.13.72</t>
  </si>
  <si>
    <t>D133577</t>
  </si>
  <si>
    <t>TX1002988</t>
  </si>
  <si>
    <t>C64587</t>
  </si>
  <si>
    <t>209.98.103.82</t>
  </si>
  <si>
    <t>D176147</t>
  </si>
  <si>
    <t>TX1002721</t>
  </si>
  <si>
    <t>C68707</t>
  </si>
  <si>
    <t>157.101.77.2</t>
  </si>
  <si>
    <t>D145343</t>
  </si>
  <si>
    <t>TX1000440</t>
  </si>
  <si>
    <t>C93203</t>
  </si>
  <si>
    <t>170.164.135.217</t>
  </si>
  <si>
    <t>D123433</t>
  </si>
  <si>
    <t>TX1000508</t>
  </si>
  <si>
    <t>C65191</t>
  </si>
  <si>
    <t>77.107.79.83</t>
  </si>
  <si>
    <t>D120498</t>
  </si>
  <si>
    <t>TX1000076</t>
  </si>
  <si>
    <t>M1548</t>
  </si>
  <si>
    <t>C76928</t>
  </si>
  <si>
    <t>104.73.205.10</t>
  </si>
  <si>
    <t>D151877</t>
  </si>
  <si>
    <t>TX1002210</t>
  </si>
  <si>
    <t>C53934</t>
  </si>
  <si>
    <t>78.66.107.104</t>
  </si>
  <si>
    <t>D123297</t>
  </si>
  <si>
    <t>TX1000649</t>
  </si>
  <si>
    <t>C84403</t>
  </si>
  <si>
    <t>82.63.93.148</t>
  </si>
  <si>
    <t>D127827</t>
  </si>
  <si>
    <t>TX1000522</t>
  </si>
  <si>
    <t>C76453</t>
  </si>
  <si>
    <t>228.240.17.189</t>
  </si>
  <si>
    <t>D118919</t>
  </si>
  <si>
    <t>TX1002250</t>
  </si>
  <si>
    <t>M1497</t>
  </si>
  <si>
    <t>C70229</t>
  </si>
  <si>
    <t>28.237.238.105</t>
  </si>
  <si>
    <t>D132405</t>
  </si>
  <si>
    <t>TX1001044</t>
  </si>
  <si>
    <t>M1893</t>
  </si>
  <si>
    <t>C91796</t>
  </si>
  <si>
    <t>83.132.36.161</t>
  </si>
  <si>
    <t>D158349</t>
  </si>
  <si>
    <t>TX1002719</t>
  </si>
  <si>
    <t>M1189</t>
  </si>
  <si>
    <t>C51508</t>
  </si>
  <si>
    <t>127.171.42.137</t>
  </si>
  <si>
    <t>D129880</t>
  </si>
  <si>
    <t>TX1000654</t>
  </si>
  <si>
    <t>M1041</t>
  </si>
  <si>
    <t>C98816</t>
  </si>
  <si>
    <t>1.107.56.213</t>
  </si>
  <si>
    <t>D191255</t>
  </si>
  <si>
    <t>TX1001178</t>
  </si>
  <si>
    <t>C88060</t>
  </si>
  <si>
    <t>128.39.218.254</t>
  </si>
  <si>
    <t>D164717</t>
  </si>
  <si>
    <t>TX1002460</t>
  </si>
  <si>
    <t>C75571</t>
  </si>
  <si>
    <t>103.137.211.80</t>
  </si>
  <si>
    <t>D190455</t>
  </si>
  <si>
    <t>TX1001195</t>
  </si>
  <si>
    <t>C93397</t>
  </si>
  <si>
    <t>54.188.222.148</t>
  </si>
  <si>
    <t>D167780</t>
  </si>
  <si>
    <t>TX1001936</t>
  </si>
  <si>
    <t>C97638</t>
  </si>
  <si>
    <t>238.11.216.140</t>
  </si>
  <si>
    <t>D109840</t>
  </si>
  <si>
    <t>TX1000630</t>
  </si>
  <si>
    <t>M1231</t>
  </si>
  <si>
    <t>C81679</t>
  </si>
  <si>
    <t>77.131.54.211</t>
  </si>
  <si>
    <t>D119394</t>
  </si>
  <si>
    <t>TX1002345</t>
  </si>
  <si>
    <t>C70179</t>
  </si>
  <si>
    <t>209.230.250.121</t>
  </si>
  <si>
    <t>D138143</t>
  </si>
  <si>
    <t>TX1001509</t>
  </si>
  <si>
    <t>94.113.175.231</t>
  </si>
  <si>
    <t>D103915</t>
  </si>
  <si>
    <t>TX1000952</t>
  </si>
  <si>
    <t>C86047</t>
  </si>
  <si>
    <t>180.80.252.47</t>
  </si>
  <si>
    <t>D170899</t>
  </si>
  <si>
    <t>TX1000482</t>
  </si>
  <si>
    <t>C68559</t>
  </si>
  <si>
    <t>126.13.113.227</t>
  </si>
  <si>
    <t>D179760</t>
  </si>
  <si>
    <t>TX1002775</t>
  </si>
  <si>
    <t>C94387</t>
  </si>
  <si>
    <t>104.152.126.7</t>
  </si>
  <si>
    <t>D194262</t>
  </si>
  <si>
    <t>TX1002621</t>
  </si>
  <si>
    <t>C54524</t>
  </si>
  <si>
    <t>246.119.81.107</t>
  </si>
  <si>
    <t>D160556</t>
  </si>
  <si>
    <t>TX1002672</t>
  </si>
  <si>
    <t>C92582</t>
  </si>
  <si>
    <t>105.56.97.23</t>
  </si>
  <si>
    <t>D138742</t>
  </si>
  <si>
    <t>TX1001090</t>
  </si>
  <si>
    <t>C94060</t>
  </si>
  <si>
    <t>2.241.208.44</t>
  </si>
  <si>
    <t>D125188</t>
  </si>
  <si>
    <t>TX1000438</t>
  </si>
  <si>
    <t>C51703</t>
  </si>
  <si>
    <t>56.14.174.186</t>
  </si>
  <si>
    <t>D181465</t>
  </si>
  <si>
    <t>TX1002259</t>
  </si>
  <si>
    <t>C88119</t>
  </si>
  <si>
    <t>190.99.104.73</t>
  </si>
  <si>
    <t>D194148</t>
  </si>
  <si>
    <t>TX1001861</t>
  </si>
  <si>
    <t>C95580</t>
  </si>
  <si>
    <t>215.255.123.61</t>
  </si>
  <si>
    <t>D135057</t>
  </si>
  <si>
    <t>TX1000856</t>
  </si>
  <si>
    <t>M1946</t>
  </si>
  <si>
    <t>C52755</t>
  </si>
  <si>
    <t>112.125.237.172</t>
  </si>
  <si>
    <t>D194398</t>
  </si>
  <si>
    <t>TX1002764</t>
  </si>
  <si>
    <t>C84940</t>
  </si>
  <si>
    <t>57.105.103.245</t>
  </si>
  <si>
    <t>D150774</t>
  </si>
  <si>
    <t>TX1000166</t>
  </si>
  <si>
    <t>M1111</t>
  </si>
  <si>
    <t>C52779</t>
  </si>
  <si>
    <t>133.25.97.75</t>
  </si>
  <si>
    <t>D157613</t>
  </si>
  <si>
    <t>TX1000059</t>
  </si>
  <si>
    <t>C63284</t>
  </si>
  <si>
    <t>81.208.61.138</t>
  </si>
  <si>
    <t>D146961</t>
  </si>
  <si>
    <t>TX1000611</t>
  </si>
  <si>
    <t>M1252</t>
  </si>
  <si>
    <t>C91513</t>
  </si>
  <si>
    <t>124.138.235.138</t>
  </si>
  <si>
    <t>TX1000530</t>
  </si>
  <si>
    <t>M1982</t>
  </si>
  <si>
    <t>C99490</t>
  </si>
  <si>
    <t>166.214.200.152</t>
  </si>
  <si>
    <t>D125345</t>
  </si>
  <si>
    <t>TX1001709</t>
  </si>
  <si>
    <t>C50046</t>
  </si>
  <si>
    <t>141.51.34.41</t>
  </si>
  <si>
    <t>D101495</t>
  </si>
  <si>
    <t>TX1000049</t>
  </si>
  <si>
    <t>C76981</t>
  </si>
  <si>
    <t>90.219.161.203</t>
  </si>
  <si>
    <t>D118327</t>
  </si>
  <si>
    <t>TX1002033</t>
  </si>
  <si>
    <t>C83623</t>
  </si>
  <si>
    <t>49.193.19.73</t>
  </si>
  <si>
    <t>D117108</t>
  </si>
  <si>
    <t>TX1002578</t>
  </si>
  <si>
    <t>M1727</t>
  </si>
  <si>
    <t>C80320</t>
  </si>
  <si>
    <t>142.51.131.109</t>
  </si>
  <si>
    <t>D130937</t>
  </si>
  <si>
    <t>TX1000858</t>
  </si>
  <si>
    <t>C61330</t>
  </si>
  <si>
    <t>138.78.222.140</t>
  </si>
  <si>
    <t>D154677</t>
  </si>
  <si>
    <t>TX1001018</t>
  </si>
  <si>
    <t>C71390</t>
  </si>
  <si>
    <t>94.109.49.175</t>
  </si>
  <si>
    <t>D141926</t>
  </si>
  <si>
    <t>TX1000048</t>
  </si>
  <si>
    <t>C77676</t>
  </si>
  <si>
    <t>95.153.70.98</t>
  </si>
  <si>
    <t>D198717</t>
  </si>
  <si>
    <t>TX1000719</t>
  </si>
  <si>
    <t>C51587</t>
  </si>
  <si>
    <t>46.92.179.123</t>
  </si>
  <si>
    <t>D160851</t>
  </si>
  <si>
    <t>TX1001173</t>
  </si>
  <si>
    <t>M1386</t>
  </si>
  <si>
    <t>C65160</t>
  </si>
  <si>
    <t>125.116.205.187</t>
  </si>
  <si>
    <t>D129755</t>
  </si>
  <si>
    <t>TX1001811</t>
  </si>
  <si>
    <t>C65515</t>
  </si>
  <si>
    <t>81.10.202.208</t>
  </si>
  <si>
    <t>D120503</t>
  </si>
  <si>
    <t>TX1002248</t>
  </si>
  <si>
    <t>M1342</t>
  </si>
  <si>
    <t>C50079</t>
  </si>
  <si>
    <t>217.139.25.59</t>
  </si>
  <si>
    <t>D179037</t>
  </si>
  <si>
    <t>TX1001161</t>
  </si>
  <si>
    <t>C94782</t>
  </si>
  <si>
    <t>208.32.231.55</t>
  </si>
  <si>
    <t>D121197</t>
  </si>
  <si>
    <t>TX1000632</t>
  </si>
  <si>
    <t>C82234</t>
  </si>
  <si>
    <t>157.84.172.41</t>
  </si>
  <si>
    <t>D178378</t>
  </si>
  <si>
    <t>TX1001609</t>
  </si>
  <si>
    <t>M1948</t>
  </si>
  <si>
    <t>52.199.176.18</t>
  </si>
  <si>
    <t>D166710</t>
  </si>
  <si>
    <t>TX1002129</t>
  </si>
  <si>
    <t>M1830</t>
  </si>
  <si>
    <t>C79017</t>
  </si>
  <si>
    <t>59.178.17.72</t>
  </si>
  <si>
    <t>D154392</t>
  </si>
  <si>
    <t>TX1002241</t>
  </si>
  <si>
    <t>C52048</t>
  </si>
  <si>
    <t>4.105.120.44</t>
  </si>
  <si>
    <t>D162122</t>
  </si>
  <si>
    <t>TX1001859</t>
  </si>
  <si>
    <t>M1434</t>
  </si>
  <si>
    <t>C62342</t>
  </si>
  <si>
    <t>3.220.17.200</t>
  </si>
  <si>
    <t>D142412</t>
  </si>
  <si>
    <t>TX1000025</t>
  </si>
  <si>
    <t>M1499</t>
  </si>
  <si>
    <t>C84879</t>
  </si>
  <si>
    <t>207.91.54.236</t>
  </si>
  <si>
    <t>D112624</t>
  </si>
  <si>
    <t>TX1001809</t>
  </si>
  <si>
    <t>M1924</t>
  </si>
  <si>
    <t>C90687</t>
  </si>
  <si>
    <t>127.113.64.188</t>
  </si>
  <si>
    <t>D124562</t>
  </si>
  <si>
    <t>TX1000219</t>
  </si>
  <si>
    <t>C51633</t>
  </si>
  <si>
    <t>250.169.151.122</t>
  </si>
  <si>
    <t>D137988</t>
  </si>
  <si>
    <t>TX1002320</t>
  </si>
  <si>
    <t>C57344</t>
  </si>
  <si>
    <t>99.62.221.115</t>
  </si>
  <si>
    <t>D119117</t>
  </si>
  <si>
    <t>TX1000276</t>
  </si>
  <si>
    <t>C96835</t>
  </si>
  <si>
    <t>73.71.193.134</t>
  </si>
  <si>
    <t>D196667</t>
  </si>
  <si>
    <t>TX1002159</t>
  </si>
  <si>
    <t>C84880</t>
  </si>
  <si>
    <t>78.155.130.58</t>
  </si>
  <si>
    <t>D195933</t>
  </si>
  <si>
    <t>TX1001731</t>
  </si>
  <si>
    <t>M1696</t>
  </si>
  <si>
    <t>C85275</t>
  </si>
  <si>
    <t>134.148.202.120</t>
  </si>
  <si>
    <t>D187081</t>
  </si>
  <si>
    <t>TX1001237</t>
  </si>
  <si>
    <t>M1210</t>
  </si>
  <si>
    <t>C68061</t>
  </si>
  <si>
    <t>87.243.139.113</t>
  </si>
  <si>
    <t>D158319</t>
  </si>
  <si>
    <t>TX1001465</t>
  </si>
  <si>
    <t>C95767</t>
  </si>
  <si>
    <t>132.113.135.178</t>
  </si>
  <si>
    <t>D125799</t>
  </si>
  <si>
    <t>TX1001047</t>
  </si>
  <si>
    <t>M1847</t>
  </si>
  <si>
    <t>C76331</t>
  </si>
  <si>
    <t>151.67.112.124</t>
  </si>
  <si>
    <t>D119232</t>
  </si>
  <si>
    <t>TX1002540</t>
  </si>
  <si>
    <t>M1549</t>
  </si>
  <si>
    <t>C68706</t>
  </si>
  <si>
    <t>154.249.2.55</t>
  </si>
  <si>
    <t>D168574</t>
  </si>
  <si>
    <t>TX1000361</t>
  </si>
  <si>
    <t>M1428</t>
  </si>
  <si>
    <t>C66549</t>
  </si>
  <si>
    <t>115.60.223.18</t>
  </si>
  <si>
    <t>D163284</t>
  </si>
  <si>
    <t>TX1001954</t>
  </si>
  <si>
    <t>M1388</t>
  </si>
  <si>
    <t>C57936</t>
  </si>
  <si>
    <t>133.36.0.88</t>
  </si>
  <si>
    <t>D184312</t>
  </si>
  <si>
    <t>TX1001544</t>
  </si>
  <si>
    <t>C81460</t>
  </si>
  <si>
    <t>151.100.148.191</t>
  </si>
  <si>
    <t>D148285</t>
  </si>
  <si>
    <t>TX1002126</t>
  </si>
  <si>
    <t>C53588</t>
  </si>
  <si>
    <t>215.83.215.18</t>
  </si>
  <si>
    <t>D164209</t>
  </si>
  <si>
    <t>TX1002893</t>
  </si>
  <si>
    <t>C90572</t>
  </si>
  <si>
    <t>218.96.189.61</t>
  </si>
  <si>
    <t>D127671</t>
  </si>
  <si>
    <t>TX1001326</t>
  </si>
  <si>
    <t>C91816</t>
  </si>
  <si>
    <t>68.59.223.156</t>
  </si>
  <si>
    <t>D131291</t>
  </si>
  <si>
    <t>TX1002358</t>
  </si>
  <si>
    <t>C64024</t>
  </si>
  <si>
    <t>65.103.240.231</t>
  </si>
  <si>
    <t>D115991</t>
  </si>
  <si>
    <t>TX1001116</t>
  </si>
  <si>
    <t>C59215</t>
  </si>
  <si>
    <t>227.77.13.211</t>
  </si>
  <si>
    <t>D106423</t>
  </si>
  <si>
    <t>TX1001849</t>
  </si>
  <si>
    <t>C53439</t>
  </si>
  <si>
    <t>31.151.162.120</t>
  </si>
  <si>
    <t>D196792</t>
  </si>
  <si>
    <t>TX1002845</t>
  </si>
  <si>
    <t>M1565</t>
  </si>
  <si>
    <t>C50711</t>
  </si>
  <si>
    <t>77.102.100.241</t>
  </si>
  <si>
    <t>D111589</t>
  </si>
  <si>
    <t>TX1002631</t>
  </si>
  <si>
    <t>C94709</t>
  </si>
  <si>
    <t>189.194.253.145</t>
  </si>
  <si>
    <t>D180570</t>
  </si>
  <si>
    <t>TX1000297</t>
  </si>
  <si>
    <t>M1838</t>
  </si>
  <si>
    <t>C53578</t>
  </si>
  <si>
    <t>171.243.239.154</t>
  </si>
  <si>
    <t>D190756</t>
  </si>
  <si>
    <t>TX1001187</t>
  </si>
  <si>
    <t>C87745</t>
  </si>
  <si>
    <t>17.98.239.10</t>
  </si>
  <si>
    <t>D141932</t>
  </si>
  <si>
    <t>TX1000937</t>
  </si>
  <si>
    <t>M1591</t>
  </si>
  <si>
    <t>C99058</t>
  </si>
  <si>
    <t>230.152.74.100</t>
  </si>
  <si>
    <t>D109528</t>
  </si>
  <si>
    <t>TX1000240</t>
  </si>
  <si>
    <t>C87121</t>
  </si>
  <si>
    <t>130.153.221.170</t>
  </si>
  <si>
    <t>D170772</t>
  </si>
  <si>
    <t>TX1001425</t>
  </si>
  <si>
    <t>C60878</t>
  </si>
  <si>
    <t>106.9.75.139</t>
  </si>
  <si>
    <t>D156410</t>
  </si>
  <si>
    <t>TX1000582</t>
  </si>
  <si>
    <t>M1025</t>
  </si>
  <si>
    <t>C92204</t>
  </si>
  <si>
    <t>143.80.227.195</t>
  </si>
  <si>
    <t>D141168</t>
  </si>
  <si>
    <t>TX1001607</t>
  </si>
  <si>
    <t>M1802</t>
  </si>
  <si>
    <t>C66804</t>
  </si>
  <si>
    <t>108.184.161.115</t>
  </si>
  <si>
    <t>D135485</t>
  </si>
  <si>
    <t>TX1001960</t>
  </si>
  <si>
    <t>C97415</t>
  </si>
  <si>
    <t>255.252.50.93</t>
  </si>
  <si>
    <t>D184250</t>
  </si>
  <si>
    <t>TX1001336</t>
  </si>
  <si>
    <t>30.155.131.182</t>
  </si>
  <si>
    <t>D116894</t>
  </si>
  <si>
    <t>TX1002440</t>
  </si>
  <si>
    <t>C71890</t>
  </si>
  <si>
    <t>128.10.97.167</t>
  </si>
  <si>
    <t>D135303</t>
  </si>
  <si>
    <t>TX1001674</t>
  </si>
  <si>
    <t>M1722</t>
  </si>
  <si>
    <t>C77730</t>
  </si>
  <si>
    <t>190.139.233.250</t>
  </si>
  <si>
    <t>D142423</t>
  </si>
  <si>
    <t>TX1000350</t>
  </si>
  <si>
    <t>C83751</t>
  </si>
  <si>
    <t>49.3.217.180</t>
  </si>
  <si>
    <t>D170035</t>
  </si>
  <si>
    <t>TX1002970</t>
  </si>
  <si>
    <t>M1005</t>
  </si>
  <si>
    <t>C62051</t>
  </si>
  <si>
    <t>22.121.97.119</t>
  </si>
  <si>
    <t>D170054</t>
  </si>
  <si>
    <t>TX1001222</t>
  </si>
  <si>
    <t>C73227</t>
  </si>
  <si>
    <t>114.195.177.109</t>
  </si>
  <si>
    <t>D191390</t>
  </si>
  <si>
    <t>TX1000349</t>
  </si>
  <si>
    <t>C91656</t>
  </si>
  <si>
    <t>242.47.84.148</t>
  </si>
  <si>
    <t>D107525</t>
  </si>
  <si>
    <t>TX1001064</t>
  </si>
  <si>
    <t>M1249</t>
  </si>
  <si>
    <t>C63508</t>
  </si>
  <si>
    <t>137.211.87.162</t>
  </si>
  <si>
    <t>D113616</t>
  </si>
  <si>
    <t>TX1001242</t>
  </si>
  <si>
    <t>M1268</t>
  </si>
  <si>
    <t>C62675</t>
  </si>
  <si>
    <t>1.153.9.120</t>
  </si>
  <si>
    <t>D113338</t>
  </si>
  <si>
    <t>TX1000643</t>
  </si>
  <si>
    <t>C99113</t>
  </si>
  <si>
    <t>53.83.185.25</t>
  </si>
  <si>
    <t>D137850</t>
  </si>
  <si>
    <t>TX1001053</t>
  </si>
  <si>
    <t>C78782</t>
  </si>
  <si>
    <t>10.69.45.85</t>
  </si>
  <si>
    <t>D173296</t>
  </si>
  <si>
    <t>TX1000944</t>
  </si>
  <si>
    <t>M1151</t>
  </si>
  <si>
    <t>C86372</t>
  </si>
  <si>
    <t>3.228.193.175</t>
  </si>
  <si>
    <t>D127115</t>
  </si>
  <si>
    <t>TX1001149</t>
  </si>
  <si>
    <t>M1852</t>
  </si>
  <si>
    <t>C78454</t>
  </si>
  <si>
    <t>208.235.242.94</t>
  </si>
  <si>
    <t>D168750</t>
  </si>
  <si>
    <t>TX1000657</t>
  </si>
  <si>
    <t>C81844</t>
  </si>
  <si>
    <t>185.189.130.177</t>
  </si>
  <si>
    <t>D112954</t>
  </si>
  <si>
    <t>TX1002992</t>
  </si>
  <si>
    <t>M1508</t>
  </si>
  <si>
    <t>C68640</t>
  </si>
  <si>
    <t>64.212.28.30</t>
  </si>
  <si>
    <t>D106975</t>
  </si>
  <si>
    <t>TX1001957</t>
  </si>
  <si>
    <t>M1597</t>
  </si>
  <si>
    <t>C80434</t>
  </si>
  <si>
    <t>243.10.205.239</t>
  </si>
  <si>
    <t>D117058</t>
  </si>
  <si>
    <t>TX1002457</t>
  </si>
  <si>
    <t>C94984</t>
  </si>
  <si>
    <t>59.157.255.172</t>
  </si>
  <si>
    <t>D158146</t>
  </si>
  <si>
    <t>TX1002469</t>
  </si>
  <si>
    <t>M1197</t>
  </si>
  <si>
    <t>C54456</t>
  </si>
  <si>
    <t>108.136.96.98</t>
  </si>
  <si>
    <t>D117443</t>
  </si>
  <si>
    <t>TX1000647</t>
  </si>
  <si>
    <t>C80374</t>
  </si>
  <si>
    <t>122.253.174.31</t>
  </si>
  <si>
    <t>D181912</t>
  </si>
  <si>
    <t>TX1001094</t>
  </si>
  <si>
    <t>C79762</t>
  </si>
  <si>
    <t>131.114.11.99</t>
  </si>
  <si>
    <t>D129099</t>
  </si>
  <si>
    <t>TX1002014</t>
  </si>
  <si>
    <t>C50990</t>
  </si>
  <si>
    <t>208.27.116.144</t>
  </si>
  <si>
    <t>D169113</t>
  </si>
  <si>
    <t>TX1001702</t>
  </si>
  <si>
    <t>19.126.81.107</t>
  </si>
  <si>
    <t>D142777</t>
  </si>
  <si>
    <t>TX1002025</t>
  </si>
  <si>
    <t>C95786</t>
  </si>
  <si>
    <t>230.106.94.94</t>
  </si>
  <si>
    <t>D190226</t>
  </si>
  <si>
    <t>TX1000538</t>
  </si>
  <si>
    <t>M1717</t>
  </si>
  <si>
    <t>C99595</t>
  </si>
  <si>
    <t>235.207.134.38</t>
  </si>
  <si>
    <t>D193832</t>
  </si>
  <si>
    <t>TX1001302</t>
  </si>
  <si>
    <t>M1012</t>
  </si>
  <si>
    <t>C67211</t>
  </si>
  <si>
    <t>7.29.175.76</t>
  </si>
  <si>
    <t>D177313</t>
  </si>
  <si>
    <t>TX1001517</t>
  </si>
  <si>
    <t>C56089</t>
  </si>
  <si>
    <t>146.86.159.100</t>
  </si>
  <si>
    <t>D169006</t>
  </si>
  <si>
    <t>TX1002377</t>
  </si>
  <si>
    <t>C83601</t>
  </si>
  <si>
    <t>47.72.127.86</t>
  </si>
  <si>
    <t>D104868</t>
  </si>
  <si>
    <t>TX1001533</t>
  </si>
  <si>
    <t>C62054</t>
  </si>
  <si>
    <t>221.108.240.24</t>
  </si>
  <si>
    <t>D158861</t>
  </si>
  <si>
    <t>TX1001486</t>
  </si>
  <si>
    <t>C85129</t>
  </si>
  <si>
    <t>88.242.102.242</t>
  </si>
  <si>
    <t>D145451</t>
  </si>
  <si>
    <t>TX1001780</t>
  </si>
  <si>
    <t>C84641</t>
  </si>
  <si>
    <t>164.249.131.121</t>
  </si>
  <si>
    <t>D163185</t>
  </si>
  <si>
    <t>TX1000801</t>
  </si>
  <si>
    <t>C85096</t>
  </si>
  <si>
    <t>119.240.85.181</t>
  </si>
  <si>
    <t>D190535</t>
  </si>
  <si>
    <t>TX1000786</t>
  </si>
  <si>
    <t>M1360</t>
  </si>
  <si>
    <t>C90027</t>
  </si>
  <si>
    <t>93.224.131.135</t>
  </si>
  <si>
    <t>D131713</t>
  </si>
  <si>
    <t>TX1002696</t>
  </si>
  <si>
    <t>C79453</t>
  </si>
  <si>
    <t>19.221.164.138</t>
  </si>
  <si>
    <t>D171368</t>
  </si>
  <si>
    <t>TX1002043</t>
  </si>
  <si>
    <t>C72836</t>
  </si>
  <si>
    <t>95.55.26.73</t>
  </si>
  <si>
    <t>D112981</t>
  </si>
  <si>
    <t>TX1000788</t>
  </si>
  <si>
    <t>C79119</t>
  </si>
  <si>
    <t>21.186.203.41</t>
  </si>
  <si>
    <t>D126999</t>
  </si>
  <si>
    <t>TX1001543</t>
  </si>
  <si>
    <t>101.67.244.96</t>
  </si>
  <si>
    <t>D130427</t>
  </si>
  <si>
    <t>TX1001231</t>
  </si>
  <si>
    <t>C84362</t>
  </si>
  <si>
    <t>123.195.210.142</t>
  </si>
  <si>
    <t>D106398</t>
  </si>
  <si>
    <t>TX1002016</t>
  </si>
  <si>
    <t>C79792</t>
  </si>
  <si>
    <t>237.162.190.106</t>
  </si>
  <si>
    <t>D164925</t>
  </si>
  <si>
    <t>TX1000714</t>
  </si>
  <si>
    <t>C82290</t>
  </si>
  <si>
    <t>162.173.216.247</t>
  </si>
  <si>
    <t>D147672</t>
  </si>
  <si>
    <t>TX1000803</t>
  </si>
  <si>
    <t>M1181</t>
  </si>
  <si>
    <t>C90307</t>
  </si>
  <si>
    <t>16.129.45.72</t>
  </si>
  <si>
    <t>D136535</t>
  </si>
  <si>
    <t>TX1002525</t>
  </si>
  <si>
    <t>M1860</t>
  </si>
  <si>
    <t>C98750</t>
  </si>
  <si>
    <t>1.170.224.175</t>
  </si>
  <si>
    <t>D173460</t>
  </si>
  <si>
    <t>TX1001536</t>
  </si>
  <si>
    <t>C87784</t>
  </si>
  <si>
    <t>38.93.230.29</t>
  </si>
  <si>
    <t>D176148</t>
  </si>
  <si>
    <t>TX1000123</t>
  </si>
  <si>
    <t>C86540</t>
  </si>
  <si>
    <t>199.203.70.219</t>
  </si>
  <si>
    <t>D186413</t>
  </si>
  <si>
    <t>TX1002827</t>
  </si>
  <si>
    <t>C76633</t>
  </si>
  <si>
    <t>2.94.114.86</t>
  </si>
  <si>
    <t>D119242</t>
  </si>
  <si>
    <t>TX1001825</t>
  </si>
  <si>
    <t>C96543</t>
  </si>
  <si>
    <t>55.9.139.180</t>
  </si>
  <si>
    <t>D194931</t>
  </si>
  <si>
    <t>TX1001435</t>
  </si>
  <si>
    <t>M1915</t>
  </si>
  <si>
    <t>C74217</t>
  </si>
  <si>
    <t>171.113.237.159</t>
  </si>
  <si>
    <t>D187650</t>
  </si>
  <si>
    <t>TX1000618</t>
  </si>
  <si>
    <t>C87464</t>
  </si>
  <si>
    <t>23.223.130.90</t>
  </si>
  <si>
    <t>D129957</t>
  </si>
  <si>
    <t>TX1000406</t>
  </si>
  <si>
    <t>C55426</t>
  </si>
  <si>
    <t>178.39.38.249</t>
  </si>
  <si>
    <t>D164828</t>
  </si>
  <si>
    <t>TX1001159</t>
  </si>
  <si>
    <t>M1304</t>
  </si>
  <si>
    <t>C94533</t>
  </si>
  <si>
    <t>121.185.189.114</t>
  </si>
  <si>
    <t>D149623</t>
  </si>
  <si>
    <t>TX1001671</t>
  </si>
  <si>
    <t>C99148</t>
  </si>
  <si>
    <t>154.18.197.87</t>
  </si>
  <si>
    <t>D101173</t>
  </si>
  <si>
    <t>TX1001135</t>
  </si>
  <si>
    <t>M1920</t>
  </si>
  <si>
    <t>C92955</t>
  </si>
  <si>
    <t>15.19.26.135</t>
  </si>
  <si>
    <t>D178012</t>
  </si>
  <si>
    <t>TX1001642</t>
  </si>
  <si>
    <t>163.158.107.133</t>
  </si>
  <si>
    <t>D153539</t>
  </si>
  <si>
    <t>TX1000497</t>
  </si>
  <si>
    <t>M1031</t>
  </si>
  <si>
    <t>C80223</t>
  </si>
  <si>
    <t>165.56.169.224</t>
  </si>
  <si>
    <t>D120875</t>
  </si>
  <si>
    <t>TX1001872</t>
  </si>
  <si>
    <t>M1384</t>
  </si>
  <si>
    <t>C50427</t>
  </si>
  <si>
    <t>60.38.229.216</t>
  </si>
  <si>
    <t>D171231</t>
  </si>
  <si>
    <t>TX1000325</t>
  </si>
  <si>
    <t>C62374</t>
  </si>
  <si>
    <t>169.195.157.188</t>
  </si>
  <si>
    <t>D153950</t>
  </si>
  <si>
    <t>TX1000342</t>
  </si>
  <si>
    <t>C86441</t>
  </si>
  <si>
    <t>138.63.106.248</t>
  </si>
  <si>
    <t>D186321</t>
  </si>
  <si>
    <t>TX1002636</t>
  </si>
  <si>
    <t>M1399</t>
  </si>
  <si>
    <t>C50984</t>
  </si>
  <si>
    <t>7.93.40.234</t>
  </si>
  <si>
    <t>D180143</t>
  </si>
  <si>
    <t>TX1002268</t>
  </si>
  <si>
    <t>C73409</t>
  </si>
  <si>
    <t>110.108.106.180</t>
  </si>
  <si>
    <t>D103027</t>
  </si>
  <si>
    <t>TX1000782</t>
  </si>
  <si>
    <t>M1934</t>
  </si>
  <si>
    <t>C60545</t>
  </si>
  <si>
    <t>242.191.3.124</t>
  </si>
  <si>
    <t>D108639</t>
  </si>
  <si>
    <t>TX1002369</t>
  </si>
  <si>
    <t>M1997</t>
  </si>
  <si>
    <t>C89998</t>
  </si>
  <si>
    <t>82.221.223.42</t>
  </si>
  <si>
    <t>D128072</t>
  </si>
  <si>
    <t>TX1000299</t>
  </si>
  <si>
    <t>C73587</t>
  </si>
  <si>
    <t>185.89.173.217</t>
  </si>
  <si>
    <t>D172680</t>
  </si>
  <si>
    <t>TX1001525</t>
  </si>
  <si>
    <t>C90510</t>
  </si>
  <si>
    <t>158.219.48.246</t>
  </si>
  <si>
    <t>D114819</t>
  </si>
  <si>
    <t>TX1002155</t>
  </si>
  <si>
    <t>C71298</t>
  </si>
  <si>
    <t>52.69.254.1</t>
  </si>
  <si>
    <t>D167911</t>
  </si>
  <si>
    <t>TX1000303</t>
  </si>
  <si>
    <t>M1086</t>
  </si>
  <si>
    <t>C55506</t>
  </si>
  <si>
    <t>87.218.230.120</t>
  </si>
  <si>
    <t>D156689</t>
  </si>
  <si>
    <t>TX1001239</t>
  </si>
  <si>
    <t>M1055</t>
  </si>
  <si>
    <t>C95477</t>
  </si>
  <si>
    <t>32.26.24.29</t>
  </si>
  <si>
    <t>D116130</t>
  </si>
  <si>
    <t>TX1001602</t>
  </si>
  <si>
    <t>M1152</t>
  </si>
  <si>
    <t>C96935</t>
  </si>
  <si>
    <t>39.88.14.144</t>
  </si>
  <si>
    <t>D185879</t>
  </si>
  <si>
    <t>TX1002064</t>
  </si>
  <si>
    <t>C94703</t>
  </si>
  <si>
    <t>151.149.206.194</t>
  </si>
  <si>
    <t>D183235</t>
  </si>
  <si>
    <t>TX1000664</t>
  </si>
  <si>
    <t>M1375</t>
  </si>
  <si>
    <t>C95007</t>
  </si>
  <si>
    <t>9.89.215.28</t>
  </si>
  <si>
    <t>D111118</t>
  </si>
  <si>
    <t>TX1002517</t>
  </si>
  <si>
    <t>M1463</t>
  </si>
  <si>
    <t>C63743</t>
  </si>
  <si>
    <t>21.45.197.170</t>
  </si>
  <si>
    <t>D162105</t>
  </si>
  <si>
    <t>TX1000220</t>
  </si>
  <si>
    <t>M1115</t>
  </si>
  <si>
    <t>C52626</t>
  </si>
  <si>
    <t>115.182.47.84</t>
  </si>
  <si>
    <t>D107213</t>
  </si>
  <si>
    <t>TX1001628</t>
  </si>
  <si>
    <t>M1062</t>
  </si>
  <si>
    <t>C68552</t>
  </si>
  <si>
    <t>4.108.126.242</t>
  </si>
  <si>
    <t>D124129</t>
  </si>
  <si>
    <t>TX1001190</t>
  </si>
  <si>
    <t>C76877</t>
  </si>
  <si>
    <t>66.106.241.95</t>
  </si>
  <si>
    <t>D113438</t>
  </si>
  <si>
    <t>TX1001457</t>
  </si>
  <si>
    <t>M1804</t>
  </si>
  <si>
    <t>C56764</t>
  </si>
  <si>
    <t>215.21.38.178</t>
  </si>
  <si>
    <t>D180109</t>
  </si>
  <si>
    <t>TX1000449</t>
  </si>
  <si>
    <t>M1751</t>
  </si>
  <si>
    <t>C88637</t>
  </si>
  <si>
    <t>95.232.194.83</t>
  </si>
  <si>
    <t>D157486</t>
  </si>
  <si>
    <t>TX1002009</t>
  </si>
  <si>
    <t>C57362</t>
  </si>
  <si>
    <t>83.103.41.49</t>
  </si>
  <si>
    <t>D133371</t>
  </si>
  <si>
    <t>TX1001461</t>
  </si>
  <si>
    <t>C55557</t>
  </si>
  <si>
    <t>3.97.157.153</t>
  </si>
  <si>
    <t>D168431</t>
  </si>
  <si>
    <t>TX1000084</t>
  </si>
  <si>
    <t>M1091</t>
  </si>
  <si>
    <t>C64636</t>
  </si>
  <si>
    <t>76.237.60.121</t>
  </si>
  <si>
    <t>D107035</t>
  </si>
  <si>
    <t>TX1002215</t>
  </si>
  <si>
    <t>C54668</t>
  </si>
  <si>
    <t>247.179.89.28</t>
  </si>
  <si>
    <t>D183665</t>
  </si>
  <si>
    <t>TX1000941</t>
  </si>
  <si>
    <t>M1459</t>
  </si>
  <si>
    <t>C56454</t>
  </si>
  <si>
    <t>93.132.79.97</t>
  </si>
  <si>
    <t>D183819</t>
  </si>
  <si>
    <t>TX1000961</t>
  </si>
  <si>
    <t>C62520</t>
  </si>
  <si>
    <t>70.107.71.26</t>
  </si>
  <si>
    <t>D176269</t>
  </si>
  <si>
    <t>TX1000841</t>
  </si>
  <si>
    <t>M1345</t>
  </si>
  <si>
    <t>C86397</t>
  </si>
  <si>
    <t>142.152.96.67</t>
  </si>
  <si>
    <t>D191195</t>
  </si>
  <si>
    <t>TX1001915</t>
  </si>
  <si>
    <t>M1301</t>
  </si>
  <si>
    <t>C50365</t>
  </si>
  <si>
    <t>20.135.112.110</t>
  </si>
  <si>
    <t>D147179</t>
  </si>
  <si>
    <t>TX1002380</t>
  </si>
  <si>
    <t>M1667</t>
  </si>
  <si>
    <t>C67351</t>
  </si>
  <si>
    <t>9.185.110.178</t>
  </si>
  <si>
    <t>D163688</t>
  </si>
  <si>
    <t>TX1001157</t>
  </si>
  <si>
    <t>C53880</t>
  </si>
  <si>
    <t>237.172.37.112</t>
  </si>
  <si>
    <t>D197613</t>
  </si>
  <si>
    <t>TX1002392</t>
  </si>
  <si>
    <t>C80084</t>
  </si>
  <si>
    <t>65.234.156.136</t>
  </si>
  <si>
    <t>D161856</t>
  </si>
  <si>
    <t>TX1000290</t>
  </si>
  <si>
    <t>C62850</t>
  </si>
  <si>
    <t>44.99.89.17</t>
  </si>
  <si>
    <t>D177091</t>
  </si>
  <si>
    <t>TX1001793</t>
  </si>
  <si>
    <t>M1433</t>
  </si>
  <si>
    <t>C66055</t>
  </si>
  <si>
    <t>96.73.185.84</t>
  </si>
  <si>
    <t>D169732</t>
  </si>
  <si>
    <t>TX1001113</t>
  </si>
  <si>
    <t>M1183</t>
  </si>
  <si>
    <t>C98476</t>
  </si>
  <si>
    <t>225.137.70.19</t>
  </si>
  <si>
    <t>D117169</t>
  </si>
  <si>
    <t>TX1000604</t>
  </si>
  <si>
    <t>C76301</t>
  </si>
  <si>
    <t>23.95.100.115</t>
  </si>
  <si>
    <t>D186489</t>
  </si>
  <si>
    <t>TX1002688</t>
  </si>
  <si>
    <t>M1366</t>
  </si>
  <si>
    <t>C60907</t>
  </si>
  <si>
    <t>199.111.235.8</t>
  </si>
  <si>
    <t>D173346</t>
  </si>
  <si>
    <t>TX1000916</t>
  </si>
  <si>
    <t>M1264</t>
  </si>
  <si>
    <t>C52662</t>
  </si>
  <si>
    <t>57.127.222.31</t>
  </si>
  <si>
    <t>D112685</t>
  </si>
  <si>
    <t>TX1001684</t>
  </si>
  <si>
    <t>C69750</t>
  </si>
  <si>
    <t>5.101.44.57</t>
  </si>
  <si>
    <t>D161764</t>
  </si>
  <si>
    <t>TX1002477</t>
  </si>
  <si>
    <t>C51527</t>
  </si>
  <si>
    <t>77.140.37.89</t>
  </si>
  <si>
    <t>D155893</t>
  </si>
  <si>
    <t>TX1002272</t>
  </si>
  <si>
    <t>C82969</t>
  </si>
  <si>
    <t>159.182.23.218</t>
  </si>
  <si>
    <t>D195614</t>
  </si>
  <si>
    <t>TX1001289</t>
  </si>
  <si>
    <t>M1956</t>
  </si>
  <si>
    <t>C68168</t>
  </si>
  <si>
    <t>109.158.51.217</t>
  </si>
  <si>
    <t>D123424</t>
  </si>
  <si>
    <t>TX1000821</t>
  </si>
  <si>
    <t>C92262</t>
  </si>
  <si>
    <t>185.191.180.212</t>
  </si>
  <si>
    <t>D186412</t>
  </si>
  <si>
    <t>TX1002471</t>
  </si>
  <si>
    <t>C95230</t>
  </si>
  <si>
    <t>10.241.172.239</t>
  </si>
  <si>
    <t>D144298</t>
  </si>
  <si>
    <t>TX1001000</t>
  </si>
  <si>
    <t>M1123</t>
  </si>
  <si>
    <t>C64780</t>
  </si>
  <si>
    <t>25.6.26.128</t>
  </si>
  <si>
    <t>D164250</t>
  </si>
  <si>
    <t>TX1001337</t>
  </si>
  <si>
    <t>C98878</t>
  </si>
  <si>
    <t>37.140.101.117</t>
  </si>
  <si>
    <t>D143370</t>
  </si>
  <si>
    <t>TX1000018</t>
  </si>
  <si>
    <t>C63505</t>
  </si>
  <si>
    <t>103.224.119.139</t>
  </si>
  <si>
    <t>D128477</t>
  </si>
  <si>
    <t>TX1001779</t>
  </si>
  <si>
    <t>C51161</t>
  </si>
  <si>
    <t>199.186.109.72</t>
  </si>
  <si>
    <t>D112515</t>
  </si>
  <si>
    <t>TX1001210</t>
  </si>
  <si>
    <t>M1918</t>
  </si>
  <si>
    <t>C97317</t>
  </si>
  <si>
    <t>235.208.211.80</t>
  </si>
  <si>
    <t>D165129</t>
  </si>
  <si>
    <t>TX1001641</t>
  </si>
  <si>
    <t>C92363</t>
  </si>
  <si>
    <t>240.108.150.193</t>
  </si>
  <si>
    <t>D165382</t>
  </si>
  <si>
    <t>TX1001612</t>
  </si>
  <si>
    <t>C91738</t>
  </si>
  <si>
    <t>240.136.227.222</t>
  </si>
  <si>
    <t>D194388</t>
  </si>
  <si>
    <t>TX1001537</t>
  </si>
  <si>
    <t>C86773</t>
  </si>
  <si>
    <t>112.1.34.151</t>
  </si>
  <si>
    <t>D136482</t>
  </si>
  <si>
    <t>TX1001429</t>
  </si>
  <si>
    <t>M1600</t>
  </si>
  <si>
    <t>C81236</t>
  </si>
  <si>
    <t>196.67.76.16</t>
  </si>
  <si>
    <t>D124366</t>
  </si>
  <si>
    <t>TX1001624</t>
  </si>
  <si>
    <t>C67284</t>
  </si>
  <si>
    <t>152.100.201.206</t>
  </si>
  <si>
    <t>D189653</t>
  </si>
  <si>
    <t>TX1001979</t>
  </si>
  <si>
    <t>C81730</t>
  </si>
  <si>
    <t>17.211.47.115</t>
  </si>
  <si>
    <t>D145553</t>
  </si>
  <si>
    <t>TX1001359</t>
  </si>
  <si>
    <t>M1658</t>
  </si>
  <si>
    <t>C97271</t>
  </si>
  <si>
    <t>218.106.129.80</t>
  </si>
  <si>
    <t>D180163</t>
  </si>
  <si>
    <t>TX1002483</t>
  </si>
  <si>
    <t>C81880</t>
  </si>
  <si>
    <t>130.195.224.171</t>
  </si>
  <si>
    <t>D193659</t>
  </si>
  <si>
    <t>TX1000360</t>
  </si>
  <si>
    <t>C98666</t>
  </si>
  <si>
    <t>50.228.50.20</t>
  </si>
  <si>
    <t>D171641</t>
  </si>
  <si>
    <t>TX1001103</t>
  </si>
  <si>
    <t>C77393</t>
  </si>
  <si>
    <t>96.115.250.155</t>
  </si>
  <si>
    <t>D163860</t>
  </si>
  <si>
    <t>TX1002833</t>
  </si>
  <si>
    <t>C76512</t>
  </si>
  <si>
    <t>244.46.78.98</t>
  </si>
  <si>
    <t>D114138</t>
  </si>
  <si>
    <t>TX1001566</t>
  </si>
  <si>
    <t>M1933</t>
  </si>
  <si>
    <t>C54781</t>
  </si>
  <si>
    <t>44.83.189.150</t>
  </si>
  <si>
    <t>D143622</t>
  </si>
  <si>
    <t>TX1000344</t>
  </si>
  <si>
    <t>C73076</t>
  </si>
  <si>
    <t>77.110.68.155</t>
  </si>
  <si>
    <t>D172361</t>
  </si>
  <si>
    <t>TX1000986</t>
  </si>
  <si>
    <t>M1900</t>
  </si>
  <si>
    <t>C52037</t>
  </si>
  <si>
    <t>103.76.84.154</t>
  </si>
  <si>
    <t>D154344</t>
  </si>
  <si>
    <t>TX1001556</t>
  </si>
  <si>
    <t>C61036</t>
  </si>
  <si>
    <t>8.55.230.78</t>
  </si>
  <si>
    <t>D105630</t>
  </si>
  <si>
    <t>TX1002229</t>
  </si>
  <si>
    <t>C66931</t>
  </si>
  <si>
    <t>112.221.7.128</t>
  </si>
  <si>
    <t>D176717</t>
  </si>
  <si>
    <t>TX1001321</t>
  </si>
  <si>
    <t>M1901</t>
  </si>
  <si>
    <t>C58929</t>
  </si>
  <si>
    <t>193.134.201.78</t>
  </si>
  <si>
    <t>D152513</t>
  </si>
  <si>
    <t>TX1001898</t>
  </si>
  <si>
    <t>C53019</t>
  </si>
  <si>
    <t>194.157.9.37</t>
  </si>
  <si>
    <t>TX1001659</t>
  </si>
  <si>
    <t>M1279</t>
  </si>
  <si>
    <t>C55088</t>
  </si>
  <si>
    <t>146.223.207.244</t>
  </si>
  <si>
    <t>D125590</t>
  </si>
  <si>
    <t>TX1001577</t>
  </si>
  <si>
    <t>C91050</t>
  </si>
  <si>
    <t>159.98.54.197</t>
  </si>
  <si>
    <t>D170691</t>
  </si>
  <si>
    <t>TX1000085</t>
  </si>
  <si>
    <t>C59881</t>
  </si>
  <si>
    <t>221.92.41.125</t>
  </si>
  <si>
    <t>D143598</t>
  </si>
  <si>
    <t>TX1002654</t>
  </si>
  <si>
    <t>C81793</t>
  </si>
  <si>
    <t>142.220.160.77</t>
  </si>
  <si>
    <t>D122976</t>
  </si>
  <si>
    <t>TX1000668</t>
  </si>
  <si>
    <t>C97246</t>
  </si>
  <si>
    <t>255.172.15.9</t>
  </si>
  <si>
    <t>D101511</t>
  </si>
  <si>
    <t>TX1001014</t>
  </si>
  <si>
    <t>C82309</t>
  </si>
  <si>
    <t>12.163.146.192</t>
  </si>
  <si>
    <t>D172985</t>
  </si>
  <si>
    <t>TX1000128</t>
  </si>
  <si>
    <t>M1069</t>
  </si>
  <si>
    <t>C64442</t>
  </si>
  <si>
    <t>64.147.47.103</t>
  </si>
  <si>
    <t>D188302</t>
  </si>
  <si>
    <t>TX1001876</t>
  </si>
  <si>
    <t>C51057</t>
  </si>
  <si>
    <t>179.205.109.196</t>
  </si>
  <si>
    <t>D130530</t>
  </si>
  <si>
    <t>TX1002614</t>
  </si>
  <si>
    <t>C74141</t>
  </si>
  <si>
    <t>155.21.251.243</t>
  </si>
  <si>
    <t>D116313</t>
  </si>
  <si>
    <t>TX1000891</t>
  </si>
  <si>
    <t>C87727</t>
  </si>
  <si>
    <t>253.242.157.35</t>
  </si>
  <si>
    <t>D184714</t>
  </si>
  <si>
    <t>TX1002020</t>
  </si>
  <si>
    <t>C75018</t>
  </si>
  <si>
    <t>227.117.176.80</t>
  </si>
  <si>
    <t>D115865</t>
  </si>
  <si>
    <t>TX1000307</t>
  </si>
  <si>
    <t>M1230</t>
  </si>
  <si>
    <t>C94942</t>
  </si>
  <si>
    <t>237.71.78.251</t>
  </si>
  <si>
    <t>D143286</t>
  </si>
  <si>
    <t>TX1000383</t>
  </si>
  <si>
    <t>M1809</t>
  </si>
  <si>
    <t>C86752</t>
  </si>
  <si>
    <t>41.204.37.58</t>
  </si>
  <si>
    <t>D150885</t>
  </si>
  <si>
    <t>TX1002242</t>
  </si>
  <si>
    <t>M1688</t>
  </si>
  <si>
    <t>C54288</t>
  </si>
  <si>
    <t>59.100.178.67</t>
  </si>
  <si>
    <t>D158489</t>
  </si>
  <si>
    <t>TX1002023</t>
  </si>
  <si>
    <t>C85724</t>
  </si>
  <si>
    <t>50.47.43.49</t>
  </si>
  <si>
    <t>D159168</t>
  </si>
  <si>
    <t>TX1000426</t>
  </si>
  <si>
    <t>M1725</t>
  </si>
  <si>
    <t>C93182</t>
  </si>
  <si>
    <t>213.206.34.12</t>
  </si>
  <si>
    <t>D103869</t>
  </si>
  <si>
    <t>TX1000494</t>
  </si>
  <si>
    <t>M1788</t>
  </si>
  <si>
    <t>137.200.115.220</t>
  </si>
  <si>
    <t>D152948</t>
  </si>
  <si>
    <t>TX1001567</t>
  </si>
  <si>
    <t>C77097</t>
  </si>
  <si>
    <t>106.254.158.88</t>
  </si>
  <si>
    <t>D114058</t>
  </si>
  <si>
    <t>TX1002434</t>
  </si>
  <si>
    <t>M1850</t>
  </si>
  <si>
    <t>C55073</t>
  </si>
  <si>
    <t>172.179.104.62</t>
  </si>
  <si>
    <t>D165386</t>
  </si>
  <si>
    <t>TX1002730</t>
  </si>
  <si>
    <t>C93370</t>
  </si>
  <si>
    <t>35.187.53.164</t>
  </si>
  <si>
    <t>D133948</t>
  </si>
  <si>
    <t>TX1001253</t>
  </si>
  <si>
    <t>M1493</t>
  </si>
  <si>
    <t>C69076</t>
  </si>
  <si>
    <t>124.222.55.249</t>
  </si>
  <si>
    <t>D171232</t>
  </si>
  <si>
    <t>TX1001569</t>
  </si>
  <si>
    <t>M1528</t>
  </si>
  <si>
    <t>C54137</t>
  </si>
  <si>
    <t>91.157.226.190</t>
  </si>
  <si>
    <t>D189389</t>
  </si>
  <si>
    <t>TX1000275</t>
  </si>
  <si>
    <t>C77705</t>
  </si>
  <si>
    <t>91.63.24.194</t>
  </si>
  <si>
    <t>D185322</t>
  </si>
  <si>
    <t>TX1000489</t>
  </si>
  <si>
    <t>M1196</t>
  </si>
  <si>
    <t>C69870</t>
  </si>
  <si>
    <t>122.110.223.71</t>
  </si>
  <si>
    <t>D197893</t>
  </si>
  <si>
    <t>TX1001207</t>
  </si>
  <si>
    <t>C76207</t>
  </si>
  <si>
    <t>5.190.68.95</t>
  </si>
  <si>
    <t>D152968</t>
  </si>
  <si>
    <t>TX1000690</t>
  </si>
  <si>
    <t>C88699</t>
  </si>
  <si>
    <t>98.193.176.105</t>
  </si>
  <si>
    <t>D182621</t>
  </si>
  <si>
    <t>TX1001313</t>
  </si>
  <si>
    <t>M1190</t>
  </si>
  <si>
    <t>C54640</t>
  </si>
  <si>
    <t>43.218.230.90</t>
  </si>
  <si>
    <t>D130637</t>
  </si>
  <si>
    <t>TX1001146</t>
  </si>
  <si>
    <t>C67149</t>
  </si>
  <si>
    <t>207.231.186.62</t>
  </si>
  <si>
    <t>D161547</t>
  </si>
  <si>
    <t>TX1002817</t>
  </si>
  <si>
    <t>C96952</t>
  </si>
  <si>
    <t>146.245.130.200</t>
  </si>
  <si>
    <t>D137350</t>
  </si>
  <si>
    <t>TX1002530</t>
  </si>
  <si>
    <t>C55145</t>
  </si>
  <si>
    <t>21.124.53.143</t>
  </si>
  <si>
    <t>D176365</t>
  </si>
  <si>
    <t>TX1002187</t>
  </si>
  <si>
    <t>C70339</t>
  </si>
  <si>
    <t>223.215.8.21</t>
  </si>
  <si>
    <t>D191847</t>
  </si>
  <si>
    <t>TX1001058</t>
  </si>
  <si>
    <t>M1001</t>
  </si>
  <si>
    <t>C98929</t>
  </si>
  <si>
    <t>35.112.137.158</t>
  </si>
  <si>
    <t>D177120</t>
  </si>
  <si>
    <t>TX1000118</t>
  </si>
  <si>
    <t>C63808</t>
  </si>
  <si>
    <t>152.82.68.162</t>
  </si>
  <si>
    <t>D167193</t>
  </si>
  <si>
    <t>TX1002811</t>
  </si>
  <si>
    <t>M1857</t>
  </si>
  <si>
    <t>C85121</t>
  </si>
  <si>
    <t>254.46.35.181</t>
  </si>
  <si>
    <t>D167651</t>
  </si>
  <si>
    <t>TX1002986</t>
  </si>
  <si>
    <t>M1614</t>
  </si>
  <si>
    <t>C64388</t>
  </si>
  <si>
    <t>211.174.11.146</t>
  </si>
  <si>
    <t>D139869</t>
  </si>
  <si>
    <t>TX1000281</t>
  </si>
  <si>
    <t>C68178</t>
  </si>
  <si>
    <t>80.63.43.50</t>
  </si>
  <si>
    <t>D181094</t>
  </si>
  <si>
    <t>TX1001497</t>
  </si>
  <si>
    <t>M1121</t>
  </si>
  <si>
    <t>C78004</t>
  </si>
  <si>
    <t>175.154.225.136</t>
  </si>
  <si>
    <t>D195781</t>
  </si>
  <si>
    <t>TX1002337</t>
  </si>
  <si>
    <t>C90628</t>
  </si>
  <si>
    <t>218.110.121.146</t>
  </si>
  <si>
    <t>D144355</t>
  </si>
  <si>
    <t>TX1002279</t>
  </si>
  <si>
    <t>M1336</t>
  </si>
  <si>
    <t>C74462</t>
  </si>
  <si>
    <t>118.189.229.195</t>
  </si>
  <si>
    <t>D161063</t>
  </si>
  <si>
    <t>TX1002408</t>
  </si>
  <si>
    <t>M1007</t>
  </si>
  <si>
    <t>C63212</t>
  </si>
  <si>
    <t>29.191.246.165</t>
  </si>
  <si>
    <t>D113386</t>
  </si>
  <si>
    <t>TX1001798</t>
  </si>
  <si>
    <t>M1186</t>
  </si>
  <si>
    <t>C89659</t>
  </si>
  <si>
    <t>47.244.4.13</t>
  </si>
  <si>
    <t>D186095</t>
  </si>
  <si>
    <t>TX1002115</t>
  </si>
  <si>
    <t>C94546</t>
  </si>
  <si>
    <t>63.187.203.72</t>
  </si>
  <si>
    <t>D109677</t>
  </si>
  <si>
    <t>TX1002628</t>
  </si>
  <si>
    <t>C76597</t>
  </si>
  <si>
    <t>112.244.38.9</t>
  </si>
  <si>
    <t>D122673</t>
  </si>
  <si>
    <t>TX1000304</t>
  </si>
  <si>
    <t>C82883</t>
  </si>
  <si>
    <t>140.102.170.51</t>
  </si>
  <si>
    <t>D188487</t>
  </si>
  <si>
    <t>TX1001847</t>
  </si>
  <si>
    <t>C97955</t>
  </si>
  <si>
    <t>197.185.1.73</t>
  </si>
  <si>
    <t>D125289</t>
  </si>
  <si>
    <t>TX1002284</t>
  </si>
  <si>
    <t>M1240</t>
  </si>
  <si>
    <t>C55343</t>
  </si>
  <si>
    <t>129.248.213.62</t>
  </si>
  <si>
    <t>D132202</t>
  </si>
  <si>
    <t>TX1002898</t>
  </si>
  <si>
    <t>M1632</t>
  </si>
  <si>
    <t>C60175</t>
  </si>
  <si>
    <t>133.159.110.194</t>
  </si>
  <si>
    <t>D177586</t>
  </si>
  <si>
    <t>TX1000575</t>
  </si>
  <si>
    <t>C73127</t>
  </si>
  <si>
    <t>116.78.72.189</t>
  </si>
  <si>
    <t>D198376</t>
  </si>
  <si>
    <t>TX1001874</t>
  </si>
  <si>
    <t>M1935</t>
  </si>
  <si>
    <t>C73335</t>
  </si>
  <si>
    <t>142.51.63.200</t>
  </si>
  <si>
    <t>D167000</t>
  </si>
  <si>
    <t>TX1002574</t>
  </si>
  <si>
    <t>C58550</t>
  </si>
  <si>
    <t>80.116.111.170</t>
  </si>
  <si>
    <t>D195708</t>
  </si>
  <si>
    <t>TX1002843</t>
  </si>
  <si>
    <t>M1617</t>
  </si>
  <si>
    <t>C74638</t>
  </si>
  <si>
    <t>148.20.133.92</t>
  </si>
  <si>
    <t>D144096</t>
  </si>
  <si>
    <t>TX1001419</t>
  </si>
  <si>
    <t>C68251</t>
  </si>
  <si>
    <t>114.6.238.143</t>
  </si>
  <si>
    <t>D113558</t>
  </si>
  <si>
    <t>TX1002736</t>
  </si>
  <si>
    <t>M1271</t>
  </si>
  <si>
    <t>C98302</t>
  </si>
  <si>
    <t>202.198.233.154</t>
  </si>
  <si>
    <t>D113267</t>
  </si>
  <si>
    <t>TX1000843</t>
  </si>
  <si>
    <t>C85407</t>
  </si>
  <si>
    <t>230.72.143.98</t>
  </si>
  <si>
    <t>D198731</t>
  </si>
  <si>
    <t>TX1001288</t>
  </si>
  <si>
    <t>C68165</t>
  </si>
  <si>
    <t>89.89.240.143</t>
  </si>
  <si>
    <t>D190952</t>
  </si>
  <si>
    <t>TX1000269</t>
  </si>
  <si>
    <t>M1693</t>
  </si>
  <si>
    <t>C82995</t>
  </si>
  <si>
    <t>58.249.132.88</t>
  </si>
  <si>
    <t>D146562</t>
  </si>
  <si>
    <t>TX1000629</t>
  </si>
  <si>
    <t>C55240</t>
  </si>
  <si>
    <t>245.132.169.162</t>
  </si>
  <si>
    <t>D187155</t>
  </si>
  <si>
    <t>TX1001033</t>
  </si>
  <si>
    <t>M1404</t>
  </si>
  <si>
    <t>C85586</t>
  </si>
  <si>
    <t>83.182.163.188</t>
  </si>
  <si>
    <t>D158932</t>
  </si>
  <si>
    <t>TX1000286</t>
  </si>
  <si>
    <t>M1061</t>
  </si>
  <si>
    <t>C89181</t>
  </si>
  <si>
    <t>216.144.23.42</t>
  </si>
  <si>
    <t>D196886</t>
  </si>
  <si>
    <t>TX1002213</t>
  </si>
  <si>
    <t>C68889</t>
  </si>
  <si>
    <t>119.120.124.165</t>
  </si>
  <si>
    <t>D183100</t>
  </si>
  <si>
    <t>TX1000300</t>
  </si>
  <si>
    <t>M1670</t>
  </si>
  <si>
    <t>C63778</t>
  </si>
  <si>
    <t>226.222.33.31</t>
  </si>
  <si>
    <t>D118931</t>
  </si>
  <si>
    <t>TX1001351</t>
  </si>
  <si>
    <t>C77304</t>
  </si>
  <si>
    <t>254.156.19.126</t>
  </si>
  <si>
    <t>D190888</t>
  </si>
  <si>
    <t>TX1001814</t>
  </si>
  <si>
    <t>M1702</t>
  </si>
  <si>
    <t>C78930</t>
  </si>
  <si>
    <t>115.81.176.75</t>
  </si>
  <si>
    <t>D150569</t>
  </si>
  <si>
    <t>TX1000065</t>
  </si>
  <si>
    <t>M1397</t>
  </si>
  <si>
    <t>C61384</t>
  </si>
  <si>
    <t>8.180.72.145</t>
  </si>
  <si>
    <t>D124672</t>
  </si>
  <si>
    <t>TX1002222</t>
  </si>
  <si>
    <t>C55376</t>
  </si>
  <si>
    <t>116.109.29.31</t>
  </si>
  <si>
    <t>D113609</t>
  </si>
  <si>
    <t>TX1000890</t>
  </si>
  <si>
    <t>M1379</t>
  </si>
  <si>
    <t>C86718</t>
  </si>
  <si>
    <t>213.160.10.194</t>
  </si>
  <si>
    <t>D194622</t>
  </si>
  <si>
    <t>TX1001769</t>
  </si>
  <si>
    <t>C79323</t>
  </si>
  <si>
    <t>226.61.69.229</t>
  </si>
  <si>
    <t>D152671</t>
  </si>
  <si>
    <t>TX1002177</t>
  </si>
  <si>
    <t>C61115</t>
  </si>
  <si>
    <t>148.220.245.226</t>
  </si>
  <si>
    <t>D151548</t>
  </si>
  <si>
    <t>TX1001221</t>
  </si>
  <si>
    <t>M1907</t>
  </si>
  <si>
    <t>C79566</t>
  </si>
  <si>
    <t>6.131.42.163</t>
  </si>
  <si>
    <t>D165886</t>
  </si>
  <si>
    <t>TX1000230</t>
  </si>
  <si>
    <t>C56494</t>
  </si>
  <si>
    <t>231.2.50.237</t>
  </si>
  <si>
    <t>D128051</t>
  </si>
  <si>
    <t>TX1000503</t>
  </si>
  <si>
    <t>C91853</t>
  </si>
  <si>
    <t>190.103.186.171</t>
  </si>
  <si>
    <t>D104304</t>
  </si>
  <si>
    <t>TX1001211</t>
  </si>
  <si>
    <t>M1144</t>
  </si>
  <si>
    <t>C74503</t>
  </si>
  <si>
    <t>244.186.85.178</t>
  </si>
  <si>
    <t>D115588</t>
  </si>
  <si>
    <t>TX1001352</t>
  </si>
  <si>
    <t>M1943</t>
  </si>
  <si>
    <t>C93095</t>
  </si>
  <si>
    <t>131.111.198.150</t>
  </si>
  <si>
    <t>D120541</t>
  </si>
  <si>
    <t>TX1001446</t>
  </si>
  <si>
    <t>C89862</t>
  </si>
  <si>
    <t>136.207.168.46</t>
  </si>
  <si>
    <t>D114692</t>
  </si>
  <si>
    <t>TX1001229</t>
  </si>
  <si>
    <t>C79082</t>
  </si>
  <si>
    <t>109.131.171.58</t>
  </si>
  <si>
    <t>D135156</t>
  </si>
  <si>
    <t>TX1001004</t>
  </si>
  <si>
    <t>C93848</t>
  </si>
  <si>
    <t>211.242.1.13</t>
  </si>
  <si>
    <t>D137362</t>
  </si>
  <si>
    <t>TX1000836</t>
  </si>
  <si>
    <t>M1306</t>
  </si>
  <si>
    <t>C70579</t>
  </si>
  <si>
    <t>157.201.178.237</t>
  </si>
  <si>
    <t>D136922</t>
  </si>
  <si>
    <t>TX1002185</t>
  </si>
  <si>
    <t>M1078</t>
  </si>
  <si>
    <t>C61463</t>
  </si>
  <si>
    <t>170.247.86.16</t>
  </si>
  <si>
    <t>D175477</t>
  </si>
  <si>
    <t>TX1000374</t>
  </si>
  <si>
    <t>C77833</t>
  </si>
  <si>
    <t>223.80.15.38</t>
  </si>
  <si>
    <t>D147873</t>
  </si>
  <si>
    <t>TX1001675</t>
  </si>
  <si>
    <t>C82696</t>
  </si>
  <si>
    <t>100.227.222.5</t>
  </si>
  <si>
    <t>D161478</t>
  </si>
  <si>
    <t>TX1002112</t>
  </si>
  <si>
    <t>M1586</t>
  </si>
  <si>
    <t>C87046</t>
  </si>
  <si>
    <t>62.230.107.28</t>
  </si>
  <si>
    <t>D168185</t>
  </si>
  <si>
    <t>TX1001789</t>
  </si>
  <si>
    <t>C95523</t>
  </si>
  <si>
    <t>231.150.201.109</t>
  </si>
  <si>
    <t>D145818</t>
  </si>
  <si>
    <t>TX1002968</t>
  </si>
  <si>
    <t>C79672</t>
  </si>
  <si>
    <t>174.30.62.63</t>
  </si>
  <si>
    <t>D194436</t>
  </si>
  <si>
    <t>TX1002073</t>
  </si>
  <si>
    <t>C89531</t>
  </si>
  <si>
    <t>150.111.247.136</t>
  </si>
  <si>
    <t>D137008</t>
  </si>
  <si>
    <t>TX1000751</t>
  </si>
  <si>
    <t>C76698</t>
  </si>
  <si>
    <t>252.127.22.236</t>
  </si>
  <si>
    <t>D133359</t>
  </si>
  <si>
    <t>TX1000099</t>
  </si>
  <si>
    <t>C58823</t>
  </si>
  <si>
    <t>215.247.90.178</t>
  </si>
  <si>
    <t>D175832</t>
  </si>
  <si>
    <t>TX1001725</t>
  </si>
  <si>
    <t>C84764</t>
  </si>
  <si>
    <t>52.85.137.174</t>
  </si>
  <si>
    <t>D196860</t>
  </si>
  <si>
    <t>TX1000866</t>
  </si>
  <si>
    <t>C81252</t>
  </si>
  <si>
    <t>127.197.48.167</t>
  </si>
  <si>
    <t>D105694</t>
  </si>
  <si>
    <t>TX1000910</t>
  </si>
  <si>
    <t>M1978</t>
  </si>
  <si>
    <t>C55958</t>
  </si>
  <si>
    <t>156.211.130.123</t>
  </si>
  <si>
    <t>D172876</t>
  </si>
  <si>
    <t>TX1001322</t>
  </si>
  <si>
    <t>C65124</t>
  </si>
  <si>
    <t>253.202.203.245</t>
  </si>
  <si>
    <t>D197958</t>
  </si>
  <si>
    <t>TX1000529</t>
  </si>
  <si>
    <t>C89955</t>
  </si>
  <si>
    <t>249.215.243.120</t>
  </si>
  <si>
    <t>D142194</t>
  </si>
  <si>
    <t>TX1000636</t>
  </si>
  <si>
    <t>C57714</t>
  </si>
  <si>
    <t>177.163.122.184</t>
  </si>
  <si>
    <t>D163123</t>
  </si>
  <si>
    <t>TX1000185</t>
  </si>
  <si>
    <t>C74832</t>
  </si>
  <si>
    <t>232.0.75.170</t>
  </si>
  <si>
    <t>D119558</t>
  </si>
  <si>
    <t>TX1001244</t>
  </si>
  <si>
    <t>C52576</t>
  </si>
  <si>
    <t>70.17.250.140</t>
  </si>
  <si>
    <t>D156685</t>
  </si>
  <si>
    <t>TX1001406</t>
  </si>
  <si>
    <t>M1777</t>
  </si>
  <si>
    <t>C74845</t>
  </si>
  <si>
    <t>156.143.206.234</t>
  </si>
  <si>
    <t>D178275</t>
  </si>
  <si>
    <t>TX1000931</t>
  </si>
  <si>
    <t>C50865</t>
  </si>
  <si>
    <t>128.50.238.196</t>
  </si>
  <si>
    <t>D185489</t>
  </si>
  <si>
    <t>TX1002527</t>
  </si>
  <si>
    <t>M1192</t>
  </si>
  <si>
    <t>C98554</t>
  </si>
  <si>
    <t>80.232.1.164</t>
  </si>
  <si>
    <t>D171559</t>
  </si>
  <si>
    <t>TX1002297</t>
  </si>
  <si>
    <t>M1519</t>
  </si>
  <si>
    <t>C95159</t>
  </si>
  <si>
    <t>47.61.254.210</t>
  </si>
  <si>
    <t>D193163</t>
  </si>
  <si>
    <t>TX1001398</t>
  </si>
  <si>
    <t>M1291</t>
  </si>
  <si>
    <t>C98285</t>
  </si>
  <si>
    <t>214.11.128.24</t>
  </si>
  <si>
    <t>D123072</t>
  </si>
  <si>
    <t>TX1002403</t>
  </si>
  <si>
    <t>M1968</t>
  </si>
  <si>
    <t>C50315</t>
  </si>
  <si>
    <t>202.98.228.44</t>
  </si>
  <si>
    <t>D198061</t>
  </si>
  <si>
    <t>TX1002002</t>
  </si>
  <si>
    <t>C50764</t>
  </si>
  <si>
    <t>175.193.249.93</t>
  </si>
  <si>
    <t>D105740</t>
  </si>
  <si>
    <t>TX1000607</t>
  </si>
  <si>
    <t>C62622</t>
  </si>
  <si>
    <t>123.208.80.62</t>
  </si>
  <si>
    <t>D178509</t>
  </si>
  <si>
    <t>TX1001344</t>
  </si>
  <si>
    <t>M1676</t>
  </si>
  <si>
    <t>C61865</t>
  </si>
  <si>
    <t>127.45.54.175</t>
  </si>
  <si>
    <t>D124689</t>
  </si>
  <si>
    <t>TX1000151</t>
  </si>
  <si>
    <t>C97570</t>
  </si>
  <si>
    <t>66.184.231.115</t>
  </si>
  <si>
    <t>D152047</t>
  </si>
  <si>
    <t>TX1002749</t>
  </si>
  <si>
    <t>C69621</t>
  </si>
  <si>
    <t>75.231.20.154</t>
  </si>
  <si>
    <t>D186369</t>
  </si>
  <si>
    <t>TX1002144</t>
  </si>
  <si>
    <t>M1588</t>
  </si>
  <si>
    <t>C54874</t>
  </si>
  <si>
    <t>198.30.13.208</t>
  </si>
  <si>
    <t>D177998</t>
  </si>
  <si>
    <t>TX1000731</t>
  </si>
  <si>
    <t>C97289</t>
  </si>
  <si>
    <t>184.176.65.200</t>
  </si>
  <si>
    <t>D191037</t>
  </si>
  <si>
    <t>TX1001455</t>
  </si>
  <si>
    <t>C94534</t>
  </si>
  <si>
    <t>150.253.69.16</t>
  </si>
  <si>
    <t>D156254</t>
  </si>
  <si>
    <t>TX1001600</t>
  </si>
  <si>
    <t>C72496</t>
  </si>
  <si>
    <t>47.2.99.17</t>
  </si>
  <si>
    <t>D172890</t>
  </si>
  <si>
    <t>TX1002962</t>
  </si>
  <si>
    <t>C62462</t>
  </si>
  <si>
    <t>70.81.112.113</t>
  </si>
  <si>
    <t>D132136</t>
  </si>
  <si>
    <t>TX1000023</t>
  </si>
  <si>
    <t>C86261</t>
  </si>
  <si>
    <t>98.125.255.141</t>
  </si>
  <si>
    <t>D185800</t>
  </si>
  <si>
    <t>TX1002757</t>
  </si>
  <si>
    <t>C53592</t>
  </si>
  <si>
    <t>130.103.22.152</t>
  </si>
  <si>
    <t>D119878</t>
  </si>
  <si>
    <t>TX1000158</t>
  </si>
  <si>
    <t>M1535</t>
  </si>
  <si>
    <t>C81655</t>
  </si>
  <si>
    <t>232.22.130.44</t>
  </si>
  <si>
    <t>D107878</t>
  </si>
  <si>
    <t>TX1000861</t>
  </si>
  <si>
    <t>C98020</t>
  </si>
  <si>
    <t>221.228.78.212</t>
  </si>
  <si>
    <t>D199660</t>
  </si>
  <si>
    <t>TX1000902</t>
  </si>
  <si>
    <t>M1057</t>
  </si>
  <si>
    <t>C88768</t>
  </si>
  <si>
    <t>216.38.30.160</t>
  </si>
  <si>
    <t>D163271</t>
  </si>
  <si>
    <t>TX1001432</t>
  </si>
  <si>
    <t>M1504</t>
  </si>
  <si>
    <t>C64227</t>
  </si>
  <si>
    <t>198.118.238.36</t>
  </si>
  <si>
    <t>D128719</t>
  </si>
  <si>
    <t>TX1002733</t>
  </si>
  <si>
    <t>C82145</t>
  </si>
  <si>
    <t>12.85.233.207</t>
  </si>
  <si>
    <t>D136614</t>
  </si>
  <si>
    <t>TX1000444</t>
  </si>
  <si>
    <t>C72547</t>
  </si>
  <si>
    <t>196.40.39.246</t>
  </si>
  <si>
    <t>D129436</t>
  </si>
  <si>
    <t>TX1002940</t>
  </si>
  <si>
    <t>M1491</t>
  </si>
  <si>
    <t>C53730</t>
  </si>
  <si>
    <t>20.90.173.17</t>
  </si>
  <si>
    <t>D137343</t>
  </si>
  <si>
    <t>TX1000754</t>
  </si>
  <si>
    <t>C75855</t>
  </si>
  <si>
    <t>207.127.202.179</t>
  </si>
  <si>
    <t>D181073</t>
  </si>
  <si>
    <t>TX1000923</t>
  </si>
  <si>
    <t>C70018</t>
  </si>
  <si>
    <t>77.196.12.28</t>
  </si>
  <si>
    <t>D181531</t>
  </si>
  <si>
    <t>TX1002973</t>
  </si>
  <si>
    <t>M1130</t>
  </si>
  <si>
    <t>C62759</t>
  </si>
  <si>
    <t>148.69.161.238</t>
  </si>
  <si>
    <t>D166490</t>
  </si>
  <si>
    <t>TX1002104</t>
  </si>
  <si>
    <t>C94430</t>
  </si>
  <si>
    <t>117.127.109.252</t>
  </si>
  <si>
    <t>D156717</t>
  </si>
  <si>
    <t>TX1000311</t>
  </si>
  <si>
    <t>C90483</t>
  </si>
  <si>
    <t>62.80.140.226</t>
  </si>
  <si>
    <t>D182324</t>
  </si>
  <si>
    <t>TX1000548</t>
  </si>
  <si>
    <t>C93154</t>
  </si>
  <si>
    <t>94.72.122.246</t>
  </si>
  <si>
    <t>D164325</t>
  </si>
  <si>
    <t>TX1001948</t>
  </si>
  <si>
    <t>C57143</t>
  </si>
  <si>
    <t>16.206.33.222</t>
  </si>
  <si>
    <t>D115459</t>
  </si>
  <si>
    <t>TX1001672</t>
  </si>
  <si>
    <t>C77218</t>
  </si>
  <si>
    <t>238.212.116.164</t>
  </si>
  <si>
    <t>D117519</t>
  </si>
  <si>
    <t>TX1000306</t>
  </si>
  <si>
    <t>M1740</t>
  </si>
  <si>
    <t>C65317</t>
  </si>
  <si>
    <t>110.213.107.113</t>
  </si>
  <si>
    <t>D158978</t>
  </si>
  <si>
    <t>TX1000287</t>
  </si>
  <si>
    <t>C70860</t>
  </si>
  <si>
    <t>63.164.174.54</t>
  </si>
  <si>
    <t>D160266</t>
  </si>
  <si>
    <t>TX1000694</t>
  </si>
  <si>
    <t>C96813</t>
  </si>
  <si>
    <t>153.70.176.5</t>
  </si>
  <si>
    <t>D172805</t>
  </si>
  <si>
    <t>TX1000308</t>
  </si>
  <si>
    <t>C57119</t>
  </si>
  <si>
    <t>46.16.250.7</t>
  </si>
  <si>
    <t>D124470</t>
  </si>
  <si>
    <t>TX1002322</t>
  </si>
  <si>
    <t>C59283</t>
  </si>
  <si>
    <t>59.59.237.162</t>
  </si>
  <si>
    <t>D141988</t>
  </si>
  <si>
    <t>TX1000749</t>
  </si>
  <si>
    <t>C59328</t>
  </si>
  <si>
    <t>139.64.0.129</t>
  </si>
  <si>
    <t>D175218</t>
  </si>
  <si>
    <t>TX1001436</t>
  </si>
  <si>
    <t>C90418</t>
  </si>
  <si>
    <t>10.113.233.158</t>
  </si>
  <si>
    <t>D179585</t>
  </si>
  <si>
    <t>TX1001241</t>
  </si>
  <si>
    <t>M1219</t>
  </si>
  <si>
    <t>C70583</t>
  </si>
  <si>
    <t>202.176.248.192</t>
  </si>
  <si>
    <t>D178355</t>
  </si>
  <si>
    <t>TX1000908</t>
  </si>
  <si>
    <t>C59441</t>
  </si>
  <si>
    <t>234.8.139.79</t>
  </si>
  <si>
    <t>TX1001883</t>
  </si>
  <si>
    <t>C69254</t>
  </si>
  <si>
    <t>119.197.108.76</t>
  </si>
  <si>
    <t>D195918</t>
  </si>
  <si>
    <t>TX1002382</t>
  </si>
  <si>
    <t>C81182</t>
  </si>
  <si>
    <t>142.153.116.131</t>
  </si>
  <si>
    <t>D184978</t>
  </si>
  <si>
    <t>TX1001283</t>
  </si>
  <si>
    <t>M1267</t>
  </si>
  <si>
    <t>C52166</t>
  </si>
  <si>
    <t>237.30.51.174</t>
  </si>
  <si>
    <t>D143527</t>
  </si>
  <si>
    <t>TX1002496</t>
  </si>
  <si>
    <t>C93601</t>
  </si>
  <si>
    <t>134.100.86.177</t>
  </si>
  <si>
    <t>D127001</t>
  </si>
  <si>
    <t>TX1000970</t>
  </si>
  <si>
    <t>C76893</t>
  </si>
  <si>
    <t>36.102.50.100</t>
  </si>
  <si>
    <t>D145739</t>
  </si>
  <si>
    <t>TX1000013</t>
  </si>
  <si>
    <t>C70106</t>
  </si>
  <si>
    <t>177.60.151.95</t>
  </si>
  <si>
    <t>D180560</t>
  </si>
  <si>
    <t>TX1000873</t>
  </si>
  <si>
    <t>C65529</t>
  </si>
  <si>
    <t>89.212.121.4</t>
  </si>
  <si>
    <t>D119579</t>
  </si>
  <si>
    <t>TX1000808</t>
  </si>
  <si>
    <t>M1771</t>
  </si>
  <si>
    <t>C65326</t>
  </si>
  <si>
    <t>16.155.146.200</t>
  </si>
  <si>
    <t>D133388</t>
  </si>
  <si>
    <t>TX1002580</t>
  </si>
  <si>
    <t>C90585</t>
  </si>
  <si>
    <t>46.60.188.119</t>
  </si>
  <si>
    <t>D118408</t>
  </si>
  <si>
    <t>TX1000514</t>
  </si>
  <si>
    <t>C75972</t>
  </si>
  <si>
    <t>255.16.167.203</t>
  </si>
  <si>
    <t>D170622</t>
  </si>
  <si>
    <t>TX1002415</t>
  </si>
  <si>
    <t>C85390</t>
  </si>
  <si>
    <t>93.236.96.138</t>
  </si>
  <si>
    <t>D184708</t>
  </si>
  <si>
    <t>TX1000409</t>
  </si>
  <si>
    <t>C67864</t>
  </si>
  <si>
    <t>104.90.141.136</t>
  </si>
  <si>
    <t>D179619</t>
  </si>
  <si>
    <t>TX1002438</t>
  </si>
  <si>
    <t>M1188</t>
  </si>
  <si>
    <t>C91871</t>
  </si>
  <si>
    <t>83.95.228.196</t>
  </si>
  <si>
    <t>D180260</t>
  </si>
  <si>
    <t>TX1002261</t>
  </si>
  <si>
    <t>C65436</t>
  </si>
  <si>
    <t>205.182.230.156</t>
  </si>
  <si>
    <t>D141479</t>
  </si>
  <si>
    <t>TX1001340</t>
  </si>
  <si>
    <t>C69380</t>
  </si>
  <si>
    <t>158.212.50.188</t>
  </si>
  <si>
    <t>D194219</t>
  </si>
  <si>
    <t>TX1002553</t>
  </si>
  <si>
    <t>M1721</t>
  </si>
  <si>
    <t>C74019</t>
  </si>
  <si>
    <t>46.103.136.3</t>
  </si>
  <si>
    <t>TX1001343</t>
  </si>
  <si>
    <t>C73510</t>
  </si>
  <si>
    <t>121.60.221.18</t>
  </si>
  <si>
    <t>D140566</t>
  </si>
  <si>
    <t>TX1001586</t>
  </si>
  <si>
    <t>8.194.5.126</t>
  </si>
  <si>
    <t>D113429</t>
  </si>
  <si>
    <t>TX1000382</t>
  </si>
  <si>
    <t>M1126</t>
  </si>
  <si>
    <t>C52594</t>
  </si>
  <si>
    <t>94.160.191.22</t>
  </si>
  <si>
    <t>D189417</t>
  </si>
  <si>
    <t>TX1001572</t>
  </si>
  <si>
    <t>M1563</t>
  </si>
  <si>
    <t>C79203</t>
  </si>
  <si>
    <t>147.244.5.54</t>
  </si>
  <si>
    <t>D187128</t>
  </si>
  <si>
    <t>TX1002189</t>
  </si>
  <si>
    <t>C74856</t>
  </si>
  <si>
    <t>78.104.203.7</t>
  </si>
  <si>
    <t>D174713</t>
  </si>
  <si>
    <t>TX1002739</t>
  </si>
  <si>
    <t>M1002</t>
  </si>
  <si>
    <t>C69278</t>
  </si>
  <si>
    <t>60.204.50.100</t>
  </si>
  <si>
    <t>D153946</t>
  </si>
  <si>
    <t>TX1001356</t>
  </si>
  <si>
    <t>C51944</t>
  </si>
  <si>
    <t>167.121.13.94</t>
  </si>
  <si>
    <t>D150620</t>
  </si>
  <si>
    <t>TX1000552</t>
  </si>
  <si>
    <t>M1584</t>
  </si>
  <si>
    <t>C52964</t>
  </si>
  <si>
    <t>169.169.90.253</t>
  </si>
  <si>
    <t>D151107</t>
  </si>
  <si>
    <t>TX1000222</t>
  </si>
  <si>
    <t>M1456</t>
  </si>
  <si>
    <t>C64135</t>
  </si>
  <si>
    <t>207.217.212.36</t>
  </si>
  <si>
    <t>D176962</t>
  </si>
  <si>
    <t>TX1001096</t>
  </si>
  <si>
    <t>C51366</t>
  </si>
  <si>
    <t>155.220.25.177</t>
  </si>
  <si>
    <t>D139064</t>
  </si>
  <si>
    <t>TX1002600</t>
  </si>
  <si>
    <t>C58484</t>
  </si>
  <si>
    <t>206.78.134.220</t>
  </si>
  <si>
    <t>D162631</t>
  </si>
  <si>
    <t>TX1000008</t>
  </si>
  <si>
    <t>C59599</t>
  </si>
  <si>
    <t>192.245.109.52</t>
  </si>
  <si>
    <t>D170592</t>
  </si>
  <si>
    <t>TX1002943</t>
  </si>
  <si>
    <t>C67182</t>
  </si>
  <si>
    <t>132.130.163.93</t>
  </si>
  <si>
    <t>D120419</t>
  </si>
  <si>
    <t>TX1000316</t>
  </si>
  <si>
    <t>C71192</t>
  </si>
  <si>
    <t>17.142.188.12</t>
  </si>
  <si>
    <t>D108825</t>
  </si>
  <si>
    <t>TX1000427</t>
  </si>
  <si>
    <t>C61403</t>
  </si>
  <si>
    <t>30.19.37.114</t>
  </si>
  <si>
    <t>D149063</t>
  </si>
  <si>
    <t>TX1001334</t>
  </si>
  <si>
    <t>M1858</t>
  </si>
  <si>
    <t>C57250</t>
  </si>
  <si>
    <t>163.225.117.184</t>
  </si>
  <si>
    <t>D155936</t>
  </si>
  <si>
    <t>TX1000105</t>
  </si>
  <si>
    <t>C64415</t>
  </si>
  <si>
    <t>104.47.178.57</t>
  </si>
  <si>
    <t>D127964</t>
  </si>
  <si>
    <t>TX1001385</t>
  </si>
  <si>
    <t>C96841</t>
  </si>
  <si>
    <t>254.146.229.227</t>
  </si>
  <si>
    <t>D104719</t>
  </si>
  <si>
    <t>TX1000142</t>
  </si>
  <si>
    <t>M1863</t>
  </si>
  <si>
    <t>C67465</t>
  </si>
  <si>
    <t>213.6.62.250</t>
  </si>
  <si>
    <t>D193674</t>
  </si>
  <si>
    <t>TX1000121</t>
  </si>
  <si>
    <t>M1430</t>
  </si>
  <si>
    <t>C52846</t>
  </si>
  <si>
    <t>206.50.217.35</t>
  </si>
  <si>
    <t>D133360</t>
  </si>
  <si>
    <t>TX1002373</t>
  </si>
  <si>
    <t>C96214</t>
  </si>
  <si>
    <t>192.214.147.53</t>
  </si>
  <si>
    <t>D102367</t>
  </si>
  <si>
    <t>TX1002867</t>
  </si>
  <si>
    <t>M1626</t>
  </si>
  <si>
    <t>C51435</t>
  </si>
  <si>
    <t>44.138.31.45</t>
  </si>
  <si>
    <t>D128990</t>
  </si>
  <si>
    <t>TX1001189</t>
  </si>
  <si>
    <t>C61002</t>
  </si>
  <si>
    <t>201.98.8.214</t>
  </si>
  <si>
    <t>D181410</t>
  </si>
  <si>
    <t>TX1001902</t>
  </si>
  <si>
    <t>C58954</t>
  </si>
  <si>
    <t>92.23.168.91</t>
  </si>
  <si>
    <t>D125934</t>
  </si>
  <si>
    <t>TX1002602</t>
  </si>
  <si>
    <t>C57611</t>
  </si>
  <si>
    <t>242.123.106.212</t>
  </si>
  <si>
    <t>D139658</t>
  </si>
  <si>
    <t>TX1002004</t>
  </si>
  <si>
    <t>C89583</t>
  </si>
  <si>
    <t>29.249.178.9</t>
  </si>
  <si>
    <t>D159826</t>
  </si>
  <si>
    <t>TX1000115</t>
  </si>
  <si>
    <t>C93215</t>
  </si>
  <si>
    <t>60.32.135.95</t>
  </si>
  <si>
    <t>D130673</t>
  </si>
  <si>
    <t>TX1001407</t>
  </si>
  <si>
    <t>C82319</t>
  </si>
  <si>
    <t>222.33.140.168</t>
  </si>
  <si>
    <t>D106364</t>
  </si>
  <si>
    <t>TX1001268</t>
  </si>
  <si>
    <t>C59378</t>
  </si>
  <si>
    <t>209.14.193.145</t>
  </si>
  <si>
    <t>D133893</t>
  </si>
  <si>
    <t>TX1002291</t>
  </si>
  <si>
    <t>C82079</t>
  </si>
  <si>
    <t>106.118.131.151</t>
  </si>
  <si>
    <t>D100248</t>
  </si>
  <si>
    <t>TX1002799</t>
  </si>
  <si>
    <t>M1903</t>
  </si>
  <si>
    <t>C73907</t>
  </si>
  <si>
    <t>92.52.115.109</t>
  </si>
  <si>
    <t>D153439</t>
  </si>
  <si>
    <t>TX1002951</t>
  </si>
  <si>
    <t>C66152</t>
  </si>
  <si>
    <t>108.232.96.167</t>
  </si>
  <si>
    <t>D199027</t>
  </si>
  <si>
    <t>TX1001598</t>
  </si>
  <si>
    <t>C73364</t>
  </si>
  <si>
    <t>126.246.139.47</t>
  </si>
  <si>
    <t>D127037</t>
  </si>
  <si>
    <t>TX1002689</t>
  </si>
  <si>
    <t>M1030</t>
  </si>
  <si>
    <t>C88167</t>
  </si>
  <si>
    <t>139.183.132.171</t>
  </si>
  <si>
    <t>D185822</t>
  </si>
  <si>
    <t>TX1000672</t>
  </si>
  <si>
    <t>C76655</t>
  </si>
  <si>
    <t>202.8.94.33</t>
  </si>
  <si>
    <t>D108456</t>
  </si>
  <si>
    <t>TX1002149</t>
  </si>
  <si>
    <t>C57676</t>
  </si>
  <si>
    <t>144.214.216.199</t>
  </si>
  <si>
    <t>D114464</t>
  </si>
  <si>
    <t>TX1001862</t>
  </si>
  <si>
    <t>C73609</t>
  </si>
  <si>
    <t>124.163.24.66</t>
  </si>
  <si>
    <t>D100537</t>
  </si>
  <si>
    <t>TX1000591</t>
  </si>
  <si>
    <t>C79945</t>
  </si>
  <si>
    <t>191.15.243.45</t>
  </si>
  <si>
    <t>D101880</t>
  </si>
  <si>
    <t>TX1001832</t>
  </si>
  <si>
    <t>C62535</t>
  </si>
  <si>
    <t>210.220.78.213</t>
  </si>
  <si>
    <t>D111571</t>
  </si>
  <si>
    <t>TX1000888</t>
  </si>
  <si>
    <t>C67215</t>
  </si>
  <si>
    <t>195.81.200.252</t>
  </si>
  <si>
    <t>D168599</t>
  </si>
  <si>
    <t>TX1001756</t>
  </si>
  <si>
    <t>C98552</t>
  </si>
  <si>
    <t>123.99.210.105</t>
  </si>
  <si>
    <t>D182715</t>
  </si>
  <si>
    <t>TX1001426</t>
  </si>
  <si>
    <t>M1314</t>
  </si>
  <si>
    <t>C93819</t>
  </si>
  <si>
    <t>255.241.4.213</t>
  </si>
  <si>
    <t>D199223</t>
  </si>
  <si>
    <t>TX1002106</t>
  </si>
  <si>
    <t>C76555</t>
  </si>
  <si>
    <t>90.69.135.163</t>
  </si>
  <si>
    <t>D182139</t>
  </si>
  <si>
    <t>TX1000213</t>
  </si>
  <si>
    <t>M1770</t>
  </si>
  <si>
    <t>C90140</t>
  </si>
  <si>
    <t>189.28.186.228</t>
  </si>
  <si>
    <t>D106758</t>
  </si>
  <si>
    <t>TX1002010</t>
  </si>
  <si>
    <t>C67426</t>
  </si>
  <si>
    <t>198.137.84.142</t>
  </si>
  <si>
    <t>D114891</t>
  </si>
  <si>
    <t>TX1001670</t>
  </si>
  <si>
    <t>M1414</t>
  </si>
  <si>
    <t>191.24.36.236</t>
  </si>
  <si>
    <t>D135212</t>
  </si>
  <si>
    <t>TX1000800</t>
  </si>
  <si>
    <t>C61857</t>
  </si>
  <si>
    <t>44.34.180.233</t>
  </si>
  <si>
    <t>D168738</t>
  </si>
  <si>
    <t>TX1002482</t>
  </si>
  <si>
    <t>C91095</t>
  </si>
  <si>
    <t>114.208.100.150</t>
  </si>
  <si>
    <t>D158428</t>
  </si>
  <si>
    <t>TX1001623</t>
  </si>
  <si>
    <t>C63325</t>
  </si>
  <si>
    <t>138.223.128.18</t>
  </si>
  <si>
    <t>D160814</t>
  </si>
  <si>
    <t>TX1002285</t>
  </si>
  <si>
    <t>C98258</t>
  </si>
  <si>
    <t>133.150.122.221</t>
  </si>
  <si>
    <t>D141688</t>
  </si>
  <si>
    <t>TX1002664</t>
  </si>
  <si>
    <t>M1444</t>
  </si>
  <si>
    <t>C73333</t>
  </si>
  <si>
    <t>204.198.34.89</t>
  </si>
  <si>
    <t>D188586</t>
  </si>
  <si>
    <t>TX1002713</t>
  </si>
  <si>
    <t>M1389</t>
  </si>
  <si>
    <t>C64729</t>
  </si>
  <si>
    <t>147.77.157.212</t>
  </si>
  <si>
    <t>D145346</t>
  </si>
  <si>
    <t>TX1000273</t>
  </si>
  <si>
    <t>C77479</t>
  </si>
  <si>
    <t>233.176.4.212</t>
  </si>
  <si>
    <t>D136671</t>
  </si>
  <si>
    <t>TX1000071</t>
  </si>
  <si>
    <t>C76822</t>
  </si>
  <si>
    <t>61.49.25.101</t>
  </si>
  <si>
    <t>D174943</t>
  </si>
  <si>
    <t>TX1002018</t>
  </si>
  <si>
    <t>C87833</t>
  </si>
  <si>
    <t>192.220.17.239</t>
  </si>
  <si>
    <t>D146428</t>
  </si>
  <si>
    <t>TX1001087</t>
  </si>
  <si>
    <t>C96372</t>
  </si>
  <si>
    <t>110.199.144.130</t>
  </si>
  <si>
    <t>D174738</t>
  </si>
  <si>
    <t>TX1000394</t>
  </si>
  <si>
    <t>C98114</t>
  </si>
  <si>
    <t>230.113.152.50</t>
  </si>
  <si>
    <t>D170178</t>
  </si>
  <si>
    <t>TX1000583</t>
  </si>
  <si>
    <t>C53435</t>
  </si>
  <si>
    <t>7.222.165.102</t>
  </si>
  <si>
    <t>D123330</t>
  </si>
  <si>
    <t>TX1002412</t>
  </si>
  <si>
    <t>C92532</t>
  </si>
  <si>
    <t>54.167.72.43</t>
  </si>
  <si>
    <t>D154830</t>
  </si>
  <si>
    <t>TX1001983</t>
  </si>
  <si>
    <t>C68268</t>
  </si>
  <si>
    <t>124.221.166.242</t>
  </si>
  <si>
    <t>D157301</t>
  </si>
  <si>
    <t>TX1000500</t>
  </si>
  <si>
    <t>C95167</t>
  </si>
  <si>
    <t>134.147.13.57</t>
  </si>
  <si>
    <t>D148608</t>
  </si>
  <si>
    <t>TX1002288</t>
  </si>
  <si>
    <t>M1166</t>
  </si>
  <si>
    <t>C91167</t>
  </si>
  <si>
    <t>142.188.147.104</t>
  </si>
  <si>
    <t>D123027</t>
  </si>
  <si>
    <t>TX1002225</t>
  </si>
  <si>
    <t>M1685</t>
  </si>
  <si>
    <t>C53306</t>
  </si>
  <si>
    <t>68.150.42.151</t>
  </si>
  <si>
    <t>D198072</t>
  </si>
  <si>
    <t>TX1002982</t>
  </si>
  <si>
    <t>C70553</t>
  </si>
  <si>
    <t>77.106.10.157</t>
  </si>
  <si>
    <t>D183473</t>
  </si>
  <si>
    <t>TX1002742</t>
  </si>
  <si>
    <t>M1938</t>
  </si>
  <si>
    <t>C74489</t>
  </si>
  <si>
    <t>1.67.13.38</t>
  </si>
  <si>
    <t>D122396</t>
  </si>
  <si>
    <t>TX1002078</t>
  </si>
  <si>
    <t>C50430</t>
  </si>
  <si>
    <t>213.157.51.75</t>
  </si>
  <si>
    <t>D161952</t>
  </si>
  <si>
    <t>TX1001259</t>
  </si>
  <si>
    <t>M1311</t>
  </si>
  <si>
    <t>C55795</t>
  </si>
  <si>
    <t>244.246.6.239</t>
  </si>
  <si>
    <t>D128907</t>
  </si>
  <si>
    <t>TX1001744</t>
  </si>
  <si>
    <t>C71597</t>
  </si>
  <si>
    <t>104.193.2.114</t>
  </si>
  <si>
    <t>D117707</t>
  </si>
  <si>
    <t>TX1000205</t>
  </si>
  <si>
    <t>C68594</t>
  </si>
  <si>
    <t>164.138.230.106</t>
  </si>
  <si>
    <t>D131359</t>
  </si>
  <si>
    <t>TX1000733</t>
  </si>
  <si>
    <t>C77931</t>
  </si>
  <si>
    <t>242.54.175.82</t>
  </si>
  <si>
    <t>D134217</t>
  </si>
  <si>
    <t>TX1001518</t>
  </si>
  <si>
    <t>C71432</t>
  </si>
  <si>
    <t>3.78.193.203</t>
  </si>
  <si>
    <t>D176459</t>
  </si>
  <si>
    <t>TX1000526</t>
  </si>
  <si>
    <t>C79629</t>
  </si>
  <si>
    <t>168.172.172.229</t>
  </si>
  <si>
    <t>D124421</t>
  </si>
  <si>
    <t>TX1001377</t>
  </si>
  <si>
    <t>C89961</t>
  </si>
  <si>
    <t>156.143.228.79</t>
  </si>
  <si>
    <t>D150671</t>
  </si>
  <si>
    <t>TX1000898</t>
  </si>
  <si>
    <t>C61383</t>
  </si>
  <si>
    <t>224.163.179.29</t>
  </si>
  <si>
    <t>D192656</t>
  </si>
  <si>
    <t>TX1000377</t>
  </si>
  <si>
    <t>C74345</t>
  </si>
  <si>
    <t>8.122.144.42</t>
  </si>
  <si>
    <t>D170984</t>
  </si>
  <si>
    <t>TX1001730</t>
  </si>
  <si>
    <t>C96779</t>
  </si>
  <si>
    <t>16.213.88.218</t>
  </si>
  <si>
    <t>D170765</t>
  </si>
  <si>
    <t>TX1002684</t>
  </si>
  <si>
    <t>M1578</t>
  </si>
  <si>
    <t>C64318</t>
  </si>
  <si>
    <t>216.196.104.131</t>
  </si>
  <si>
    <t>D176950</t>
  </si>
  <si>
    <t>TX1002443</t>
  </si>
  <si>
    <t>C81716</t>
  </si>
  <si>
    <t>25.180.61.79</t>
  </si>
  <si>
    <t>D196304</t>
  </si>
  <si>
    <t>TX1000386</t>
  </si>
  <si>
    <t>C78084</t>
  </si>
  <si>
    <t>138.82.223.91</t>
  </si>
  <si>
    <t>D190819</t>
  </si>
  <si>
    <t>TX1000198</t>
  </si>
  <si>
    <t>M1071</t>
  </si>
  <si>
    <t>C63151</t>
  </si>
  <si>
    <t>56.54.226.184</t>
  </si>
  <si>
    <t>D133947</t>
  </si>
  <si>
    <t>TX1001050</t>
  </si>
  <si>
    <t>M1318</t>
  </si>
  <si>
    <t>C85218</t>
  </si>
  <si>
    <t>236.52.78.240</t>
  </si>
  <si>
    <t>D129729</t>
  </si>
  <si>
    <t>TX1000590</t>
  </si>
  <si>
    <t>C50734</t>
  </si>
  <si>
    <t>25.27.188.56</t>
  </si>
  <si>
    <t>D184642</t>
  </si>
  <si>
    <t>TX1000519</t>
  </si>
  <si>
    <t>M1124</t>
  </si>
  <si>
    <t>C63738</t>
  </si>
  <si>
    <t>54.46.184.123</t>
  </si>
  <si>
    <t>D133460</t>
  </si>
  <si>
    <t>TX1002130</t>
  </si>
  <si>
    <t>M1945</t>
  </si>
  <si>
    <t>C72413</t>
  </si>
  <si>
    <t>134.228.186.202</t>
  </si>
  <si>
    <t>D181807</t>
  </si>
  <si>
    <t>TX1000429</t>
  </si>
  <si>
    <t>M1073</t>
  </si>
  <si>
    <t>C94719</t>
  </si>
  <si>
    <t>147.242.180.92</t>
  </si>
  <si>
    <t>D181065</t>
  </si>
  <si>
    <t>TX1001083</t>
  </si>
  <si>
    <t>M1556</t>
  </si>
  <si>
    <t>C55232</t>
  </si>
  <si>
    <t>30.104.69.201</t>
  </si>
  <si>
    <t>D192461</t>
  </si>
  <si>
    <t>TX1000207</t>
  </si>
  <si>
    <t>M1686</t>
  </si>
  <si>
    <t>C92261</t>
  </si>
  <si>
    <t>237.90.80.202</t>
  </si>
  <si>
    <t>D103809</t>
  </si>
  <si>
    <t>TX1000491</t>
  </si>
  <si>
    <t>C86546</t>
  </si>
  <si>
    <t>211.227.77.119</t>
  </si>
  <si>
    <t>D197330</t>
  </si>
  <si>
    <t>TX1002639</t>
  </si>
  <si>
    <t>C92271</t>
  </si>
  <si>
    <t>108.171.25.136</t>
  </si>
  <si>
    <t>D170179</t>
  </si>
  <si>
    <t>TX1002914</t>
  </si>
  <si>
    <t>C58350</t>
  </si>
  <si>
    <t>109.14.245.201</t>
  </si>
  <si>
    <t>D109825</t>
  </si>
  <si>
    <t>TX1000792</t>
  </si>
  <si>
    <t>M1132</t>
  </si>
  <si>
    <t>C86093</t>
  </si>
  <si>
    <t>13.4.201.74</t>
  </si>
  <si>
    <t>D188806</t>
  </si>
  <si>
    <t>TX1002022</t>
  </si>
  <si>
    <t>C74479</t>
  </si>
  <si>
    <t>230.35.19.193</t>
  </si>
  <si>
    <t>D187948</t>
  </si>
  <si>
    <t>TX1001186</t>
  </si>
  <si>
    <t>C93788</t>
  </si>
  <si>
    <t>154.157.224.106</t>
  </si>
  <si>
    <t>D146011</t>
  </si>
  <si>
    <t>TX1001185</t>
  </si>
  <si>
    <t>C97306</t>
  </si>
  <si>
    <t>112.160.157.231</t>
  </si>
  <si>
    <t>D101889</t>
  </si>
  <si>
    <t>TX1001763</t>
  </si>
  <si>
    <t>C86054</t>
  </si>
  <si>
    <t>116.114.95.30</t>
  </si>
  <si>
    <t>D129304</t>
  </si>
  <si>
    <t>TX1001690</t>
  </si>
  <si>
    <t>M1856</t>
  </si>
  <si>
    <t>C69215</t>
  </si>
  <si>
    <t>2.15.132.19</t>
  </si>
  <si>
    <t>D148549</t>
  </si>
  <si>
    <t>TX1002234</t>
  </si>
  <si>
    <t>M1639</t>
  </si>
  <si>
    <t>C75823</t>
  </si>
  <si>
    <t>48.247.184.155</t>
  </si>
  <si>
    <t>D133946</t>
  </si>
  <si>
    <t>TX1000083</t>
  </si>
  <si>
    <t>M1743</t>
  </si>
  <si>
    <t>C85037</t>
  </si>
  <si>
    <t>216.92.150.25</t>
  </si>
  <si>
    <t>D161706</t>
  </si>
  <si>
    <t>TX1002371</t>
  </si>
  <si>
    <t>M1313</t>
  </si>
  <si>
    <t>C78996</t>
  </si>
  <si>
    <t>156.254.20.108</t>
  </si>
  <si>
    <t>D137596</t>
  </si>
  <si>
    <t>TX1002228</t>
  </si>
  <si>
    <t>C88123</t>
  </si>
  <si>
    <t>37.178.126.140</t>
  </si>
  <si>
    <t>D133717</t>
  </si>
  <si>
    <t>TX1000020</t>
  </si>
  <si>
    <t>C65792</t>
  </si>
  <si>
    <t>248.213.68.100</t>
  </si>
  <si>
    <t>D131831</t>
  </si>
  <si>
    <t>TX1002993</t>
  </si>
  <si>
    <t>M1764</t>
  </si>
  <si>
    <t>C63428</t>
  </si>
  <si>
    <t>207.185.158.157</t>
  </si>
  <si>
    <t>D194500</t>
  </si>
  <si>
    <t>TX1002037</t>
  </si>
  <si>
    <t>C63905</t>
  </si>
  <si>
    <t>192.1.174.101</t>
  </si>
  <si>
    <t>D107775</t>
  </si>
  <si>
    <t>TX1001941</t>
  </si>
  <si>
    <t>185.19.180.167</t>
  </si>
  <si>
    <t>D180826</t>
  </si>
  <si>
    <t>TX1002901</t>
  </si>
  <si>
    <t>C99088</t>
  </si>
  <si>
    <t>115.241.82.149</t>
  </si>
  <si>
    <t>D112643</t>
  </si>
  <si>
    <t>TX1001940</t>
  </si>
  <si>
    <t>M1538</t>
  </si>
  <si>
    <t>C51515</t>
  </si>
  <si>
    <t>26.120.225.52</t>
  </si>
  <si>
    <t>D193638</t>
  </si>
  <si>
    <t>TX1000973</t>
  </si>
  <si>
    <t>58.193.70.108</t>
  </si>
  <si>
    <t>D173323</t>
  </si>
  <si>
    <t>TX1002791</t>
  </si>
  <si>
    <t>M1461</t>
  </si>
  <si>
    <t>28.41.246.92</t>
  </si>
  <si>
    <t>D129751</t>
  </si>
  <si>
    <t>TX1000883</t>
  </si>
  <si>
    <t>C62055</t>
  </si>
  <si>
    <t>84.108.167.187</t>
  </si>
  <si>
    <t>D129678</t>
  </si>
  <si>
    <t>TX1001098</t>
  </si>
  <si>
    <t>M1524</t>
  </si>
  <si>
    <t>C81385</t>
  </si>
  <si>
    <t>78.235.255.221</t>
  </si>
  <si>
    <t>D123638</t>
  </si>
  <si>
    <t>TX1000156</t>
  </si>
  <si>
    <t>M1630</t>
  </si>
  <si>
    <t>C65880</t>
  </si>
  <si>
    <t>106.216.187.90</t>
  </si>
  <si>
    <t>D124967</t>
  </si>
  <si>
    <t>TX1002852</t>
  </si>
  <si>
    <t>C80955</t>
  </si>
  <si>
    <t>45.47.247.250</t>
  </si>
  <si>
    <t>D196300</t>
  </si>
  <si>
    <t>TX1000886</t>
  </si>
  <si>
    <t>C84214</t>
  </si>
  <si>
    <t>199.152.234.150</t>
  </si>
  <si>
    <t>D148589</t>
  </si>
  <si>
    <t>TX1000260</t>
  </si>
  <si>
    <t>208.188.95.112</t>
  </si>
  <si>
    <t>D182665</t>
  </si>
  <si>
    <t>TX1001593</t>
  </si>
  <si>
    <t>C91434</t>
  </si>
  <si>
    <t>172.53.244.76</t>
  </si>
  <si>
    <t>D126383</t>
  </si>
  <si>
    <t>TX1002480</t>
  </si>
  <si>
    <t>M1332</t>
  </si>
  <si>
    <t>C62205</t>
  </si>
  <si>
    <t>251.18.249.113</t>
  </si>
  <si>
    <t>D147055</t>
  </si>
  <si>
    <t>TX1001498</t>
  </si>
  <si>
    <t>M1886</t>
  </si>
  <si>
    <t>C68661</t>
  </si>
  <si>
    <t>123.94.29.158</t>
  </si>
  <si>
    <t>D101296</t>
  </si>
  <si>
    <t>TX1002536</t>
  </si>
  <si>
    <t>M1162</t>
  </si>
  <si>
    <t>C53191</t>
  </si>
  <si>
    <t>189.77.124.210</t>
  </si>
  <si>
    <t>D151253</t>
  </si>
  <si>
    <t>TX1002585</t>
  </si>
  <si>
    <t>M1837</t>
  </si>
  <si>
    <t>C58069</t>
  </si>
  <si>
    <t>217.137.231.88</t>
  </si>
  <si>
    <t>D126686</t>
  </si>
  <si>
    <t>TX1001474</t>
  </si>
  <si>
    <t>C60497</t>
  </si>
  <si>
    <t>4.148.230.53</t>
  </si>
  <si>
    <t>D189884</t>
  </si>
  <si>
    <t>TX1002650</t>
  </si>
  <si>
    <t>C72835</t>
  </si>
  <si>
    <t>99.95.97.157</t>
  </si>
  <si>
    <t>D194126</t>
  </si>
  <si>
    <t>TX1000458</t>
  </si>
  <si>
    <t>C63792</t>
  </si>
  <si>
    <t>59.148.82.234</t>
  </si>
  <si>
    <t>D149005</t>
  </si>
  <si>
    <t>TX1002648</t>
  </si>
  <si>
    <t>M1171</t>
  </si>
  <si>
    <t>C89717</t>
  </si>
  <si>
    <t>226.22.59.113</t>
  </si>
  <si>
    <t>D160419</t>
  </si>
  <si>
    <t>TX1000078</t>
  </si>
  <si>
    <t>C60418</t>
  </si>
  <si>
    <t>8.88.98.225</t>
  </si>
  <si>
    <t>D126309</t>
  </si>
  <si>
    <t>TX1002916</t>
  </si>
  <si>
    <t>C99460</t>
  </si>
  <si>
    <t>111.55.179.231</t>
  </si>
  <si>
    <t>D187759</t>
  </si>
  <si>
    <t>TX1001056</t>
  </si>
  <si>
    <t>C67921</t>
  </si>
  <si>
    <t>53.249.230.74</t>
  </si>
  <si>
    <t>D103385</t>
  </si>
  <si>
    <t>TX1000906</t>
  </si>
  <si>
    <t>C79587</t>
  </si>
  <si>
    <t>121.38.199.127</t>
  </si>
  <si>
    <t>D118682</t>
  </si>
  <si>
    <t>TX1001565</t>
  </si>
  <si>
    <t>C50401</t>
  </si>
  <si>
    <t>148.204.101.201</t>
  </si>
  <si>
    <t>D145416</t>
  </si>
  <si>
    <t>TX1002216</t>
  </si>
  <si>
    <t>C56855</t>
  </si>
  <si>
    <t>104.157.79.195</t>
  </si>
  <si>
    <t>D198153</t>
  </si>
  <si>
    <t>TX1002698</t>
  </si>
  <si>
    <t>C88959</t>
  </si>
  <si>
    <t>138.228.110.128</t>
  </si>
  <si>
    <t>D194770</t>
  </si>
  <si>
    <t>TX1000380</t>
  </si>
  <si>
    <t>199.198.122.54</t>
  </si>
  <si>
    <t>D180004</t>
  </si>
  <si>
    <t>TX1000947</t>
  </si>
  <si>
    <t>M1698</t>
  </si>
  <si>
    <t>C79506</t>
  </si>
  <si>
    <t>89.130.81.112</t>
  </si>
  <si>
    <t>D110089</t>
  </si>
  <si>
    <t>TX1001714</t>
  </si>
  <si>
    <t>C76337</t>
  </si>
  <si>
    <t>27.107.54.148</t>
  </si>
  <si>
    <t>TX1001962</t>
  </si>
  <si>
    <t>C84196</t>
  </si>
  <si>
    <t>242.166.116.132</t>
  </si>
  <si>
    <t>D185438</t>
  </si>
  <si>
    <t>TX1000715</t>
  </si>
  <si>
    <t>M1990</t>
  </si>
  <si>
    <t>C95428</t>
  </si>
  <si>
    <t>206.157.190.164</t>
  </si>
  <si>
    <t>D130090</t>
  </si>
  <si>
    <t>TX1001916</t>
  </si>
  <si>
    <t>M1048</t>
  </si>
  <si>
    <t>C57962</t>
  </si>
  <si>
    <t>90.56.3.2</t>
  </si>
  <si>
    <t>D158822</t>
  </si>
  <si>
    <t>TX1000686</t>
  </si>
  <si>
    <t>C87623</t>
  </si>
  <si>
    <t>104.215.192.223</t>
  </si>
  <si>
    <t>D186084</t>
  </si>
  <si>
    <t>TX1002567</t>
  </si>
  <si>
    <t>C56745</t>
  </si>
  <si>
    <t>53.117.183.47</t>
  </si>
  <si>
    <t>D154987</t>
  </si>
  <si>
    <t>TX1001293</t>
  </si>
  <si>
    <t>C75711</t>
  </si>
  <si>
    <t>105.125.8.216</t>
  </si>
  <si>
    <t>D156437</t>
  </si>
  <si>
    <t>TX1000305</t>
  </si>
  <si>
    <t>M1757</t>
  </si>
  <si>
    <t>C67113</t>
  </si>
  <si>
    <t>201.206.207.211</t>
  </si>
  <si>
    <t>D176015</t>
  </si>
  <si>
    <t>TX1000209</t>
  </si>
  <si>
    <t>C52103</t>
  </si>
  <si>
    <t>44.175.112.227</t>
  </si>
  <si>
    <t>D138687</t>
  </si>
  <si>
    <t>TX1001487</t>
  </si>
  <si>
    <t>C76917</t>
  </si>
  <si>
    <t>102.252.217.227</t>
  </si>
  <si>
    <t>D145960</t>
  </si>
  <si>
    <t>TX1002223</t>
  </si>
  <si>
    <t>C60774</t>
  </si>
  <si>
    <t>206.15.203.168</t>
  </si>
  <si>
    <t>D131739</t>
  </si>
  <si>
    <t>TX1002978</t>
  </si>
  <si>
    <t>M1052</t>
  </si>
  <si>
    <t>C72988</t>
  </si>
  <si>
    <t>210.159.138.181</t>
  </si>
  <si>
    <t>D102481</t>
  </si>
  <si>
    <t>TX1001590</t>
  </si>
  <si>
    <t>C63881</t>
  </si>
  <si>
    <t>181.242.252.126</t>
  </si>
  <si>
    <t>D163232</t>
  </si>
  <si>
    <t>TX1000885</t>
  </si>
  <si>
    <t>C89950</t>
  </si>
  <si>
    <t>153.174.245.59</t>
  </si>
  <si>
    <t>D175686</t>
  </si>
  <si>
    <t>TX1002748</t>
  </si>
  <si>
    <t>M1795</t>
  </si>
  <si>
    <t>C77244</t>
  </si>
  <si>
    <t>105.75.246.95</t>
  </si>
  <si>
    <t>D188660</t>
  </si>
  <si>
    <t>TX1000917</t>
  </si>
  <si>
    <t>M1618</t>
  </si>
  <si>
    <t>C74207</t>
  </si>
  <si>
    <t>207.6.35.93</t>
  </si>
  <si>
    <t>D126667</t>
  </si>
  <si>
    <t>TX1002564</t>
  </si>
  <si>
    <t>C75621</t>
  </si>
  <si>
    <t>181.135.14.178</t>
  </si>
  <si>
    <t>D177000</t>
  </si>
  <si>
    <t>TX1001662</t>
  </si>
  <si>
    <t>M1471</t>
  </si>
  <si>
    <t>C62425</t>
  </si>
  <si>
    <t>47.137.242.201</t>
  </si>
  <si>
    <t>D130896</t>
  </si>
  <si>
    <t>TX1000191</t>
  </si>
  <si>
    <t>C89166</t>
  </si>
  <si>
    <t>44.26.149.208</t>
  </si>
  <si>
    <t>D196649</t>
  </si>
  <si>
    <t>TX1002011</t>
  </si>
  <si>
    <t>C88341</t>
  </si>
  <si>
    <t>99.142.209.215</t>
  </si>
  <si>
    <t>D162850</t>
  </si>
  <si>
    <t>TX1002029</t>
  </si>
  <si>
    <t>C53406</t>
  </si>
  <si>
    <t>99.251.19.22</t>
  </si>
  <si>
    <t>D136300</t>
  </si>
  <si>
    <t>TX1001265</t>
  </si>
  <si>
    <t>C63318</t>
  </si>
  <si>
    <t>190.213.5.216</t>
  </si>
  <si>
    <t>D156868</t>
  </si>
  <si>
    <t>TX1000483</t>
  </si>
  <si>
    <t>M1235</t>
  </si>
  <si>
    <t>C62318</t>
  </si>
  <si>
    <t>39.145.159.100</t>
  </si>
  <si>
    <t>D188509</t>
  </si>
  <si>
    <t>TX1000915</t>
  </si>
  <si>
    <t>C79933</t>
  </si>
  <si>
    <t>190.22.198.3</t>
  </si>
  <si>
    <t>D171011</t>
  </si>
  <si>
    <t>TX1002601</t>
  </si>
  <si>
    <t>C95476</t>
  </si>
  <si>
    <t>160.55.163.211</t>
  </si>
  <si>
    <t>D186719</t>
  </si>
  <si>
    <t>TX1000277</t>
  </si>
  <si>
    <t>C77845</t>
  </si>
  <si>
    <t>151.202.135.150</t>
  </si>
  <si>
    <t>TX1000988</t>
  </si>
  <si>
    <t>C58679</t>
  </si>
  <si>
    <t>216.8.122.160</t>
  </si>
  <si>
    <t>D115734</t>
  </si>
  <si>
    <t>TX1001456</t>
  </si>
  <si>
    <t>C51321</t>
  </si>
  <si>
    <t>13.147.183.8</t>
  </si>
  <si>
    <t>D145059</t>
  </si>
  <si>
    <t>TX1001897</t>
  </si>
  <si>
    <t>C75532</t>
  </si>
  <si>
    <t>88.90.176.10</t>
  </si>
  <si>
    <t>D112990</t>
  </si>
  <si>
    <t>TX1002190</t>
  </si>
  <si>
    <t>M1221</t>
  </si>
  <si>
    <t>C90898</t>
  </si>
  <si>
    <t>230.252.106.33</t>
  </si>
  <si>
    <t>D107709</t>
  </si>
  <si>
    <t>TX1000571</t>
  </si>
  <si>
    <t>C98894</t>
  </si>
  <si>
    <t>60.107.25.184</t>
  </si>
  <si>
    <t>D110408</t>
  </si>
  <si>
    <t>TX1000993</t>
  </si>
  <si>
    <t>35.25.131.48</t>
  </si>
  <si>
    <t>D179276</t>
  </si>
  <si>
    <t>TX1001405</t>
  </si>
  <si>
    <t>C98915</t>
  </si>
  <si>
    <t>187.39.47.167</t>
  </si>
  <si>
    <t>D188059</t>
  </si>
  <si>
    <t>TX1001402</t>
  </si>
  <si>
    <t>C57668</t>
  </si>
  <si>
    <t>18.111.98.83</t>
  </si>
  <si>
    <t>D151452</t>
  </si>
  <si>
    <t>TX1000585</t>
  </si>
  <si>
    <t>C57552</t>
  </si>
  <si>
    <t>7.26.115.123</t>
  </si>
  <si>
    <t>D105556</t>
  </si>
  <si>
    <t>TX1002140</t>
  </si>
  <si>
    <t>C73883</t>
  </si>
  <si>
    <t>248.183.59.69</t>
  </si>
  <si>
    <t>D115206</t>
  </si>
  <si>
    <t>TX1002996</t>
  </si>
  <si>
    <t>C60688</t>
  </si>
  <si>
    <t>179.221.210.91</t>
  </si>
  <si>
    <t>D190817</t>
  </si>
  <si>
    <t>TX1001349</t>
  </si>
  <si>
    <t>M1283</t>
  </si>
  <si>
    <t>C94826</t>
  </si>
  <si>
    <t>149.87.218.35</t>
  </si>
  <si>
    <t>D150541</t>
  </si>
  <si>
    <t>TX1002030</t>
  </si>
  <si>
    <t>C86820</t>
  </si>
  <si>
    <t>104.95.109.209</t>
  </si>
  <si>
    <t>D158808</t>
  </si>
  <si>
    <t>TX1000674</t>
  </si>
  <si>
    <t>C92282</t>
  </si>
  <si>
    <t>194.66.188.185</t>
  </si>
  <si>
    <t>D195057</t>
  </si>
  <si>
    <t>TX1002787</t>
  </si>
  <si>
    <t>C90812</t>
  </si>
  <si>
    <t>5.231.149.236</t>
  </si>
  <si>
    <t>D170938</t>
  </si>
  <si>
    <t>TX1000855</t>
  </si>
  <si>
    <t>C60067</t>
  </si>
  <si>
    <t>90.42.72.208</t>
  </si>
  <si>
    <t>D179244</t>
  </si>
  <si>
    <t>TX1000447</t>
  </si>
  <si>
    <t>C61790</t>
  </si>
  <si>
    <t>191.51.64.223</t>
  </si>
  <si>
    <t>D104466</t>
  </si>
  <si>
    <t>TX1001421</t>
  </si>
  <si>
    <t>C73540</t>
  </si>
  <si>
    <t>13.70.212.227</t>
  </si>
  <si>
    <t>D142691</t>
  </si>
  <si>
    <t>TX1002080</t>
  </si>
  <si>
    <t>C67369</t>
  </si>
  <si>
    <t>113.39.179.165</t>
  </si>
  <si>
    <t>D112792</t>
  </si>
  <si>
    <t>TX1001618</t>
  </si>
  <si>
    <t>C74408</t>
  </si>
  <si>
    <t>12.180.64.3</t>
  </si>
  <si>
    <t>D165553</t>
  </si>
  <si>
    <t>TX1002260</t>
  </si>
  <si>
    <t>C56545</t>
  </si>
  <si>
    <t>171.96.84.247</t>
  </si>
  <si>
    <t>D128801</t>
  </si>
  <si>
    <t>TX1002677</t>
  </si>
  <si>
    <t>C82253</t>
  </si>
  <si>
    <t>226.251.171.36</t>
  </si>
  <si>
    <t>D121319</t>
  </si>
  <si>
    <t>TX1002387</t>
  </si>
  <si>
    <t>C59414</t>
  </si>
  <si>
    <t>47.65.49.78</t>
  </si>
  <si>
    <t>D197395</t>
  </si>
  <si>
    <t>TX1001718</t>
  </si>
  <si>
    <t>C94832</t>
  </si>
  <si>
    <t>43.2.241.32</t>
  </si>
  <si>
    <t>D145645</t>
  </si>
  <si>
    <t>TX1002673</t>
  </si>
  <si>
    <t>C78877</t>
  </si>
  <si>
    <t>85.154.27.46</t>
  </si>
  <si>
    <t>D117322</t>
  </si>
  <si>
    <t>TX1001247</t>
  </si>
  <si>
    <t>C76554</t>
  </si>
  <si>
    <t>114.32.137.134</t>
  </si>
  <si>
    <t>D102929</t>
  </si>
  <si>
    <t>TX1000294</t>
  </si>
  <si>
    <t>C78961</t>
  </si>
  <si>
    <t>14.150.195.103</t>
  </si>
  <si>
    <t>D112560</t>
  </si>
  <si>
    <t>TX1000588</t>
  </si>
  <si>
    <t>C56994</t>
  </si>
  <si>
    <t>214.109.155.93</t>
  </si>
  <si>
    <t>D160788</t>
  </si>
  <si>
    <t>TX1001281</t>
  </si>
  <si>
    <t>C81231</t>
  </si>
  <si>
    <t>222.22.80.158</t>
  </si>
  <si>
    <t>D174888</t>
  </si>
  <si>
    <t>TX1001741</t>
  </si>
  <si>
    <t>C92097</t>
  </si>
  <si>
    <t>144.182.9.49</t>
  </si>
  <si>
    <t>D129460</t>
  </si>
  <si>
    <t>TX1002431</t>
  </si>
  <si>
    <t>C58890</t>
  </si>
  <si>
    <t>74.174.108.154</t>
  </si>
  <si>
    <t>D194882</t>
  </si>
  <si>
    <t>TX1002005</t>
  </si>
  <si>
    <t>C76295</t>
  </si>
  <si>
    <t>161.145.100.188</t>
  </si>
  <si>
    <t>D179180</t>
  </si>
  <si>
    <t>TX1002254</t>
  </si>
  <si>
    <t>M1796</t>
  </si>
  <si>
    <t>C98797</t>
  </si>
  <si>
    <t>65.236.220.98</t>
  </si>
  <si>
    <t>D130338</t>
  </si>
  <si>
    <t>TX1000425</t>
  </si>
  <si>
    <t>M1723</t>
  </si>
  <si>
    <t>C83622</t>
  </si>
  <si>
    <t>184.71.142.201</t>
  </si>
  <si>
    <t>D199956</t>
  </si>
  <si>
    <t>TX1000534</t>
  </si>
  <si>
    <t>M1106</t>
  </si>
  <si>
    <t>C89756</t>
  </si>
  <si>
    <t>28.50.48.31</t>
  </si>
  <si>
    <t>D131275</t>
  </si>
  <si>
    <t>TX1001054</t>
  </si>
  <si>
    <t>C86044</t>
  </si>
  <si>
    <t>7.238.106.77</t>
  </si>
  <si>
    <t>D138225</t>
  </si>
  <si>
    <t>TX1001867</t>
  </si>
  <si>
    <t>C70679</t>
  </si>
  <si>
    <t>185.77.6.156</t>
  </si>
  <si>
    <t>D133112</t>
  </si>
  <si>
    <t>TX1002506</t>
  </si>
  <si>
    <t>C90240</t>
  </si>
  <si>
    <t>215.56.108.195</t>
  </si>
  <si>
    <t>D158143</t>
  </si>
  <si>
    <t>TX1001427</t>
  </si>
  <si>
    <t>C98049</t>
  </si>
  <si>
    <t>10.255.17.147</t>
  </si>
  <si>
    <t>D167482</t>
  </si>
  <si>
    <t>TX1000132</t>
  </si>
  <si>
    <t>C87447</t>
  </si>
  <si>
    <t>143.221.195.51</t>
  </si>
  <si>
    <t>D119116</t>
  </si>
  <si>
    <t>TX1001840</t>
  </si>
  <si>
    <t>C91883</t>
  </si>
  <si>
    <t>255.74.218.247</t>
  </si>
  <si>
    <t>D184046</t>
  </si>
  <si>
    <t>TX1002717</t>
  </si>
  <si>
    <t>C97772</t>
  </si>
  <si>
    <t>211.227.38.206</t>
  </si>
  <si>
    <t>D190105</t>
  </si>
  <si>
    <t>TX1000421</t>
  </si>
  <si>
    <t>C95258</t>
  </si>
  <si>
    <t>14.104.73.144</t>
  </si>
  <si>
    <t>D197048</t>
  </si>
  <si>
    <t>TX1002874</t>
  </si>
  <si>
    <t>C51922</t>
  </si>
  <si>
    <t>226.21.169.192</t>
  </si>
  <si>
    <t>D140263</t>
  </si>
  <si>
    <t>TX1002031</t>
  </si>
  <si>
    <t>C51660</t>
  </si>
  <si>
    <t>164.33.122.105</t>
  </si>
  <si>
    <t>D173050</t>
  </si>
  <si>
    <t>TX1001575</t>
  </si>
  <si>
    <t>M1567</t>
  </si>
  <si>
    <t>C77755</t>
  </si>
  <si>
    <t>119.39.65.203</t>
  </si>
  <si>
    <t>D127929</t>
  </si>
  <si>
    <t>TX1001368</t>
  </si>
  <si>
    <t>C77829</t>
  </si>
  <si>
    <t>39.150.211.22</t>
  </si>
  <si>
    <t>D187777</t>
  </si>
  <si>
    <t>TX1000556</t>
  </si>
  <si>
    <t>C87276</t>
  </si>
  <si>
    <t>236.89.179.119</t>
  </si>
  <si>
    <t>D126299</t>
  </si>
  <si>
    <t>TX1002046</t>
  </si>
  <si>
    <t>C50534</t>
  </si>
  <si>
    <t>83.19.146.157</t>
  </si>
  <si>
    <t>D106938</t>
  </si>
  <si>
    <t>TX1001488</t>
  </si>
  <si>
    <t>C67372</t>
  </si>
  <si>
    <t>62.140.226.233</t>
  </si>
  <si>
    <t>D133127</t>
  </si>
  <si>
    <t>TX1002681</t>
  </si>
  <si>
    <t>C83564</t>
  </si>
  <si>
    <t>131.88.151.156</t>
  </si>
  <si>
    <t>D160867</t>
  </si>
  <si>
    <t>TX1000570</t>
  </si>
  <si>
    <t>C55726</t>
  </si>
  <si>
    <t>223.36.79.150</t>
  </si>
  <si>
    <t>D182067</t>
  </si>
  <si>
    <t>TX1000352</t>
  </si>
  <si>
    <t>C67350</t>
  </si>
  <si>
    <t>132.18.237.229</t>
  </si>
  <si>
    <t>D180969</t>
  </si>
  <si>
    <t>TX1000091</t>
  </si>
  <si>
    <t>C82381</t>
  </si>
  <si>
    <t>165.118.233.254</t>
  </si>
  <si>
    <t>D138800</t>
  </si>
  <si>
    <t>TX1002124</t>
  </si>
  <si>
    <t>M1175</t>
  </si>
  <si>
    <t>C94045</t>
  </si>
  <si>
    <t>146.49.119.86</t>
  </si>
  <si>
    <t>D130179</t>
  </si>
  <si>
    <t>TX1002535</t>
  </si>
  <si>
    <t>C56443</t>
  </si>
  <si>
    <t>159.53.88.110</t>
  </si>
  <si>
    <t>D136735</t>
  </si>
  <si>
    <t>TX1001170</t>
  </si>
  <si>
    <t>M1759</t>
  </si>
  <si>
    <t>C75013</t>
  </si>
  <si>
    <t>54.234.50.51</t>
  </si>
  <si>
    <t>D171364</t>
  </si>
  <si>
    <t>TX1001491</t>
  </si>
  <si>
    <t>C68011</t>
  </si>
  <si>
    <t>66.15.160.27</t>
  </si>
  <si>
    <t>D106014</t>
  </si>
  <si>
    <t>TX1001285</t>
  </si>
  <si>
    <t>C77345</t>
  </si>
  <si>
    <t>221.10.86.43</t>
  </si>
  <si>
    <t>D156528</t>
  </si>
  <si>
    <t>TX1002711</t>
  </si>
  <si>
    <t>C58315</t>
  </si>
  <si>
    <t>174.98.164.142</t>
  </si>
  <si>
    <t>D185473</t>
  </si>
  <si>
    <t>TX1002566</t>
  </si>
  <si>
    <t>C71021</t>
  </si>
  <si>
    <t>17.52.67.72</t>
  </si>
  <si>
    <t>D148335</t>
  </si>
  <si>
    <t>TX1001735</t>
  </si>
  <si>
    <t>C91755</t>
  </si>
  <si>
    <t>160.54.194.229</t>
  </si>
  <si>
    <t>D117576</t>
  </si>
  <si>
    <t>TX1002818</t>
  </si>
  <si>
    <t>C68839</t>
  </si>
  <si>
    <t>88.59.192.74</t>
  </si>
  <si>
    <t>D175487</t>
  </si>
  <si>
    <t>TX1000697</t>
  </si>
  <si>
    <t>C79326</t>
  </si>
  <si>
    <t>247.86.165.13</t>
  </si>
  <si>
    <t>D118461</t>
  </si>
  <si>
    <t>TX1002508</t>
  </si>
  <si>
    <t>M1431</t>
  </si>
  <si>
    <t>C52772</t>
  </si>
  <si>
    <t>42.137.255.156</t>
  </si>
  <si>
    <t>D198586</t>
  </si>
  <si>
    <t>TX1000348</t>
  </si>
  <si>
    <t>C95000</t>
  </si>
  <si>
    <t>14.189.127.174</t>
  </si>
  <si>
    <t>D179783</t>
  </si>
  <si>
    <t>TX1001562</t>
  </si>
  <si>
    <t>C78328</t>
  </si>
  <si>
    <t>172.106.91.125</t>
  </si>
  <si>
    <t>D156937</t>
  </si>
  <si>
    <t>TX1002348</t>
  </si>
  <si>
    <t>C67769</t>
  </si>
  <si>
    <t>51.223.145.132</t>
  </si>
  <si>
    <t>D127571</t>
  </si>
  <si>
    <t>TX1002984</t>
  </si>
  <si>
    <t>M1715</t>
  </si>
  <si>
    <t>C89695</t>
  </si>
  <si>
    <t>172.154.71.194</t>
  </si>
  <si>
    <t>D189953</t>
  </si>
  <si>
    <t>TX1002170</t>
  </si>
  <si>
    <t>C81298</t>
  </si>
  <si>
    <t>30.98.231.70</t>
  </si>
  <si>
    <t>D186336</t>
  </si>
  <si>
    <t>TX1001137</t>
  </si>
  <si>
    <t>C55396</t>
  </si>
  <si>
    <t>78.234.131.197</t>
  </si>
  <si>
    <t>D160030</t>
  </si>
  <si>
    <t>TX1001800</t>
  </si>
  <si>
    <t>83.251.13.223</t>
  </si>
  <si>
    <t>TX1001990</t>
  </si>
  <si>
    <t>C97214</t>
  </si>
  <si>
    <t>4.156.94.125</t>
  </si>
  <si>
    <t>D166433</t>
  </si>
  <si>
    <t>TX1002838</t>
  </si>
  <si>
    <t>C67711</t>
  </si>
  <si>
    <t>127.65.146.61</t>
  </si>
  <si>
    <t>D100298</t>
  </si>
  <si>
    <t>TX1002822</t>
  </si>
  <si>
    <t>C53508</t>
  </si>
  <si>
    <t>141.139.72.120</t>
  </si>
  <si>
    <t>D114567</t>
  </si>
  <si>
    <t>TX1001339</t>
  </si>
  <si>
    <t>C80428</t>
  </si>
  <si>
    <t>75.169.14.26</t>
  </si>
  <si>
    <t>D143148</t>
  </si>
  <si>
    <t>TX1002492</t>
  </si>
  <si>
    <t>C61321</t>
  </si>
  <si>
    <t>24.40.73.36</t>
  </si>
  <si>
    <t>D104988</t>
  </si>
  <si>
    <t>TX1000453</t>
  </si>
  <si>
    <t>C95084</t>
  </si>
  <si>
    <t>216.18.4.63</t>
  </si>
  <si>
    <t>D117940</t>
  </si>
  <si>
    <t>TX1000913</t>
  </si>
  <si>
    <t>M1191</t>
  </si>
  <si>
    <t>C50637</t>
  </si>
  <si>
    <t>38.7.183.232</t>
  </si>
  <si>
    <t>D143103</t>
  </si>
  <si>
    <t>TX1001199</t>
  </si>
  <si>
    <t>C72955</t>
  </si>
  <si>
    <t>38.26.99.192</t>
  </si>
  <si>
    <t>D155372</t>
  </si>
  <si>
    <t>TX1001274</t>
  </si>
  <si>
    <t>C69500</t>
  </si>
  <si>
    <t>169.34.28.223</t>
  </si>
  <si>
    <t>D135266</t>
  </si>
  <si>
    <t>TX1001869</t>
  </si>
  <si>
    <t>C80168</t>
  </si>
  <si>
    <t>246.36.65.150</t>
  </si>
  <si>
    <t>D119475</t>
  </si>
  <si>
    <t>TX1000037</t>
  </si>
  <si>
    <t>C81649</t>
  </si>
  <si>
    <t>12.58.11.218</t>
  </si>
  <si>
    <t>D144967</t>
  </si>
  <si>
    <t>TX1000974</t>
  </si>
  <si>
    <t>C72210</t>
  </si>
  <si>
    <t>45.46.200.186</t>
  </si>
  <si>
    <t>D136507</t>
  </si>
  <si>
    <t>TX1002772</t>
  </si>
  <si>
    <t>C63000</t>
  </si>
  <si>
    <t>172.229.251.55</t>
  </si>
  <si>
    <t>D119466</t>
  </si>
  <si>
    <t>TX1000983</t>
  </si>
  <si>
    <t>C77429</t>
  </si>
  <si>
    <t>113.97.1.95</t>
  </si>
  <si>
    <t>D133877</t>
  </si>
  <si>
    <t>TX1001808</t>
  </si>
  <si>
    <t>M1259</t>
  </si>
  <si>
    <t>C97367</t>
  </si>
  <si>
    <t>87.245.128.123</t>
  </si>
  <si>
    <t>D162486</t>
  </si>
  <si>
    <t>TX1001964</t>
  </si>
  <si>
    <t>C82243</t>
  </si>
  <si>
    <t>25.158.153.65</t>
  </si>
  <si>
    <t>D185739</t>
  </si>
  <si>
    <t>TX1001418</t>
  </si>
  <si>
    <t>M1133</t>
  </si>
  <si>
    <t>C61046</t>
  </si>
  <si>
    <t>53.138.156.119</t>
  </si>
  <si>
    <t>D176016</t>
  </si>
  <si>
    <t>TX1001284</t>
  </si>
  <si>
    <t>C71512</t>
  </si>
  <si>
    <t>69.64.114.56</t>
  </si>
  <si>
    <t>D143248</t>
  </si>
  <si>
    <t>TX1000039</t>
  </si>
  <si>
    <t>C82078</t>
  </si>
  <si>
    <t>217.234.88.209</t>
  </si>
  <si>
    <t>D188288</t>
  </si>
  <si>
    <t>TX1001788</t>
  </si>
  <si>
    <t>M1610</t>
  </si>
  <si>
    <t>C61940</t>
  </si>
  <si>
    <t>197.21.203.114</t>
  </si>
  <si>
    <t>D112865</t>
  </si>
  <si>
    <t>TX1000169</t>
  </si>
  <si>
    <t>C70189</t>
  </si>
  <si>
    <t>246.103.1.160</t>
  </si>
  <si>
    <t>D133175</t>
  </si>
  <si>
    <t>TX1001355</t>
  </si>
  <si>
    <t>C54826</t>
  </si>
  <si>
    <t>205.240.200.29</t>
  </si>
  <si>
    <t>D120986</t>
  </si>
  <si>
    <t>TX1000737</t>
  </si>
  <si>
    <t>M1294</t>
  </si>
  <si>
    <t>C68058</t>
  </si>
  <si>
    <t>112.93.178.137</t>
  </si>
  <si>
    <t>D169222</t>
  </si>
  <si>
    <t>TX1001967</t>
  </si>
  <si>
    <t>C80088</t>
  </si>
  <si>
    <t>70.120.139.1</t>
  </si>
  <si>
    <t>D110639</t>
  </si>
  <si>
    <t>TX1002701</t>
  </si>
  <si>
    <t>C95069</t>
  </si>
  <si>
    <t>144.101.120.235</t>
  </si>
  <si>
    <t>D156847</t>
  </si>
  <si>
    <t>TX1002059</t>
  </si>
  <si>
    <t>C74530</t>
  </si>
  <si>
    <t>172.161.137.107</t>
  </si>
  <si>
    <t>D193377</t>
  </si>
  <si>
    <t>TX1000634</t>
  </si>
  <si>
    <t>C82136</t>
  </si>
  <si>
    <t>73.70.33.119</t>
  </si>
  <si>
    <t>D179451</t>
  </si>
  <si>
    <t>TX1002649</t>
  </si>
  <si>
    <t>C81940</t>
  </si>
  <si>
    <t>246.104.113.30</t>
  </si>
  <si>
    <t>D141793</t>
  </si>
  <si>
    <t>TX1001921</t>
  </si>
  <si>
    <t>M1355</t>
  </si>
  <si>
    <t>C75989</t>
  </si>
  <si>
    <t>63.192.249.49</t>
  </si>
  <si>
    <t>D118912</t>
  </si>
  <si>
    <t>TX1001290</t>
  </si>
  <si>
    <t>C72730</t>
  </si>
  <si>
    <t>84.49.14.125</t>
  </si>
  <si>
    <t>D192890</t>
  </si>
  <si>
    <t>TX1001380</t>
  </si>
  <si>
    <t>C61927</t>
  </si>
  <si>
    <t>97.127.13.29</t>
  </si>
  <si>
    <t>D120079</t>
  </si>
  <si>
    <t>TX1000579</t>
  </si>
  <si>
    <t>C68384</t>
  </si>
  <si>
    <t>147.117.121.209</t>
  </si>
  <si>
    <t>D132649</t>
  </si>
  <si>
    <t>TX1000328</t>
  </si>
  <si>
    <t>C94092</t>
  </si>
  <si>
    <t>203.21.49.55</t>
  </si>
  <si>
    <t>D168463</t>
  </si>
  <si>
    <t>TX1001644</t>
  </si>
  <si>
    <t>107.203.53.12</t>
  </si>
  <si>
    <t>D146325</t>
  </si>
  <si>
    <t>TX1000892</t>
  </si>
  <si>
    <t>C82917</t>
  </si>
  <si>
    <t>183.236.105.103</t>
  </si>
  <si>
    <t>D109132</t>
  </si>
  <si>
    <t>TX1002398</t>
  </si>
  <si>
    <t>C96892</t>
  </si>
  <si>
    <t>140.59.167.121</t>
  </si>
  <si>
    <t>D148820</t>
  </si>
  <si>
    <t>TX1000780</t>
  </si>
  <si>
    <t>C58643</t>
  </si>
  <si>
    <t>200.64.1.217</t>
  </si>
  <si>
    <t>D175756</t>
  </si>
  <si>
    <t>TX1000159</t>
  </si>
  <si>
    <t>C57070</t>
  </si>
  <si>
    <t>251.194.50.232</t>
  </si>
  <si>
    <t>D141347</t>
  </si>
  <si>
    <t>TX1001547</t>
  </si>
  <si>
    <t>C92182</t>
  </si>
  <si>
    <t>26.208.193.228</t>
  </si>
  <si>
    <t>D160373</t>
  </si>
  <si>
    <t>TX1001655</t>
  </si>
  <si>
    <t>M1213</t>
  </si>
  <si>
    <t>C94152</t>
  </si>
  <si>
    <t>134.143.38.16</t>
  </si>
  <si>
    <t>D187129</t>
  </si>
  <si>
    <t>TX1002490</t>
  </si>
  <si>
    <t>C57014</t>
  </si>
  <si>
    <t>101.141.178.145</t>
  </si>
  <si>
    <t>D171015</t>
  </si>
  <si>
    <t>TX1000061</t>
  </si>
  <si>
    <t>C64567</t>
  </si>
  <si>
    <t>151.132.38.6</t>
  </si>
  <si>
    <t>D108450</t>
  </si>
  <si>
    <t>TX1000849</t>
  </si>
  <si>
    <t>C94409</t>
  </si>
  <si>
    <t>154.20.175.99</t>
  </si>
  <si>
    <t>D151668</t>
  </si>
  <si>
    <t>TX1002131</t>
  </si>
  <si>
    <t>C87380</t>
  </si>
  <si>
    <t>47.97.7.2</t>
  </si>
  <si>
    <t>D163183</t>
  </si>
  <si>
    <t>TX1002894</t>
  </si>
  <si>
    <t>C93462</t>
  </si>
  <si>
    <t>62.218.192.23</t>
  </si>
  <si>
    <t>D118467</t>
  </si>
  <si>
    <t>TX1001043</t>
  </si>
  <si>
    <t>C58750</t>
  </si>
  <si>
    <t>243.13.77.227</t>
  </si>
  <si>
    <t>D122447</t>
  </si>
  <si>
    <t>TX1002498</t>
  </si>
  <si>
    <t>C99462</t>
  </si>
  <si>
    <t>11.66.152.41</t>
  </si>
  <si>
    <t>D150751</t>
  </si>
  <si>
    <t>TX1001938</t>
  </si>
  <si>
    <t>C74716</t>
  </si>
  <si>
    <t>26.110.35.172</t>
  </si>
  <si>
    <t>D166106</t>
  </si>
  <si>
    <t>TX1001621</t>
  </si>
  <si>
    <t>C65667</t>
  </si>
  <si>
    <t>6.205.181.65</t>
  </si>
  <si>
    <t>D165767</t>
  </si>
  <si>
    <t>TX1001070</t>
  </si>
  <si>
    <t>C62669</t>
  </si>
  <si>
    <t>193.232.242.161</t>
  </si>
  <si>
    <t>D131785</t>
  </si>
  <si>
    <t>TX1000053</t>
  </si>
  <si>
    <t>C50830</t>
  </si>
  <si>
    <t>67.85.190.33</t>
  </si>
  <si>
    <t>D198274</t>
  </si>
  <si>
    <t>TX1000258</t>
  </si>
  <si>
    <t>C50380</t>
  </si>
  <si>
    <t>233.66.108.221</t>
  </si>
  <si>
    <t>D106380</t>
  </si>
  <si>
    <t>TX1000505</t>
  </si>
  <si>
    <t>C69841</t>
  </si>
  <si>
    <t>82.37.100.123</t>
  </si>
  <si>
    <t>D115257</t>
  </si>
  <si>
    <t>TX1000752</t>
  </si>
  <si>
    <t>M1768</t>
  </si>
  <si>
    <t>C59479</t>
  </si>
  <si>
    <t>179.148.140.8</t>
  </si>
  <si>
    <t>D174346</t>
  </si>
  <si>
    <t>TX1002834</t>
  </si>
  <si>
    <t>C70370</t>
  </si>
  <si>
    <t>65.197.188.70</t>
  </si>
  <si>
    <t>D187861</t>
  </si>
  <si>
    <t>TX1002044</t>
  </si>
  <si>
    <t>C58690</t>
  </si>
  <si>
    <t>121.160.168.200</t>
  </si>
  <si>
    <t>D159185</t>
  </si>
  <si>
    <t>TX1001999</t>
  </si>
  <si>
    <t>M1049</t>
  </si>
  <si>
    <t>C50471</t>
  </si>
  <si>
    <t>246.105.185.7</t>
  </si>
  <si>
    <t>D114684</t>
  </si>
  <si>
    <t>TX1002441</t>
  </si>
  <si>
    <t>C69502</t>
  </si>
  <si>
    <t>81.145.103.100</t>
  </si>
  <si>
    <t>D163759</t>
  </si>
  <si>
    <t>TX1002275</t>
  </si>
  <si>
    <t>M1246</t>
  </si>
  <si>
    <t>C64654</t>
  </si>
  <si>
    <t>156.34.221.152</t>
  </si>
  <si>
    <t>D145540</t>
  </si>
  <si>
    <t>TX1001389</t>
  </si>
  <si>
    <t>C86094</t>
  </si>
  <si>
    <t>202.130.21.196</t>
  </si>
  <si>
    <t>D195265</t>
  </si>
  <si>
    <t>TX1001266</t>
  </si>
  <si>
    <t>M1135</t>
  </si>
  <si>
    <t>C85904</t>
  </si>
  <si>
    <t>113.191.239.11</t>
  </si>
  <si>
    <t>D199204</t>
  </si>
  <si>
    <t>TX1002468</t>
  </si>
  <si>
    <t>C51041</t>
  </si>
  <si>
    <t>116.250.19.173</t>
  </si>
  <si>
    <t>D196905</t>
  </si>
  <si>
    <t>TX1001713</t>
  </si>
  <si>
    <t>C70675</t>
  </si>
  <si>
    <t>172.28.17.116</t>
  </si>
  <si>
    <t>D127477</t>
  </si>
  <si>
    <t>TX1000771</t>
  </si>
  <si>
    <t>M1902</t>
  </si>
  <si>
    <t>C61298</t>
  </si>
  <si>
    <t>43.74.62.12</t>
  </si>
  <si>
    <t>D115331</t>
  </si>
  <si>
    <t>TX1002804</t>
  </si>
  <si>
    <t>C54025</t>
  </si>
  <si>
    <t>90.210.251.237</t>
  </si>
  <si>
    <t>D124338</t>
  </si>
  <si>
    <t>TX1001927</t>
  </si>
  <si>
    <t>C74234</t>
  </si>
  <si>
    <t>131.242.176.4</t>
  </si>
  <si>
    <t>D194313</t>
  </si>
  <si>
    <t>TX1002687</t>
  </si>
  <si>
    <t>C94123</t>
  </si>
  <si>
    <t>17.153.163.169</t>
  </si>
  <si>
    <t>D115910</t>
  </si>
  <si>
    <t>TX1001085</t>
  </si>
  <si>
    <t>C89662</t>
  </si>
  <si>
    <t>158.56.194.32</t>
  </si>
  <si>
    <t>D175706</t>
  </si>
  <si>
    <t>TX1001721</t>
  </si>
  <si>
    <t>80.161.117.116</t>
  </si>
  <si>
    <t>D146713</t>
  </si>
  <si>
    <t>TX1002763</t>
  </si>
  <si>
    <t>C69957</t>
  </si>
  <si>
    <t>153.157.24.89</t>
  </si>
  <si>
    <t>D189072</t>
  </si>
  <si>
    <t>TX1001325</t>
  </si>
  <si>
    <t>C77046</t>
  </si>
  <si>
    <t>36.64.36.198</t>
  </si>
  <si>
    <t>D169508</t>
  </si>
  <si>
    <t>TX1002121</t>
  </si>
  <si>
    <t>C99068</t>
  </si>
  <si>
    <t>62.9.31.103</t>
  </si>
  <si>
    <t>D131336</t>
  </si>
  <si>
    <t>TX1001557</t>
  </si>
  <si>
    <t>C90910</t>
  </si>
  <si>
    <t>32.126.197.118</t>
  </si>
  <si>
    <t>D187559</t>
  </si>
  <si>
    <t>TX1001716</t>
  </si>
  <si>
    <t>C98387</t>
  </si>
  <si>
    <t>139.229.214.253</t>
  </si>
  <si>
    <t>D161375</t>
  </si>
  <si>
    <t>TX1002725</t>
  </si>
  <si>
    <t>C55586</t>
  </si>
  <si>
    <t>203.73.248.32</t>
  </si>
  <si>
    <t>D140314</t>
  </si>
  <si>
    <t>TX1002716</t>
  </si>
  <si>
    <t>C94183</t>
  </si>
  <si>
    <t>220.94.143.102</t>
  </si>
  <si>
    <t>D142636</t>
  </si>
  <si>
    <t>TX1002390</t>
  </si>
  <si>
    <t>C84042</t>
  </si>
  <si>
    <t>247.120.3.200</t>
  </si>
  <si>
    <t>D184115</t>
  </si>
  <si>
    <t>TX1002053</t>
  </si>
  <si>
    <t>C52584</t>
  </si>
  <si>
    <t>35.153.7.244</t>
  </si>
  <si>
    <t>D135701</t>
  </si>
  <si>
    <t>TX1001717</t>
  </si>
  <si>
    <t>C63239</t>
  </si>
  <si>
    <t>141.111.236.74</t>
  </si>
  <si>
    <t>D138036</t>
  </si>
  <si>
    <t>TX1001163</t>
  </si>
  <si>
    <t>C97775</t>
  </si>
  <si>
    <t>34.193.124.144</t>
  </si>
  <si>
    <t>D164797</t>
  </si>
  <si>
    <t>TX1000963</t>
  </si>
  <si>
    <t>C87655</t>
  </si>
  <si>
    <t>111.181.48.92</t>
  </si>
  <si>
    <t>D180938</t>
  </si>
  <si>
    <t>TX1002975</t>
  </si>
  <si>
    <t>C92792</t>
  </si>
  <si>
    <t>78.62.239.242</t>
  </si>
  <si>
    <t>D179481</t>
  </si>
  <si>
    <t>TX1002989</t>
  </si>
  <si>
    <t>M1774</t>
  </si>
  <si>
    <t>C76432</t>
  </si>
  <si>
    <t>54.174.74.177</t>
  </si>
  <si>
    <t>D166117</t>
  </si>
  <si>
    <t>TX1000398</t>
  </si>
  <si>
    <t>C83597</t>
  </si>
  <si>
    <t>72.201.52.150</t>
  </si>
  <si>
    <t>D177015</t>
  </si>
  <si>
    <t>TX1000584</t>
  </si>
  <si>
    <t>C54186</t>
  </si>
  <si>
    <t>87.41.211.88</t>
  </si>
  <si>
    <t>D198415</t>
  </si>
  <si>
    <t>TX1000948</t>
  </si>
  <si>
    <t>C97752</t>
  </si>
  <si>
    <t>214.237.189.167</t>
  </si>
  <si>
    <t>D164237</t>
  </si>
  <si>
    <t>TX1000704</t>
  </si>
  <si>
    <t>C85762</t>
  </si>
  <si>
    <t>24.182.91.61</t>
  </si>
  <si>
    <t>D171299</t>
  </si>
  <si>
    <t>TX1000431</t>
  </si>
  <si>
    <t>C85778</t>
  </si>
  <si>
    <t>67.102.171.228</t>
  </si>
  <si>
    <t>D107784</t>
  </si>
  <si>
    <t>TX1000292</t>
  </si>
  <si>
    <t>C79416</t>
  </si>
  <si>
    <t>251.216.38.235</t>
  </si>
  <si>
    <t>D132765</t>
  </si>
  <si>
    <t>TX1000145</t>
  </si>
  <si>
    <t>M1364</t>
  </si>
  <si>
    <t>C85150</t>
  </si>
  <si>
    <t>207.224.98.6</t>
  </si>
  <si>
    <t>D190341</t>
  </si>
  <si>
    <t>TX1000323</t>
  </si>
  <si>
    <t>M1393</t>
  </si>
  <si>
    <t>C92011</t>
  </si>
  <si>
    <t>42.99.223.246</t>
  </si>
  <si>
    <t>D133457</t>
  </si>
  <si>
    <t>TX1002110</t>
  </si>
  <si>
    <t>C81490</t>
  </si>
  <si>
    <t>49.41.212.163</t>
  </si>
  <si>
    <t>D141689</t>
  </si>
  <si>
    <t>TX1001165</t>
  </si>
  <si>
    <t>C65963</t>
  </si>
  <si>
    <t>26.124.125.72</t>
  </si>
  <si>
    <t>D149190</t>
  </si>
  <si>
    <t>TX1001452</t>
  </si>
  <si>
    <t>C60678</t>
  </si>
  <si>
    <t>236.51.216.22</t>
  </si>
  <si>
    <t>D120145</t>
  </si>
  <si>
    <t>TX1000002</t>
  </si>
  <si>
    <t>C53188</t>
  </si>
  <si>
    <t>138.4.55.111</t>
  </si>
  <si>
    <t>D117555</t>
  </si>
  <si>
    <t>TX1000576</t>
  </si>
  <si>
    <t>C93369</t>
  </si>
  <si>
    <t>121.76.138.87</t>
  </si>
  <si>
    <t>D125920</t>
  </si>
  <si>
    <t>TX1002302</t>
  </si>
  <si>
    <t>C51365</t>
  </si>
  <si>
    <t>57.49.199.36</t>
  </si>
  <si>
    <t>D144499</t>
  </si>
  <si>
    <t>TX1000339</t>
  </si>
  <si>
    <t>C94454</t>
  </si>
  <si>
    <t>238.28.49.92</t>
  </si>
  <si>
    <t>D162111</t>
  </si>
  <si>
    <t>TX1001784</t>
  </si>
  <si>
    <t>C75121</t>
  </si>
  <si>
    <t>88.123.66.166</t>
  </si>
  <si>
    <t>D183750</t>
  </si>
  <si>
    <t>TX1001587</t>
  </si>
  <si>
    <t>C60744</t>
  </si>
  <si>
    <t>209.102.135.172</t>
  </si>
  <si>
    <t>D117837</t>
  </si>
  <si>
    <t>TX1000925</t>
  </si>
  <si>
    <t>C95795</t>
  </si>
  <si>
    <t>226.226.209.219</t>
  </si>
  <si>
    <t>D171536</t>
  </si>
  <si>
    <t>TX1000265</t>
  </si>
  <si>
    <t>M1551</t>
  </si>
  <si>
    <t>C69720</t>
  </si>
  <si>
    <t>190.227.248.121</t>
  </si>
  <si>
    <t>D102572</t>
  </si>
  <si>
    <t>TX1000376</t>
  </si>
  <si>
    <t>C60276</t>
  </si>
  <si>
    <t>159.28.112.101</t>
  </si>
  <si>
    <t>D124077</t>
  </si>
  <si>
    <t>TX1001866</t>
  </si>
  <si>
    <t>C58978</t>
  </si>
  <si>
    <t>242.219.63.109</t>
  </si>
  <si>
    <t>D122919</t>
  </si>
  <si>
    <t>TX1001463</t>
  </si>
  <si>
    <t>C71038</t>
  </si>
  <si>
    <t>28.185.28.87</t>
  </si>
  <si>
    <t>D119686</t>
  </si>
  <si>
    <t>TX1000271</t>
  </si>
  <si>
    <t>C59029</t>
  </si>
  <si>
    <t>88.146.87.22</t>
  </si>
  <si>
    <t>D134867</t>
  </si>
  <si>
    <t>TX1000696</t>
  </si>
  <si>
    <t>C80617</t>
  </si>
  <si>
    <t>42.0.194.29</t>
  </si>
  <si>
    <t>D128687</t>
  </si>
  <si>
    <t>TX1002976</t>
  </si>
  <si>
    <t>C72792</t>
  </si>
  <si>
    <t>14.40.149.29</t>
  </si>
  <si>
    <t>D100161</t>
  </si>
  <si>
    <t>TX1000244</t>
  </si>
  <si>
    <t>C57335</t>
  </si>
  <si>
    <t>65.254.46.61</t>
  </si>
  <si>
    <t>D178619</t>
  </si>
  <si>
    <t>TX1002815</t>
  </si>
  <si>
    <t>C84440</t>
  </si>
  <si>
    <t>171.231.140.138</t>
  </si>
  <si>
    <t>D142611</t>
  </si>
  <si>
    <t>TX1000476</t>
  </si>
  <si>
    <t>C66997</t>
  </si>
  <si>
    <t>134.230.87.10</t>
  </si>
  <si>
    <t>D176706</t>
  </si>
  <si>
    <t>TX1001697</t>
  </si>
  <si>
    <t>M1435</t>
  </si>
  <si>
    <t>C72774</t>
  </si>
  <si>
    <t>47.177.40.109</t>
  </si>
  <si>
    <t>D132825</t>
  </si>
  <si>
    <t>TX1002952</t>
  </si>
  <si>
    <t>C88871</t>
  </si>
  <si>
    <t>100.191.137.240</t>
  </si>
  <si>
    <t>TX1002102</t>
  </si>
  <si>
    <t>C87496</t>
  </si>
  <si>
    <t>69.217.25.160</t>
  </si>
  <si>
    <t>D147125</t>
  </si>
  <si>
    <t>TX1002850</t>
  </si>
  <si>
    <t>C72202</t>
  </si>
  <si>
    <t>199.118.226.45</t>
  </si>
  <si>
    <t>D146939</t>
  </si>
  <si>
    <t>TX1002785</t>
  </si>
  <si>
    <t>C74762</t>
  </si>
  <si>
    <t>120.144.117.14</t>
  </si>
  <si>
    <t>D130510</t>
  </si>
  <si>
    <t>TX1002956</t>
  </si>
  <si>
    <t>C96325</t>
  </si>
  <si>
    <t>250.102.105.50</t>
  </si>
  <si>
    <t>D138139</t>
  </si>
  <si>
    <t>TX1001972</t>
  </si>
  <si>
    <t>C51205</t>
  </si>
  <si>
    <t>218.78.131.200</t>
  </si>
  <si>
    <t>D128415</t>
  </si>
  <si>
    <t>TX1001873</t>
  </si>
  <si>
    <t>M1653</t>
  </si>
  <si>
    <t>C78683</t>
  </si>
  <si>
    <t>115.31.128.148</t>
  </si>
  <si>
    <t>D134941</t>
  </si>
  <si>
    <t>TX1000250</t>
  </si>
  <si>
    <t>C74728</t>
  </si>
  <si>
    <t>161.117.45.250</t>
  </si>
  <si>
    <t>D160610</t>
  </si>
  <si>
    <t>TX1000413</t>
  </si>
  <si>
    <t>C82156</t>
  </si>
  <si>
    <t>4.180.154.182</t>
  </si>
  <si>
    <t>D143743</t>
  </si>
  <si>
    <t>TX1000545</t>
  </si>
  <si>
    <t>C73275</t>
  </si>
  <si>
    <t>52.116.179.253</t>
  </si>
  <si>
    <t>D184833</t>
  </si>
  <si>
    <t>TX1001193</t>
  </si>
  <si>
    <t>C88791</t>
  </si>
  <si>
    <t>253.145.205.171</t>
  </si>
  <si>
    <t>D149452</t>
  </si>
  <si>
    <t>TX1000738</t>
  </si>
  <si>
    <t>M1687</t>
  </si>
  <si>
    <t>C76383</t>
  </si>
  <si>
    <t>112.76.40.91</t>
  </si>
  <si>
    <t>D176696</t>
  </si>
  <si>
    <t>TX1000310</t>
  </si>
  <si>
    <t>C76164</t>
  </si>
  <si>
    <t>148.20.46.74</t>
  </si>
  <si>
    <t>D184711</t>
  </si>
  <si>
    <t>TX1001691</t>
  </si>
  <si>
    <t>C54530</t>
  </si>
  <si>
    <t>97.231.22.192</t>
  </si>
  <si>
    <t>D180748</t>
  </si>
  <si>
    <t>TX1000893</t>
  </si>
  <si>
    <t>C95233</t>
  </si>
  <si>
    <t>205.30.3.161</t>
  </si>
  <si>
    <t>D143760</t>
  </si>
  <si>
    <t>TX1001131</t>
  </si>
  <si>
    <t>M1718</t>
  </si>
  <si>
    <t>C54537</t>
  </si>
  <si>
    <t>90.106.133.217</t>
  </si>
  <si>
    <t>D161436</t>
  </si>
  <si>
    <t>TX1001449</t>
  </si>
  <si>
    <t>C64523</t>
  </si>
  <si>
    <t>103.0.51.209</t>
  </si>
  <si>
    <t>D129284</t>
  </si>
  <si>
    <t>TX1002909</t>
  </si>
  <si>
    <t>M1356</t>
  </si>
  <si>
    <t>C80982</t>
  </si>
  <si>
    <t>14.121.8.55</t>
  </si>
  <si>
    <t>D154240</t>
  </si>
  <si>
    <t>TX1000015</t>
  </si>
  <si>
    <t>C88217</t>
  </si>
  <si>
    <t>107.233.29.144</t>
  </si>
  <si>
    <t>D160604</t>
  </si>
  <si>
    <t>TX1001953</t>
  </si>
  <si>
    <t>C93351</t>
  </si>
  <si>
    <t>223.38.11.9</t>
  </si>
  <si>
    <t>D178176</t>
  </si>
  <si>
    <t>TX1000721</t>
  </si>
  <si>
    <t>C86994</t>
  </si>
  <si>
    <t>40.109.210.226</t>
  </si>
  <si>
    <t>D122438</t>
  </si>
  <si>
    <t>TX1001420</t>
  </si>
  <si>
    <t>C87111</t>
  </si>
  <si>
    <t>181.125.160.183</t>
  </si>
  <si>
    <t>D145954</t>
  </si>
  <si>
    <t>TX1002635</t>
  </si>
  <si>
    <t>C55275</t>
  </si>
  <si>
    <t>160.153.6.156</t>
  </si>
  <si>
    <t>D191033</t>
  </si>
  <si>
    <t>TX1000981</t>
  </si>
  <si>
    <t>M1966</t>
  </si>
  <si>
    <t>C61620</t>
  </si>
  <si>
    <t>239.81.251.31</t>
  </si>
  <si>
    <t>D173643</t>
  </si>
  <si>
    <t>TX1001877</t>
  </si>
  <si>
    <t>C88991</t>
  </si>
  <si>
    <t>127.39.238.3</t>
  </si>
  <si>
    <t>D128168</t>
  </si>
  <si>
    <t>TX1001539</t>
  </si>
  <si>
    <t>C92433</t>
  </si>
  <si>
    <t>116.103.162.247</t>
  </si>
  <si>
    <t>D177938</t>
  </si>
  <si>
    <t>TX1002985</t>
  </si>
  <si>
    <t>M1100</t>
  </si>
  <si>
    <t>C95669</t>
  </si>
  <si>
    <t>48.121.72.160</t>
  </si>
  <si>
    <t>D183312</t>
  </si>
  <si>
    <t>TX1001550</t>
  </si>
  <si>
    <t>M1378</t>
  </si>
  <si>
    <t>C92141</t>
  </si>
  <si>
    <t>48.154.171.233</t>
  </si>
  <si>
    <t>D142380</t>
  </si>
  <si>
    <t>TX1002424</t>
  </si>
  <si>
    <t>M1439</t>
  </si>
  <si>
    <t>C94296</t>
  </si>
  <si>
    <t>156.40.191.4</t>
  </si>
  <si>
    <t>D163137</t>
  </si>
  <si>
    <t>TX1000363</t>
  </si>
  <si>
    <t>C69884</t>
  </si>
  <si>
    <t>75.20.75.242</t>
  </si>
  <si>
    <t>D136406</t>
  </si>
  <si>
    <t>TX1002332</t>
  </si>
  <si>
    <t>C80109</t>
  </si>
  <si>
    <t>75.74.228.165</t>
  </si>
  <si>
    <t>D154141</t>
  </si>
  <si>
    <t>TX1000182</t>
  </si>
  <si>
    <t>C79857</t>
  </si>
  <si>
    <t>221.132.186.101</t>
  </si>
  <si>
    <t>D124032</t>
  </si>
  <si>
    <t>TX1000985</t>
  </si>
  <si>
    <t>C74878</t>
  </si>
  <si>
    <t>131.47.168.1</t>
  </si>
  <si>
    <t>D126176</t>
  </si>
  <si>
    <t>TX1001993</t>
  </si>
  <si>
    <t>M1800</t>
  </si>
  <si>
    <t>C81979</t>
  </si>
  <si>
    <t>255.253.213.55</t>
  </si>
  <si>
    <t>D173278</t>
  </si>
  <si>
    <t>TX1001194</t>
  </si>
  <si>
    <t>C78392</t>
  </si>
  <si>
    <t>67.229.52.87</t>
  </si>
  <si>
    <t>D151404</t>
  </si>
  <si>
    <t>TX1001771</t>
  </si>
  <si>
    <t>C93076</t>
  </si>
  <si>
    <t>18.49.210.180</t>
  </si>
  <si>
    <t>D154374</t>
  </si>
  <si>
    <t>TX1001677</t>
  </si>
  <si>
    <t>C53731</t>
  </si>
  <si>
    <t>215.146.53.135</t>
  </si>
  <si>
    <t>D103059</t>
  </si>
  <si>
    <t>TX1001121</t>
  </si>
  <si>
    <t>C67187</t>
  </si>
  <si>
    <t>27.207.104.124</t>
  </si>
  <si>
    <t>D191976</t>
  </si>
  <si>
    <t>TX1000187</t>
  </si>
  <si>
    <t>C96020</t>
  </si>
  <si>
    <t>55.88.243.36</t>
  </si>
  <si>
    <t>D124671</t>
  </si>
  <si>
    <t>TX1000619</t>
  </si>
  <si>
    <t>C73892</t>
  </si>
  <si>
    <t>142.25.128.21</t>
  </si>
  <si>
    <t>D168846</t>
  </si>
  <si>
    <t>TX1001614</t>
  </si>
  <si>
    <t>M1932</t>
  </si>
  <si>
    <t>C62219</t>
  </si>
  <si>
    <t>214.3.166.66</t>
  </si>
  <si>
    <t>D149106</t>
  </si>
  <si>
    <t>TX1001175</t>
  </si>
  <si>
    <t>C53501</t>
  </si>
  <si>
    <t>134.129.244.229</t>
  </si>
  <si>
    <t>D137337</t>
  </si>
  <si>
    <t>TX1001182</t>
  </si>
  <si>
    <t>C63625</t>
  </si>
  <si>
    <t>199.26.124.3</t>
  </si>
  <si>
    <t>D161642</t>
  </si>
  <si>
    <t>TX1002442</t>
  </si>
  <si>
    <t>C89050</t>
  </si>
  <si>
    <t>53.112.67.125</t>
  </si>
  <si>
    <t>D180615</t>
  </si>
  <si>
    <t>TX1002202</t>
  </si>
  <si>
    <t>C80183</t>
  </si>
  <si>
    <t>87.46.159.152</t>
  </si>
  <si>
    <t>D146830</t>
  </si>
  <si>
    <t>TX1000614</t>
  </si>
  <si>
    <t>C99265</t>
  </si>
  <si>
    <t>82.112.87.207</t>
  </si>
  <si>
    <t>D150236</t>
  </si>
  <si>
    <t>TX1001513</t>
  </si>
  <si>
    <t>C94562</t>
  </si>
  <si>
    <t>90.12.45.9</t>
  </si>
  <si>
    <t>D148307</t>
  </si>
  <si>
    <t>TX1001466</t>
  </si>
  <si>
    <t>C57520</t>
  </si>
  <si>
    <t>222.41.55.168</t>
  </si>
  <si>
    <t>D102030</t>
  </si>
  <si>
    <t>TX1000401</t>
  </si>
  <si>
    <t>M1217</t>
  </si>
  <si>
    <t>C56744</t>
  </si>
  <si>
    <t>229.215.222.82</t>
  </si>
  <si>
    <t>D141958</t>
  </si>
  <si>
    <t>TX1000994</t>
  </si>
  <si>
    <t>C76750</t>
  </si>
  <si>
    <t>151.126.110.83</t>
  </si>
  <si>
    <t>D198500</t>
  </si>
  <si>
    <t>TX1000934</t>
  </si>
  <si>
    <t>C90341</t>
  </si>
  <si>
    <t>163.196.128.124</t>
  </si>
  <si>
    <t>D164279</t>
  </si>
  <si>
    <t>TX1000371</t>
  </si>
  <si>
    <t>C59684</t>
  </si>
  <si>
    <t>110.142.74.24</t>
  </si>
  <si>
    <t>D142343</t>
  </si>
  <si>
    <t>TX1001925</t>
  </si>
  <si>
    <t>C82019</t>
  </si>
  <si>
    <t>30.96.2.176</t>
  </si>
  <si>
    <t>D106260</t>
  </si>
  <si>
    <t>TX1002167</t>
  </si>
  <si>
    <t>C64414</t>
  </si>
  <si>
    <t>249.129.241.72</t>
  </si>
  <si>
    <t>D111080</t>
  </si>
  <si>
    <t>TX1000593</t>
  </si>
  <si>
    <t>C62325</t>
  </si>
  <si>
    <t>214.222.250.203</t>
  </si>
  <si>
    <t>D130345</t>
  </si>
  <si>
    <t>TX1001913</t>
  </si>
  <si>
    <t>C98366</t>
  </si>
  <si>
    <t>75.46.153.232</t>
  </si>
  <si>
    <t>D136568</t>
  </si>
  <si>
    <t>TX1000726</t>
  </si>
  <si>
    <t>C51136</t>
  </si>
  <si>
    <t>219.164.56.118</t>
  </si>
  <si>
    <t>D108704</t>
  </si>
  <si>
    <t>TX1000826</t>
  </si>
  <si>
    <t>M1909</t>
  </si>
  <si>
    <t>C63832</t>
  </si>
  <si>
    <t>123.125.34.219</t>
  </si>
  <si>
    <t>D184902</t>
  </si>
  <si>
    <t>TX1002766</t>
  </si>
  <si>
    <t>M1080</t>
  </si>
  <si>
    <t>C81865</t>
  </si>
  <si>
    <t>216.166.154.167</t>
  </si>
  <si>
    <t>D135593</t>
  </si>
  <si>
    <t>TX1000687</t>
  </si>
  <si>
    <t>C59514</t>
  </si>
  <si>
    <t>145.52.150.6</t>
  </si>
  <si>
    <t>D165593</t>
  </si>
  <si>
    <t>TX1002448</t>
  </si>
  <si>
    <t>C86129</t>
  </si>
  <si>
    <t>2.150.93.34</t>
  </si>
  <si>
    <t>D177746</t>
  </si>
  <si>
    <t>TX1000136</t>
  </si>
  <si>
    <t>C51513</t>
  </si>
  <si>
    <t>102.52.48.17</t>
  </si>
  <si>
    <t>D162021</t>
  </si>
  <si>
    <t>TX1002452</t>
  </si>
  <si>
    <t>C84487</t>
  </si>
  <si>
    <t>60.67.123.130</t>
  </si>
  <si>
    <t>D113600</t>
  </si>
  <si>
    <t>TX1000628</t>
  </si>
  <si>
    <t>M1042</t>
  </si>
  <si>
    <t>C50793</t>
  </si>
  <si>
    <t>146.130.107.1</t>
  </si>
  <si>
    <t>D108680</t>
  </si>
  <si>
    <t>TX1000334</t>
  </si>
  <si>
    <t>C92080</t>
  </si>
  <si>
    <t>29.45.174.190</t>
  </si>
  <si>
    <t>D177620</t>
  </si>
  <si>
    <t>TX1000390</t>
  </si>
  <si>
    <t>C82532</t>
  </si>
  <si>
    <t>207.16.148.219</t>
  </si>
  <si>
    <t>D155134</t>
  </si>
  <si>
    <t>TX1002605</t>
  </si>
  <si>
    <t>C94691</t>
  </si>
  <si>
    <t>203.71.137.109</t>
  </si>
  <si>
    <t>D141164</t>
  </si>
  <si>
    <t>TX1001109</t>
  </si>
  <si>
    <t>C95671</t>
  </si>
  <si>
    <t>89.194.194.157</t>
  </si>
  <si>
    <t>D127353</t>
  </si>
  <si>
    <t>TX1001739</t>
  </si>
  <si>
    <t>M1362</t>
  </si>
  <si>
    <t>111.85.171.248</t>
  </si>
  <si>
    <t>D105962</t>
  </si>
  <si>
    <t>TX1002700</t>
  </si>
  <si>
    <t>C97454</t>
  </si>
  <si>
    <t>40.68.100.224</t>
  </si>
  <si>
    <t>D153934</t>
  </si>
  <si>
    <t>TX1000710</t>
  </si>
  <si>
    <t>C89969</t>
  </si>
  <si>
    <t>161.61.38.238</t>
  </si>
  <si>
    <t>D114836</t>
  </si>
  <si>
    <t>TX1001039</t>
  </si>
  <si>
    <t>C65287</t>
  </si>
  <si>
    <t>72.8.239.49</t>
  </si>
  <si>
    <t>D140917</t>
  </si>
  <si>
    <t>TX1002257</t>
  </si>
  <si>
    <t>C96418</t>
  </si>
  <si>
    <t>159.14.129.157</t>
  </si>
  <si>
    <t>D164819</t>
  </si>
  <si>
    <t>TX1002581</t>
  </si>
  <si>
    <t>C65355</t>
  </si>
  <si>
    <t>188.180.165.68</t>
  </si>
  <si>
    <t>D148092</t>
  </si>
  <si>
    <t>TX1002597</t>
  </si>
  <si>
    <t>C74907</t>
  </si>
  <si>
    <t>72.208.192.196</t>
  </si>
  <si>
    <t>D157771</t>
  </si>
  <si>
    <t>TX1001561</t>
  </si>
  <si>
    <t>C69143</t>
  </si>
  <si>
    <t>219.37.9.177</t>
  </si>
  <si>
    <t>D188239</t>
  </si>
  <si>
    <t>TX1002759</t>
  </si>
  <si>
    <t>M1555</t>
  </si>
  <si>
    <t>C90923</t>
  </si>
  <si>
    <t>132.217.100.249</t>
  </si>
  <si>
    <t>D195657</t>
  </si>
  <si>
    <t>TX1001594</t>
  </si>
  <si>
    <t>143.183.79.176</t>
  </si>
  <si>
    <t>D131823</t>
  </si>
  <si>
    <t>TX1002522</t>
  </si>
  <si>
    <t>C74706</t>
  </si>
  <si>
    <t>217.80.234.223</t>
  </si>
  <si>
    <t>D159377</t>
  </si>
  <si>
    <t>TX1001112</t>
  </si>
  <si>
    <t>M1285</t>
  </si>
  <si>
    <t>C96409</t>
  </si>
  <si>
    <t>34.214.167.99</t>
  </si>
  <si>
    <t>D169970</t>
  </si>
  <si>
    <t>TX1000465</t>
  </si>
  <si>
    <t>M1169</t>
  </si>
  <si>
    <t>C84291</t>
  </si>
  <si>
    <t>121.236.107.240</t>
  </si>
  <si>
    <t>D143276</t>
  </si>
  <si>
    <t>TX1001560</t>
  </si>
  <si>
    <t>C58822</t>
  </si>
  <si>
    <t>193.252.218.182</t>
  </si>
  <si>
    <t>D151791</t>
  </si>
  <si>
    <t>TX1001223</t>
  </si>
  <si>
    <t>C59047</t>
  </si>
  <si>
    <t>143.195.4.237</t>
  </si>
  <si>
    <t>D136627</t>
  </si>
  <si>
    <t>TX1001956</t>
  </si>
  <si>
    <t>42.37.51.204</t>
  </si>
  <si>
    <t>D109354</t>
  </si>
  <si>
    <t>TX1002969</t>
  </si>
  <si>
    <t>C89775</t>
  </si>
  <si>
    <t>120.161.55.46</t>
  </si>
  <si>
    <t>D119794</t>
  </si>
  <si>
    <t>TX1002350</t>
  </si>
  <si>
    <t>C71788</t>
  </si>
  <si>
    <t>189.185.233.108</t>
  </si>
  <si>
    <t>D197578</t>
  </si>
  <si>
    <t>TX1001508</t>
  </si>
  <si>
    <t>C66273</t>
  </si>
  <si>
    <t>224.169.186.154</t>
  </si>
  <si>
    <t>D137251</t>
  </si>
  <si>
    <t>TX1001104</t>
  </si>
  <si>
    <t>C96893</t>
  </si>
  <si>
    <t>249.158.1.187</t>
  </si>
  <si>
    <t>D158916</t>
  </si>
  <si>
    <t>TX1001991</t>
  </si>
  <si>
    <t>C92631</t>
  </si>
  <si>
    <t>158.153.37.36</t>
  </si>
  <si>
    <t>D128083</t>
  </si>
  <si>
    <t>TX1000338</t>
  </si>
  <si>
    <t>C56377</t>
  </si>
  <si>
    <t>78.234.83.148</t>
  </si>
  <si>
    <t>D118030</t>
  </si>
  <si>
    <t>TX1000215</t>
  </si>
  <si>
    <t>M1544</t>
  </si>
  <si>
    <t>C69153</t>
  </si>
  <si>
    <t>23.41.200.230</t>
  </si>
  <si>
    <t>D123437</t>
  </si>
  <si>
    <t>TX1001615</t>
  </si>
  <si>
    <t>C83154</t>
  </si>
  <si>
    <t>129.240.88.108</t>
  </si>
  <si>
    <t>D127163</t>
  </si>
  <si>
    <t>TX1002704</t>
  </si>
  <si>
    <t>C97666</t>
  </si>
  <si>
    <t>113.121.17.24</t>
  </si>
  <si>
    <t>D181904</t>
  </si>
  <si>
    <t>TX1002516</t>
  </si>
  <si>
    <t>C91051</t>
  </si>
  <si>
    <t>90.119.148.252</t>
  </si>
  <si>
    <t>D173075</t>
  </si>
  <si>
    <t>TX1002806</t>
  </si>
  <si>
    <t>C91258</t>
  </si>
  <si>
    <t>180.142.197.17</t>
  </si>
  <si>
    <t>D172317</t>
  </si>
  <si>
    <t>TX1001592</t>
  </si>
  <si>
    <t>C92702</t>
  </si>
  <si>
    <t>7.239.80.221</t>
  </si>
  <si>
    <t>D147246</t>
  </si>
  <si>
    <t>TX1001839</t>
  </si>
  <si>
    <t>M1828</t>
  </si>
  <si>
    <t>C70809</t>
  </si>
  <si>
    <t>108.93.120.184</t>
  </si>
  <si>
    <t>D149814</t>
  </si>
  <si>
    <t>TX1002646</t>
  </si>
  <si>
    <t>C55900</t>
  </si>
  <si>
    <t>79.35.200.250</t>
  </si>
  <si>
    <t>D118827</t>
  </si>
  <si>
    <t>TX1002674</t>
  </si>
  <si>
    <t>C81778</t>
  </si>
  <si>
    <t>66.138.179.228</t>
  </si>
  <si>
    <t>D116111</t>
  </si>
  <si>
    <t>TX1000816</t>
  </si>
  <si>
    <t>M1580</t>
  </si>
  <si>
    <t>C93108</t>
  </si>
  <si>
    <t>166.62.253.241</t>
  </si>
  <si>
    <t>D169576</t>
  </si>
  <si>
    <t>TX1001067</t>
  </si>
  <si>
    <t>M1327</t>
  </si>
  <si>
    <t>C59284</t>
  </si>
  <si>
    <t>53.72.65.35</t>
  </si>
  <si>
    <t>D117908</t>
  </si>
  <si>
    <t>TX1002657</t>
  </si>
  <si>
    <t>C58503</t>
  </si>
  <si>
    <t>118.157.110.143</t>
  </si>
  <si>
    <t>D130700</t>
  </si>
  <si>
    <t>TX1000274</t>
  </si>
  <si>
    <t>C92516</t>
  </si>
  <si>
    <t>186.64.145.55</t>
  </si>
  <si>
    <t>D112166</t>
  </si>
  <si>
    <t>TX1002246</t>
  </si>
  <si>
    <t>C55118</t>
  </si>
  <si>
    <t>160.230.71.253</t>
  </si>
  <si>
    <t>D177867</t>
  </si>
  <si>
    <t>TX1000865</t>
  </si>
  <si>
    <t>C66241</t>
  </si>
  <si>
    <t>170.80.102.231</t>
  </si>
  <si>
    <t>D129571</t>
  </si>
  <si>
    <t>TX1000101</t>
  </si>
  <si>
    <t>C85552</t>
  </si>
  <si>
    <t>147.213.146.225</t>
  </si>
  <si>
    <t>D155363</t>
  </si>
  <si>
    <t>TX1001501</t>
  </si>
  <si>
    <t>C78846</t>
  </si>
  <si>
    <t>175.237.106.237</t>
  </si>
  <si>
    <t>D121410</t>
  </si>
  <si>
    <t>TX1002151</t>
  </si>
  <si>
    <t>C53189</t>
  </si>
  <si>
    <t>93.24.18.90</t>
  </si>
  <si>
    <t>D148597</t>
  </si>
  <si>
    <t>TX1000171</t>
  </si>
  <si>
    <t>C77325</t>
  </si>
  <si>
    <t>147.90.233.192</t>
  </si>
  <si>
    <t>D175886</t>
  </si>
  <si>
    <t>TX1000107</t>
  </si>
  <si>
    <t>M1044</t>
  </si>
  <si>
    <t>C92698</t>
  </si>
  <si>
    <t>54.109.217.214</t>
  </si>
  <si>
    <t>D113621</t>
  </si>
  <si>
    <t>TX1002051</t>
  </si>
  <si>
    <t>M1258</t>
  </si>
  <si>
    <t>C74003</t>
  </si>
  <si>
    <t>77.137.127.210</t>
  </si>
  <si>
    <t>D133647</t>
  </si>
  <si>
    <t>TX1001521</t>
  </si>
  <si>
    <t>C80171</t>
  </si>
  <si>
    <t>235.202.245.167</t>
  </si>
  <si>
    <t>D155620</t>
  </si>
  <si>
    <t>TX1002990</t>
  </si>
  <si>
    <t>C77744</t>
  </si>
  <si>
    <t>103.158.6.102</t>
  </si>
  <si>
    <t>D127869</t>
  </si>
  <si>
    <t>TX1002204</t>
  </si>
  <si>
    <t>C90967</t>
  </si>
  <si>
    <t>246.194.70.185</t>
  </si>
  <si>
    <t>D148873</t>
  </si>
  <si>
    <t>TX1002413</t>
  </si>
  <si>
    <t>C62440</t>
  </si>
  <si>
    <t>151.222.151.38</t>
  </si>
  <si>
    <t>D155156</t>
  </si>
  <si>
    <t>TX1001766</t>
  </si>
  <si>
    <t>C99896</t>
  </si>
  <si>
    <t>52.243.128.151</t>
  </si>
  <si>
    <t>D143853</t>
  </si>
  <si>
    <t>TX1002365</t>
  </si>
  <si>
    <t>C57896</t>
  </si>
  <si>
    <t>226.155.185.63</t>
  </si>
  <si>
    <t>D108701</t>
  </si>
  <si>
    <t>TX1001965</t>
  </si>
  <si>
    <t>C99995</t>
  </si>
  <si>
    <t>197.252.228.241</t>
  </si>
  <si>
    <t>D187141</t>
  </si>
  <si>
    <t>TX1002252</t>
  </si>
  <si>
    <t>C90326</t>
  </si>
  <si>
    <t>201.31.236.181</t>
  </si>
  <si>
    <t>TX1002342</t>
  </si>
  <si>
    <t>C78818</t>
  </si>
  <si>
    <t>158.53.65.188</t>
  </si>
  <si>
    <t>D171633</t>
  </si>
  <si>
    <t>TX1002577</t>
  </si>
  <si>
    <t>C80105</t>
  </si>
  <si>
    <t>3.85.174.203</t>
  </si>
  <si>
    <t>D128110</t>
  </si>
  <si>
    <t>TX1002183</t>
  </si>
  <si>
    <t>C62646</t>
  </si>
  <si>
    <t>112.221.120.108</t>
  </si>
  <si>
    <t>D182930</t>
  </si>
  <si>
    <t>TX1000295</t>
  </si>
  <si>
    <t>M1635</t>
  </si>
  <si>
    <t>C72257</t>
  </si>
  <si>
    <t>28.52.6.153</t>
  </si>
  <si>
    <t>D193493</t>
  </si>
  <si>
    <t>TX1000712</t>
  </si>
  <si>
    <t>M1866</t>
  </si>
  <si>
    <t>C92160</t>
  </si>
  <si>
    <t>46.233.196.158</t>
  </si>
  <si>
    <t>D169364</t>
  </si>
  <si>
    <t>TX1000072</t>
  </si>
  <si>
    <t>C51686</t>
  </si>
  <si>
    <t>121.250.135.24</t>
  </si>
  <si>
    <t>D184130</t>
  </si>
  <si>
    <t>TX1002735</t>
  </si>
  <si>
    <t>M1161</t>
  </si>
  <si>
    <t>C81301</t>
  </si>
  <si>
    <t>57.95.72.31</t>
  </si>
  <si>
    <t>D192002</t>
  </si>
  <si>
    <t>TX1002271</t>
  </si>
  <si>
    <t>C82549</t>
  </si>
  <si>
    <t>241.26.202.119</t>
  </si>
  <si>
    <t>D178522</t>
  </si>
  <si>
    <t>TX1002563</t>
  </si>
  <si>
    <t>M1269</t>
  </si>
  <si>
    <t>C78490</t>
  </si>
  <si>
    <t>156.227.210.81</t>
  </si>
  <si>
    <t>D165136</t>
  </si>
  <si>
    <t>TX1002887</t>
  </si>
  <si>
    <t>C85581</t>
  </si>
  <si>
    <t>239.108.165.70</t>
  </si>
  <si>
    <t>D148812</t>
  </si>
  <si>
    <t>TX1000481</t>
  </si>
  <si>
    <t>C74527</t>
  </si>
  <si>
    <t>176.201.108.234</t>
  </si>
  <si>
    <t>D161906</t>
  </si>
  <si>
    <t>TX1002399</t>
  </si>
  <si>
    <t>C56981</t>
  </si>
  <si>
    <t>159.54.144.226</t>
  </si>
  <si>
    <t>D169534</t>
  </si>
  <si>
    <t>TX1001530</t>
  </si>
  <si>
    <t>C88191</t>
  </si>
  <si>
    <t>76.96.74.221</t>
  </si>
  <si>
    <t>D114191</t>
  </si>
  <si>
    <t>TX1002950</t>
  </si>
  <si>
    <t>C88197</t>
  </si>
  <si>
    <t>212.205.97.166</t>
  </si>
  <si>
    <t>D188228</t>
  </si>
  <si>
    <t>TX1001514</t>
  </si>
  <si>
    <t>C53177</t>
  </si>
  <si>
    <t>241.221.124.128</t>
  </si>
  <si>
    <t>D176996</t>
  </si>
  <si>
    <t>TX1002963</t>
  </si>
  <si>
    <t>C85423</t>
  </si>
  <si>
    <t>95.16.204.63</t>
  </si>
  <si>
    <t>D116724</t>
  </si>
  <si>
    <t>TX1001490</t>
  </si>
  <si>
    <t>C63023</t>
  </si>
  <si>
    <t>31.126.208.154</t>
  </si>
  <si>
    <t>D149777</t>
  </si>
  <si>
    <t>TX1001171</t>
  </si>
  <si>
    <t>M1671</t>
  </si>
  <si>
    <t>C74954</t>
  </si>
  <si>
    <t>109.104.111.1</t>
  </si>
  <si>
    <t>D138909</t>
  </si>
  <si>
    <t>TX1002883</t>
  </si>
  <si>
    <t>C70168</t>
  </si>
  <si>
    <t>99.106.123.91</t>
  </si>
  <si>
    <t>D164760</t>
  </si>
  <si>
    <t>TX1001830</t>
  </si>
  <si>
    <t>C89063</t>
  </si>
  <si>
    <t>205.58.112.239</t>
  </si>
  <si>
    <t>D195721</t>
  </si>
  <si>
    <t>TX1002206</t>
  </si>
  <si>
    <t>C80564</t>
  </si>
  <si>
    <t>179.94.179.104</t>
  </si>
  <si>
    <t>D188061</t>
  </si>
  <si>
    <t>TX1002218</t>
  </si>
  <si>
    <t>C57681</t>
  </si>
  <si>
    <t>16.191.0.109</t>
  </si>
  <si>
    <t>D195458</t>
  </si>
  <si>
    <t>TX1002273</t>
  </si>
  <si>
    <t>C74332</t>
  </si>
  <si>
    <t>8.80.92.86</t>
  </si>
  <si>
    <t>D122908</t>
  </si>
  <si>
    <t>TX1000405</t>
  </si>
  <si>
    <t>C95787</t>
  </si>
  <si>
    <t>193.211.228.172</t>
  </si>
  <si>
    <t>D116039</t>
  </si>
  <si>
    <t>TX1000757</t>
  </si>
  <si>
    <t>M1994</t>
  </si>
  <si>
    <t>C61726</t>
  </si>
  <si>
    <t>221.222.220.128</t>
  </si>
  <si>
    <t>D153799</t>
  </si>
  <si>
    <t>TX1002758</t>
  </si>
  <si>
    <t>C82521</t>
  </si>
  <si>
    <t>198.140.171.32</t>
  </si>
  <si>
    <t>D118116</t>
  </si>
  <si>
    <t>TX1002186</t>
  </si>
  <si>
    <t>C62580</t>
  </si>
  <si>
    <t>228.1.188.160</t>
  </si>
  <si>
    <t>D145793</t>
  </si>
  <si>
    <t>TX1001882</t>
  </si>
  <si>
    <t>C64685</t>
  </si>
  <si>
    <t>162.26.198.162</t>
  </si>
  <si>
    <t>D162751</t>
  </si>
  <si>
    <t>TX1000097</t>
  </si>
  <si>
    <t>C64609</t>
  </si>
  <si>
    <t>94.231.58.25</t>
  </si>
  <si>
    <t>D199525</t>
  </si>
  <si>
    <t>TX1001333</t>
  </si>
  <si>
    <t>C97859</t>
  </si>
  <si>
    <t>102.127.16.191</t>
  </si>
  <si>
    <t>D166606</t>
  </si>
  <si>
    <t>TX1002987</t>
  </si>
  <si>
    <t>C97258</t>
  </si>
  <si>
    <t>27.61.144.98</t>
  </si>
  <si>
    <t>D120871</t>
  </si>
  <si>
    <t>TX1000743</t>
  </si>
  <si>
    <t>C76918</t>
  </si>
  <si>
    <t>161.132.48.218</t>
  </si>
  <si>
    <t>D171532</t>
  </si>
  <si>
    <t>TX1000806</t>
  </si>
  <si>
    <t>M1550</t>
  </si>
  <si>
    <t>C54655</t>
  </si>
  <si>
    <t>251.37.240.77</t>
  </si>
  <si>
    <t>D149560</t>
  </si>
  <si>
    <t>TX1002771</t>
  </si>
  <si>
    <t>C95708</t>
  </si>
  <si>
    <t>200.118.45.79</t>
  </si>
  <si>
    <t>D190416</t>
  </si>
  <si>
    <t>TX1002964</t>
  </si>
  <si>
    <t>C59827</t>
  </si>
  <si>
    <t>133.170.235.105</t>
  </si>
  <si>
    <t>D193058</t>
  </si>
  <si>
    <t>TX1002501</t>
  </si>
  <si>
    <t>M1592</t>
  </si>
  <si>
    <t>C97719</t>
  </si>
  <si>
    <t>57.122.176.106</t>
  </si>
  <si>
    <t>D118814</t>
  </si>
  <si>
    <t>TX1001535</t>
  </si>
  <si>
    <t>M1511</t>
  </si>
  <si>
    <t>C89463</t>
  </si>
  <si>
    <t>206.151.181.212</t>
  </si>
  <si>
    <t>D119561</t>
  </si>
  <si>
    <t>TX1002099</t>
  </si>
  <si>
    <t>C83822</t>
  </si>
  <si>
    <t>108.94.203.89</t>
  </si>
  <si>
    <t>D196340</t>
  </si>
  <si>
    <t>TX1002013</t>
  </si>
  <si>
    <t>87.60.62.221</t>
  </si>
  <si>
    <t>D173767</t>
  </si>
  <si>
    <t>TX1000148</t>
  </si>
  <si>
    <t>M1032</t>
  </si>
  <si>
    <t>C75467</t>
  </si>
  <si>
    <t>156.36.6.239</t>
  </si>
  <si>
    <t>D127359</t>
  </si>
  <si>
    <t>TX1001775</t>
  </si>
  <si>
    <t>C58328</t>
  </si>
  <si>
    <t>99.130.48.235</t>
  </si>
  <si>
    <t>D124425</t>
  </si>
  <si>
    <t>TX1002233</t>
  </si>
  <si>
    <t>C80889</t>
  </si>
  <si>
    <t>27.213.38.171</t>
  </si>
  <si>
    <t>D165690</t>
  </si>
  <si>
    <t>TX1001945</t>
  </si>
  <si>
    <t>C86671</t>
  </si>
  <si>
    <t>42.210.74.124</t>
  </si>
  <si>
    <t>D130384</t>
  </si>
  <si>
    <t>TX1001315</t>
  </si>
  <si>
    <t>M1835</t>
  </si>
  <si>
    <t>C67801</t>
  </si>
  <si>
    <t>207.54.12.253</t>
  </si>
  <si>
    <t>D107019</t>
  </si>
  <si>
    <t>TX1000692</t>
  </si>
  <si>
    <t>M1683</t>
  </si>
  <si>
    <t>C89347</t>
  </si>
  <si>
    <t>129.103.38.21</t>
  </si>
  <si>
    <t>D187597</t>
  </si>
  <si>
    <t>TX1000818</t>
  </si>
  <si>
    <t>C72376</t>
  </si>
  <si>
    <t>148.220.204.175</t>
  </si>
  <si>
    <t>D142456</t>
  </si>
  <si>
    <t>TX1001728</t>
  </si>
  <si>
    <t>M1401</t>
  </si>
  <si>
    <t>C65771</t>
  </si>
  <si>
    <t>95.142.32.216</t>
  </si>
  <si>
    <t>D170668</t>
  </si>
  <si>
    <t>TX1001386</t>
  </si>
  <si>
    <t>C98076</t>
  </si>
  <si>
    <t>242.195.223.251</t>
  </si>
  <si>
    <t>D138401</t>
  </si>
  <si>
    <t>TX1002283</t>
  </si>
  <si>
    <t>C85429</t>
  </si>
  <si>
    <t>133.45.44.31</t>
  </si>
  <si>
    <t>D194484</t>
  </si>
  <si>
    <t>TX1002058</t>
  </si>
  <si>
    <t>C84927</t>
  </si>
  <si>
    <t>22.127.145.249</t>
  </si>
  <si>
    <t>D193271</t>
  </si>
  <si>
    <t>TX1001599</t>
  </si>
  <si>
    <t>C78866</t>
  </si>
  <si>
    <t>11.6.70.98</t>
  </si>
  <si>
    <t>D100185</t>
  </si>
  <si>
    <t>TX1002953</t>
  </si>
  <si>
    <t>M1119</t>
  </si>
  <si>
    <t>C50929</t>
  </si>
  <si>
    <t>107.5.193.236</t>
  </si>
  <si>
    <t>D145974</t>
  </si>
  <si>
    <t>TX1002459</t>
  </si>
  <si>
    <t>C71472</t>
  </si>
  <si>
    <t>116.214.115.64</t>
  </si>
  <si>
    <t>D136275</t>
  </si>
  <si>
    <t>TX1000701</t>
  </si>
  <si>
    <t>M1811</t>
  </si>
  <si>
    <t>C50147</t>
  </si>
  <si>
    <t>90.167.81.23</t>
  </si>
  <si>
    <t>D151558</t>
  </si>
  <si>
    <t>TX1002425</t>
  </si>
  <si>
    <t>M1537</t>
  </si>
  <si>
    <t>C92341</t>
  </si>
  <si>
    <t>100.60.88.61</t>
  </si>
  <si>
    <t>D186433</t>
  </si>
  <si>
    <t>TX1002658</t>
  </si>
  <si>
    <t>C65442</t>
  </si>
  <si>
    <t>230.210.131.109</t>
  </si>
  <si>
    <t>D163274</t>
  </si>
  <si>
    <t>TX1000921</t>
  </si>
  <si>
    <t>M1475</t>
  </si>
  <si>
    <t>C64356</t>
  </si>
  <si>
    <t>134.73.234.23</t>
  </si>
  <si>
    <t>D103882</t>
  </si>
  <si>
    <t>TX1001424</t>
  </si>
  <si>
    <t>144.61.75.88</t>
  </si>
  <si>
    <t>D131752</t>
  </si>
  <si>
    <t>TX1001708</t>
  </si>
  <si>
    <t>M1373</t>
  </si>
  <si>
    <t>C62338</t>
  </si>
  <si>
    <t>164.235.15.107</t>
  </si>
  <si>
    <t>D150182</t>
  </si>
  <si>
    <t>TX1000905</t>
  </si>
  <si>
    <t>M1343</t>
  </si>
  <si>
    <t>C77138</t>
  </si>
  <si>
    <t>120.243.160.8</t>
  </si>
  <si>
    <t>D107855</t>
  </si>
  <si>
    <t>TX1000454</t>
  </si>
  <si>
    <t>C63013</t>
  </si>
  <si>
    <t>126.106.91.10</t>
  </si>
  <si>
    <t>D154808</t>
  </si>
  <si>
    <t>TX1002083</t>
  </si>
  <si>
    <t>C84566</t>
  </si>
  <si>
    <t>73.249.74.76</t>
  </si>
  <si>
    <t>D191918</t>
  </si>
  <si>
    <t>TX1002306</t>
  </si>
  <si>
    <t>C73265</t>
  </si>
  <si>
    <t>253.130.223.109</t>
  </si>
  <si>
    <t>D159230</t>
  </si>
  <si>
    <t>TX1002942</t>
  </si>
  <si>
    <t>C64888</t>
  </si>
  <si>
    <t>235.151.52.6</t>
  </si>
  <si>
    <t>D172101</t>
  </si>
  <si>
    <t>TX1000167</t>
  </si>
  <si>
    <t>C92342</t>
  </si>
  <si>
    <t>140.69.201.106</t>
  </si>
  <si>
    <t>D142396</t>
  </si>
  <si>
    <t>TX1000730</t>
  </si>
  <si>
    <t>C93590</t>
  </si>
  <si>
    <t>6.202.71.237</t>
  </si>
  <si>
    <t>D144191</t>
  </si>
  <si>
    <t>TX1002800</t>
  </si>
  <si>
    <t>M1028</t>
  </si>
  <si>
    <t>C65572</t>
  </si>
  <si>
    <t>213.120.133.125</t>
  </si>
  <si>
    <t>D172173</t>
  </si>
  <si>
    <t>TX1001310</t>
  </si>
  <si>
    <t>C55144</t>
  </si>
  <si>
    <t>163.53.159.3</t>
  </si>
  <si>
    <t>D144801</t>
  </si>
  <si>
    <t>TX1000026</t>
  </si>
  <si>
    <t>C94829</t>
  </si>
  <si>
    <t>98.193.243.15</t>
  </si>
  <si>
    <t>D183459</t>
  </si>
  <si>
    <t>TX1002262</t>
  </si>
  <si>
    <t>C62112</t>
  </si>
  <si>
    <t>207.8.80.60</t>
  </si>
  <si>
    <t>D165824</t>
  </si>
  <si>
    <t>TX1001652</t>
  </si>
  <si>
    <t>C57422</t>
  </si>
  <si>
    <t>55.91.135.179</t>
  </si>
  <si>
    <t>D109971</t>
  </si>
  <si>
    <t>TX1001622</t>
  </si>
  <si>
    <t>M1076</t>
  </si>
  <si>
    <t>C77005</t>
  </si>
  <si>
    <t>19.231.102.167</t>
  </si>
  <si>
    <t>D165755</t>
  </si>
  <si>
    <t>TX1000587</t>
  </si>
  <si>
    <t>C67409</t>
  </si>
  <si>
    <t>51.167.133.101</t>
  </si>
  <si>
    <t>D115619</t>
  </si>
  <si>
    <t>TX1002019</t>
  </si>
  <si>
    <t>C65749</t>
  </si>
  <si>
    <t>135.134.98.74</t>
  </si>
  <si>
    <t>D109839</t>
  </si>
  <si>
    <t>TX1000997</t>
  </si>
  <si>
    <t>C87677</t>
  </si>
  <si>
    <t>112.167.196.77</t>
  </si>
  <si>
    <t>D120941</t>
  </si>
  <si>
    <t>TX1001176</t>
  </si>
  <si>
    <t>C72003</t>
  </si>
  <si>
    <t>27.4.221.20</t>
  </si>
  <si>
    <t>D164555</t>
  </si>
  <si>
    <t>TX1001700</t>
  </si>
  <si>
    <t>C84325</t>
  </si>
  <si>
    <t>33.117.174.215</t>
  </si>
  <si>
    <t>D154153</t>
  </si>
  <si>
    <t>TX1001040</t>
  </si>
  <si>
    <t>C70235</t>
  </si>
  <si>
    <t>52.1.66.215</t>
  </si>
  <si>
    <t>D179478</t>
  </si>
  <si>
    <t>TX1000033</t>
  </si>
  <si>
    <t>C69100</t>
  </si>
  <si>
    <t>72.201.186.30</t>
  </si>
  <si>
    <t>D173905</t>
  </si>
  <si>
    <t>TX1001812</t>
  </si>
  <si>
    <t>C92705</t>
  </si>
  <si>
    <t>64.24.240.117</t>
  </si>
  <si>
    <t>D128769</t>
  </si>
  <si>
    <t>TX1002370</t>
  </si>
  <si>
    <t>M1067</t>
  </si>
  <si>
    <t>C87403</t>
  </si>
  <si>
    <t>185.244.0.171</t>
  </si>
  <si>
    <t>D198580</t>
  </si>
  <si>
    <t>TX1001379</t>
  </si>
  <si>
    <t>C69214</t>
  </si>
  <si>
    <t>72.2.59.236</t>
  </si>
  <si>
    <t>D180003</t>
  </si>
  <si>
    <t>TX1000041</t>
  </si>
  <si>
    <t>M1834</t>
  </si>
  <si>
    <t>C83124</t>
  </si>
  <si>
    <t>22.15.112.75</t>
  </si>
  <si>
    <t>D104285</t>
  </si>
  <si>
    <t>TX1002769</t>
  </si>
  <si>
    <t>C67949</t>
  </si>
  <si>
    <t>22.81.222.138</t>
  </si>
  <si>
    <t>D155685</t>
  </si>
  <si>
    <t>TX1002745</t>
  </si>
  <si>
    <t>C67555</t>
  </si>
  <si>
    <t>184.128.241.29</t>
  </si>
  <si>
    <t>D165669</t>
  </si>
  <si>
    <t>TX1002608</t>
  </si>
  <si>
    <t>C83359</t>
  </si>
  <si>
    <t>115.162.91.21</t>
  </si>
  <si>
    <t>D134073</t>
  </si>
  <si>
    <t>TX1002958</t>
  </si>
  <si>
    <t>C96287</t>
  </si>
  <si>
    <t>37.16.190.215</t>
  </si>
  <si>
    <t>D138060</t>
  </si>
  <si>
    <t>TX1001813</t>
  </si>
  <si>
    <t>C71358</t>
  </si>
  <si>
    <t>75.142.186.170</t>
  </si>
  <si>
    <t>D106077</t>
  </si>
  <si>
    <t>TX1001795</t>
  </si>
  <si>
    <t>C61537</t>
  </si>
  <si>
    <t>149.19.163.17</t>
  </si>
  <si>
    <t>D182516</t>
  </si>
  <si>
    <t>TX1000609</t>
  </si>
  <si>
    <t>C72090</t>
  </si>
  <si>
    <t>240.138.147.153</t>
  </si>
  <si>
    <t>D167307</t>
  </si>
  <si>
    <t>TX1001132</t>
  </si>
  <si>
    <t>C62248</t>
  </si>
  <si>
    <t>249.211.198.219</t>
  </si>
  <si>
    <t>D137176</t>
  </si>
  <si>
    <t>TX1000028</t>
  </si>
  <si>
    <t>C85426</t>
  </si>
  <si>
    <t>191.177.27.26</t>
  </si>
  <si>
    <t>D157290</t>
  </si>
  <si>
    <t>TX1000441</t>
  </si>
  <si>
    <t>33.116.89.38</t>
  </si>
  <si>
    <t>D180995</t>
  </si>
  <si>
    <t>TX1001947</t>
  </si>
  <si>
    <t>C92894</t>
  </si>
  <si>
    <t>206.2.161.47</t>
  </si>
  <si>
    <t>D193596</t>
  </si>
  <si>
    <t>TX1002162</t>
  </si>
  <si>
    <t>M1906</t>
  </si>
  <si>
    <t>C82901</t>
  </si>
  <si>
    <t>34.111.168.65</t>
  </si>
  <si>
    <t>D192071</t>
  </si>
  <si>
    <t>TX1000493</t>
  </si>
  <si>
    <t>C85231</t>
  </si>
  <si>
    <t>254.56.148.46</t>
  </si>
  <si>
    <t>D120855</t>
  </si>
  <si>
    <t>TX1001258</t>
  </si>
  <si>
    <t>C69532</t>
  </si>
  <si>
    <t>62.167.43.123</t>
  </si>
  <si>
    <t>D140828</t>
  </si>
  <si>
    <t>TX1001301</t>
  </si>
  <si>
    <t>C71710</t>
  </si>
  <si>
    <t>5.102.50.97</t>
  </si>
  <si>
    <t>D164897</t>
  </si>
  <si>
    <t>TX1002541</t>
  </si>
  <si>
    <t>C59113</t>
  </si>
  <si>
    <t>186.109.201.132</t>
  </si>
  <si>
    <t>D197795</t>
  </si>
  <si>
    <t>TX1002367</t>
  </si>
  <si>
    <t>C75790</t>
  </si>
  <si>
    <t>209.150.72.247</t>
  </si>
  <si>
    <t>D184120</t>
  </si>
  <si>
    <t>TX1001382</t>
  </si>
  <si>
    <t>C58554</t>
  </si>
  <si>
    <t>246.90.251.18</t>
  </si>
  <si>
    <t>D170371</t>
  </si>
  <si>
    <t>TX1001304</t>
  </si>
  <si>
    <t>C95327</t>
  </si>
  <si>
    <t>81.138.211.194</t>
  </si>
  <si>
    <t>D150788</t>
  </si>
  <si>
    <t>TX1000236</t>
  </si>
  <si>
    <t>C57168</t>
  </si>
  <si>
    <t>144.80.28.101</t>
  </si>
  <si>
    <t>D134523</t>
  </si>
  <si>
    <t>TX1000551</t>
  </si>
  <si>
    <t>M1310</t>
  </si>
  <si>
    <t>C73053</t>
  </si>
  <si>
    <t>135.91.189.175</t>
  </si>
  <si>
    <t>D191643</t>
  </si>
  <si>
    <t>TX1000520</t>
  </si>
  <si>
    <t>C54279</t>
  </si>
  <si>
    <t>208.199.241.5</t>
  </si>
  <si>
    <t>D136007</t>
  </si>
  <si>
    <t>TX1002219</t>
  </si>
  <si>
    <t>C93872</t>
  </si>
  <si>
    <t>7.17.87.9</t>
  </si>
  <si>
    <t>D170486</t>
  </si>
  <si>
    <t>TX1001232</t>
  </si>
  <si>
    <t>C63368</t>
  </si>
  <si>
    <t>113.123.191.204</t>
  </si>
  <si>
    <t>D169072</t>
  </si>
  <si>
    <t>TX1001138</t>
  </si>
  <si>
    <t>C94193</t>
  </si>
  <si>
    <t>155.229.148.251</t>
  </si>
  <si>
    <t>D118285</t>
  </si>
  <si>
    <t>TX1000720</t>
  </si>
  <si>
    <t>M1333</t>
  </si>
  <si>
    <t>C55913</t>
  </si>
  <si>
    <t>142.123.52.101</t>
  </si>
  <si>
    <t>D106959</t>
  </si>
  <si>
    <t>TX1000735</t>
  </si>
  <si>
    <t>C66456</t>
  </si>
  <si>
    <t>10.106.13.207</t>
  </si>
  <si>
    <t>D196558</t>
  </si>
  <si>
    <t>TX1002655</t>
  </si>
  <si>
    <t>C92162</t>
  </si>
  <si>
    <t>247.195.254.55</t>
  </si>
  <si>
    <t>D178716</t>
  </si>
  <si>
    <t>TX1001750</t>
  </si>
  <si>
    <t>C72486</t>
  </si>
  <si>
    <t>222.10.150.208</t>
  </si>
  <si>
    <t>D114353</t>
  </si>
  <si>
    <t>TX1000058</t>
  </si>
  <si>
    <t>C74411</t>
  </si>
  <si>
    <t>20.31.222.170</t>
  </si>
  <si>
    <t>D117132</t>
  </si>
  <si>
    <t>TX1000631</t>
  </si>
  <si>
    <t>C77043</t>
  </si>
  <si>
    <t>124.33.160.238</t>
  </si>
  <si>
    <t>D107458</t>
  </si>
  <si>
    <t>TX1001181</t>
  </si>
  <si>
    <t>C98434</t>
  </si>
  <si>
    <t>230.91.54.210</t>
  </si>
  <si>
    <t>D192171</t>
  </si>
  <si>
    <t>TX1002823</t>
  </si>
  <si>
    <t>C67093</t>
  </si>
  <si>
    <t>111.205.153.190</t>
  </si>
  <si>
    <t>D148623</t>
  </si>
  <si>
    <t>TX1000592</t>
  </si>
  <si>
    <t>C97935</t>
  </si>
  <si>
    <t>111.238.211.45</t>
  </si>
  <si>
    <t>D101739</t>
  </si>
  <si>
    <t>TX1001303</t>
  </si>
  <si>
    <t>C80031</t>
  </si>
  <si>
    <t>4.103.144.64</t>
  </si>
  <si>
    <t>D168963</t>
  </si>
  <si>
    <t>TX1001387</t>
  </si>
  <si>
    <t>C59438</t>
  </si>
  <si>
    <t>115.115.137.113</t>
  </si>
  <si>
    <t>D110484</t>
  </si>
  <si>
    <t>TX1002617</t>
  </si>
  <si>
    <t>C90399</t>
  </si>
  <si>
    <t>178.90.68.224</t>
  </si>
  <si>
    <t>D163042</t>
  </si>
  <si>
    <t>TX1002632</t>
  </si>
  <si>
    <t>C66366</t>
  </si>
  <si>
    <t>139.148.177.163</t>
  </si>
  <si>
    <t>D176278</t>
  </si>
  <si>
    <t>TX1002659</t>
  </si>
  <si>
    <t>C95556</t>
  </si>
  <si>
    <t>71.138.110.56</t>
  </si>
  <si>
    <t>D104699</t>
  </si>
  <si>
    <t>TX1000939</t>
  </si>
  <si>
    <t>C56614</t>
  </si>
  <si>
    <t>179.148.206.183</t>
  </si>
  <si>
    <t>D132121</t>
  </si>
  <si>
    <t>TX1002859</t>
  </si>
  <si>
    <t>117.200.188.115</t>
  </si>
  <si>
    <t>D169558</t>
  </si>
  <si>
    <t>TX1001249</t>
  </si>
  <si>
    <t>C55797</t>
  </si>
  <si>
    <t>161.85.165.222</t>
  </si>
  <si>
    <t>D120849</t>
  </si>
  <si>
    <t>TX1000904</t>
  </si>
  <si>
    <t>26.195.110.13</t>
  </si>
  <si>
    <t>D162244</t>
  </si>
  <si>
    <t>TX1002545</t>
  </si>
  <si>
    <t>M1265</t>
  </si>
  <si>
    <t>C68694</t>
  </si>
  <si>
    <t>30.178.88.237</t>
  </si>
  <si>
    <t>D168006</t>
  </si>
  <si>
    <t>TX1001279</t>
  </si>
  <si>
    <t>C80113</t>
  </si>
  <si>
    <t>208.239.121.150</t>
  </si>
  <si>
    <t>D154007</t>
  </si>
  <si>
    <t>TX1002404</t>
  </si>
  <si>
    <t>C61151</t>
  </si>
  <si>
    <t>31.110.160.179</t>
  </si>
  <si>
    <t>D189322</t>
  </si>
  <si>
    <t>TX1002881</t>
  </si>
  <si>
    <t>C74930</t>
  </si>
  <si>
    <t>133.113.149.45</t>
  </si>
  <si>
    <t>D160593</t>
  </si>
  <si>
    <t>TX1002280</t>
  </si>
  <si>
    <t>C93936</t>
  </si>
  <si>
    <t>68.104.194.218</t>
  </si>
  <si>
    <t>D178767</t>
  </si>
  <si>
    <t>TX1002389</t>
  </si>
  <si>
    <t>C54174</t>
  </si>
  <si>
    <t>166.57.32.117</t>
  </si>
  <si>
    <t>D125001</t>
  </si>
  <si>
    <t>TX1002045</t>
  </si>
  <si>
    <t>M1167</t>
  </si>
  <si>
    <t>C90932</t>
  </si>
  <si>
    <t>97.228.206.147</t>
  </si>
  <si>
    <t>D136546</t>
  </si>
  <si>
    <t>TX1001142</t>
  </si>
  <si>
    <t>C86506</t>
  </si>
  <si>
    <t>241.148.63.198</t>
  </si>
  <si>
    <t>D157778</t>
  </si>
  <si>
    <t>TX1002383</t>
  </si>
  <si>
    <t>C95696</t>
  </si>
  <si>
    <t>17.136.14.80</t>
  </si>
  <si>
    <t>D165958</t>
  </si>
  <si>
    <t>TX1000706</t>
  </si>
  <si>
    <t>C84366</t>
  </si>
  <si>
    <t>161.121.188.14</t>
  </si>
  <si>
    <t>D191160</t>
  </si>
  <si>
    <t>TX1002643</t>
  </si>
  <si>
    <t>M1552</t>
  </si>
  <si>
    <t>C74081</t>
  </si>
  <si>
    <t>66.203.121.210</t>
  </si>
  <si>
    <t>D113361</t>
  </si>
  <si>
    <t>TX1001022</t>
  </si>
  <si>
    <t>C60835</t>
  </si>
  <si>
    <t>137.173.72.12</t>
  </si>
  <si>
    <t>D117912</t>
  </si>
  <si>
    <t>TX1000745</t>
  </si>
  <si>
    <t>C98329</t>
  </si>
  <si>
    <t>16.13.132.139</t>
  </si>
  <si>
    <t>D106137</t>
  </si>
  <si>
    <t>TX1001546</t>
  </si>
  <si>
    <t>C69779</t>
  </si>
  <si>
    <t>85.253.180.9</t>
  </si>
  <si>
    <t>D177019</t>
  </si>
  <si>
    <t>TX1002359</t>
  </si>
  <si>
    <t>M1753</t>
  </si>
  <si>
    <t>C98304</t>
  </si>
  <si>
    <t>187.69.27.55</t>
  </si>
  <si>
    <t>D110450</t>
  </si>
  <si>
    <t>TX1002740</t>
  </si>
  <si>
    <t>C75118</t>
  </si>
  <si>
    <t>60.192.197.59</t>
  </si>
  <si>
    <t>D148778</t>
  </si>
  <si>
    <t>TX1000513</t>
  </si>
  <si>
    <t>C95826</t>
  </si>
  <si>
    <t>48.164.239.59</t>
  </si>
  <si>
    <t>D160398</t>
  </si>
  <si>
    <t>TX1000081</t>
  </si>
  <si>
    <t>C80585</t>
  </si>
  <si>
    <t>170.191.144.77</t>
  </si>
  <si>
    <t>D189707</t>
  </si>
  <si>
    <t>TX1002663</t>
  </si>
  <si>
    <t>C75116</t>
  </si>
  <si>
    <t>87.179.104.56</t>
  </si>
  <si>
    <t>D195856</t>
  </si>
  <si>
    <t>TX1001308</t>
  </si>
  <si>
    <t>C52723</t>
  </si>
  <si>
    <t>40.194.194.162</t>
  </si>
  <si>
    <t>D176960</t>
  </si>
  <si>
    <t>TX1002497</t>
  </si>
  <si>
    <t>C53833</t>
  </si>
  <si>
    <t>48.153.129.230</t>
  </si>
  <si>
    <t>D193438</t>
  </si>
  <si>
    <t>TX1000914</t>
  </si>
  <si>
    <t>C65680</t>
  </si>
  <si>
    <t>24.62.129.31</t>
  </si>
  <si>
    <t>D153240</t>
  </si>
  <si>
    <t>TX1001404</t>
  </si>
  <si>
    <t>C67268</t>
  </si>
  <si>
    <t>122.200.176.15</t>
  </si>
  <si>
    <t>D193789</t>
  </si>
  <si>
    <t>TX1001647</t>
  </si>
  <si>
    <t>C82363</t>
  </si>
  <si>
    <t>41.14.39.99</t>
  </si>
  <si>
    <t>D128188</t>
  </si>
  <si>
    <t>TX1002762</t>
  </si>
  <si>
    <t>C73295</t>
  </si>
  <si>
    <t>154.22.198.147</t>
  </si>
  <si>
    <t>D106593</t>
  </si>
  <si>
    <t>TX1001108</t>
  </si>
  <si>
    <t>C91665</t>
  </si>
  <si>
    <t>22.42.146.217</t>
  </si>
  <si>
    <t>D119952</t>
  </si>
  <si>
    <t>TX1000150</t>
  </si>
  <si>
    <t>C91852</t>
  </si>
  <si>
    <t>141.205.172.169</t>
  </si>
  <si>
    <t>D120732</t>
  </si>
  <si>
    <t>TX1002728</t>
  </si>
  <si>
    <t>C67470</t>
  </si>
  <si>
    <t>185.103.73.76</t>
  </si>
  <si>
    <t>D199567</t>
  </si>
  <si>
    <t>TX1000774</t>
  </si>
  <si>
    <t>M1468</t>
  </si>
  <si>
    <t>C61952</t>
  </si>
  <si>
    <t>151.194.224.214</t>
  </si>
  <si>
    <t>D109769</t>
  </si>
  <si>
    <t>TX1000329</t>
  </si>
  <si>
    <t>C72483</t>
  </si>
  <si>
    <t>15.182.169.207</t>
  </si>
  <si>
    <t>D113130</t>
  </si>
  <si>
    <t>TX1000006</t>
  </si>
  <si>
    <t>C59924</t>
  </si>
  <si>
    <t>187.31.70.133</t>
  </si>
  <si>
    <t>D127176</t>
  </si>
  <si>
    <t>TX1000943</t>
  </si>
  <si>
    <t>C93553</t>
  </si>
  <si>
    <t>76.37.154.129</t>
  </si>
  <si>
    <t>D142508</t>
  </si>
  <si>
    <t>TX1000822</t>
  </si>
  <si>
    <t>C84223</t>
  </si>
  <si>
    <t>213.113.181.58</t>
  </si>
  <si>
    <t>D116934</t>
  </si>
  <si>
    <t>TX1000734</t>
  </si>
  <si>
    <t>C90379</t>
  </si>
  <si>
    <t>109.157.33.95</t>
  </si>
  <si>
    <t>D158040</t>
  </si>
  <si>
    <t>TX1000909</t>
  </si>
  <si>
    <t>C56184</t>
  </si>
  <si>
    <t>185.12.68.70</t>
  </si>
  <si>
    <t>D145212</t>
  </si>
  <si>
    <t>TX1000468</t>
  </si>
  <si>
    <t>C68169</t>
  </si>
  <si>
    <t>24.75.73.43</t>
  </si>
  <si>
    <t>D162320</t>
  </si>
  <si>
    <t>TX1000181</t>
  </si>
  <si>
    <t>C75684</t>
  </si>
  <si>
    <t>158.182.159.86</t>
  </si>
  <si>
    <t>D125971</t>
  </si>
  <si>
    <t>TX1000164</t>
  </si>
  <si>
    <t>M1081</t>
  </si>
  <si>
    <t>C82920</t>
  </si>
  <si>
    <t>36.83.98.58</t>
  </si>
  <si>
    <t>D104224</t>
  </si>
  <si>
    <t>TX1001523</t>
  </si>
  <si>
    <t>C72303</t>
  </si>
  <si>
    <t>161.134.96.234</t>
  </si>
  <si>
    <t>D124330</t>
  </si>
  <si>
    <t>TX1000451</t>
  </si>
  <si>
    <t>C68260</t>
  </si>
  <si>
    <t>232.20.99.2</t>
  </si>
  <si>
    <t>D164011</t>
  </si>
  <si>
    <t>TX1000490</t>
  </si>
  <si>
    <t>C51226</t>
  </si>
  <si>
    <t>82.49.113.58</t>
  </si>
  <si>
    <t>D102368</t>
  </si>
  <si>
    <t>TX1002007</t>
  </si>
  <si>
    <t>91.7.26.13</t>
  </si>
  <si>
    <t>D119024</t>
  </si>
  <si>
    <t>TX1001143</t>
  </si>
  <si>
    <t>C75983</t>
  </si>
  <si>
    <t>135.219.20.15</t>
  </si>
  <si>
    <t>D185391</t>
  </si>
  <si>
    <t>TX1001311</t>
  </si>
  <si>
    <t>C73668</t>
  </si>
  <si>
    <t>118.108.35.6</t>
  </si>
  <si>
    <t>D125943</t>
  </si>
  <si>
    <t>TX1002244</t>
  </si>
  <si>
    <t>C87545</t>
  </si>
  <si>
    <t>95.150.100.28</t>
  </si>
  <si>
    <t>D139641</t>
  </si>
  <si>
    <t>TX1001111</t>
  </si>
  <si>
    <t>C61998</t>
  </si>
  <si>
    <t>173.200.160.239</t>
  </si>
  <si>
    <t>D198483</t>
  </si>
  <si>
    <t>TX1002856</t>
  </si>
  <si>
    <t>C56461</t>
  </si>
  <si>
    <t>24.179.181.241</t>
  </si>
  <si>
    <t>D170849</t>
  </si>
  <si>
    <t>TX1001980</t>
  </si>
  <si>
    <t>C67726</t>
  </si>
  <si>
    <t>10.42.5.35</t>
  </si>
  <si>
    <t>D152889</t>
  </si>
  <si>
    <t>TX1001441</t>
  </si>
  <si>
    <t>C83095</t>
  </si>
  <si>
    <t>2.49.63.9</t>
  </si>
  <si>
    <t>D179063</t>
  </si>
  <si>
    <t>TX1002500</t>
  </si>
  <si>
    <t>C50438</t>
  </si>
  <si>
    <t>8.250.127.112</t>
  </si>
  <si>
    <t>D154287</t>
  </si>
  <si>
    <t>TX1001006</t>
  </si>
  <si>
    <t>C79151</t>
  </si>
  <si>
    <t>24.195.144.178</t>
  </si>
  <si>
    <t>D157321</t>
  </si>
  <si>
    <t>TX1001627</t>
  </si>
  <si>
    <t>C60201</t>
  </si>
  <si>
    <t>24.141.7.61</t>
  </si>
  <si>
    <t>D107032</t>
  </si>
  <si>
    <t>TX1001632</t>
  </si>
  <si>
    <t>C68875</t>
  </si>
  <si>
    <t>155.22.113.116</t>
  </si>
  <si>
    <t>D114669</t>
  </si>
  <si>
    <t>TX1001074</t>
  </si>
  <si>
    <t>C85948</t>
  </si>
  <si>
    <t>38.151.240.152</t>
  </si>
  <si>
    <t>D183743</t>
  </si>
  <si>
    <t>TX1000578</t>
  </si>
  <si>
    <t>C90532</t>
  </si>
  <si>
    <t>207.65.189.145</t>
  </si>
  <si>
    <t>D162065</t>
  </si>
  <si>
    <t>TX1002103</t>
  </si>
  <si>
    <t>C53562</t>
  </si>
  <si>
    <t>8.48.29.10</t>
  </si>
  <si>
    <t>D193862</t>
  </si>
  <si>
    <t>TX1002347</t>
  </si>
  <si>
    <t>C79916</t>
  </si>
  <si>
    <t>92.9.184.183</t>
  </si>
  <si>
    <t>D119396</t>
  </si>
  <si>
    <t>TX1002552</t>
  </si>
  <si>
    <t>C93067</t>
  </si>
  <si>
    <t>173.165.248.21</t>
  </si>
  <si>
    <t>D176221</t>
  </si>
  <si>
    <t>TX1002304</t>
  </si>
  <si>
    <t>C81102</t>
  </si>
  <si>
    <t>240.16.105.245</t>
  </si>
  <si>
    <t>D198908</t>
  </si>
  <si>
    <t>TX1000327</t>
  </si>
  <si>
    <t>C57224</t>
  </si>
  <si>
    <t>67.209.225.161</t>
  </si>
  <si>
    <t>D181844</t>
  </si>
  <si>
    <t>TX1001790</t>
  </si>
  <si>
    <t>C80457</t>
  </si>
  <si>
    <t>84.118.221.119</t>
  </si>
  <si>
    <t>D148908</t>
  </si>
  <si>
    <t>TX1000442</t>
  </si>
  <si>
    <t>C96828</t>
  </si>
  <si>
    <t>12.120.179.28</t>
  </si>
  <si>
    <t>D110155</t>
  </si>
  <si>
    <t>TX1001858</t>
  </si>
  <si>
    <t>C55192</t>
  </si>
  <si>
    <t>208.178.50.161</t>
  </si>
  <si>
    <t>D191972</t>
  </si>
  <si>
    <t>TX1002172</t>
  </si>
  <si>
    <t>C61109</t>
  </si>
  <si>
    <t>227.133.253.222</t>
  </si>
  <si>
    <t>D152129</t>
  </si>
  <si>
    <t>TX1002533</t>
  </si>
  <si>
    <t>C73979</t>
  </si>
  <si>
    <t>110.245.248.130</t>
  </si>
  <si>
    <t>D181928</t>
  </si>
  <si>
    <t>TX1000832</t>
  </si>
  <si>
    <t>C91285</t>
  </si>
  <si>
    <t>164.171.93.60</t>
  </si>
  <si>
    <t>D116343</t>
  </si>
  <si>
    <t>TX1002376</t>
  </si>
  <si>
    <t>C81348</t>
  </si>
  <si>
    <t>197.103.125.130</t>
  </si>
  <si>
    <t>D125649</t>
  </si>
  <si>
    <t>TX1002401</t>
  </si>
  <si>
    <t>C82524</t>
  </si>
  <si>
    <t>71.144.67.60</t>
  </si>
  <si>
    <t>D173537</t>
  </si>
  <si>
    <t>TX1001414</t>
  </si>
  <si>
    <t>C65130</t>
  </si>
  <si>
    <t>128.76.112.248</t>
  </si>
  <si>
    <t>D168506</t>
  </si>
  <si>
    <t>TX1001201</t>
  </si>
  <si>
    <t>11.250.253.68</t>
  </si>
  <si>
    <t>D164984</t>
  </si>
  <si>
    <t>TX1002316</t>
  </si>
  <si>
    <t>M1714</t>
  </si>
  <si>
    <t>C64165</t>
  </si>
  <si>
    <t>157.86.251.80</t>
  </si>
  <si>
    <t>D154234</t>
  </si>
  <si>
    <t>TX1001499</t>
  </si>
  <si>
    <t>M1251</t>
  </si>
  <si>
    <t>C82273</t>
  </si>
  <si>
    <t>228.21.161.191</t>
  </si>
  <si>
    <t>D177021</t>
  </si>
  <si>
    <t>TX1002276</t>
  </si>
  <si>
    <t>M1695</t>
  </si>
  <si>
    <t>78.234.127.197</t>
  </si>
  <si>
    <t>D108292</t>
  </si>
  <si>
    <t>TX1000086</t>
  </si>
  <si>
    <t>C55769</t>
  </si>
  <si>
    <t>52.191.7.229</t>
  </si>
  <si>
    <t>D142233</t>
  </si>
  <si>
    <t>TX1001403</t>
  </si>
  <si>
    <t>C69686</t>
  </si>
  <si>
    <t>177.47.58.228</t>
  </si>
  <si>
    <t>D166345</t>
  </si>
  <si>
    <t>TX1002928</t>
  </si>
  <si>
    <t>C67774</t>
  </si>
  <si>
    <t>163.240.109.244</t>
  </si>
  <si>
    <t>D198637</t>
  </si>
  <si>
    <t>TX1001481</t>
  </si>
  <si>
    <t>C85895</t>
  </si>
  <si>
    <t>50.102.6.174</t>
  </si>
  <si>
    <t>D164226</t>
  </si>
  <si>
    <t>TX1000777</t>
  </si>
  <si>
    <t>C90263</t>
  </si>
  <si>
    <t>217.39.232.230</t>
  </si>
  <si>
    <t>D149421</t>
  </si>
  <si>
    <t>TX1000799</t>
  </si>
  <si>
    <t>M1976</t>
  </si>
  <si>
    <t>C93977</t>
  </si>
  <si>
    <t>91.95.39.66</t>
  </si>
  <si>
    <t>D160547</t>
  </si>
  <si>
    <t>TX1001666</t>
  </si>
  <si>
    <t>C64231</t>
  </si>
  <si>
    <t>31.156.104.70</t>
  </si>
  <si>
    <t>D138075</t>
  </si>
  <si>
    <t>TX1000054</t>
  </si>
  <si>
    <t>M1065</t>
  </si>
  <si>
    <t>C87791</t>
  </si>
  <si>
    <t>43.188.80.66</t>
  </si>
  <si>
    <t>D113487</t>
  </si>
  <si>
    <t>TX1002364</t>
  </si>
  <si>
    <t>C70797</t>
  </si>
  <si>
    <t>193.229.210.126</t>
  </si>
  <si>
    <t>D149381</t>
  </si>
  <si>
    <t>TX1001287</t>
  </si>
  <si>
    <t>M1325</t>
  </si>
  <si>
    <t>C53440</t>
  </si>
  <si>
    <t>154.73.31.189</t>
  </si>
  <si>
    <t>D156736</t>
  </si>
  <si>
    <t>TX1001667</t>
  </si>
  <si>
    <t>C55311</t>
  </si>
  <si>
    <t>97.121.56.231</t>
  </si>
  <si>
    <t>D148114</t>
  </si>
  <si>
    <t>TX1002588</t>
  </si>
  <si>
    <t>C50468</t>
  </si>
  <si>
    <t>149.209.94.94</t>
  </si>
  <si>
    <t>D187258</t>
  </si>
  <si>
    <t>TX1002651</t>
  </si>
  <si>
    <t>C90920</t>
  </si>
  <si>
    <t>168.8.34.37</t>
  </si>
  <si>
    <t>TX1001701</t>
  </si>
  <si>
    <t>C83133</t>
  </si>
  <si>
    <t>236.32.52.25</t>
  </si>
  <si>
    <t>D185965</t>
  </si>
  <si>
    <t>TX1001245</t>
  </si>
  <si>
    <t>C65489</t>
  </si>
  <si>
    <t>64.180.101.203</t>
  </si>
  <si>
    <t>D156156</t>
  </si>
  <si>
    <t>TX1000113</t>
  </si>
  <si>
    <t>C79186</t>
  </si>
  <si>
    <t>229.100.134.188</t>
  </si>
  <si>
    <t>D182132</t>
  </si>
  <si>
    <t>TX1002808</t>
  </si>
  <si>
    <t>M1229</t>
  </si>
  <si>
    <t>C70114</t>
  </si>
  <si>
    <t>255.183.237.16</t>
  </si>
  <si>
    <t>D197884</t>
  </si>
  <si>
    <t>TX1000987</t>
  </si>
  <si>
    <t>C83838</t>
  </si>
  <si>
    <t>120.141.45.20</t>
  </si>
  <si>
    <t>D154912</t>
  </si>
  <si>
    <t>TX1000501</t>
  </si>
  <si>
    <t>C89809</t>
  </si>
  <si>
    <t>38.6.132.94</t>
  </si>
  <si>
    <t>TX1002154</t>
  </si>
  <si>
    <t>C79214</t>
  </si>
  <si>
    <t>14.126.201.10</t>
  </si>
  <si>
    <t>D125930</t>
  </si>
  <si>
    <t>TX1001009</t>
  </si>
  <si>
    <t>C51185</t>
  </si>
  <si>
    <t>94.142.151.123</t>
  </si>
  <si>
    <t>D195211</t>
  </si>
  <si>
    <t>TX1001198</t>
  </si>
  <si>
    <t>M1250</t>
  </si>
  <si>
    <t>C86653</t>
  </si>
  <si>
    <t>6.40.72.113</t>
  </si>
  <si>
    <t>D171994</t>
  </si>
  <si>
    <t>TX1001394</t>
  </si>
  <si>
    <t>C91673</t>
  </si>
  <si>
    <t>94.220.188.119</t>
  </si>
  <si>
    <t>TX1000589</t>
  </si>
  <si>
    <t>C71884</t>
  </si>
  <si>
    <t>193.84.251.123</t>
  </si>
  <si>
    <t>D173509</t>
  </si>
  <si>
    <t>TX1000768</t>
  </si>
  <si>
    <t>C51020</t>
  </si>
  <si>
    <t>165.63.75.138</t>
  </si>
  <si>
    <t>D159833</t>
  </si>
  <si>
    <t>TX1000017</t>
  </si>
  <si>
    <t>C61696</t>
  </si>
  <si>
    <t>173.217.194.211</t>
  </si>
  <si>
    <t>D130102</t>
  </si>
  <si>
    <t>TX1001042</t>
  </si>
  <si>
    <t>C56047</t>
  </si>
  <si>
    <t>129.76.150.200</t>
  </si>
  <si>
    <t>D119225</t>
  </si>
  <si>
    <t>TX1001447</t>
  </si>
  <si>
    <t>C71634</t>
  </si>
  <si>
    <t>151.30.108.123</t>
  </si>
  <si>
    <t>D152738</t>
  </si>
  <si>
    <t>TX1002465</t>
  </si>
  <si>
    <t>C72124</t>
  </si>
  <si>
    <t>162.95.209.47</t>
  </si>
  <si>
    <t>D147387</t>
  </si>
  <si>
    <t>TX1000285</t>
  </si>
  <si>
    <t>C87240</t>
  </si>
  <si>
    <t>253.86.125.138</t>
  </si>
  <si>
    <t>D155542</t>
  </si>
  <si>
    <t>TX1002897</t>
  </si>
  <si>
    <t>C73017</t>
  </si>
  <si>
    <t>14.89.237.73</t>
  </si>
  <si>
    <t>D139980</t>
  </si>
  <si>
    <t>TX1000428</t>
  </si>
  <si>
    <t>C82184</t>
  </si>
  <si>
    <t>208.98.44.150</t>
  </si>
  <si>
    <t>D103177</t>
  </si>
  <si>
    <t>TX1001328</t>
  </si>
  <si>
    <t>C62222</t>
  </si>
  <si>
    <t>134.142.127.206</t>
  </si>
  <si>
    <t>D197909</t>
  </si>
  <si>
    <t>TX1001951</t>
  </si>
  <si>
    <t>C60793</t>
  </si>
  <si>
    <t>6.126.68.155</t>
  </si>
  <si>
    <t>D164881</t>
  </si>
  <si>
    <t>TX1000669</t>
  </si>
  <si>
    <t>C55415</t>
  </si>
  <si>
    <t>15.13.76.254</t>
  </si>
  <si>
    <t>D146312</t>
  </si>
  <si>
    <t>TX1000031</t>
  </si>
  <si>
    <t>C77119</t>
  </si>
  <si>
    <t>44.194.86.36</t>
  </si>
  <si>
    <t>D135247</t>
  </si>
  <si>
    <t>TX1001341</t>
  </si>
  <si>
    <t>M1812</t>
  </si>
  <si>
    <t>C53145</t>
  </si>
  <si>
    <t>78.120.179.236</t>
  </si>
  <si>
    <t>D135522</t>
  </si>
  <si>
    <t>TX1000722</t>
  </si>
  <si>
    <t>C60915</t>
  </si>
  <si>
    <t>53.163.157.69</t>
  </si>
  <si>
    <t>D154771</t>
  </si>
  <si>
    <t>TX1000951</t>
  </si>
  <si>
    <t>C87851</t>
  </si>
  <si>
    <t>111.123.2.139</t>
  </si>
  <si>
    <t>D129136</t>
  </si>
  <si>
    <t>TX1001914</t>
  </si>
  <si>
    <t>C52859</t>
  </si>
  <si>
    <t>251.90.210.131</t>
  </si>
  <si>
    <t>D133038</t>
  </si>
  <si>
    <t>TX1002295</t>
  </si>
  <si>
    <t>C81654</t>
  </si>
  <si>
    <t>61.82.120.153</t>
  </si>
  <si>
    <t>D179184</t>
  </si>
  <si>
    <t>TX1000214</t>
  </si>
  <si>
    <t>C71949</t>
  </si>
  <si>
    <t>54.115.164.91</t>
  </si>
  <si>
    <t>D135043</t>
  </si>
  <si>
    <t>TX1000989</t>
  </si>
  <si>
    <t>M1223</t>
  </si>
  <si>
    <t>C88984</t>
  </si>
  <si>
    <t>231.3.41.46</t>
  </si>
  <si>
    <t>D101435</t>
  </si>
  <si>
    <t>TX1001164</t>
  </si>
  <si>
    <t>C75991</t>
  </si>
  <si>
    <t>202.105.139.105</t>
  </si>
  <si>
    <t>D189763</t>
  </si>
  <si>
    <t>TX1002794</t>
  </si>
  <si>
    <t>C80980</t>
  </si>
  <si>
    <t>150.44.154.186</t>
  </si>
  <si>
    <t>D193523</t>
  </si>
  <si>
    <t>TX1002008</t>
  </si>
  <si>
    <t>C79430</t>
  </si>
  <si>
    <t>7.81.133.83</t>
  </si>
  <si>
    <t>D107430</t>
  </si>
  <si>
    <t>TX1000326</t>
  </si>
  <si>
    <t>C70191</t>
  </si>
  <si>
    <t>1.49.35.199</t>
  </si>
  <si>
    <t>D191267</t>
  </si>
  <si>
    <t>TX1000560</t>
  </si>
  <si>
    <t>C52788</t>
  </si>
  <si>
    <t>91.106.207.108</t>
  </si>
  <si>
    <t>D154752</t>
  </si>
  <si>
    <t>TX1001383</t>
  </si>
  <si>
    <t>C55013</t>
  </si>
  <si>
    <t>139.24.202.107</t>
  </si>
  <si>
    <t>D110167</t>
  </si>
  <si>
    <t>TX1001724</t>
  </si>
  <si>
    <t>M1640</t>
  </si>
  <si>
    <t>C98860</t>
  </si>
  <si>
    <t>148.77.125.77</t>
  </si>
  <si>
    <t>D181745</t>
  </si>
  <si>
    <t>TX1001086</t>
  </si>
  <si>
    <t>C53368</t>
  </si>
  <si>
    <t>141.129.176.87</t>
  </si>
  <si>
    <t>D121917</t>
  </si>
  <si>
    <t>TX1002333</t>
  </si>
  <si>
    <t>C98273</t>
  </si>
  <si>
    <t>59.243.40.71</t>
  </si>
  <si>
    <t>D114257</t>
  </si>
  <si>
    <t>TX1000341</t>
  </si>
  <si>
    <t>C51509</t>
  </si>
  <si>
    <t>47.196.247.166</t>
  </si>
  <si>
    <t>D192109</t>
  </si>
  <si>
    <t>TX1001653</t>
  </si>
  <si>
    <t>C64433</t>
  </si>
  <si>
    <t>245.110.85.228</t>
  </si>
  <si>
    <t>D150630</t>
  </si>
  <si>
    <t>TX1000147</t>
  </si>
  <si>
    <t>M1064</t>
  </si>
  <si>
    <t>C75394</t>
  </si>
  <si>
    <t>105.164.56.25</t>
  </si>
  <si>
    <t>D168576</t>
  </si>
  <si>
    <t>TX1002341</t>
  </si>
  <si>
    <t>C68390</t>
  </si>
  <si>
    <t>1.72.215.170</t>
  </si>
  <si>
    <t>D169931</t>
  </si>
  <si>
    <t>TX1002414</t>
  </si>
  <si>
    <t>C70595</t>
  </si>
  <si>
    <t>158.45.102.112</t>
  </si>
  <si>
    <t>D148127</t>
  </si>
  <si>
    <t>TX1001107</t>
  </si>
  <si>
    <t>M1488</t>
  </si>
  <si>
    <t>C76658</t>
  </si>
  <si>
    <t>101.244.226.7</t>
  </si>
  <si>
    <t>D150643</t>
  </si>
  <si>
    <t>TX1000848</t>
  </si>
  <si>
    <t>C85813</t>
  </si>
  <si>
    <t>127.164.133.106</t>
  </si>
  <si>
    <t>D113876</t>
  </si>
  <si>
    <t>TX1000966</t>
  </si>
  <si>
    <t>C61278</t>
  </si>
  <si>
    <t>203.83.125.237</t>
  </si>
  <si>
    <t>D135851</t>
  </si>
  <si>
    <t>TX1001072</t>
  </si>
  <si>
    <t>C74305</t>
  </si>
  <si>
    <t>82.119.173.54</t>
  </si>
  <si>
    <t>D173556</t>
  </si>
  <si>
    <t>TX1002466</t>
  </si>
  <si>
    <t>C89806</t>
  </si>
  <si>
    <t>173.97.5.210</t>
  </si>
  <si>
    <t>D133144</t>
  </si>
  <si>
    <t>TX1001905</t>
  </si>
  <si>
    <t>C50521</t>
  </si>
  <si>
    <t>64.233.28.254</t>
  </si>
  <si>
    <t>D123597</t>
  </si>
  <si>
    <t>TX1000155</t>
  </si>
  <si>
    <t>C78307</t>
  </si>
  <si>
    <t>13.204.134.22</t>
  </si>
  <si>
    <t>D152235</t>
  </si>
  <si>
    <t>TX1000665</t>
  </si>
  <si>
    <t>C88776</t>
  </si>
  <si>
    <t>137.110.229.109</t>
  </si>
  <si>
    <t>D122562</t>
  </si>
  <si>
    <t>TX1000661</t>
  </si>
  <si>
    <t>C56347</t>
  </si>
  <si>
    <t>228.230.107.24</t>
  </si>
  <si>
    <t>D144671</t>
  </si>
  <si>
    <t>TX1001002</t>
  </si>
  <si>
    <t>C51682</t>
  </si>
  <si>
    <t>106.164.39.200</t>
  </si>
  <si>
    <t>D199228</t>
  </si>
  <si>
    <t>TX1002991</t>
  </si>
  <si>
    <t>C64776</t>
  </si>
  <si>
    <t>59.159.145.52</t>
  </si>
  <si>
    <t>D155455</t>
  </si>
  <si>
    <t>TX1002623</t>
  </si>
  <si>
    <t>C76250</t>
  </si>
  <si>
    <t>100.9.166.62</t>
  </si>
  <si>
    <t>D199107</t>
  </si>
  <si>
    <t>TX1000176</t>
  </si>
  <si>
    <t>C94446</t>
  </si>
  <si>
    <t>17.76.143.216</t>
  </si>
  <si>
    <t>D104085</t>
  </si>
  <si>
    <t>TX1002656</t>
  </si>
  <si>
    <t>49.170.42.119</t>
  </si>
  <si>
    <t>D147755</t>
  </si>
  <si>
    <t>TX1001879</t>
  </si>
  <si>
    <t>C89708</t>
  </si>
  <si>
    <t>99.225.61.34</t>
  </si>
  <si>
    <t>D103175</t>
  </si>
  <si>
    <t>TX1001524</t>
  </si>
  <si>
    <t>M1501</t>
  </si>
  <si>
    <t>C96967</t>
  </si>
  <si>
    <t>11.39.251.12</t>
  </si>
  <si>
    <t>D105001</t>
  </si>
  <si>
    <t>TX1002819</t>
  </si>
  <si>
    <t>C83921</t>
  </si>
  <si>
    <t>216.237.61.154</t>
  </si>
  <si>
    <t>D128574</t>
  </si>
  <si>
    <t>TX1001203</t>
  </si>
  <si>
    <t>16.29.16.165</t>
  </si>
  <si>
    <t>D194060</t>
  </si>
  <si>
    <t>TX1000024</t>
  </si>
  <si>
    <t>C97206</t>
  </si>
  <si>
    <t>196.3.211.36</t>
  </si>
  <si>
    <t>D182667</t>
  </si>
  <si>
    <t>TX1002812</t>
  </si>
  <si>
    <t>C79519</t>
  </si>
  <si>
    <t>219.118.240.172</t>
  </si>
  <si>
    <t>D152313</t>
  </si>
  <si>
    <t>TX1002001</t>
  </si>
  <si>
    <t>C63207</t>
  </si>
  <si>
    <t>13.113.196.58</t>
  </si>
  <si>
    <t>D186630</t>
  </si>
  <si>
    <t>TX1002079</t>
  </si>
  <si>
    <t>C70808</t>
  </si>
  <si>
    <t>126.246.113.175</t>
  </si>
  <si>
    <t>D175044</t>
  </si>
  <si>
    <t>TX1002738</t>
  </si>
  <si>
    <t>M1919</t>
  </si>
  <si>
    <t>C75168</t>
  </si>
  <si>
    <t>85.59.24.91</t>
  </si>
  <si>
    <t>D189859</t>
  </si>
  <si>
    <t>TX1000875</t>
  </si>
  <si>
    <t>C99884</t>
  </si>
  <si>
    <t>107.17.15.29</t>
  </si>
  <si>
    <t>D182709</t>
  </si>
  <si>
    <t>TX1002697</t>
  </si>
  <si>
    <t>C75548</t>
  </si>
  <si>
    <t>171.58.106.235</t>
  </si>
  <si>
    <t>D181135</t>
  </si>
  <si>
    <t>TX1000938</t>
  </si>
  <si>
    <t>M1914</t>
  </si>
  <si>
    <t>C63885</t>
  </si>
  <si>
    <t>74.149.33.57</t>
  </si>
  <si>
    <t>D103091</t>
  </si>
  <si>
    <t>TX1002699</t>
  </si>
  <si>
    <t>M1222</t>
  </si>
  <si>
    <t>C80877</t>
  </si>
  <si>
    <t>214.66.79.228</t>
  </si>
  <si>
    <t>D103153</t>
  </si>
  <si>
    <t>TX1001552</t>
  </si>
  <si>
    <t>C53324</t>
  </si>
  <si>
    <t>148.183.55.101</t>
  </si>
  <si>
    <t>D124888</t>
  </si>
  <si>
    <t>TX1000346</t>
  </si>
  <si>
    <t>C58167</t>
  </si>
  <si>
    <t>233.170.139.38</t>
  </si>
  <si>
    <t>D129591</t>
  </si>
  <si>
    <t>TX1002509</t>
  </si>
  <si>
    <t>M1993</t>
  </si>
  <si>
    <t>C94243</t>
  </si>
  <si>
    <t>90.24.9.129</t>
  </si>
  <si>
    <t>D163034</t>
  </si>
  <si>
    <t>TX1002974</t>
  </si>
  <si>
    <t>C75727</t>
  </si>
  <si>
    <t>175.72.47.1</t>
  </si>
  <si>
    <t>D143073</t>
  </si>
  <si>
    <t>TX1002040</t>
  </si>
  <si>
    <t>M1644</t>
  </si>
  <si>
    <t>C96165</t>
  </si>
  <si>
    <t>201.59.238.194</t>
  </si>
  <si>
    <t>D141972</t>
  </si>
  <si>
    <t>TX1001926</t>
  </si>
  <si>
    <t>C63746</t>
  </si>
  <si>
    <t>7.195.81.131</t>
  </si>
  <si>
    <t>D121575</t>
  </si>
  <si>
    <t>TX1000385</t>
  </si>
  <si>
    <t>C78187</t>
  </si>
  <si>
    <t>65.90.42.37</t>
  </si>
  <si>
    <t>D109077</t>
  </si>
  <si>
    <t>TX1001829</t>
  </si>
  <si>
    <t>C82508</t>
  </si>
  <si>
    <t>115.44.213.86</t>
  </si>
  <si>
    <t>D104835</t>
  </si>
  <si>
    <t>TX1002163</t>
  </si>
  <si>
    <t>C62690</t>
  </si>
  <si>
    <t>66.150.200.12</t>
  </si>
  <si>
    <t>D118015</t>
  </si>
  <si>
    <t>TX1002510</t>
  </si>
  <si>
    <t>C62620</t>
  </si>
  <si>
    <t>239.163.8.27</t>
  </si>
  <si>
    <t>D187506</t>
  </si>
  <si>
    <t>TX1002750</t>
  </si>
  <si>
    <t>C53923</t>
  </si>
  <si>
    <t>109.129.217.139</t>
  </si>
  <si>
    <t>D180529</t>
  </si>
  <si>
    <t>TX1000243</t>
  </si>
  <si>
    <t>M1163</t>
  </si>
  <si>
    <t>C51909</t>
  </si>
  <si>
    <t>201.10.28.221</t>
  </si>
  <si>
    <t>D111000</t>
  </si>
  <si>
    <t>TX1002889</t>
  </si>
  <si>
    <t>141.22.127.39</t>
  </si>
  <si>
    <t>D190946</t>
  </si>
  <si>
    <t>TX1001826</t>
  </si>
  <si>
    <t>C98414</t>
  </si>
  <si>
    <t>212.7.59.228</t>
  </si>
  <si>
    <t>D152166</t>
  </si>
  <si>
    <t>TX1000936</t>
  </si>
  <si>
    <t>M1844</t>
  </si>
  <si>
    <t>C88343</t>
  </si>
  <si>
    <t>217.233.132.102</t>
  </si>
  <si>
    <t>D187343</t>
  </si>
  <si>
    <t>TX1001689</t>
  </si>
  <si>
    <t>C90632</t>
  </si>
  <si>
    <t>68.43.153.213</t>
  </si>
  <si>
    <t>D179082</t>
  </si>
  <si>
    <t>TX1002582</t>
  </si>
  <si>
    <t>C80709</t>
  </si>
  <si>
    <t>7.123.109.66</t>
  </si>
  <si>
    <t>D152472</t>
  </si>
  <si>
    <t>TX1000312</t>
  </si>
  <si>
    <t>M1377</t>
  </si>
  <si>
    <t>C56895</t>
  </si>
  <si>
    <t>12.236.13.19</t>
  </si>
  <si>
    <t>D183737</t>
  </si>
  <si>
    <t>TX1001459</t>
  </si>
  <si>
    <t>159.8.148.159</t>
  </si>
  <si>
    <t>D147066</t>
  </si>
  <si>
    <t>TX1002927</t>
  </si>
  <si>
    <t>C74758</t>
  </si>
  <si>
    <t>229.162.237.198</t>
  </si>
  <si>
    <t>D105908</t>
  </si>
  <si>
    <t>TX1002872</t>
  </si>
  <si>
    <t>C86864</t>
  </si>
  <si>
    <t>171.86.153.176</t>
  </si>
  <si>
    <t>D122660</t>
  </si>
  <si>
    <t>TX1001332</t>
  </si>
  <si>
    <t>C92172</t>
  </si>
  <si>
    <t>253.200.233.4</t>
  </si>
  <si>
    <t>D128628</t>
  </si>
  <si>
    <t>TX1000968</t>
  </si>
  <si>
    <t>C63159</t>
  </si>
  <si>
    <t>98.2.23.108</t>
  </si>
  <si>
    <t>D102787</t>
  </si>
  <si>
    <t>TX1001454</t>
  </si>
  <si>
    <t>C77165</t>
  </si>
  <si>
    <t>213.189.37.110</t>
  </si>
  <si>
    <t>TX1000660</t>
  </si>
  <si>
    <t>C78234</t>
  </si>
  <si>
    <t>222.22.104.120</t>
  </si>
  <si>
    <t>D154048</t>
  </si>
  <si>
    <t>TX1001934</t>
  </si>
  <si>
    <t>C84728</t>
  </si>
  <si>
    <t>8.47.86.76</t>
  </si>
  <si>
    <t>D160835</t>
  </si>
  <si>
    <t>TX1000935</t>
  </si>
  <si>
    <t>C68795</t>
  </si>
  <si>
    <t>9.7.86.167</t>
  </si>
  <si>
    <t>D133671</t>
  </si>
  <si>
    <t>TX1000370</t>
  </si>
  <si>
    <t>C61669</t>
  </si>
  <si>
    <t>176.154.146.90</t>
  </si>
  <si>
    <t>TX1000566</t>
  </si>
  <si>
    <t>C94024</t>
  </si>
  <si>
    <t>35.153.201.235</t>
  </si>
  <si>
    <t>D119593</t>
  </si>
  <si>
    <t>TX1001973</t>
  </si>
  <si>
    <t>C95614</t>
  </si>
  <si>
    <t>125.170.181.5</t>
  </si>
  <si>
    <t>D115159</t>
  </si>
  <si>
    <t>TX1001854</t>
  </si>
  <si>
    <t>C54872</t>
  </si>
  <si>
    <t>229.0.209.103</t>
  </si>
  <si>
    <t>D178264</t>
  </si>
  <si>
    <t>TX1001024</t>
  </si>
  <si>
    <t>C78601</t>
  </si>
  <si>
    <t>202.145.125.55</t>
  </si>
  <si>
    <t>D188268</t>
  </si>
  <si>
    <t>TX1000824</t>
  </si>
  <si>
    <t>C61985</t>
  </si>
  <si>
    <t>196.134.132.200</t>
  </si>
  <si>
    <t>D152761</t>
  </si>
  <si>
    <t>TX1000982</t>
  </si>
  <si>
    <t>M1755</t>
  </si>
  <si>
    <t>C77714</t>
  </si>
  <si>
    <t>8.105.120.249</t>
  </si>
  <si>
    <t>D111416</t>
  </si>
  <si>
    <t>TX1002429</t>
  </si>
  <si>
    <t>C71851</t>
  </si>
  <si>
    <t>165.2.55.142</t>
  </si>
  <si>
    <t>D105833</t>
  </si>
  <si>
    <t>TX1002543</t>
  </si>
  <si>
    <t>C61573</t>
  </si>
  <si>
    <t>194.118.142.187</t>
  </si>
  <si>
    <t>D149048</t>
  </si>
  <si>
    <t>TX1001645</t>
  </si>
  <si>
    <t>C85972</t>
  </si>
  <si>
    <t>70.128.130.228</t>
  </si>
  <si>
    <t>D102491</t>
  </si>
  <si>
    <t>TX1002584</t>
  </si>
  <si>
    <t>M1037</t>
  </si>
  <si>
    <t>C57796</t>
  </si>
  <si>
    <t>102.208.82.19</t>
  </si>
  <si>
    <t>D161535</t>
  </si>
  <si>
    <t>TX1002247</t>
  </si>
  <si>
    <t>99.132.251.247</t>
  </si>
  <si>
    <t>D133880</t>
  </si>
  <si>
    <t>TX1002120</t>
  </si>
  <si>
    <t>C87880</t>
  </si>
  <si>
    <t>4.170.211.174</t>
  </si>
  <si>
    <t>D151338</t>
  </si>
  <si>
    <t>TX1000813</t>
  </si>
  <si>
    <t>C65723</t>
  </si>
  <si>
    <t>153.195.32.111</t>
  </si>
  <si>
    <t>D127344</t>
  </si>
  <si>
    <t>TX1001792</t>
  </si>
  <si>
    <t>C52308</t>
  </si>
  <si>
    <t>196.254.139.122</t>
  </si>
  <si>
    <t>D119865</t>
  </si>
  <si>
    <t>TX1001430</t>
  </si>
  <si>
    <t>C61261</t>
  </si>
  <si>
    <t>195.16.236.193</t>
  </si>
  <si>
    <t>D133804</t>
  </si>
  <si>
    <t>TX1000778</t>
  </si>
  <si>
    <t>C86639</t>
  </si>
  <si>
    <t>240.71.37.201</t>
  </si>
  <si>
    <t>D160422</t>
  </si>
  <si>
    <t>TX1001749</t>
  </si>
  <si>
    <t>C80357</t>
  </si>
  <si>
    <t>137.34.158.94</t>
  </si>
  <si>
    <t>D151034</t>
  </si>
  <si>
    <t>TX1001320</t>
  </si>
  <si>
    <t>C65822</t>
  </si>
  <si>
    <t>100.225.17.111</t>
  </si>
  <si>
    <t>D100768</t>
  </si>
  <si>
    <t>TX1002107</t>
  </si>
  <si>
    <t>C62833</t>
  </si>
  <si>
    <t>152.201.61.51</t>
  </si>
  <si>
    <t>D170099</t>
  </si>
  <si>
    <t>TX1002873</t>
  </si>
  <si>
    <t>M1916</t>
  </si>
  <si>
    <t>C80916</t>
  </si>
  <si>
    <t>211.134.75.128</t>
  </si>
  <si>
    <t>D103139</t>
  </si>
  <si>
    <t>TX1001052</t>
  </si>
  <si>
    <t>M1300</t>
  </si>
  <si>
    <t>C99891</t>
  </si>
  <si>
    <t>56.68.163.123</t>
  </si>
  <si>
    <t>D128656</t>
  </si>
  <si>
    <t>TX1002323</t>
  </si>
  <si>
    <t>M1410</t>
  </si>
  <si>
    <t>C63523</t>
  </si>
  <si>
    <t>109.236.143.79</t>
  </si>
  <si>
    <t>D167903</t>
  </si>
  <si>
    <t>TX1001013</t>
  </si>
  <si>
    <t>C67189</t>
  </si>
  <si>
    <t>179.187.118.220</t>
  </si>
  <si>
    <t>D114694</t>
  </si>
  <si>
    <t>TX1001928</t>
  </si>
  <si>
    <t>C58334</t>
  </si>
  <si>
    <t>162.21.140.189</t>
  </si>
  <si>
    <t>D148979</t>
  </si>
  <si>
    <t>TX1001401</t>
  </si>
  <si>
    <t>C55656</t>
  </si>
  <si>
    <t>152.156.17.42</t>
  </si>
  <si>
    <t>D181011</t>
  </si>
  <si>
    <t>TX1001822</t>
  </si>
  <si>
    <t>C75061</t>
  </si>
  <si>
    <t>170.182.23.11</t>
  </si>
  <si>
    <t>D105430</t>
  </si>
  <si>
    <t>TX1002249</t>
  </si>
  <si>
    <t>C58488</t>
  </si>
  <si>
    <t>174.28.111.131</t>
  </si>
  <si>
    <t>D143265</t>
  </si>
  <si>
    <t>TX1002495</t>
  </si>
  <si>
    <t>C79267</t>
  </si>
  <si>
    <t>88.89.39.159</t>
  </si>
  <si>
    <t>D155420</t>
  </si>
  <si>
    <t>TX1002593</t>
  </si>
  <si>
    <t>C65306</t>
  </si>
  <si>
    <t>230.14.23.224</t>
  </si>
  <si>
    <t>D186349</t>
  </si>
  <si>
    <t>TX1000126</t>
  </si>
  <si>
    <t>C98295</t>
  </si>
  <si>
    <t>90.177.141.58</t>
  </si>
  <si>
    <t>D179477</t>
  </si>
  <si>
    <t>TX1002093</t>
  </si>
  <si>
    <t>C57872</t>
  </si>
  <si>
    <t>238.99.233.138</t>
  </si>
  <si>
    <t>D120155</t>
  </si>
  <si>
    <t>TX1002136</t>
  </si>
  <si>
    <t>C66217</t>
  </si>
  <si>
    <t>248.39.95.42</t>
  </si>
  <si>
    <t>D147638</t>
  </si>
  <si>
    <t>TX1000887</t>
  </si>
  <si>
    <t>C98620</t>
  </si>
  <si>
    <t>119.37.70.77</t>
  </si>
  <si>
    <t>D169313</t>
  </si>
  <si>
    <t>TX1002458</t>
  </si>
  <si>
    <t>M1642</t>
  </si>
  <si>
    <t>C62108</t>
  </si>
  <si>
    <t>77.88.159.162</t>
  </si>
  <si>
    <t>D112105</t>
  </si>
  <si>
    <t>TX1001347</t>
  </si>
  <si>
    <t>C80575</t>
  </si>
  <si>
    <t>55.248.180.226</t>
  </si>
  <si>
    <t>D119075</t>
  </si>
  <si>
    <t>TX1001007</t>
  </si>
  <si>
    <t>C69659</t>
  </si>
  <si>
    <t>125.21.247.249</t>
  </si>
  <si>
    <t>D105578</t>
  </si>
  <si>
    <t>TX1000355</t>
  </si>
  <si>
    <t>C86052</t>
  </si>
  <si>
    <t>237.199.67.29</t>
  </si>
  <si>
    <t>D114139</t>
  </si>
  <si>
    <t>TX1001003</t>
  </si>
  <si>
    <t>C60909</t>
  </si>
  <si>
    <t>10.37.181.131</t>
  </si>
  <si>
    <t>D100190</t>
  </si>
  <si>
    <t>TX1001483</t>
  </si>
  <si>
    <t>M1256</t>
  </si>
  <si>
    <t>C89688</t>
  </si>
  <si>
    <t>155.45.175.252</t>
  </si>
  <si>
    <t>D163072</t>
  </si>
  <si>
    <t>TX1000682</t>
  </si>
  <si>
    <t>C98964</t>
  </si>
  <si>
    <t>240.202.219.112</t>
  </si>
  <si>
    <t>TX1000827</t>
  </si>
  <si>
    <t>C86627</t>
  </si>
  <si>
    <t>19.112.197.45</t>
  </si>
  <si>
    <t>D152598</t>
  </si>
  <si>
    <t>TX1002042</t>
  </si>
  <si>
    <t>C62930</t>
  </si>
  <si>
    <t>153.15.20.122</t>
  </si>
  <si>
    <t>D124318</t>
  </si>
  <si>
    <t>TX1002077</t>
  </si>
  <si>
    <t>C56548</t>
  </si>
  <si>
    <t>231.48.232.107</t>
  </si>
  <si>
    <t>D156218</t>
  </si>
  <si>
    <t>TX1002087</t>
  </si>
  <si>
    <t>C96641</t>
  </si>
  <si>
    <t>86.22.248.107</t>
  </si>
  <si>
    <t>D154985</t>
  </si>
  <si>
    <t>TX1000984</t>
  </si>
  <si>
    <t>C59614</t>
  </si>
  <si>
    <t>29.212.241.129</t>
  </si>
  <si>
    <t>D100731</t>
  </si>
  <si>
    <t>TX1001233</t>
  </si>
  <si>
    <t>C75752</t>
  </si>
  <si>
    <t>163.70.253.35</t>
  </si>
  <si>
    <t>D106301</t>
  </si>
  <si>
    <t>TX1002555</t>
  </si>
  <si>
    <t>C88054</t>
  </si>
  <si>
    <t>141.61.142.58</t>
  </si>
  <si>
    <t>D111559</t>
  </si>
  <si>
    <t>TX1001639</t>
  </si>
  <si>
    <t>C92019</t>
  </si>
  <si>
    <t>240.219.157.55</t>
  </si>
  <si>
    <t>TX1000140</t>
  </si>
  <si>
    <t>219.35.93.35</t>
  </si>
  <si>
    <t>D137957</t>
  </si>
  <si>
    <t>TX1000217</t>
  </si>
  <si>
    <t>44.133.116.124</t>
  </si>
  <si>
    <t>D148745</t>
  </si>
  <si>
    <t>TX1002467</t>
  </si>
  <si>
    <t>C95215</t>
  </si>
  <si>
    <t>231.111.4.145</t>
  </si>
  <si>
    <t>D101794</t>
  </si>
  <si>
    <t>TX1000362</t>
  </si>
  <si>
    <t>C95469</t>
  </si>
  <si>
    <t>113.196.199.103</t>
  </si>
  <si>
    <t>D179589</t>
  </si>
  <si>
    <t>TX1002666</t>
  </si>
  <si>
    <t>C56348</t>
  </si>
  <si>
    <t>134.205.195.227</t>
  </si>
  <si>
    <t>D113684</t>
  </si>
  <si>
    <t>TX1000345</t>
  </si>
  <si>
    <t>C77875</t>
  </si>
  <si>
    <t>179.98.190.145</t>
  </si>
  <si>
    <t>D186155</t>
  </si>
  <si>
    <t>TX1002221</t>
  </si>
  <si>
    <t>C53058</t>
  </si>
  <si>
    <t>43.73.238.65</t>
  </si>
  <si>
    <t>D180989</t>
  </si>
  <si>
    <t>TX1000711</t>
  </si>
  <si>
    <t>M1372</t>
  </si>
  <si>
    <t>C70157</t>
  </si>
  <si>
    <t>94.109.214.122</t>
  </si>
  <si>
    <t>D195399</t>
  </si>
  <si>
    <t>TX1002063</t>
  </si>
  <si>
    <t>C87902</t>
  </si>
  <si>
    <t>141.225.95.202</t>
  </si>
  <si>
    <t>D169382</t>
  </si>
  <si>
    <t>TX1000010</t>
  </si>
  <si>
    <t>C98410</t>
  </si>
  <si>
    <t>240.18.203.202</t>
  </si>
  <si>
    <t>D164930</t>
  </si>
  <si>
    <t>TX1002418</t>
  </si>
  <si>
    <t>C79757</t>
  </si>
  <si>
    <t>249.102.65.93</t>
  </si>
  <si>
    <t>D119751</t>
  </si>
  <si>
    <t>TX1001834</t>
  </si>
  <si>
    <t>C90521</t>
  </si>
  <si>
    <t>121.81.231.64</t>
  </si>
  <si>
    <t>D131960</t>
  </si>
  <si>
    <t>TX1000793</t>
  </si>
  <si>
    <t>M1960</t>
  </si>
  <si>
    <t>C64058</t>
  </si>
  <si>
    <t>161.48.113.254</t>
  </si>
  <si>
    <t>D185713</t>
  </si>
  <si>
    <t>TX1002918</t>
  </si>
  <si>
    <t>C90028</t>
  </si>
  <si>
    <t>225.41.191.126</t>
  </si>
  <si>
    <t>D174397</t>
  </si>
  <si>
    <t>TX1000094</t>
  </si>
  <si>
    <t>C81989</t>
  </si>
  <si>
    <t>197.114.173.133</t>
  </si>
  <si>
    <t>D168564</t>
  </si>
  <si>
    <t>TX1000129</t>
  </si>
  <si>
    <t>C98307</t>
  </si>
  <si>
    <t>215.182.79.200</t>
  </si>
  <si>
    <t>D113983</t>
  </si>
  <si>
    <t>TX1001900</t>
  </si>
  <si>
    <t>C78484</t>
  </si>
  <si>
    <t>145.30.188.155</t>
  </si>
  <si>
    <t>D150432</t>
  </si>
  <si>
    <t>TX1002397</t>
  </si>
  <si>
    <t>C70230</t>
  </si>
  <si>
    <t>163.78.186.107</t>
  </si>
  <si>
    <t>D141928</t>
  </si>
  <si>
    <t>TX1001932</t>
  </si>
  <si>
    <t>M1689</t>
  </si>
  <si>
    <t>C63007</t>
  </si>
  <si>
    <t>62.113.122.27</t>
  </si>
  <si>
    <t>D186692</t>
  </si>
  <si>
    <t>TX1002148</t>
  </si>
  <si>
    <t>C95522</t>
  </si>
  <si>
    <t>46.28.92.172</t>
  </si>
  <si>
    <t>D132630</t>
  </si>
  <si>
    <t>TX1001865</t>
  </si>
  <si>
    <t>C98832</t>
  </si>
  <si>
    <t>211.60.235.240</t>
  </si>
  <si>
    <t>D176358</t>
  </si>
  <si>
    <t>TX1001658</t>
  </si>
  <si>
    <t>M1110</t>
  </si>
  <si>
    <t>C60331</t>
  </si>
  <si>
    <t>137.15.37.227</t>
  </si>
  <si>
    <t>D180996</t>
  </si>
  <si>
    <t>TX1000516</t>
  </si>
  <si>
    <t>C90874</t>
  </si>
  <si>
    <t>150.167.234.168</t>
  </si>
  <si>
    <t>D187215</t>
  </si>
  <si>
    <t>TX1001857</t>
  </si>
  <si>
    <t>C67775</t>
  </si>
  <si>
    <t>82.149.202.242</t>
  </si>
  <si>
    <t>D157212</t>
  </si>
  <si>
    <t>TX1001277</t>
  </si>
  <si>
    <t>C57003</t>
  </si>
  <si>
    <t>90.37.66.12</t>
  </si>
  <si>
    <t>D115618</t>
  </si>
  <si>
    <t>TX1000950</t>
  </si>
  <si>
    <t>C55074</t>
  </si>
  <si>
    <t>103.99.228.228</t>
  </si>
  <si>
    <t>D105156</t>
  </si>
  <si>
    <t>TX1001120</t>
  </si>
  <si>
    <t>C71638</t>
  </si>
  <si>
    <t>80.234.163.91</t>
  </si>
  <si>
    <t>D166281</t>
  </si>
  <si>
    <t>TX1000419</t>
  </si>
  <si>
    <t>C59083</t>
  </si>
  <si>
    <t>91.218.238.108</t>
  </si>
  <si>
    <t>D153773</t>
  </si>
  <si>
    <t>TX1000922</t>
  </si>
  <si>
    <t>C58198</t>
  </si>
  <si>
    <t>96.5.254.189</t>
  </si>
  <si>
    <t>D156280</t>
  </si>
  <si>
    <t>TX1002312</t>
  </si>
  <si>
    <t>C99766</t>
  </si>
  <si>
    <t>173.133.191.28</t>
  </si>
  <si>
    <t>D114092</t>
  </si>
  <si>
    <t>TX1000477</t>
  </si>
  <si>
    <t>M1716</t>
  </si>
  <si>
    <t>C98701</t>
  </si>
  <si>
    <t>9.59.95.122</t>
  </si>
  <si>
    <t>D118325</t>
  </si>
  <si>
    <t>TX1002035</t>
  </si>
  <si>
    <t>97.163.163.220</t>
  </si>
  <si>
    <t>D115744</t>
  </si>
  <si>
    <t>TX1002179</t>
  </si>
  <si>
    <t>C69157</t>
  </si>
  <si>
    <t>255.146.244.214</t>
  </si>
  <si>
    <t>D199105</t>
  </si>
  <si>
    <t>TX1001692</t>
  </si>
  <si>
    <t>C55027</t>
  </si>
  <si>
    <t>180.216.21.173</t>
  </si>
  <si>
    <t>D132530</t>
  </si>
  <si>
    <t>TX1002428</t>
  </si>
  <si>
    <t>11.169.196.157</t>
  </si>
  <si>
    <t>D159161</t>
  </si>
  <si>
    <t>TX1001471</t>
  </si>
  <si>
    <t>C68177</t>
  </si>
  <si>
    <t>91.236.159.70</t>
  </si>
  <si>
    <t>D126835</t>
  </si>
  <si>
    <t>TX1001202</t>
  </si>
  <si>
    <t>C62468</t>
  </si>
  <si>
    <t>122.199.238.108</t>
  </si>
  <si>
    <t>D173082</t>
  </si>
  <si>
    <t>TX1001669</t>
  </si>
  <si>
    <t>C74155</t>
  </si>
  <si>
    <t>46.120.24.87</t>
  </si>
  <si>
    <t>D161018</t>
  </si>
  <si>
    <t>TX1002776</t>
  </si>
  <si>
    <t>C64272</t>
  </si>
  <si>
    <t>98.114.252.121</t>
  </si>
  <si>
    <t>D195400</t>
  </si>
  <si>
    <t>TX1001970</t>
  </si>
  <si>
    <t>C87931</t>
  </si>
  <si>
    <t>220.25.221.102</t>
  </si>
  <si>
    <t>D115958</t>
  </si>
  <si>
    <t>TX1000820</t>
  </si>
  <si>
    <t>C69734</t>
  </si>
  <si>
    <t>136.44.253.43</t>
  </si>
  <si>
    <t>D104598</t>
  </si>
  <si>
    <t>TX1001997</t>
  </si>
  <si>
    <t>C50634</t>
  </si>
  <si>
    <t>169.92.165.17</t>
  </si>
  <si>
    <t>D129557</t>
  </si>
  <si>
    <t>TX1002870</t>
  </si>
  <si>
    <t>C96089</t>
  </si>
  <si>
    <t>145.133.62.219</t>
  </si>
  <si>
    <t>D157951</t>
  </si>
  <si>
    <t>TX1001248</t>
  </si>
  <si>
    <t>C73904</t>
  </si>
  <si>
    <t>47.212.121.230</t>
  </si>
  <si>
    <t>D195611</t>
  </si>
  <si>
    <t>TX1002662</t>
  </si>
  <si>
    <t>M1983</t>
  </si>
  <si>
    <t>C62510</t>
  </si>
  <si>
    <t>74.92.11.188</t>
  </si>
  <si>
    <t>D191807</t>
  </si>
  <si>
    <t>TX1002615</t>
  </si>
  <si>
    <t>M1829</t>
  </si>
  <si>
    <t>C99234</t>
  </si>
  <si>
    <t>58.154.61.230</t>
  </si>
  <si>
    <t>D169919</t>
  </si>
  <si>
    <t>TX1001046</t>
  </si>
  <si>
    <t>C65584</t>
  </si>
  <si>
    <t>189.45.51.40</t>
  </si>
  <si>
    <t>D174327</t>
  </si>
  <si>
    <t>TX1001888</t>
  </si>
  <si>
    <t>C67442</t>
  </si>
  <si>
    <t>99.173.130.230</t>
  </si>
  <si>
    <t>D153107</t>
  </si>
  <si>
    <t>TX1000615</t>
  </si>
  <si>
    <t>C66134</t>
  </si>
  <si>
    <t>72.54.1.62</t>
  </si>
  <si>
    <t>D187970</t>
  </si>
  <si>
    <t>TX1001318</t>
  </si>
  <si>
    <t>C90448</t>
  </si>
  <si>
    <t>185.197.57.246</t>
  </si>
  <si>
    <t>D196953</t>
  </si>
  <si>
    <t>TX1002886</t>
  </si>
  <si>
    <t>C90511</t>
  </si>
  <si>
    <t>15.165.43.138</t>
  </si>
  <si>
    <t>D129740</t>
  </si>
  <si>
    <t>TX1002462</t>
  </si>
  <si>
    <t>C51677</t>
  </si>
  <si>
    <t>236.150.56.123</t>
  </si>
  <si>
    <t>D196417</t>
  </si>
  <si>
    <t>TX1001772</t>
  </si>
  <si>
    <t>C77657</t>
  </si>
  <si>
    <t>89.97.203.199</t>
  </si>
  <si>
    <t>D120800</t>
  </si>
  <si>
    <t>TX1002954</t>
  </si>
  <si>
    <t>C78502</t>
  </si>
  <si>
    <t>132.147.202.185</t>
  </si>
  <si>
    <t>D199927</t>
  </si>
  <si>
    <t>TX1000131</t>
  </si>
  <si>
    <t>C83961</t>
  </si>
  <si>
    <t>157.132.95.141</t>
  </si>
  <si>
    <t>D134452</t>
  </si>
  <si>
    <t>TX1000077</t>
  </si>
  <si>
    <t>C68372</t>
  </si>
  <si>
    <t>250.226.164.69</t>
  </si>
  <si>
    <t>D195525</t>
  </si>
  <si>
    <t>TX1002052</t>
  </si>
  <si>
    <t>C54997</t>
  </si>
  <si>
    <t>42.4.12.203</t>
  </si>
  <si>
    <t>D188356</t>
  </si>
  <si>
    <t>TX1000724</t>
  </si>
  <si>
    <t>63.66.76.8</t>
  </si>
  <si>
    <t>D188502</t>
  </si>
  <si>
    <t>TX1001314</t>
  </si>
  <si>
    <t>C51753</t>
  </si>
  <si>
    <t>58.202.19.100</t>
  </si>
  <si>
    <t>D137830</t>
  </si>
  <si>
    <t>TX1001851</t>
  </si>
  <si>
    <t>C56410</t>
  </si>
  <si>
    <t>43.98.187.227</t>
  </si>
  <si>
    <t>D158425</t>
  </si>
  <si>
    <t>TX1002298</t>
  </si>
  <si>
    <t>M1326</t>
  </si>
  <si>
    <t>114.65.6.70</t>
  </si>
  <si>
    <t>D106617</t>
  </si>
  <si>
    <t>TX1002488</t>
  </si>
  <si>
    <t>C84002</t>
  </si>
  <si>
    <t>209.170.184.115</t>
  </si>
  <si>
    <t>TX1001372</t>
  </si>
  <si>
    <t>C80053</t>
  </si>
  <si>
    <t>204.202.229.98</t>
  </si>
  <si>
    <t>D169936</t>
  </si>
  <si>
    <t>TX1001855</t>
  </si>
  <si>
    <t>M1260</t>
  </si>
  <si>
    <t>C58011</t>
  </si>
  <si>
    <t>53.18.58.27</t>
  </si>
  <si>
    <t>D188093</t>
  </si>
  <si>
    <t>TX1001319</t>
  </si>
  <si>
    <t>C83198</t>
  </si>
  <si>
    <t>211.178.192.220</t>
  </si>
  <si>
    <t>D143197</t>
  </si>
  <si>
    <t>TX1002876</t>
  </si>
  <si>
    <t>C69842</t>
  </si>
  <si>
    <t>75.71.198.93</t>
  </si>
  <si>
    <t>D171333</t>
  </si>
  <si>
    <t>TX1002269</t>
  </si>
  <si>
    <t>M1168</t>
  </si>
  <si>
    <t>C77387</t>
  </si>
  <si>
    <t>89.90.188.247</t>
  </si>
  <si>
    <t>D152148</t>
  </si>
  <si>
    <t>TX1000375</t>
  </si>
  <si>
    <t>C76969</t>
  </si>
  <si>
    <t>16.16.88.129</t>
  </si>
  <si>
    <t>D121017</t>
  </si>
  <si>
    <t>TX1001908</t>
  </si>
  <si>
    <t>C50373</t>
  </si>
  <si>
    <t>236.81.133.4</t>
  </si>
  <si>
    <t>D100011</t>
  </si>
  <si>
    <t>TX1000333</t>
  </si>
  <si>
    <t>C97131</t>
  </si>
  <si>
    <t>163.251.46.204</t>
  </si>
  <si>
    <t>D190673</t>
  </si>
  <si>
    <t>TX1002939</t>
  </si>
  <si>
    <t>C54460</t>
  </si>
  <si>
    <t>139.220.166.50</t>
  </si>
  <si>
    <t>D156080</t>
  </si>
  <si>
    <t>TX1002303</t>
  </si>
  <si>
    <t>C88376</t>
  </si>
  <si>
    <t>249.46.137.206</t>
  </si>
  <si>
    <t>D147985</t>
  </si>
  <si>
    <t>TX1001604</t>
  </si>
  <si>
    <t>C89649</t>
  </si>
  <si>
    <t>13.227.216.127</t>
  </si>
  <si>
    <t>D185147</t>
  </si>
  <si>
    <t>TX1001118</t>
  </si>
  <si>
    <t>C51574</t>
  </si>
  <si>
    <t>38.133.189.196</t>
  </si>
  <si>
    <t>D112265</t>
  </si>
  <si>
    <t>TX1002830</t>
  </si>
  <si>
    <t>C81250</t>
  </si>
  <si>
    <t>117.50.195.171</t>
  </si>
  <si>
    <t>D153087</t>
  </si>
  <si>
    <t>TX1001943</t>
  </si>
  <si>
    <t>171.12.50.81</t>
  </si>
  <si>
    <t>D134050</t>
  </si>
  <si>
    <t>TX1002263</t>
  </si>
  <si>
    <t>M1328</t>
  </si>
  <si>
    <t>C52909</t>
  </si>
  <si>
    <t>36.192.123.158</t>
  </si>
  <si>
    <t>D144563</t>
  </si>
  <si>
    <t>TX1002523</t>
  </si>
  <si>
    <t>C77801</t>
  </si>
  <si>
    <t>126.222.246.55</t>
  </si>
  <si>
    <t>D190684</t>
  </si>
  <si>
    <t>TX1001342</t>
  </si>
  <si>
    <t>M1891</t>
  </si>
  <si>
    <t>C73863</t>
  </si>
  <si>
    <t>82.222.92.119</t>
  </si>
  <si>
    <t>D158369</t>
  </si>
  <si>
    <t>TX1000320</t>
  </si>
  <si>
    <t>C82220</t>
  </si>
  <si>
    <t>141.104.120.130</t>
  </si>
  <si>
    <t>D110245</t>
  </si>
  <si>
    <t>TX1001619</t>
  </si>
  <si>
    <t>C73839</t>
  </si>
  <si>
    <t>143.249.73.120</t>
  </si>
  <si>
    <t>D147263</t>
  </si>
  <si>
    <t>TX1002931</t>
  </si>
  <si>
    <t>M1489</t>
  </si>
  <si>
    <t>C63776</t>
  </si>
  <si>
    <t>192.7.145.80</t>
  </si>
  <si>
    <t>D154354</t>
  </si>
  <si>
    <t>TX1002060</t>
  </si>
  <si>
    <t>C88788</t>
  </si>
  <si>
    <t>70.193.158.59</t>
  </si>
  <si>
    <t>D178110</t>
  </si>
  <si>
    <t>TX1001673</t>
  </si>
  <si>
    <t>C75888</t>
  </si>
  <si>
    <t>42.16.31.166</t>
  </si>
  <si>
    <t>D108840</t>
  </si>
  <si>
    <t>TX1001942</t>
  </si>
  <si>
    <t>C50888</t>
  </si>
  <si>
    <t>131.162.218.88</t>
  </si>
  <si>
    <t>D182723</t>
  </si>
  <si>
    <t>TX1002356</t>
  </si>
  <si>
    <t>M1709</t>
  </si>
  <si>
    <t>C86874</t>
  </si>
  <si>
    <t>227.251.40.59</t>
  </si>
  <si>
    <t>D140360</t>
  </si>
  <si>
    <t>TX1002039</t>
  </si>
  <si>
    <t>C90619</t>
  </si>
  <si>
    <t>202.8.196.143</t>
  </si>
  <si>
    <t>D124974</t>
  </si>
  <si>
    <t>TX1000689</t>
  </si>
  <si>
    <t>C89762</t>
  </si>
  <si>
    <t>36.8.145.212</t>
  </si>
  <si>
    <t>D100402</t>
  </si>
  <si>
    <t>TX1000901</t>
  </si>
  <si>
    <t>C72851</t>
  </si>
  <si>
    <t>221.119.43.157</t>
  </si>
  <si>
    <t>D104567</t>
  </si>
  <si>
    <t>TX1002026</t>
  </si>
  <si>
    <t>154.7.241.41</t>
  </si>
  <si>
    <t>D154216</t>
  </si>
  <si>
    <t>TX1000138</t>
  </si>
  <si>
    <t>C91912</t>
  </si>
  <si>
    <t>94.211.133.40</t>
  </si>
  <si>
    <t>D139789</t>
  </si>
  <si>
    <t>TX1001917</t>
  </si>
  <si>
    <t>C78040</t>
  </si>
  <si>
    <t>77.60.132.53</t>
  </si>
  <si>
    <t>D101398</t>
  </si>
  <si>
    <t>TX1001828</t>
  </si>
  <si>
    <t>C99539</t>
  </si>
  <si>
    <t>242.158.250.72</t>
  </si>
  <si>
    <t>D147691</t>
  </si>
  <si>
    <t>TX1001573</t>
  </si>
  <si>
    <t>C52843</t>
  </si>
  <si>
    <t>1.33.6.162</t>
  </si>
  <si>
    <t>D138311</t>
  </si>
  <si>
    <t>TX1000319</t>
  </si>
  <si>
    <t>C77190</t>
  </si>
  <si>
    <t>63.105.27.233</t>
  </si>
  <si>
    <t>D187163</t>
  </si>
  <si>
    <t>TX1000653</t>
  </si>
  <si>
    <t>C67652</t>
  </si>
  <si>
    <t>128.0.58.104</t>
  </si>
  <si>
    <t>D177429</t>
  </si>
  <si>
    <t>TX1002137</t>
  </si>
  <si>
    <t>C68468</t>
  </si>
  <si>
    <t>189.15.235.135</t>
  </si>
  <si>
    <t>D110398</t>
  </si>
  <si>
    <t>TX1002981</t>
  </si>
  <si>
    <t>C92263</t>
  </si>
  <si>
    <t>250.18.174.170</t>
  </si>
  <si>
    <t>D197301</t>
  </si>
  <si>
    <t>TX1000558</t>
  </si>
  <si>
    <t>C65313</t>
  </si>
  <si>
    <t>31.114.18.145</t>
  </si>
  <si>
    <t>D171510</t>
  </si>
  <si>
    <t>TX1000112</t>
  </si>
  <si>
    <t>C62681</t>
  </si>
  <si>
    <t>145.186.161.246</t>
  </si>
  <si>
    <t>D156139</t>
  </si>
  <si>
    <t>TX1000531</t>
  </si>
  <si>
    <t>C79057</t>
  </si>
  <si>
    <t>135.52.241.60</t>
  </si>
  <si>
    <t>D186562</t>
  </si>
  <si>
    <t>TX1000224</t>
  </si>
  <si>
    <t>M1810</t>
  </si>
  <si>
    <t>C67214</t>
  </si>
  <si>
    <t>107.91.251.233</t>
  </si>
  <si>
    <t>D190156</t>
  </si>
  <si>
    <t>TX1000723</t>
  </si>
  <si>
    <t>C67107</t>
  </si>
  <si>
    <t>30.92.228.155</t>
  </si>
  <si>
    <t>D176318</t>
  </si>
  <si>
    <t>TX1002430</t>
  </si>
  <si>
    <t>C56804</t>
  </si>
  <si>
    <t>173.136.245.162</t>
  </si>
  <si>
    <t>D135750</t>
  </si>
  <si>
    <t>TX1002847</t>
  </si>
  <si>
    <t>M1092</t>
  </si>
  <si>
    <t>C65215</t>
  </si>
  <si>
    <t>47.115.18.42</t>
  </si>
  <si>
    <t>D101430</t>
  </si>
  <si>
    <t>TX1001433</t>
  </si>
  <si>
    <t>C85600</t>
  </si>
  <si>
    <t>115.5.136.51</t>
  </si>
  <si>
    <t>D125046</t>
  </si>
  <si>
    <t>TX1002685</t>
  </si>
  <si>
    <t>C92736</t>
  </si>
  <si>
    <t>21.200.215.115</t>
  </si>
  <si>
    <t>TX1001458</t>
  </si>
  <si>
    <t>C76472</t>
  </si>
  <si>
    <t>86.17.211.212</t>
  </si>
  <si>
    <t>D117262</t>
  </si>
  <si>
    <t>TX1002703</t>
  </si>
  <si>
    <t>C98658</t>
  </si>
  <si>
    <t>134.107.75.11</t>
  </si>
  <si>
    <t>D108421</t>
  </si>
  <si>
    <t>TX1000846</t>
  </si>
  <si>
    <t>C50701</t>
  </si>
  <si>
    <t>64.29.88.72</t>
  </si>
  <si>
    <t>D184116</t>
  </si>
  <si>
    <t>TX1000193</t>
  </si>
  <si>
    <t>C60102</t>
  </si>
  <si>
    <t>186.85.107.148</t>
  </si>
  <si>
    <t>D196254</t>
  </si>
  <si>
    <t>TX1001464</t>
  </si>
  <si>
    <t>C90148</t>
  </si>
  <si>
    <t>186.63.3.155</t>
  </si>
  <si>
    <t>D111166</t>
  </si>
  <si>
    <t>TX1000946</t>
  </si>
  <si>
    <t>C74282</t>
  </si>
  <si>
    <t>198.74.242.52</t>
  </si>
  <si>
    <t>D175721</t>
  </si>
  <si>
    <t>TX1002021</t>
  </si>
  <si>
    <t>C75980</t>
  </si>
  <si>
    <t>186.9.7.140</t>
  </si>
  <si>
    <t>D184819</t>
  </si>
  <si>
    <t>TX1001629</t>
  </si>
  <si>
    <t>C63252</t>
  </si>
  <si>
    <t>45.120.168.180</t>
  </si>
  <si>
    <t>D190368</t>
  </si>
  <si>
    <t>TX1000117</t>
  </si>
  <si>
    <t>20.143.108.39</t>
  </si>
  <si>
    <t>D124498</t>
  </si>
  <si>
    <t>TX1000645</t>
  </si>
  <si>
    <t>C55663</t>
  </si>
  <si>
    <t>123.179.15.88</t>
  </si>
  <si>
    <t>D151023</t>
  </si>
  <si>
    <t>TX1001870</t>
  </si>
  <si>
    <t>C62302</t>
  </si>
  <si>
    <t>72.147.53.44</t>
  </si>
  <si>
    <t>D127673</t>
  </si>
  <si>
    <t>TX1000003</t>
  </si>
  <si>
    <t>C75319</t>
  </si>
  <si>
    <t>101.191.173.143</t>
  </si>
  <si>
    <t>D147920</t>
  </si>
  <si>
    <t>TX1000074</t>
  </si>
  <si>
    <t>C87435</t>
  </si>
  <si>
    <t>45.85.108.207</t>
  </si>
  <si>
    <t>D125260</t>
  </si>
  <si>
    <t>TX1001755</t>
  </si>
  <si>
    <t>C97617</t>
  </si>
  <si>
    <t>150.210.82.46</t>
  </si>
  <si>
    <t>D196072</t>
  </si>
  <si>
    <t>TX1000467</t>
  </si>
  <si>
    <t>C97796</t>
  </si>
  <si>
    <t>169.103.39.152</t>
  </si>
  <si>
    <t>D119978</t>
  </si>
  <si>
    <t>TX1000005</t>
  </si>
  <si>
    <t>14.245.87.135</t>
  </si>
  <si>
    <t>D182447</t>
  </si>
  <si>
    <t>TX1001246</t>
  </si>
  <si>
    <t>C58705</t>
  </si>
  <si>
    <t>210.54.99.157</t>
  </si>
  <si>
    <t>D100957</t>
  </si>
  <si>
    <t>TX1000919</t>
  </si>
  <si>
    <t>C75629</t>
  </si>
  <si>
    <t>84.69.239.59</t>
  </si>
  <si>
    <t>D146990</t>
  </si>
  <si>
    <t>TX1000228</t>
  </si>
  <si>
    <t>C96523</t>
  </si>
  <si>
    <t>59.157.64.54</t>
  </si>
  <si>
    <t>D117067</t>
  </si>
  <si>
    <t>TX1001063</t>
  </si>
  <si>
    <t>C54163</t>
  </si>
  <si>
    <t>113.253.222.109</t>
  </si>
  <si>
    <t>D112420</t>
  </si>
  <si>
    <t>TX1000242</t>
  </si>
  <si>
    <t>C63340</t>
  </si>
  <si>
    <t>61.207.122.30</t>
  </si>
  <si>
    <t>D119655</t>
  </si>
  <si>
    <t>TX1002281</t>
  </si>
  <si>
    <t>M1419</t>
  </si>
  <si>
    <t>C58611</t>
  </si>
  <si>
    <t>173.128.14.112</t>
  </si>
  <si>
    <t>D102732</t>
  </si>
  <si>
    <t>TX1001160</t>
  </si>
  <si>
    <t>C55575</t>
  </si>
  <si>
    <t>96.115.43.227</t>
  </si>
  <si>
    <t>D104998</t>
  </si>
  <si>
    <t>TX1002515</t>
  </si>
  <si>
    <t>C94831</t>
  </si>
  <si>
    <t>171.78.173.199</t>
  </si>
  <si>
    <t>D144974</t>
  </si>
  <si>
    <t>TX1001526</t>
  </si>
  <si>
    <t>C64472</t>
  </si>
  <si>
    <t>141.233.147.87</t>
  </si>
  <si>
    <t>D126367</t>
  </si>
  <si>
    <t>TX1001605</t>
  </si>
  <si>
    <t>C71971</t>
  </si>
  <si>
    <t>160.149.201.33</t>
  </si>
  <si>
    <t>D158368</t>
  </si>
  <si>
    <t>TX1002786</t>
  </si>
  <si>
    <t>C54228</t>
  </si>
  <si>
    <t>236.1.196.79</t>
  </si>
  <si>
    <t>D188049</t>
  </si>
  <si>
    <t>TX1002329</t>
  </si>
  <si>
    <t>158.0.57.52</t>
  </si>
  <si>
    <t>D130508</t>
  </si>
  <si>
    <t>TX1002546</t>
  </si>
  <si>
    <t>C53084</t>
  </si>
  <si>
    <t>132.93.87.10</t>
  </si>
  <si>
    <t>D176057</t>
  </si>
  <si>
    <t>TX1001989</t>
  </si>
  <si>
    <t>C87078</t>
  </si>
  <si>
    <t>174.192.22.235</t>
  </si>
  <si>
    <t>D195537</t>
  </si>
  <si>
    <t>TX1002354</t>
  </si>
  <si>
    <t>C96766</t>
  </si>
  <si>
    <t>115.154.151.110</t>
  </si>
  <si>
    <t>D191730</t>
  </si>
  <si>
    <t>TX1001975</t>
  </si>
  <si>
    <t>C64196</t>
  </si>
  <si>
    <t>22.114.60.226</t>
  </si>
  <si>
    <t>D185676</t>
  </si>
  <si>
    <t>TX1001761</t>
  </si>
  <si>
    <t>C63380</t>
  </si>
  <si>
    <t>90.16.94.101</t>
  </si>
  <si>
    <t>D108476</t>
  </si>
  <si>
    <t>TX1001305</t>
  </si>
  <si>
    <t>C71450</t>
  </si>
  <si>
    <t>230.146.19.96</t>
  </si>
  <si>
    <t>D150101</t>
  </si>
  <si>
    <t>TX1001541</t>
  </si>
  <si>
    <t>M1371</t>
  </si>
  <si>
    <t>C86110</t>
  </si>
  <si>
    <t>128.230.122.96</t>
  </si>
  <si>
    <t>D180506</t>
  </si>
  <si>
    <t>TX1000622</t>
  </si>
  <si>
    <t>M1473</t>
  </si>
  <si>
    <t>C61478</t>
  </si>
  <si>
    <t>35.0.147.118</t>
  </si>
  <si>
    <t>D169323</t>
  </si>
  <si>
    <t>TX1002315</t>
  </si>
  <si>
    <t>C96475</t>
  </si>
  <si>
    <t>20.97.17.193</t>
  </si>
  <si>
    <t>D132561</t>
  </si>
  <si>
    <t>TX1001493</t>
  </si>
  <si>
    <t>C54575</t>
  </si>
  <si>
    <t>206.56.167.30</t>
  </si>
  <si>
    <t>D151346</t>
  </si>
  <si>
    <t>TX1000110</t>
  </si>
  <si>
    <t>C86275</t>
  </si>
  <si>
    <t>141.43.156.54</t>
  </si>
  <si>
    <t>D198080</t>
  </si>
  <si>
    <t>TX1002266</t>
  </si>
  <si>
    <t>C80555</t>
  </si>
  <si>
    <t>44.52.231.117</t>
  </si>
  <si>
    <t>D143018</t>
  </si>
  <si>
    <t>TX1001169</t>
  </si>
  <si>
    <t>C72179</t>
  </si>
  <si>
    <t>113.228.59.177</t>
  </si>
  <si>
    <t>D198991</t>
  </si>
  <si>
    <t>TX1002463</t>
  </si>
  <si>
    <t>C74634</t>
  </si>
  <si>
    <t>148.110.177.132</t>
  </si>
  <si>
    <t>D132793</t>
  </si>
  <si>
    <t>TX1000232</t>
  </si>
  <si>
    <t>C54561</t>
  </si>
  <si>
    <t>126.53.202.113</t>
  </si>
  <si>
    <t>TX1000066</t>
  </si>
  <si>
    <t>C84501</t>
  </si>
  <si>
    <t>46.165.30.6</t>
  </si>
  <si>
    <t>D119360</t>
  </si>
  <si>
    <t>TX1002709</t>
  </si>
  <si>
    <t>C61730</t>
  </si>
  <si>
    <t>217.166.60.82</t>
  </si>
  <si>
    <t>D119921</t>
  </si>
  <si>
    <t>TX1002072</t>
  </si>
  <si>
    <t>C80471</t>
  </si>
  <si>
    <t>194.186.230.152</t>
  </si>
  <si>
    <t>D102790</t>
  </si>
  <si>
    <t>TX1002192</t>
  </si>
  <si>
    <t>C63783</t>
  </si>
  <si>
    <t>194.148.51.21</t>
  </si>
  <si>
    <t>D183911</t>
  </si>
  <si>
    <t>TX1000536</t>
  </si>
  <si>
    <t>C66298</t>
  </si>
  <si>
    <t>54.164.205.193</t>
  </si>
  <si>
    <t>D145683</t>
  </si>
  <si>
    <t>TX1000125</t>
  </si>
  <si>
    <t>C61486</t>
  </si>
  <si>
    <t>9.118.86.173</t>
  </si>
  <si>
    <t>D104726</t>
  </si>
  <si>
    <t>TX1002133</t>
  </si>
  <si>
    <t>27.56.31.229</t>
  </si>
  <si>
    <t>D198360</t>
  </si>
  <si>
    <t>TX1001254</t>
  </si>
  <si>
    <t>C56147</t>
  </si>
  <si>
    <t>13.153.52.129</t>
  </si>
  <si>
    <t>D151109</t>
  </si>
  <si>
    <t>TX1002486</t>
  </si>
  <si>
    <t>C65527</t>
  </si>
  <si>
    <t>178.84.94.100</t>
  </si>
  <si>
    <t>D140401</t>
  </si>
  <si>
    <t>TX1001976</t>
  </si>
  <si>
    <t>C53156</t>
  </si>
  <si>
    <t>175.33.168.26</t>
  </si>
  <si>
    <t>D179278</t>
  </si>
  <si>
    <t>TX1002464</t>
  </si>
  <si>
    <t>C60415</t>
  </si>
  <si>
    <t>81.202.199.108</t>
  </si>
  <si>
    <t>D159972</t>
  </si>
  <si>
    <t>TX1002328</t>
  </si>
  <si>
    <t>C63188</t>
  </si>
  <si>
    <t>203.170.125.56</t>
  </si>
  <si>
    <t>D145758</t>
  </si>
  <si>
    <t>TX1002075</t>
  </si>
  <si>
    <t>C69045</t>
  </si>
  <si>
    <t>219.72.103.14</t>
  </si>
  <si>
    <t>D125225</t>
  </si>
  <si>
    <t>TX1000484</t>
  </si>
  <si>
    <t>C98016</t>
  </si>
  <si>
    <t>148.196.232.3</t>
  </si>
  <si>
    <t>D163719</t>
  </si>
  <si>
    <t>TX1001654</t>
  </si>
  <si>
    <t>C98290</t>
  </si>
  <si>
    <t>102.131.86.111</t>
  </si>
  <si>
    <t>D157989</t>
  </si>
  <si>
    <t>TX1002678</t>
  </si>
  <si>
    <t>C91542</t>
  </si>
  <si>
    <t>212.245.107.142</t>
  </si>
  <si>
    <t>D139545</t>
  </si>
  <si>
    <t>TX1002797</t>
  </si>
  <si>
    <t>C67834</t>
  </si>
  <si>
    <t>243.73.0.184</t>
  </si>
  <si>
    <t>D149619</t>
  </si>
  <si>
    <t>TX1002407</t>
  </si>
  <si>
    <t>C71327</t>
  </si>
  <si>
    <t>157.48.141.112</t>
  </si>
  <si>
    <t>D188235</t>
  </si>
  <si>
    <t>TX1001774</t>
  </si>
  <si>
    <t>C51487</t>
  </si>
  <si>
    <t>146.202.148.167</t>
  </si>
  <si>
    <t>D113163</t>
  </si>
  <si>
    <t>TX1000918</t>
  </si>
  <si>
    <t>C76504</t>
  </si>
  <si>
    <t>226.8.71.181</t>
  </si>
  <si>
    <t>D170657</t>
  </si>
  <si>
    <t>TX1001646</t>
  </si>
  <si>
    <t>C55680</t>
  </si>
  <si>
    <t>168.120.51.140</t>
  </si>
  <si>
    <t>D132450</t>
  </si>
  <si>
    <t>TX1001026</t>
  </si>
  <si>
    <t>C52463</t>
  </si>
  <si>
    <t>70.9.222.122</t>
  </si>
  <si>
    <t>D199432</t>
  </si>
  <si>
    <t>TX1001030</t>
  </si>
  <si>
    <t>C95810</t>
  </si>
  <si>
    <t>235.155.254.77</t>
  </si>
  <si>
    <t>D122626</t>
  </si>
  <si>
    <t>TX1000882</t>
  </si>
  <si>
    <t>C82003</t>
  </si>
  <si>
    <t>62.93.218.240</t>
  </si>
  <si>
    <t>D104906</t>
  </si>
  <si>
    <t>TX1001335</t>
  </si>
  <si>
    <t>C51474</t>
  </si>
  <si>
    <t>175.82.250.157</t>
  </si>
  <si>
    <t>D191512</t>
  </si>
  <si>
    <t>TX1002346</t>
  </si>
  <si>
    <t>M1099</t>
  </si>
  <si>
    <t>C63149</t>
  </si>
  <si>
    <t>51.20.170.117</t>
  </si>
  <si>
    <t>D196285</t>
  </si>
  <si>
    <t>TX1000364</t>
  </si>
  <si>
    <t>C71270</t>
  </si>
  <si>
    <t>76.166.29.161</t>
  </si>
  <si>
    <t>D101364</t>
  </si>
  <si>
    <t>TX1002125</t>
  </si>
  <si>
    <t>C76732</t>
  </si>
  <si>
    <t>223.232.234.149</t>
  </si>
  <si>
    <t>D147566</t>
  </si>
  <si>
    <t>TX1000027</t>
  </si>
  <si>
    <t>C63855</t>
  </si>
  <si>
    <t>231.16.91.238</t>
  </si>
  <si>
    <t>D141220</t>
  </si>
  <si>
    <t>TX1000473</t>
  </si>
  <si>
    <t>C94039</t>
  </si>
  <si>
    <t>133.7.206.107</t>
  </si>
  <si>
    <t>D187519</t>
  </si>
  <si>
    <t>TX1000525</t>
  </si>
  <si>
    <t>M1273</t>
  </si>
  <si>
    <t>162.24.101.251</t>
  </si>
  <si>
    <t>D123877</t>
  </si>
  <si>
    <t>TX1000725</t>
  </si>
  <si>
    <t>C99872</t>
  </si>
  <si>
    <t>130.224.178.176</t>
  </si>
  <si>
    <t>D127601</t>
  </si>
  <si>
    <t>TX1000055</t>
  </si>
  <si>
    <t>C75098</t>
  </si>
  <si>
    <t>190.214.114.83</t>
  </si>
  <si>
    <t>D132540</t>
  </si>
  <si>
    <t>TX1000638</t>
  </si>
  <si>
    <t>C95865</t>
  </si>
  <si>
    <t>225.171.75.11</t>
  </si>
  <si>
    <t>D118394</t>
  </si>
  <si>
    <t>TX1000302</t>
  </si>
  <si>
    <t>C96693</t>
  </si>
  <si>
    <t>103.18.106.57</t>
  </si>
  <si>
    <t>D126607</t>
  </si>
  <si>
    <t>TX1002610</t>
  </si>
  <si>
    <t>C67617</t>
  </si>
  <si>
    <t>2.126.1.164</t>
  </si>
  <si>
    <t>D159588</t>
  </si>
  <si>
    <t>TX1001276</t>
  </si>
  <si>
    <t>C76076</t>
  </si>
  <si>
    <t>86.228.78.59</t>
  </si>
  <si>
    <t>D117639</t>
  </si>
  <si>
    <t>TX1002637</t>
  </si>
  <si>
    <t>C61770</t>
  </si>
  <si>
    <t>35.69.119.250</t>
  </si>
  <si>
    <t>D146728</t>
  </si>
  <si>
    <t>TX1000624</t>
  </si>
  <si>
    <t>C51051</t>
  </si>
  <si>
    <t>36.154.202.63</t>
  </si>
  <si>
    <t>D118653</t>
  </si>
  <si>
    <t>TX1002055</t>
  </si>
  <si>
    <t>C77142</t>
  </si>
  <si>
    <t>198.186.27.188</t>
  </si>
  <si>
    <t>D154318</t>
  </si>
  <si>
    <t>TX1001280</t>
  </si>
  <si>
    <t>C80790</t>
  </si>
  <si>
    <t>123.87.132.77</t>
  </si>
  <si>
    <t>D125070</t>
  </si>
  <si>
    <t>TX1001049</t>
  </si>
  <si>
    <t>C71161</t>
  </si>
  <si>
    <t>232.16.183.33</t>
  </si>
  <si>
    <t>D184372</t>
  </si>
  <si>
    <t>TX1000336</t>
  </si>
  <si>
    <t>C70980</t>
  </si>
  <si>
    <t>162.110.253.75</t>
  </si>
  <si>
    <t>D192293</t>
  </si>
  <si>
    <t>TX1000047</t>
  </si>
  <si>
    <t>M1955</t>
  </si>
  <si>
    <t>C92899</t>
  </si>
  <si>
    <t>161.156.119.110</t>
  </si>
  <si>
    <t>D185915</t>
  </si>
  <si>
    <t>TX1000106</t>
  </si>
  <si>
    <t>C93839</t>
  </si>
  <si>
    <t>227.164.195.235</t>
  </si>
  <si>
    <t>D114860</t>
  </si>
  <si>
    <t>TX1001079</t>
  </si>
  <si>
    <t>C89428</t>
  </si>
  <si>
    <t>70.139.110.122</t>
  </si>
  <si>
    <t>D187278</t>
  </si>
  <si>
    <t>TX1001144</t>
  </si>
  <si>
    <t>C82196</t>
  </si>
  <si>
    <t>151.100.9.32</t>
  </si>
  <si>
    <t>D113326</t>
  </si>
  <si>
    <t>TX1002549</t>
  </si>
  <si>
    <t>C85006</t>
  </si>
  <si>
    <t>38.150.195.4</t>
  </si>
  <si>
    <t>D166355</t>
  </si>
  <si>
    <t>TX1001836</t>
  </si>
  <si>
    <t>C83071</t>
  </si>
  <si>
    <t>104.216.224.166</t>
  </si>
  <si>
    <t>D165718</t>
  </si>
  <si>
    <t>TX1001753</t>
  </si>
  <si>
    <t>C91823</t>
  </si>
  <si>
    <t>225.188.98.120</t>
  </si>
  <si>
    <t>D193488</t>
  </si>
  <si>
    <t>TX1001101</t>
  </si>
  <si>
    <t>C59163</t>
  </si>
  <si>
    <t>26.248.151.244</t>
  </si>
  <si>
    <t>D120574</t>
  </si>
  <si>
    <t>TX1001968</t>
  </si>
  <si>
    <t>C98893</t>
  </si>
  <si>
    <t>22.30.172.1</t>
  </si>
  <si>
    <t>D156783</t>
  </si>
  <si>
    <t>TX1000523</t>
  </si>
  <si>
    <t>C80437</t>
  </si>
  <si>
    <t>1.159.243.121</t>
  </si>
  <si>
    <t>D133667</t>
  </si>
  <si>
    <t>TX1001428</t>
  </si>
  <si>
    <t>C94834</t>
  </si>
  <si>
    <t>208.174.202.82</t>
  </si>
  <si>
    <t>D157886</t>
  </si>
  <si>
    <t>TX1002609</t>
  </si>
  <si>
    <t>C90005</t>
  </si>
  <si>
    <t>43.89.175.158</t>
  </si>
  <si>
    <t>D189509</t>
  </si>
  <si>
    <t>TX1000603</t>
  </si>
  <si>
    <t>M1103</t>
  </si>
  <si>
    <t>C58650</t>
  </si>
  <si>
    <t>111.10.188.163</t>
  </si>
  <si>
    <t>D171235</t>
  </si>
  <si>
    <t>TX1001489</t>
  </si>
  <si>
    <t>C97511</t>
  </si>
  <si>
    <t>165.132.170.225</t>
  </si>
  <si>
    <t>D103537</t>
  </si>
  <si>
    <t>TX1002353</t>
  </si>
  <si>
    <t>C75124</t>
  </si>
  <si>
    <t>178.99.211.45</t>
  </si>
  <si>
    <t>D170124</t>
  </si>
  <si>
    <t>TX1000060</t>
  </si>
  <si>
    <t>M1713</t>
  </si>
  <si>
    <t>C64091</t>
  </si>
  <si>
    <t>13.153.133.210</t>
  </si>
  <si>
    <t>D122789</t>
  </si>
  <si>
    <t>TX1002751</t>
  </si>
  <si>
    <t>M1102</t>
  </si>
  <si>
    <t>C80186</t>
  </si>
  <si>
    <t>191.255.170.20</t>
  </si>
  <si>
    <t>D194230</t>
  </si>
  <si>
    <t>TX1000671</t>
  </si>
  <si>
    <t>C73689</t>
  </si>
  <si>
    <t>106.76.137.131</t>
  </si>
  <si>
    <t>TX1000092</t>
  </si>
  <si>
    <t>C99689</t>
  </si>
  <si>
    <t>85.183.224.245</t>
  </si>
  <si>
    <t>D181501</t>
  </si>
  <si>
    <t>TX1000666</t>
  </si>
  <si>
    <t>C85091</t>
  </si>
  <si>
    <t>244.57.245.102</t>
  </si>
  <si>
    <t>D185151</t>
  </si>
  <si>
    <t>TX1001887</t>
  </si>
  <si>
    <t>M1184</t>
  </si>
  <si>
    <t>C70205</t>
  </si>
  <si>
    <t>162.65.139.242</t>
  </si>
  <si>
    <t>D197764</t>
  </si>
  <si>
    <t>TX1000280</t>
  </si>
  <si>
    <t>C72139</t>
  </si>
  <si>
    <t>130.235.230.171</t>
  </si>
  <si>
    <t>TX1001719</t>
  </si>
  <si>
    <t>C53701</t>
  </si>
  <si>
    <t>35.69.17.224</t>
  </si>
  <si>
    <t>D129841</t>
  </si>
  <si>
    <t>TX1000359</t>
  </si>
  <si>
    <t>C89749</t>
  </si>
  <si>
    <t>175.66.169.93</t>
  </si>
  <si>
    <t>D197162</t>
  </si>
  <si>
    <t>TX1000899</t>
  </si>
  <si>
    <t>C92061</t>
  </si>
  <si>
    <t>215.138.17.52</t>
  </si>
  <si>
    <t>D139985</t>
  </si>
  <si>
    <t>TX1001935</t>
  </si>
  <si>
    <t>C62328</t>
  </si>
  <si>
    <t>18.216.198.3</t>
  </si>
  <si>
    <t>D101805</t>
  </si>
  <si>
    <t>TX1001994</t>
  </si>
  <si>
    <t>C69466</t>
  </si>
  <si>
    <t>246.192.133.46</t>
  </si>
  <si>
    <t>D115367</t>
  </si>
  <si>
    <t>TX1002314</t>
  </si>
  <si>
    <t>C91366</t>
  </si>
  <si>
    <t>71.55.246.41</t>
  </si>
  <si>
    <t>D193066</t>
  </si>
  <si>
    <t>TX1000760</t>
  </si>
  <si>
    <t>C93033</t>
  </si>
  <si>
    <t>46.143.51.24</t>
  </si>
  <si>
    <t>D148825</t>
  </si>
  <si>
    <t>TX1002158</t>
  </si>
  <si>
    <t>C69809</t>
  </si>
  <si>
    <t>151.162.196.139</t>
  </si>
  <si>
    <t>D166472</t>
  </si>
  <si>
    <t>TX1002624</t>
  </si>
  <si>
    <t>C65496</t>
  </si>
  <si>
    <t>53.244.128.19</t>
  </si>
  <si>
    <t>D176917</t>
  </si>
  <si>
    <t>TX1000042</t>
  </si>
  <si>
    <t>C85593</t>
  </si>
  <si>
    <t>56.217.52.189</t>
  </si>
  <si>
    <t>D185678</t>
  </si>
  <si>
    <t>TX1002173</t>
  </si>
  <si>
    <t>M1575</t>
  </si>
  <si>
    <t>C95300</t>
  </si>
  <si>
    <t>85.75.230.17</t>
  </si>
  <si>
    <t>D146292</t>
  </si>
  <si>
    <t>TX1000204</t>
  </si>
  <si>
    <t>C99646</t>
  </si>
  <si>
    <t>11.68.51.203</t>
  </si>
  <si>
    <t>D182863</t>
  </si>
  <si>
    <t>TX1001473</t>
  </si>
  <si>
    <t>M1536</t>
  </si>
  <si>
    <t>C81205</t>
  </si>
  <si>
    <t>147.78.255.156</t>
  </si>
  <si>
    <t>D133440</t>
  </si>
  <si>
    <t>TX1002100</t>
  </si>
  <si>
    <t>C87345</t>
  </si>
  <si>
    <t>115.164.75.169</t>
  </si>
  <si>
    <t>D180859</t>
  </si>
  <si>
    <t>TX1000068</t>
  </si>
  <si>
    <t>C61932</t>
  </si>
  <si>
    <t>85.39.121.89</t>
  </si>
  <si>
    <t>D141879</t>
  </si>
  <si>
    <t>TX1001875</t>
  </si>
  <si>
    <t>C85057</t>
  </si>
  <si>
    <t>125.181.112.119</t>
  </si>
  <si>
    <t>D109194</t>
  </si>
  <si>
    <t>TX1002381</t>
  </si>
  <si>
    <t>M1155</t>
  </si>
  <si>
    <t>C95411</t>
  </si>
  <si>
    <t>29.209.201.21</t>
  </si>
  <si>
    <t>D127718</t>
  </si>
  <si>
    <t>TX1002231</t>
  </si>
  <si>
    <t>C76815</t>
  </si>
  <si>
    <t>10.120.113.116</t>
  </si>
  <si>
    <t>D111402</t>
  </si>
  <si>
    <t>TX1000137</t>
  </si>
  <si>
    <t>C98338</t>
  </si>
  <si>
    <t>221.166.243.120</t>
  </si>
  <si>
    <t>D170855</t>
  </si>
  <si>
    <t>TX1000796</t>
  </si>
  <si>
    <t>C82324</t>
  </si>
  <si>
    <t>28.235.130.48</t>
  </si>
  <si>
    <t>D176298</t>
  </si>
  <si>
    <t>TX1002180</t>
  </si>
  <si>
    <t>C55521</t>
  </si>
  <si>
    <t>121.218.101.212</t>
  </si>
  <si>
    <t>TX1002128</t>
  </si>
  <si>
    <t>C97308</t>
  </si>
  <si>
    <t>8.149.21.225</t>
  </si>
  <si>
    <t>D194253</t>
  </si>
  <si>
    <t>TX1000758</t>
  </si>
  <si>
    <t>C99562</t>
  </si>
  <si>
    <t>247.113.98.201</t>
  </si>
  <si>
    <t>D166377</t>
  </si>
  <si>
    <t>TX1000541</t>
  </si>
  <si>
    <t>C85276</t>
  </si>
  <si>
    <t>81.53.116.185</t>
  </si>
  <si>
    <t>D145657</t>
  </si>
  <si>
    <t>TX1001019</t>
  </si>
  <si>
    <t>C87721</t>
  </si>
  <si>
    <t>55.219.169.100</t>
  </si>
  <si>
    <t>D116129</t>
  </si>
  <si>
    <t>TX1002290</t>
  </si>
  <si>
    <t>C89697</t>
  </si>
  <si>
    <t>210.42.146.131</t>
  </si>
  <si>
    <t>D176736</t>
  </si>
  <si>
    <t>TX1000165</t>
  </si>
  <si>
    <t>C78788</t>
  </si>
  <si>
    <t>199.21.194.185</t>
  </si>
  <si>
    <t>D141012</t>
  </si>
  <si>
    <t>TX1000248</t>
  </si>
  <si>
    <t>C60508</t>
  </si>
  <si>
    <t>189.167.232.178</t>
  </si>
  <si>
    <t>D103584</t>
  </si>
  <si>
    <t>TX1001331</t>
  </si>
  <si>
    <t>C69461</t>
  </si>
  <si>
    <t>151.250.239.198</t>
  </si>
  <si>
    <t>D129802</t>
  </si>
  <si>
    <t>TX1002017</t>
  </si>
  <si>
    <t>C67332</t>
  </si>
  <si>
    <t>84.209.207.196</t>
  </si>
  <si>
    <t>D142093</t>
  </si>
  <si>
    <t>TX1000446</t>
  </si>
  <si>
    <t>M1573</t>
  </si>
  <si>
    <t>C73743</t>
  </si>
  <si>
    <t>237.125.208.173</t>
  </si>
  <si>
    <t>D176645</t>
  </si>
  <si>
    <t>TX1001358</t>
  </si>
  <si>
    <t>C98616</t>
  </si>
  <si>
    <t>5.94.94.39</t>
  </si>
  <si>
    <t>D108135</t>
  </si>
  <si>
    <t>TX1002145</t>
  </si>
  <si>
    <t>188.39.171.182</t>
  </si>
  <si>
    <t>D177484</t>
  </si>
  <si>
    <t>TX1001329</t>
  </si>
  <si>
    <t>C53036</t>
  </si>
  <si>
    <t>123.43.170.82</t>
  </si>
  <si>
    <t>D192075</t>
  </si>
  <si>
    <t>TX1002912</t>
  </si>
  <si>
    <t>C81243</t>
  </si>
  <si>
    <t>122.36.88.175</t>
  </si>
  <si>
    <t>D141989</t>
  </si>
  <si>
    <t>TX1002150</t>
  </si>
  <si>
    <t>C81680</t>
  </si>
  <si>
    <t>56.177.22.101</t>
  </si>
  <si>
    <t>D151254</t>
  </si>
  <si>
    <t>TX1000434</t>
  </si>
  <si>
    <t>106.23.7.224</t>
  </si>
  <si>
    <t>D194349</t>
  </si>
  <si>
    <t>TX1002122</t>
  </si>
  <si>
    <t>C65871</t>
  </si>
  <si>
    <t>252.75.25.250</t>
  </si>
  <si>
    <t>D120183</t>
  </si>
  <si>
    <t>TX1000577</t>
  </si>
  <si>
    <t>C60474</t>
  </si>
  <si>
    <t>123.148.72.61</t>
  </si>
  <si>
    <t>D167995</t>
  </si>
  <si>
    <t>TX1002744</t>
  </si>
  <si>
    <t>C66700</t>
  </si>
  <si>
    <t>54.161.134.244</t>
  </si>
  <si>
    <t>D107245</t>
  </si>
  <si>
    <t>TX1002743</t>
  </si>
  <si>
    <t>C78370</t>
  </si>
  <si>
    <t>140.102.100.194</t>
  </si>
  <si>
    <t>D174827</t>
  </si>
  <si>
    <t>TX1001848</t>
  </si>
  <si>
    <t>C52031</t>
  </si>
  <si>
    <t>253.89.196.14</t>
  </si>
  <si>
    <t>D189990</t>
  </si>
  <si>
    <t>TX1000762</t>
  </si>
  <si>
    <t>C67243</t>
  </si>
  <si>
    <t>14.104.128.59</t>
  </si>
  <si>
    <t>D196392</t>
  </si>
  <si>
    <t>TX1000388</t>
  </si>
  <si>
    <t>C60885</t>
  </si>
  <si>
    <t>5.154.157.129</t>
  </si>
  <si>
    <t>D116350</t>
  </si>
  <si>
    <t>TX1000235</t>
  </si>
  <si>
    <t>C83082</t>
  </si>
  <si>
    <t>99.230.161.219</t>
  </si>
  <si>
    <t>D149327</t>
  </si>
  <si>
    <t>TX1002607</t>
  </si>
  <si>
    <t>C99639</t>
  </si>
  <si>
    <t>55.98.64.46</t>
  </si>
  <si>
    <t>D165812</t>
  </si>
  <si>
    <t>TX1001984</t>
  </si>
  <si>
    <t>M1707</t>
  </si>
  <si>
    <t>C71369</t>
  </si>
  <si>
    <t>229.149.21.122</t>
  </si>
  <si>
    <t>D188963</t>
  </si>
  <si>
    <t>TX1000267</t>
  </si>
  <si>
    <t>C95712</t>
  </si>
  <si>
    <t>130.112.173.236</t>
  </si>
  <si>
    <t>D178918</t>
  </si>
  <si>
    <t>TX1000770</t>
  </si>
  <si>
    <t>C66556</t>
  </si>
  <si>
    <t>116.83.120.61</t>
  </si>
  <si>
    <t>D174450</t>
  </si>
  <si>
    <t>TX1002165</t>
  </si>
  <si>
    <t>C89726</t>
  </si>
  <si>
    <t>52.254.55.78</t>
  </si>
  <si>
    <t>D185276</t>
  </si>
  <si>
    <t>TX1000437</t>
  </si>
  <si>
    <t>M1975</t>
  </si>
  <si>
    <t>219.196.253.5</t>
  </si>
  <si>
    <t>D150146</t>
  </si>
  <si>
    <t>TX1000673</t>
  </si>
  <si>
    <t>M1756</t>
  </si>
  <si>
    <t>C90997</t>
  </si>
  <si>
    <t>133.99.193.184</t>
  </si>
  <si>
    <t>D124600</t>
  </si>
  <si>
    <t>TX1000249</t>
  </si>
  <si>
    <t>C55389</t>
  </si>
  <si>
    <t>217.210.163.116</t>
  </si>
  <si>
    <t>D162700</t>
  </si>
  <si>
    <t>TX1002201</t>
  </si>
  <si>
    <t>C84387</t>
  </si>
  <si>
    <t>46.43.13.180</t>
  </si>
  <si>
    <t>D165788</t>
  </si>
  <si>
    <t>TX1001574</t>
  </si>
  <si>
    <t>C59616</t>
  </si>
  <si>
    <t>119.66.43.126</t>
  </si>
  <si>
    <t>D149515</t>
  </si>
  <si>
    <t>TX1002142</t>
  </si>
  <si>
    <t>M1114</t>
  </si>
  <si>
    <t>C56883</t>
  </si>
  <si>
    <t>48.162.178.56</t>
  </si>
  <si>
    <t>D115923</t>
  </si>
  <si>
    <t>TX1002081</t>
  </si>
  <si>
    <t>M1503</t>
  </si>
  <si>
    <t>C97037</t>
  </si>
  <si>
    <t>89.117.117.206</t>
  </si>
  <si>
    <t>D166207</t>
  </si>
  <si>
    <t>TX1002619</t>
  </si>
  <si>
    <t>C99137</t>
  </si>
  <si>
    <t>90.41.21.28</t>
  </si>
  <si>
    <t>D144964</t>
  </si>
  <si>
    <t>TX1002570</t>
  </si>
  <si>
    <t>C83361</t>
  </si>
  <si>
    <t>39.56.176.39</t>
  </si>
  <si>
    <t>D192229</t>
  </si>
  <si>
    <t>TX1002741</t>
  </si>
  <si>
    <t>C57486</t>
  </si>
  <si>
    <t>82.76.67.2</t>
  </si>
  <si>
    <t>D184169</t>
  </si>
  <si>
    <t>TX1000448</t>
  </si>
  <si>
    <t>C86499</t>
  </si>
  <si>
    <t>158.55.23.19</t>
  </si>
  <si>
    <t>D196829</t>
  </si>
  <si>
    <t>TX1001469</t>
  </si>
  <si>
    <t>C80986</t>
  </si>
  <si>
    <t>249.253.153.83</t>
  </si>
  <si>
    <t>D192637</t>
  </si>
  <si>
    <t>TX1000716</t>
  </si>
  <si>
    <t>C63654</t>
  </si>
  <si>
    <t>163.217.93.175</t>
  </si>
  <si>
    <t>D113155</t>
  </si>
  <si>
    <t>TX1002400</t>
  </si>
  <si>
    <t>C56072</t>
  </si>
  <si>
    <t>236.186.212.216</t>
  </si>
  <si>
    <t>D118546</t>
  </si>
  <si>
    <t>TX1002616</t>
  </si>
  <si>
    <t>C50640</t>
  </si>
  <si>
    <t>57.55.77.239</t>
  </si>
  <si>
    <t>D193219</t>
  </si>
  <si>
    <t>TX1002048</t>
  </si>
  <si>
    <t>C52030</t>
  </si>
  <si>
    <t>232.9.190.137</t>
  </si>
  <si>
    <t>D164855</t>
  </si>
  <si>
    <t>TX1001901</t>
  </si>
  <si>
    <t>C81566</t>
  </si>
  <si>
    <t>77.197.124.122</t>
  </si>
  <si>
    <t>D194307</t>
  </si>
  <si>
    <t>TX1001168</t>
  </si>
  <si>
    <t>C73932</t>
  </si>
  <si>
    <t>118.3.190.21</t>
  </si>
  <si>
    <t>D114434</t>
  </si>
  <si>
    <t>TX1000082</t>
  </si>
  <si>
    <t>C83901</t>
  </si>
  <si>
    <t>82.71.13.168</t>
  </si>
  <si>
    <t>D165191</t>
  </si>
  <si>
    <t>TX1002426</t>
  </si>
  <si>
    <t>C64270</t>
  </si>
  <si>
    <t>9.66.205.105</t>
  </si>
  <si>
    <t>D156948</t>
  </si>
  <si>
    <t>TX1001460</t>
  </si>
  <si>
    <t>C99332</t>
  </si>
  <si>
    <t>127.71.205.32</t>
  </si>
  <si>
    <t>D161526</t>
  </si>
  <si>
    <t>TX1001893</t>
  </si>
  <si>
    <t>C74261</t>
  </si>
  <si>
    <t>92.172.172.182</t>
  </si>
  <si>
    <t>D187700</t>
  </si>
  <si>
    <t>TX1001668</t>
  </si>
  <si>
    <t>C61667</t>
  </si>
  <si>
    <t>53.165.109.167</t>
  </si>
  <si>
    <t>D181496</t>
  </si>
  <si>
    <t>TX1002000</t>
  </si>
  <si>
    <t>C66007</t>
  </si>
  <si>
    <t>169.64.15.152</t>
  </si>
  <si>
    <t>D151879</t>
  </si>
  <si>
    <t>TX1000475</t>
  </si>
  <si>
    <t>C61097</t>
  </si>
  <si>
    <t>215.97.67.80</t>
  </si>
  <si>
    <t>D106990</t>
  </si>
  <si>
    <t>TX1000517</t>
  </si>
  <si>
    <t>C61900</t>
  </si>
  <si>
    <t>245.35.167.223</t>
  </si>
  <si>
    <t>D141331</t>
  </si>
  <si>
    <t>TX1000404</t>
  </si>
  <si>
    <t>C56890</t>
  </si>
  <si>
    <t>186.188.2.240</t>
  </si>
  <si>
    <t>D190209</t>
  </si>
  <si>
    <t>TX1000384</t>
  </si>
  <si>
    <t>C76014</t>
  </si>
  <si>
    <t>55.243.58.72</t>
  </si>
  <si>
    <t>D159582</t>
  </si>
  <si>
    <t>TX1002955</t>
  </si>
  <si>
    <t>C95749</t>
  </si>
  <si>
    <t>166.24.113.109</t>
  </si>
  <si>
    <t>D146554</t>
  </si>
  <si>
    <t>TX1002152</t>
  </si>
  <si>
    <t>M1129</t>
  </si>
  <si>
    <t>C77379</t>
  </si>
  <si>
    <t>157.21.225.103</t>
  </si>
  <si>
    <t>D112086</t>
  </si>
  <si>
    <t>TX1001633</t>
  </si>
  <si>
    <t>C61846</t>
  </si>
  <si>
    <t>220.166.45.12</t>
  </si>
  <si>
    <t>D100505</t>
  </si>
  <si>
    <t>TX1002861</t>
  </si>
  <si>
    <t>C76571</t>
  </si>
  <si>
    <t>201.170.137.220</t>
  </si>
  <si>
    <t>D101373</t>
  </si>
  <si>
    <t>TX1000688</t>
  </si>
  <si>
    <t>C59259</t>
  </si>
  <si>
    <t>6.242.79.102</t>
  </si>
  <si>
    <t>D183917</t>
  </si>
  <si>
    <t>TX1001240</t>
  </si>
  <si>
    <t>87.205.130.27</t>
  </si>
  <si>
    <t>D129261</t>
  </si>
  <si>
    <t>TX1000062</t>
  </si>
  <si>
    <t>M1964</t>
  </si>
  <si>
    <t>C61009</t>
  </si>
  <si>
    <t>110.88.181.55</t>
  </si>
  <si>
    <t>D124530</t>
  </si>
  <si>
    <t>TX1000852</t>
  </si>
  <si>
    <t>97.164.133.152</t>
  </si>
  <si>
    <t>D184678</t>
  </si>
  <si>
    <t>TX1002753</t>
  </si>
  <si>
    <t>C69713</t>
  </si>
  <si>
    <t>239.7.17.229</t>
  </si>
  <si>
    <t>D191295</t>
  </si>
  <si>
    <t>TX1002478</t>
  </si>
  <si>
    <t>C62280</t>
  </si>
  <si>
    <t>139.91.108.145</t>
  </si>
  <si>
    <t>D191819</t>
  </si>
  <si>
    <t>TX1001262</t>
  </si>
  <si>
    <t>C64919</t>
  </si>
  <si>
    <t>86.255.135.223</t>
  </si>
  <si>
    <t>D144601</t>
  </si>
  <si>
    <t>TX1000223</t>
  </si>
  <si>
    <t>C76834</t>
  </si>
  <si>
    <t>52.95.195.75</t>
  </si>
  <si>
    <t>D172596</t>
  </si>
  <si>
    <t>TX1002193</t>
  </si>
  <si>
    <t>C78875</t>
  </si>
  <si>
    <t>234.170.193.136</t>
  </si>
  <si>
    <t>D193866</t>
  </si>
  <si>
    <t>TX1000373</t>
  </si>
  <si>
    <t>C86593</t>
  </si>
  <si>
    <t>76.235.73.214</t>
  </si>
  <si>
    <t>D172286</t>
  </si>
  <si>
    <t>TX1001824</t>
  </si>
  <si>
    <t>198.49.248.10</t>
  </si>
  <si>
    <t>D168678</t>
  </si>
  <si>
    <t>TX1002538</t>
  </si>
  <si>
    <t>C79500</t>
  </si>
  <si>
    <t>37.76.121.59</t>
  </si>
  <si>
    <t>D192164</t>
  </si>
  <si>
    <t>TX1002871</t>
  </si>
  <si>
    <t>C55525</t>
  </si>
  <si>
    <t>158.14.18.69</t>
  </si>
  <si>
    <t>D198976</t>
  </si>
  <si>
    <t>TX1002599</t>
  </si>
  <si>
    <t>C63311</t>
  </si>
  <si>
    <t>23.66.23.207</t>
  </si>
  <si>
    <t>D110704</t>
  </si>
  <si>
    <t>TX1002686</t>
  </si>
  <si>
    <t>C84858</t>
  </si>
  <si>
    <t>253.73.201.193</t>
  </si>
  <si>
    <t>D179013</t>
  </si>
  <si>
    <t>TX1000009</t>
  </si>
  <si>
    <t>C91808</t>
  </si>
  <si>
    <t>2.80.208.168</t>
  </si>
  <si>
    <t>D162350</t>
  </si>
  <si>
    <t>TX1001944</t>
  </si>
  <si>
    <t>C63296</t>
  </si>
  <si>
    <t>166.129.216.167</t>
  </si>
  <si>
    <t>D165666</t>
  </si>
  <si>
    <t>TX1001838</t>
  </si>
  <si>
    <t>C66353</t>
  </si>
  <si>
    <t>136.187.99.19</t>
  </si>
  <si>
    <t>D114463</t>
  </si>
  <si>
    <t>TX1000708</t>
  </si>
  <si>
    <t>C87752</t>
  </si>
  <si>
    <t>240.52.174.104</t>
  </si>
  <si>
    <t>D121551</t>
  </si>
  <si>
    <t>TX1000255</t>
  </si>
  <si>
    <t>M1849</t>
  </si>
  <si>
    <t>C70513</t>
  </si>
  <si>
    <t>163.225.27.49</t>
  </si>
  <si>
    <t>D119480</t>
  </si>
  <si>
    <t>TX1001617</t>
  </si>
  <si>
    <t>C95595</t>
  </si>
  <si>
    <t>215.118.43.229</t>
  </si>
  <si>
    <t>D112940</t>
  </si>
  <si>
    <t>TX1000389</t>
  </si>
  <si>
    <t>M1180</t>
  </si>
  <si>
    <t>C74452</t>
  </si>
  <si>
    <t>177.223.145.180</t>
  </si>
  <si>
    <t>D181313</t>
  </si>
  <si>
    <t>TX1001581</t>
  </si>
  <si>
    <t>C68316</t>
  </si>
  <si>
    <t>124.41.214.66</t>
  </si>
  <si>
    <t>D135837</t>
  </si>
  <si>
    <t>TX1000924</t>
  </si>
  <si>
    <t>C65392</t>
  </si>
  <si>
    <t>241.162.51.192</t>
  </si>
  <si>
    <t>D189048</t>
  </si>
  <si>
    <t>TX1002036</t>
  </si>
  <si>
    <t>C90936</t>
  </si>
  <si>
    <t>174.241.187.151</t>
  </si>
  <si>
    <t>D138132</t>
  </si>
  <si>
    <t>TX1002405</t>
  </si>
  <si>
    <t>C91186</t>
  </si>
  <si>
    <t>147.28.197.32</t>
  </si>
  <si>
    <t>D166425</t>
  </si>
  <si>
    <t>TX1001224</t>
  </si>
  <si>
    <t>C57946</t>
  </si>
  <si>
    <t>187.125.86.244</t>
  </si>
  <si>
    <t>D194143</t>
  </si>
  <si>
    <t>TX1001946</t>
  </si>
  <si>
    <t>C78438</t>
  </si>
  <si>
    <t>111.200.182.214</t>
  </si>
  <si>
    <t>D187294</t>
  </si>
  <si>
    <t>TX1000739</t>
  </si>
  <si>
    <t>C70355</t>
  </si>
  <si>
    <t>151.248.239.32</t>
  </si>
  <si>
    <t>D133071</t>
  </si>
  <si>
    <t>TX1000040</t>
  </si>
  <si>
    <t>C75458</t>
  </si>
  <si>
    <t>178.88.85.126</t>
  </si>
  <si>
    <t>D137858</t>
  </si>
  <si>
    <t>TX1000868</t>
  </si>
  <si>
    <t>C97964</t>
  </si>
  <si>
    <t>196.87.181.148</t>
  </si>
  <si>
    <t>D112347</t>
  </si>
  <si>
    <t>TX1000539</t>
  </si>
  <si>
    <t>58.112.125.225</t>
  </si>
  <si>
    <t>D129600</t>
  </si>
  <si>
    <t>TX1002512</t>
  </si>
  <si>
    <t>C55178</t>
  </si>
  <si>
    <t>120.160.214.218</t>
  </si>
  <si>
    <t>D195328</t>
  </si>
  <si>
    <t>TX1001371</t>
  </si>
  <si>
    <t>22.207.145.29</t>
  </si>
  <si>
    <t>D145773</t>
  </si>
  <si>
    <t>TX1001145</t>
  </si>
  <si>
    <t>C99429</t>
  </si>
  <si>
    <t>59.96.208.155</t>
  </si>
  <si>
    <t>D127632</t>
  </si>
  <si>
    <t>TX1001031</t>
  </si>
  <si>
    <t>C59263</t>
  </si>
  <si>
    <t>15.168.148.18</t>
  </si>
  <si>
    <t>D150847</t>
  </si>
  <si>
    <t>TX1000372</t>
  </si>
  <si>
    <t>C92857</t>
  </si>
  <si>
    <t>138.117.196.22</t>
  </si>
  <si>
    <t>TX1000667</t>
  </si>
  <si>
    <t>C54860</t>
  </si>
  <si>
    <t>86.69.91.12</t>
  </si>
  <si>
    <t>D156062</t>
  </si>
  <si>
    <t>TX1000357</t>
  </si>
  <si>
    <t>C61874</t>
  </si>
  <si>
    <t>103.19.140.254</t>
  </si>
  <si>
    <t>D125189</t>
  </si>
  <si>
    <t>TX1000967</t>
  </si>
  <si>
    <t>C58806</t>
  </si>
  <si>
    <t>111.99.94.18</t>
  </si>
  <si>
    <t>D162549</t>
  </si>
  <si>
    <t>TX1001353</t>
  </si>
  <si>
    <t>C71825</t>
  </si>
  <si>
    <t>206.201.161.51</t>
  </si>
  <si>
    <t>D120790</t>
  </si>
  <si>
    <t>TX1001035</t>
  </si>
  <si>
    <t>C83573</t>
  </si>
  <si>
    <t>105.218.8.132</t>
  </si>
  <si>
    <t>D130589</t>
  </si>
  <si>
    <t>TX1000470</t>
  </si>
  <si>
    <t>C72818</t>
  </si>
  <si>
    <t>109.109.97.98</t>
  </si>
  <si>
    <t>D149047</t>
  </si>
  <si>
    <t>TX1001396</t>
  </si>
  <si>
    <t>C93826</t>
  </si>
  <si>
    <t>81.49.34.157</t>
  </si>
  <si>
    <t>D182464</t>
  </si>
  <si>
    <t>TX1002622</t>
  </si>
  <si>
    <t>C62366</t>
  </si>
  <si>
    <t>74.31.195.203</t>
  </si>
  <si>
    <t>D170547</t>
  </si>
  <si>
    <t>TX1001549</t>
  </si>
  <si>
    <t>C90061</t>
  </si>
  <si>
    <t>95.229.164.54</t>
  </si>
  <si>
    <t>D169293</t>
  </si>
  <si>
    <t>TX1001256</t>
  </si>
  <si>
    <t>C93385</t>
  </si>
  <si>
    <t>18.191.51.49</t>
  </si>
  <si>
    <t>D152049</t>
  </si>
  <si>
    <t>TX1002094</t>
  </si>
  <si>
    <t>M1930</t>
  </si>
  <si>
    <t>C79773</t>
  </si>
  <si>
    <t>44.85.104.224</t>
  </si>
  <si>
    <t>D192747</t>
  </si>
  <si>
    <t>TX1001555</t>
  </si>
  <si>
    <t>70.57.148.29</t>
  </si>
  <si>
    <t>D137256</t>
  </si>
  <si>
    <t>TX1002591</t>
  </si>
  <si>
    <t>C89045</t>
  </si>
  <si>
    <t>14.236.81.39</t>
  </si>
  <si>
    <t>D173471</t>
  </si>
  <si>
    <t>TX1001250</t>
  </si>
  <si>
    <t>C70062</t>
  </si>
  <si>
    <t>97.190.109.47</t>
  </si>
  <si>
    <t>D149123</t>
  </si>
  <si>
    <t>TX1001699</t>
  </si>
  <si>
    <t>C98293</t>
  </si>
  <si>
    <t>134.158.33.1</t>
  </si>
  <si>
    <t>D139055</t>
  </si>
  <si>
    <t>TX1001252</t>
  </si>
  <si>
    <t>C75034</t>
  </si>
  <si>
    <t>51.124.165.69</t>
  </si>
  <si>
    <t>D107820</t>
  </si>
  <si>
    <t>TX1002782</t>
  </si>
  <si>
    <t>C52562</t>
  </si>
  <si>
    <t>165.195.208.4</t>
  </si>
  <si>
    <t>D148942</t>
  </si>
  <si>
    <t>TX1000079</t>
  </si>
  <si>
    <t>C52002</t>
  </si>
  <si>
    <t>90.176.83.215</t>
  </si>
  <si>
    <t>D133903</t>
  </si>
  <si>
    <t>TX1001172</t>
  </si>
  <si>
    <t>C64861</t>
  </si>
  <si>
    <t>68.245.13.216</t>
  </si>
  <si>
    <t>D132801</t>
  </si>
  <si>
    <t>TX1000814</t>
  </si>
  <si>
    <t>C70076</t>
  </si>
  <si>
    <t>202.190.195.102</t>
  </si>
  <si>
    <t>D139595</t>
  </si>
  <si>
    <t>TX1001852</t>
  </si>
  <si>
    <t>C82505</t>
  </si>
  <si>
    <t>197.178.83.101</t>
  </si>
  <si>
    <t>D115993</t>
  </si>
  <si>
    <t>TX1002220</t>
  </si>
  <si>
    <t>C73761</t>
  </si>
  <si>
    <t>152.91.208.8</t>
  </si>
  <si>
    <t>D144213</t>
  </si>
  <si>
    <t>TX1002630</t>
  </si>
  <si>
    <t>M1160</t>
  </si>
  <si>
    <t>C92580</t>
  </si>
  <si>
    <t>234.238.105.7</t>
  </si>
  <si>
    <t>D125263</t>
  </si>
  <si>
    <t>TX1002105</t>
  </si>
  <si>
    <t>C71748</t>
  </si>
  <si>
    <t>196.196.136.253</t>
  </si>
  <si>
    <t>D165662</t>
  </si>
  <si>
    <t>TX1000133</t>
  </si>
  <si>
    <t>C97222</t>
  </si>
  <si>
    <t>26.83.30.56</t>
  </si>
  <si>
    <t>D133330</t>
  </si>
  <si>
    <t>TX1001140</t>
  </si>
  <si>
    <t>C91935</t>
  </si>
  <si>
    <t>112.227.5.146</t>
  </si>
  <si>
    <t>D191650</t>
  </si>
  <si>
    <t>TX1000933</t>
  </si>
  <si>
    <t>C57823</t>
  </si>
  <si>
    <t>174.227.1.121</t>
  </si>
  <si>
    <t>D118035</t>
  </si>
  <si>
    <t>TX1000928</t>
  </si>
  <si>
    <t>C62816</t>
  </si>
  <si>
    <t>110.119.157.58</t>
  </si>
  <si>
    <t>D144218</t>
  </si>
  <si>
    <t>TX1000823</t>
  </si>
  <si>
    <t>M1999</t>
  </si>
  <si>
    <t>C83518</t>
  </si>
  <si>
    <t>213.102.195.10</t>
  </si>
  <si>
    <t>D112932</t>
  </si>
  <si>
    <t>TX1001531</t>
  </si>
  <si>
    <t>140.16.161.26</t>
  </si>
  <si>
    <t>D106540</t>
  </si>
  <si>
    <t>TX1001214</t>
  </si>
  <si>
    <t>C55942</t>
  </si>
  <si>
    <t>226.182.185.51</t>
  </si>
  <si>
    <t>D107074</t>
  </si>
  <si>
    <t>TX1000504</t>
  </si>
  <si>
    <t>C87139</t>
  </si>
  <si>
    <t>220.125.116.177</t>
  </si>
  <si>
    <t>D194028</t>
  </si>
  <si>
    <t>TX1002967</t>
  </si>
  <si>
    <t>C73951</t>
  </si>
  <si>
    <t>74.5.191.148</t>
  </si>
  <si>
    <t>D143415</t>
  </si>
  <si>
    <t>TX1002395</t>
  </si>
  <si>
    <t>C59988</t>
  </si>
  <si>
    <t>7.70.233.109</t>
  </si>
  <si>
    <t>D135650</t>
  </si>
  <si>
    <t>TX1001996</t>
  </si>
  <si>
    <t>C59211</t>
  </si>
  <si>
    <t>157.85.12.107</t>
  </si>
  <si>
    <t>D128658</t>
  </si>
  <si>
    <t>TX1001958</t>
  </si>
  <si>
    <t>C50217</t>
  </si>
  <si>
    <t>160.123.225.155</t>
  </si>
  <si>
    <t>D167779</t>
  </si>
  <si>
    <t>TX1001384</t>
  </si>
  <si>
    <t>C69428</t>
  </si>
  <si>
    <t>46.173.71.20</t>
  </si>
  <si>
    <t>D122459</t>
  </si>
  <si>
    <t>TX1000894</t>
  </si>
  <si>
    <t>C71909</t>
  </si>
  <si>
    <t>89.59.51.98</t>
  </si>
  <si>
    <t>D138034</t>
  </si>
  <si>
    <t>TX1000828</t>
  </si>
  <si>
    <t>C81204</t>
  </si>
  <si>
    <t>169.34.188.23</t>
  </si>
  <si>
    <t>D156114</t>
  </si>
  <si>
    <t>TX1002922</t>
  </si>
  <si>
    <t>176.67.205.91</t>
  </si>
  <si>
    <t>D199139</t>
  </si>
  <si>
    <t>TX1001683</t>
  </si>
  <si>
    <t>C72893</t>
  </si>
  <si>
    <t>183.33.246.22</t>
  </si>
  <si>
    <t>D150409</t>
  </si>
  <si>
    <t>TX1002576</t>
  </si>
  <si>
    <t>C52628</t>
  </si>
  <si>
    <t>48.23.159.150</t>
  </si>
  <si>
    <t>D144618</t>
  </si>
  <si>
    <t>TX1002560</t>
  </si>
  <si>
    <t>C97469</t>
  </si>
  <si>
    <t>153.96.43.135</t>
  </si>
  <si>
    <t>D147752</t>
  </si>
  <si>
    <t>TX1002514</t>
  </si>
  <si>
    <t>C57397</t>
  </si>
  <si>
    <t>105.48.206.31</t>
  </si>
  <si>
    <t>D186411</t>
  </si>
  <si>
    <t>TX1000652</t>
  </si>
  <si>
    <t>148.96.252.141</t>
  </si>
  <si>
    <t>D131183</t>
  </si>
  <si>
    <t>TX1000172</t>
  </si>
  <si>
    <t>C58817</t>
  </si>
  <si>
    <t>54.29.55.147</t>
  </si>
  <si>
    <t>D195646</t>
  </si>
  <si>
    <t>TX1000038</t>
  </si>
  <si>
    <t>C65194</t>
  </si>
  <si>
    <t>116.219.199.2</t>
  </si>
  <si>
    <t>D192371</t>
  </si>
  <si>
    <t>TX1002862</t>
  </si>
  <si>
    <t>C90361</t>
  </si>
  <si>
    <t>152.218.168.190</t>
  </si>
  <si>
    <t>D175517</t>
  </si>
  <si>
    <t>TX1000713</t>
  </si>
  <si>
    <t>C73657</t>
  </si>
  <si>
    <t>228.70.169.143</t>
  </si>
  <si>
    <t>D156118</t>
  </si>
  <si>
    <t>TX1000090</t>
  </si>
  <si>
    <t>C56964</t>
  </si>
  <si>
    <t>181.209.151.42</t>
  </si>
  <si>
    <t>D105164</t>
  </si>
  <si>
    <t>TX1002957</t>
  </si>
  <si>
    <t>C64684</t>
  </si>
  <si>
    <t>101.63.24.32</t>
  </si>
  <si>
    <t>D143474</t>
  </si>
  <si>
    <t>TX1001205</t>
  </si>
  <si>
    <t>C80566</t>
  </si>
  <si>
    <t>189.125.157.150</t>
  </si>
  <si>
    <t>D198758</t>
  </si>
  <si>
    <t>TX1002587</t>
  </si>
  <si>
    <t>C62145</t>
  </si>
  <si>
    <t>110.208.224.12</t>
  </si>
  <si>
    <t>D189088</t>
  </si>
  <si>
    <t>TX1001827</t>
  </si>
  <si>
    <t>C61837</t>
  </si>
  <si>
    <t>99.78.189.113</t>
  </si>
  <si>
    <t>D130360</t>
  </si>
  <si>
    <t>TX1001155</t>
  </si>
  <si>
    <t>C65214</t>
  </si>
  <si>
    <t>81.112.232.179</t>
  </si>
  <si>
    <t>D104096</t>
  </si>
  <si>
    <t>TX1001324</t>
  </si>
  <si>
    <t>C98487</t>
  </si>
  <si>
    <t>214.26.207.123</t>
  </si>
  <si>
    <t>D116758</t>
  </si>
  <si>
    <t>TX1000216</t>
  </si>
  <si>
    <t>C77298</t>
  </si>
  <si>
    <t>166.10.149.49</t>
  </si>
  <si>
    <t>D108250</t>
  </si>
  <si>
    <t>TX1000510</t>
  </si>
  <si>
    <t>C59170</t>
  </si>
  <si>
    <t>184.131.150.214</t>
  </si>
  <si>
    <t>D148952</t>
  </si>
  <si>
    <t>TX1001680</t>
  </si>
  <si>
    <t>C67940</t>
  </si>
  <si>
    <t>102.254.130.174</t>
  </si>
  <si>
    <t>D176651</t>
  </si>
  <si>
    <t>TX1000499</t>
  </si>
  <si>
    <t>94.211.173.37</t>
  </si>
  <si>
    <t>D131859</t>
  </si>
  <si>
    <t>TX1002481</t>
  </si>
  <si>
    <t>C55751</t>
  </si>
  <si>
    <t>99.65.185.24</t>
  </si>
  <si>
    <t>D152233</t>
  </si>
  <si>
    <t>TX1001856</t>
  </si>
  <si>
    <t>C88478</t>
  </si>
  <si>
    <t>17.162.148.220</t>
  </si>
  <si>
    <t>D117023</t>
  </si>
  <si>
    <t>TX1001388</t>
  </si>
  <si>
    <t>C65906</t>
  </si>
  <si>
    <t>128.18.28.66</t>
  </si>
  <si>
    <t>D143331</t>
  </si>
  <si>
    <t>TX1001519</t>
  </si>
  <si>
    <t>C57978</t>
  </si>
  <si>
    <t>198.69.136.99</t>
  </si>
  <si>
    <t>D173424</t>
  </si>
  <si>
    <t>TX1002386</t>
  </si>
  <si>
    <t>224.3.27.7</t>
  </si>
  <si>
    <t>D152762</t>
  </si>
  <si>
    <t>TX1002723</t>
  </si>
  <si>
    <t>C51318</t>
  </si>
  <si>
    <t>165.153.6.126</t>
  </si>
  <si>
    <t>D145132</t>
  </si>
  <si>
    <t>TX1002076</t>
  </si>
  <si>
    <t>C99065</t>
  </si>
  <si>
    <t>183.219.40.28</t>
  </si>
  <si>
    <t>D121792</t>
  </si>
  <si>
    <t>TX1001540</t>
  </si>
  <si>
    <t>C74143</t>
  </si>
  <si>
    <t>205.144.89.91</t>
  </si>
  <si>
    <t>D105883</t>
  </si>
  <si>
    <t>TX1001217</t>
  </si>
  <si>
    <t>C90360</t>
  </si>
  <si>
    <t>163.67.81.171</t>
  </si>
  <si>
    <t>D132775</t>
  </si>
  <si>
    <t>TX1001416</t>
  </si>
  <si>
    <t>C95427</t>
  </si>
  <si>
    <t>161.128.139.49</t>
  </si>
  <si>
    <t>D197714</t>
  </si>
  <si>
    <t>TX1002217</t>
  </si>
  <si>
    <t>C77419</t>
  </si>
  <si>
    <t>183.31.54.186</t>
  </si>
  <si>
    <t>D136515</t>
  </si>
  <si>
    <t>TX1002752</t>
  </si>
  <si>
    <t>C87248</t>
  </si>
  <si>
    <t>1.15.129.232</t>
  </si>
  <si>
    <t>D111848</t>
  </si>
  <si>
    <t>TX1001676</t>
  </si>
  <si>
    <t>C65065</t>
  </si>
  <si>
    <t>92.209.196.109</t>
  </si>
  <si>
    <t>D193937</t>
  </si>
  <si>
    <t>TX1001197</t>
  </si>
  <si>
    <t>C58523</t>
  </si>
  <si>
    <t>126.219.88.194</t>
  </si>
  <si>
    <t>D149334</t>
  </si>
  <si>
    <t>TX1001542</t>
  </si>
  <si>
    <t>C58139</t>
  </si>
  <si>
    <t>229.130.218.164</t>
  </si>
  <si>
    <t>D175750</t>
  </si>
  <si>
    <t>TX1000953</t>
  </si>
  <si>
    <t>C78130</t>
  </si>
  <si>
    <t>211.87.232.221</t>
  </si>
  <si>
    <t>D121784</t>
  </si>
  <si>
    <t>TX1000750</t>
  </si>
  <si>
    <t>C75899</t>
  </si>
  <si>
    <t>160.32.45.77</t>
  </si>
  <si>
    <t>D109680</t>
  </si>
  <si>
    <t>TX1000234</t>
  </si>
  <si>
    <t>C91180</t>
  </si>
  <si>
    <t>7.91.195.155</t>
  </si>
  <si>
    <t>D189024</t>
  </si>
  <si>
    <t>TX1000732</t>
  </si>
  <si>
    <t>M1957</t>
  </si>
  <si>
    <t>C71406</t>
  </si>
  <si>
    <t>228.79.13.37</t>
  </si>
  <si>
    <t>D163157</t>
  </si>
  <si>
    <t>TX1002995</t>
  </si>
  <si>
    <t>C90741</t>
  </si>
  <si>
    <t>251.222.214.118</t>
  </si>
  <si>
    <t>D130364</t>
  </si>
  <si>
    <t>TX1001156</t>
  </si>
  <si>
    <t>C59201</t>
  </si>
  <si>
    <t>196.85.217.66</t>
  </si>
  <si>
    <t>D113304</t>
  </si>
  <si>
    <t>TX1002575</t>
  </si>
  <si>
    <t>C54503</t>
  </si>
  <si>
    <t>239.108.28.108</t>
  </si>
  <si>
    <t>D161755</t>
  </si>
  <si>
    <t>TX1002445</t>
  </si>
  <si>
    <t>C72108</t>
  </si>
  <si>
    <t>4.97.28.209</t>
  </si>
  <si>
    <t>D192203</t>
  </si>
  <si>
    <t>TX1001209</t>
  </si>
  <si>
    <t>C79561</t>
  </si>
  <si>
    <t>190.173.85.67</t>
  </si>
  <si>
    <t>D159664</t>
  </si>
  <si>
    <t>TX1001065</t>
  </si>
  <si>
    <t>C58445</t>
  </si>
  <si>
    <t>211.101.125.237</t>
  </si>
  <si>
    <t>D194566</t>
  </si>
  <si>
    <t>TX1002156</t>
  </si>
  <si>
    <t>C91550</t>
  </si>
  <si>
    <t>153.12.237.89</t>
  </si>
  <si>
    <t>D164102</t>
  </si>
  <si>
    <t>TX1001062</t>
  </si>
  <si>
    <t>C99481</t>
  </si>
  <si>
    <t>190.42.191.176</t>
  </si>
  <si>
    <t>D163203</t>
  </si>
  <si>
    <t>TX1001167</t>
  </si>
  <si>
    <t>C80530</t>
  </si>
  <si>
    <t>12.21.11.91</t>
  </si>
  <si>
    <t>D116960</t>
  </si>
  <si>
    <t>TX1001492</t>
  </si>
  <si>
    <t>C75858</t>
  </si>
  <si>
    <t>191.19.126.56</t>
  </si>
  <si>
    <t>D117890</t>
  </si>
  <si>
    <t>TX1002476</t>
  </si>
  <si>
    <t>C77483</t>
  </si>
  <si>
    <t>104.83.163.124</t>
  </si>
  <si>
    <t>D190848</t>
  </si>
  <si>
    <t>TX1000884</t>
  </si>
  <si>
    <t>C75003</t>
  </si>
  <si>
    <t>151.33.158.58</t>
  </si>
  <si>
    <t>D127512</t>
  </si>
  <si>
    <t>TX1000143</t>
  </si>
  <si>
    <t>C94659</t>
  </si>
  <si>
    <t>134.62.129.124</t>
  </si>
  <si>
    <t>D183692</t>
  </si>
  <si>
    <t>TX1002944</t>
  </si>
  <si>
    <t>C55972</t>
  </si>
  <si>
    <t>136.220.55.61</t>
  </si>
  <si>
    <t>D127666</t>
  </si>
  <si>
    <t>TX1000850</t>
  </si>
  <si>
    <t>C55000</t>
  </si>
  <si>
    <t>248.21.120.179</t>
  </si>
  <si>
    <t>D145436</t>
  </si>
  <si>
    <t>TX1000717</t>
  </si>
  <si>
    <t>C79425</t>
  </si>
  <si>
    <t>192.3.66.94</t>
  </si>
  <si>
    <t>D167543</t>
  </si>
  <si>
    <t>TX1002844</t>
  </si>
  <si>
    <t>C54876</t>
  </si>
  <si>
    <t>121.97.13.228</t>
  </si>
  <si>
    <t>D104405</t>
  </si>
  <si>
    <t>TX1000264</t>
  </si>
  <si>
    <t>C95263</t>
  </si>
  <si>
    <t>4.97.57.209</t>
  </si>
  <si>
    <t>D102082</t>
  </si>
  <si>
    <t>TX1000075</t>
  </si>
  <si>
    <t>C75434</t>
  </si>
  <si>
    <t>134.214.57.107</t>
  </si>
  <si>
    <t>D119613</t>
  </si>
  <si>
    <t>TX1000395</t>
  </si>
  <si>
    <t>M1147</t>
  </si>
  <si>
    <t>C87968</t>
  </si>
  <si>
    <t>68.92.47.20</t>
  </si>
  <si>
    <t>D164781</t>
  </si>
  <si>
    <t>TX1002547</t>
  </si>
  <si>
    <t>C66988</t>
  </si>
  <si>
    <t>34.5.85.81</t>
  </si>
  <si>
    <t>D111391</t>
  </si>
  <si>
    <t>TX1002224</t>
  </si>
  <si>
    <t>C56870</t>
  </si>
  <si>
    <t>64.100.240.15</t>
  </si>
  <si>
    <t>D117337</t>
  </si>
  <si>
    <t>TX1002801</t>
  </si>
  <si>
    <t>C51015</t>
  </si>
  <si>
    <t>73.57.239.211</t>
  </si>
  <si>
    <t>D148361</t>
  </si>
  <si>
    <t>TX1000396</t>
  </si>
  <si>
    <t>C70551</t>
  </si>
  <si>
    <t>169.16.60.250</t>
  </si>
  <si>
    <t>D144932</t>
  </si>
  <si>
    <t>TX1001365</t>
  </si>
  <si>
    <t>C57833</t>
  </si>
  <si>
    <t>133.217.17.86</t>
  </si>
  <si>
    <t>D150750</t>
  </si>
  <si>
    <t>TX1002502</t>
  </si>
  <si>
    <t>C52627</t>
  </si>
  <si>
    <t>192.85.21.139</t>
  </si>
  <si>
    <t>D176865</t>
  </si>
  <si>
    <t>TX1001903</t>
  </si>
  <si>
    <t>188.137.40.206</t>
  </si>
  <si>
    <t>D122474</t>
  </si>
  <si>
    <t>TX1000595</t>
  </si>
  <si>
    <t>C73505</t>
  </si>
  <si>
    <t>236.74.174.139</t>
  </si>
  <si>
    <t>D182928</t>
  </si>
  <si>
    <t>TX1002109</t>
  </si>
  <si>
    <t>C56511</t>
  </si>
  <si>
    <t>155.105.156.199</t>
  </si>
  <si>
    <t>D162909</t>
  </si>
  <si>
    <t>TX1001296</t>
  </si>
  <si>
    <t>M1570</t>
  </si>
  <si>
    <t>C88921</t>
  </si>
  <si>
    <t>241.124.58.105</t>
  </si>
  <si>
    <t>D166618</t>
  </si>
  <si>
    <t>TX1001821</t>
  </si>
  <si>
    <t>C84497</t>
  </si>
  <si>
    <t>95.30.239.189</t>
  </si>
  <si>
    <t>D199971</t>
  </si>
  <si>
    <t>TX1000872</t>
  </si>
  <si>
    <t>C76114</t>
  </si>
  <si>
    <t>46.138.129.92</t>
  </si>
  <si>
    <t>D168168</t>
  </si>
  <si>
    <t>TX1002913</t>
  </si>
  <si>
    <t>C51972</t>
  </si>
  <si>
    <t>142.32.58.59</t>
  </si>
  <si>
    <t>D103942</t>
  </si>
  <si>
    <t>TX1002326</t>
  </si>
  <si>
    <t>C80512</t>
  </si>
  <si>
    <t>198.110.74.240</t>
  </si>
  <si>
    <t>D122744</t>
  </si>
  <si>
    <t>TX1001548</t>
  </si>
  <si>
    <t>220.249.242.67</t>
  </si>
  <si>
    <t>D181557</t>
  </si>
  <si>
    <t>TX1000036</t>
  </si>
  <si>
    <t>C98945</t>
  </si>
  <si>
    <t>198.77.176.7</t>
  </si>
  <si>
    <t>D163277</t>
  </si>
  <si>
    <t>TX1002528</t>
  </si>
  <si>
    <t>C88387</t>
  </si>
  <si>
    <t>27.213.72.162</t>
  </si>
  <si>
    <t>D191217</t>
  </si>
  <si>
    <t>TX1002143</t>
  </si>
  <si>
    <t>112.17.219.173</t>
  </si>
  <si>
    <t>D177723</t>
  </si>
  <si>
    <t>TX1002972</t>
  </si>
  <si>
    <t>C62346</t>
  </si>
  <si>
    <t>216.55.63.131</t>
  </si>
  <si>
    <t>TX1000977</t>
  </si>
  <si>
    <t>C71923</t>
  </si>
  <si>
    <t>250.120.186.106</t>
  </si>
  <si>
    <t>D198683</t>
  </si>
  <si>
    <t>TX1001571</t>
  </si>
  <si>
    <t>C83386</t>
  </si>
  <si>
    <t>235.22.66.18</t>
  </si>
  <si>
    <t>D165640</t>
  </si>
  <si>
    <t>TX1001122</t>
  </si>
  <si>
    <t>C75256</t>
  </si>
  <si>
    <t>106.33.243.223</t>
  </si>
  <si>
    <t>D105463</t>
  </si>
  <si>
    <t>TX1002239</t>
  </si>
  <si>
    <t>C56824</t>
  </si>
  <si>
    <t>65.79.151.156</t>
  </si>
  <si>
    <t>D113577</t>
  </si>
  <si>
    <t>TX1001892</t>
  </si>
  <si>
    <t>C52231</t>
  </si>
  <si>
    <t>5.43.184.95</t>
  </si>
  <si>
    <t>D136975</t>
  </si>
  <si>
    <t>TX1000675</t>
  </si>
  <si>
    <t>C75551</t>
  </si>
  <si>
    <t>202.117.188.88</t>
  </si>
  <si>
    <t>D171233</t>
  </si>
  <si>
    <t>TX1000728</t>
  </si>
  <si>
    <t>237.235.209.120</t>
  </si>
  <si>
    <t>D198652</t>
  </si>
  <si>
    <t>TX1000412</t>
  </si>
  <si>
    <t>C99824</t>
  </si>
  <si>
    <t>121.56.23.210</t>
  </si>
  <si>
    <t>D102279</t>
  </si>
  <si>
    <t>TX1001516</t>
  </si>
  <si>
    <t>C76526</t>
  </si>
  <si>
    <t>218.15.131.119</t>
  </si>
  <si>
    <t>D184966</t>
  </si>
  <si>
    <t>TX1001649</t>
  </si>
  <si>
    <t>C66048</t>
  </si>
  <si>
    <t>179.7.3.179</t>
  </si>
  <si>
    <t>D100747</t>
  </si>
  <si>
    <t>TX1000825</t>
  </si>
  <si>
    <t>C60576</t>
  </si>
  <si>
    <t>40.177.78.184</t>
  </si>
  <si>
    <t>TX1000616</t>
  </si>
  <si>
    <t>C59855</t>
  </si>
  <si>
    <t>53.251.223.203</t>
  </si>
  <si>
    <t>D168673</t>
  </si>
  <si>
    <t>TX1000114</t>
  </si>
  <si>
    <t>M1564</t>
  </si>
  <si>
    <t>C85368</t>
  </si>
  <si>
    <t>35.237.46.102</t>
  </si>
  <si>
    <t>D147692</t>
  </si>
  <si>
    <t>TX1000417</t>
  </si>
  <si>
    <t>C68564</t>
  </si>
  <si>
    <t>70.73.100.111</t>
  </si>
  <si>
    <t>TX1001625</t>
  </si>
  <si>
    <t>C89728</t>
  </si>
  <si>
    <t>209.39.29.174</t>
  </si>
  <si>
    <t>D181284</t>
  </si>
  <si>
    <t>TX1002941</t>
  </si>
  <si>
    <t>C54153</t>
  </si>
  <si>
    <t>160.122.108.140</t>
  </si>
  <si>
    <t>D159593</t>
  </si>
  <si>
    <t>TX1000089</t>
  </si>
  <si>
    <t>C79118</t>
  </si>
  <si>
    <t>162.4.154.108</t>
  </si>
  <si>
    <t>D186725</t>
  </si>
  <si>
    <t>TX1002082</t>
  </si>
  <si>
    <t>C85883</t>
  </si>
  <si>
    <t>14.98.13.249</t>
  </si>
  <si>
    <t>D175456</t>
  </si>
  <si>
    <t>TX1000753</t>
  </si>
  <si>
    <t>C66953</t>
  </si>
  <si>
    <t>1.205.236.214</t>
  </si>
  <si>
    <t>D172240</t>
  </si>
  <si>
    <t>TX1001630</t>
  </si>
  <si>
    <t>C78676</t>
  </si>
  <si>
    <t>238.54.147.120</t>
  </si>
  <si>
    <t>D112756</t>
  </si>
  <si>
    <t>TX1000011</t>
  </si>
  <si>
    <t>C92029</t>
  </si>
  <si>
    <t>50.57.169.42</t>
  </si>
  <si>
    <t>D195829</t>
  </si>
  <si>
    <t>TX1002444</t>
  </si>
  <si>
    <t>C59845</t>
  </si>
  <si>
    <t>145.160.206.19</t>
  </si>
  <si>
    <t>D140219</t>
  </si>
  <si>
    <t>TX1000284</t>
  </si>
  <si>
    <t>C65498</t>
  </si>
  <si>
    <t>119.208.33.124</t>
  </si>
  <si>
    <t>D103788</t>
  </si>
  <si>
    <t>TX1001066</t>
  </si>
  <si>
    <t>C78294</t>
  </si>
  <si>
    <t>84.70.86.74</t>
  </si>
  <si>
    <t>D197111</t>
  </si>
  <si>
    <t>TX1001191</t>
  </si>
  <si>
    <t>C68630</t>
  </si>
  <si>
    <t>88.10.230.69</t>
  </si>
  <si>
    <t>D126765</t>
  </si>
  <si>
    <t>TX1001440</t>
  </si>
  <si>
    <t>C80797</t>
  </si>
  <si>
    <t>189.239.104.98</t>
  </si>
  <si>
    <t>D188012</t>
  </si>
  <si>
    <t>TX1002803</t>
  </si>
  <si>
    <t>M1634</t>
  </si>
  <si>
    <t>C84351</t>
  </si>
  <si>
    <t>131.44.202.171</t>
  </si>
  <si>
    <t>D161618</t>
  </si>
  <si>
    <t>TX1002802</t>
  </si>
  <si>
    <t>C61834</t>
  </si>
  <si>
    <t>206.52.200.87</t>
  </si>
  <si>
    <t>D165835</t>
  </si>
  <si>
    <t>TX1002712</t>
  </si>
  <si>
    <t>C59135</t>
  </si>
  <si>
    <t>172.42.189.122</t>
  </si>
  <si>
    <t>D106985</t>
  </si>
  <si>
    <t>TX1001568</t>
  </si>
  <si>
    <t>C82193</t>
  </si>
  <si>
    <t>108.249.238.223</t>
  </si>
  <si>
    <t>D105182</t>
  </si>
  <si>
    <t>TX1002427</t>
  </si>
  <si>
    <t>C54392</t>
  </si>
  <si>
    <t>158.129.236.53</t>
  </si>
  <si>
    <t>D180430</t>
  </si>
  <si>
    <t>TX1002579</t>
  </si>
  <si>
    <t>C76621</t>
  </si>
  <si>
    <t>38.83.109.165</t>
  </si>
  <si>
    <t>D193542</t>
  </si>
  <si>
    <t>TX1001687</t>
  </si>
  <si>
    <t>M1023</t>
  </si>
  <si>
    <t>C66410</t>
  </si>
  <si>
    <t>4.197.225.73</t>
  </si>
  <si>
    <t>D194018</t>
  </si>
  <si>
    <t>TX1000851</t>
  </si>
  <si>
    <t>M1875</t>
  </si>
  <si>
    <t>C81767</t>
  </si>
  <si>
    <t>27.128.181.46</t>
  </si>
  <si>
    <t>D178404</t>
  </si>
  <si>
    <t>TX1002207</t>
  </si>
  <si>
    <t>C79602</t>
  </si>
  <si>
    <t>7.20.226.29</t>
  </si>
  <si>
    <t>D113888</t>
  </si>
  <si>
    <t>TX1000895</t>
  </si>
  <si>
    <t>C88961</t>
  </si>
  <si>
    <t>76.90.42.97</t>
  </si>
  <si>
    <t>D133408</t>
  </si>
  <si>
    <t>TX1000496</t>
  </si>
  <si>
    <t>C90992</t>
  </si>
  <si>
    <t>100.98.82.118</t>
  </si>
  <si>
    <t>D148373</t>
  </si>
  <si>
    <t>TX1002305</t>
  </si>
  <si>
    <t>C72965</t>
  </si>
  <si>
    <t>87.142.253.97</t>
  </si>
  <si>
    <t>D129168</t>
  </si>
  <si>
    <t>TX1001782</t>
  </si>
  <si>
    <t>M1368</t>
  </si>
  <si>
    <t>C79557</t>
  </si>
  <si>
    <t>169.176.95.24</t>
  </si>
  <si>
    <t>D113081</t>
  </si>
  <si>
    <t>TX1000335</t>
  </si>
  <si>
    <t>C62442</t>
  </si>
  <si>
    <t>134.113.54.102</t>
  </si>
  <si>
    <t>D101204</t>
  </si>
  <si>
    <t>TX1000515</t>
  </si>
  <si>
    <t>C80700</t>
  </si>
  <si>
    <t>120.231.77.167</t>
  </si>
  <si>
    <t>D143310</t>
  </si>
  <si>
    <t>TX1001348</t>
  </si>
  <si>
    <t>C65391</t>
  </si>
  <si>
    <t>3.2.240.61</t>
  </si>
  <si>
    <t>D165069</t>
  </si>
  <si>
    <t>TX1001015</t>
  </si>
  <si>
    <t>C85915</t>
  </si>
  <si>
    <t>196.169.203.251</t>
  </si>
  <si>
    <t>D153234</t>
  </si>
  <si>
    <t>TX1002810</t>
  </si>
  <si>
    <t>C95241</t>
  </si>
  <si>
    <t>107.82.49.5</t>
  </si>
  <si>
    <t>D170058</t>
  </si>
  <si>
    <t>TX1002805</t>
  </si>
  <si>
    <t>C94349</t>
  </si>
  <si>
    <t>41.92.135.150</t>
  </si>
  <si>
    <t>D123351</t>
  </si>
  <si>
    <t>TX1001781</t>
  </si>
  <si>
    <t>C86556</t>
  </si>
  <si>
    <t>122.177.113.49</t>
  </si>
  <si>
    <t>D197907</t>
  </si>
  <si>
    <t>TX1001785</t>
  </si>
  <si>
    <t>C98898</t>
  </si>
  <si>
    <t>133.222.110.184</t>
  </si>
  <si>
    <t>D154298</t>
  </si>
  <si>
    <t>TX1002070</t>
  </si>
  <si>
    <t>M1728</t>
  </si>
  <si>
    <t>C52469</t>
  </si>
  <si>
    <t>36.108.66.218</t>
  </si>
  <si>
    <t>D139413</t>
  </si>
  <si>
    <t>TX1000356</t>
  </si>
  <si>
    <t>C89130</t>
  </si>
  <si>
    <t>64.78.95.64</t>
  </si>
  <si>
    <t>D136849</t>
  </si>
  <si>
    <t>TX1002854</t>
  </si>
  <si>
    <t>C65435</t>
  </si>
  <si>
    <t>166.176.1.152</t>
  </si>
  <si>
    <t>D161027</t>
  </si>
  <si>
    <t>TX1001312</t>
  </si>
  <si>
    <t>M1335</t>
  </si>
  <si>
    <t>C67615</t>
  </si>
  <si>
    <t>68.132.230.1</t>
  </si>
  <si>
    <t>D179202</t>
  </si>
  <si>
    <t>TX1001635</t>
  </si>
  <si>
    <t>C64306</t>
  </si>
  <si>
    <t>55.71.175.132</t>
  </si>
  <si>
    <t>D195798</t>
  </si>
  <si>
    <t>TX1000550</t>
  </si>
  <si>
    <t>C81726</t>
  </si>
  <si>
    <t>179.28.21.49</t>
  </si>
  <si>
    <t>D111689</t>
  </si>
  <si>
    <t>TX1002388</t>
  </si>
  <si>
    <t>C86962</t>
  </si>
  <si>
    <t>150.167.21.124</t>
  </si>
  <si>
    <t>D101738</t>
  </si>
  <si>
    <t>TX1002479</t>
  </si>
  <si>
    <t>213.72.116.166</t>
  </si>
  <si>
    <t>D161015</t>
  </si>
  <si>
    <t>TX1002521</t>
  </si>
  <si>
    <t>M1045</t>
  </si>
  <si>
    <t>C69103</t>
  </si>
  <si>
    <t>156.7.114.58</t>
  </si>
  <si>
    <t>D168442</t>
  </si>
  <si>
    <t>TX1002265</t>
  </si>
  <si>
    <t>C94570</t>
  </si>
  <si>
    <t>94.158.155.199</t>
  </si>
  <si>
    <t>D140393</t>
  </si>
  <si>
    <t>TX1001227</t>
  </si>
  <si>
    <t>C72468</t>
  </si>
  <si>
    <t>164.253.9.157</t>
  </si>
  <si>
    <t>D152327</t>
  </si>
  <si>
    <t>TX1002682</t>
  </si>
  <si>
    <t>C78090</t>
  </si>
  <si>
    <t>124.140.8.118</t>
  </si>
  <si>
    <t>D146722</t>
  </si>
  <si>
    <t>TX1000957</t>
  </si>
  <si>
    <t>152.218.67.2</t>
  </si>
  <si>
    <t>D170438</t>
  </si>
  <si>
    <t>TX1001773</t>
  </si>
  <si>
    <t>C61282</t>
  </si>
  <si>
    <t>216.132.221.95</t>
  </si>
  <si>
    <t>D154690</t>
  </si>
  <si>
    <t>TX1002141</t>
  </si>
  <si>
    <t>C94911</t>
  </si>
  <si>
    <t>32.60.40.233</t>
  </si>
  <si>
    <t>D192976</t>
  </si>
  <si>
    <t>TX1001008</t>
  </si>
  <si>
    <t>C64572</t>
  </si>
  <si>
    <t>138.141.173.144</t>
  </si>
  <si>
    <t>D106166</t>
  </si>
  <si>
    <t>TX1001092</t>
  </si>
  <si>
    <t>C93713</t>
  </si>
  <si>
    <t>248.226.74.43</t>
  </si>
  <si>
    <t>D184296</t>
  </si>
  <si>
    <t>TX1002676</t>
  </si>
  <si>
    <t>C84091</t>
  </si>
  <si>
    <t>43.82.170.218</t>
  </si>
  <si>
    <t>D128986</t>
  </si>
  <si>
    <t>TX1000996</t>
  </si>
  <si>
    <t>C69496</t>
  </si>
  <si>
    <t>186.34.156.190</t>
  </si>
  <si>
    <t>D185467</t>
  </si>
  <si>
    <t>TX1001679</t>
  </si>
  <si>
    <t>C99118</t>
  </si>
  <si>
    <t>44.169.148.108</t>
  </si>
  <si>
    <t>D160026</t>
  </si>
  <si>
    <t>TX1000153</t>
  </si>
  <si>
    <t>C64249</t>
  </si>
  <si>
    <t>180.48.153.10</t>
  </si>
  <si>
    <t>D195786</t>
  </si>
  <si>
    <t>TX1002784</t>
  </si>
  <si>
    <t>C72928</t>
  </si>
  <si>
    <t>124.56.187.254</t>
  </si>
  <si>
    <t>D133837</t>
  </si>
  <si>
    <t>TX1000580</t>
  </si>
  <si>
    <t>C97698</t>
  </si>
  <si>
    <t>94.30.242.64</t>
  </si>
  <si>
    <t>D129272</t>
  </si>
  <si>
    <t>TX1001470</t>
  </si>
  <si>
    <t>C75560</t>
  </si>
  <si>
    <t>33.48.17.124</t>
  </si>
  <si>
    <t>D138736</t>
  </si>
  <si>
    <t>TX1000703</t>
  </si>
  <si>
    <t>C71684</t>
  </si>
  <si>
    <t>111.128.149.166</t>
  </si>
  <si>
    <t>D117037</t>
  </si>
  <si>
    <t>TX1001212</t>
  </si>
  <si>
    <t>C61194</t>
  </si>
  <si>
    <t>89.91.110.138</t>
  </si>
  <si>
    <t>D126939</t>
  </si>
  <si>
    <t>TX1000896</t>
  </si>
  <si>
    <t>C85088</t>
  </si>
  <si>
    <t>247.63.19.49</t>
  </si>
  <si>
    <t>D187723</t>
  </si>
  <si>
    <t>TX1000487</t>
  </si>
  <si>
    <t>C73412</t>
  </si>
  <si>
    <t>163.252.220.229</t>
  </si>
  <si>
    <t>D136004</t>
  </si>
  <si>
    <t>TX1000559</t>
  </si>
  <si>
    <t>C66386</t>
  </si>
  <si>
    <t>226.184.114.37</t>
  </si>
  <si>
    <t>D137599</t>
  </si>
  <si>
    <t>TX1001141</t>
  </si>
  <si>
    <t>C96800</t>
  </si>
  <si>
    <t>145.54.69.83</t>
  </si>
  <si>
    <t>TX1001119</t>
  </si>
  <si>
    <t>C84773</t>
  </si>
  <si>
    <t>188.18.146.66</t>
  </si>
  <si>
    <t>D183631</t>
  </si>
  <si>
    <t>TX1000512</t>
  </si>
  <si>
    <t>C99140</t>
  </si>
  <si>
    <t>151.153.102.144</t>
  </si>
  <si>
    <t>D111535</t>
  </si>
  <si>
    <t>TX1000633</t>
  </si>
  <si>
    <t>C50136</t>
  </si>
  <si>
    <t>236.182.44.11</t>
  </si>
  <si>
    <t>D121655</t>
  </si>
  <si>
    <t>TX1002586</t>
  </si>
  <si>
    <t>C58199</t>
  </si>
  <si>
    <t>77.51.104.21</t>
  </si>
  <si>
    <t>D116795</t>
  </si>
  <si>
    <t>TX1001664</t>
  </si>
  <si>
    <t>C99728</t>
  </si>
  <si>
    <t>188.213.232.104</t>
  </si>
  <si>
    <t>D121760</t>
  </si>
  <si>
    <t>TX1001012</t>
  </si>
  <si>
    <t>C52884</t>
  </si>
  <si>
    <t>215.4.61.3</t>
  </si>
  <si>
    <t>D128358</t>
  </si>
  <si>
    <t>TX1001931</t>
  </si>
  <si>
    <t>C89071</t>
  </si>
  <si>
    <t>82.55.150.98</t>
  </si>
  <si>
    <t>D191912</t>
  </si>
  <si>
    <t>TX1001150</t>
  </si>
  <si>
    <t>C92521</t>
  </si>
  <si>
    <t>222.16.182.7</t>
  </si>
  <si>
    <t>D194903</t>
  </si>
  <si>
    <t>TX1002807</t>
  </si>
  <si>
    <t>C57495</t>
  </si>
  <si>
    <t>20.89.28.135</t>
  </si>
  <si>
    <t>D183685</t>
  </si>
  <si>
    <t>TX1000116</t>
  </si>
  <si>
    <t>C96120</t>
  </si>
  <si>
    <t>146.89.192.168</t>
  </si>
  <si>
    <t>D149613</t>
  </si>
  <si>
    <t>TX1000740</t>
  </si>
  <si>
    <t>C50198</t>
  </si>
  <si>
    <t>157.19.152.166</t>
  </si>
  <si>
    <t>D178372</t>
  </si>
  <si>
    <t>TX1002765</t>
  </si>
  <si>
    <t>C59450</t>
  </si>
  <si>
    <t>57.127.71.180</t>
  </si>
  <si>
    <t>D146856</t>
  </si>
  <si>
    <t>TX1001974</t>
  </si>
  <si>
    <t>M1855</t>
  </si>
  <si>
    <t>C79234</t>
  </si>
  <si>
    <t>47.150.207.79</t>
  </si>
  <si>
    <t>D179839</t>
  </si>
  <si>
    <t>TX1001081</t>
  </si>
  <si>
    <t>C70417</t>
  </si>
  <si>
    <t>213.213.213.238</t>
  </si>
  <si>
    <t>D115606</t>
  </si>
  <si>
    <t>TX1001810</t>
  </si>
  <si>
    <t>C65080</t>
  </si>
  <si>
    <t>71.155.94.75</t>
  </si>
  <si>
    <t>D153575</t>
  </si>
  <si>
    <t>TX1000830</t>
  </si>
  <si>
    <t>C70151</t>
  </si>
  <si>
    <t>104.236.232.104</t>
  </si>
  <si>
    <t>D104762</t>
  </si>
  <si>
    <t>TX1000119</t>
  </si>
  <si>
    <t>C64194</t>
  </si>
  <si>
    <t>154.73.93.160</t>
  </si>
  <si>
    <t>D186461</t>
  </si>
  <si>
    <t>TX1000656</t>
  </si>
  <si>
    <t>C77092</t>
  </si>
  <si>
    <t>17.232.178.78</t>
  </si>
  <si>
    <t>D184443</t>
  </si>
  <si>
    <t>TX1002966</t>
  </si>
  <si>
    <t>C54609</t>
  </si>
  <si>
    <t>21.171.76.184</t>
  </si>
  <si>
    <t>D192648</t>
  </si>
  <si>
    <t>TX1002694</t>
  </si>
  <si>
    <t>M1125</t>
  </si>
  <si>
    <t>C77703</t>
  </si>
  <si>
    <t>86.118.70.79</t>
  </si>
  <si>
    <t>D181016</t>
  </si>
  <si>
    <t>TX1002934</t>
  </si>
  <si>
    <t>M1973</t>
  </si>
  <si>
    <t>C71594</t>
  </si>
  <si>
    <t>38.77.194.214</t>
  </si>
  <si>
    <t>D178456</t>
  </si>
  <si>
    <t>TX1000635</t>
  </si>
  <si>
    <t>C60669</t>
  </si>
  <si>
    <t>181.205.214.207</t>
  </si>
  <si>
    <t>D130818</t>
  </si>
  <si>
    <t>TX1000369</t>
  </si>
  <si>
    <t>C64855</t>
  </si>
  <si>
    <t>227.57.251.44</t>
  </si>
  <si>
    <t>D114435</t>
  </si>
  <si>
    <t>TX1000268</t>
  </si>
  <si>
    <t>C80954</t>
  </si>
  <si>
    <t>34.88.102.41</t>
  </si>
  <si>
    <t>D179396</t>
  </si>
  <si>
    <t>TX1000046</t>
  </si>
  <si>
    <t>C87875</t>
  </si>
  <si>
    <t>161.235.8.32</t>
  </si>
  <si>
    <t>D120707</t>
  </si>
  <si>
    <t>TX1000991</t>
  </si>
  <si>
    <t>C95200</t>
  </si>
  <si>
    <t>193.40.225.203</t>
  </si>
  <si>
    <t>D148131</t>
  </si>
  <si>
    <t>TX1000876</t>
  </si>
  <si>
    <t>C89416</t>
  </si>
  <si>
    <t>232.205.191.43</t>
  </si>
  <si>
    <t>D139437</t>
  </si>
  <si>
    <t>TX1000773</t>
  </si>
  <si>
    <t>C55573</t>
  </si>
  <si>
    <t>165.70.99.81</t>
  </si>
  <si>
    <t>D140544</t>
  </si>
  <si>
    <t>TX1001219</t>
  </si>
  <si>
    <t>C58487</t>
  </si>
  <si>
    <t>8.23.237.234</t>
  </si>
  <si>
    <t>D135039</t>
  </si>
  <si>
    <t>TX1001126</t>
  </si>
  <si>
    <t>C64664</t>
  </si>
  <si>
    <t>236.59.61.225</t>
  </si>
  <si>
    <t>D199608</t>
  </si>
  <si>
    <t>TX1000004</t>
  </si>
  <si>
    <t>C71493</t>
  </si>
  <si>
    <t>152.172.250.182</t>
  </si>
  <si>
    <t>D173783</t>
  </si>
  <si>
    <t>TX1001595</t>
  </si>
  <si>
    <t>225.59.88.115</t>
  </si>
  <si>
    <t>D195045</t>
  </si>
  <si>
    <t>TX1002311</t>
  </si>
  <si>
    <t>C69873</t>
  </si>
  <si>
    <t>150.253.167.16</t>
  </si>
  <si>
    <t>D190804</t>
  </si>
  <si>
    <t>TX1002491</t>
  </si>
  <si>
    <t>C77307</t>
  </si>
  <si>
    <t>237.255.90.253</t>
  </si>
  <si>
    <t>D135073</t>
  </si>
  <si>
    <t>TX1001077</t>
  </si>
  <si>
    <t>C99194</t>
  </si>
  <si>
    <t>239.153.5.56</t>
  </si>
  <si>
    <t>D151827</t>
  </si>
  <si>
    <t>TX1000837</t>
  </si>
  <si>
    <t>C54783</t>
  </si>
  <si>
    <t>193.124.132.71</t>
  </si>
  <si>
    <t>D175801</t>
  </si>
  <si>
    <t>TX1000681</t>
  </si>
  <si>
    <t>C81283</t>
  </si>
  <si>
    <t>41.110.75.19</t>
  </si>
  <si>
    <t>D131475</t>
  </si>
  <si>
    <t>TX1001715</t>
  </si>
  <si>
    <t>C93273</t>
  </si>
  <si>
    <t>248.21.100.194</t>
  </si>
  <si>
    <t>D146317</t>
  </si>
  <si>
    <t>TX1002352</t>
  </si>
  <si>
    <t>201.176.175.158</t>
  </si>
  <si>
    <t>D132379</t>
  </si>
  <si>
    <t>TX1002361</t>
  </si>
  <si>
    <t>C74613</t>
  </si>
  <si>
    <t>206.181.49.6</t>
  </si>
  <si>
    <t>D170635</t>
  </si>
  <si>
    <t>TX1002197</t>
  </si>
  <si>
    <t>C59575</t>
  </si>
  <si>
    <t>170.228.31.17</t>
  </si>
  <si>
    <t>D107675</t>
  </si>
  <si>
    <t>TX1001148</t>
  </si>
  <si>
    <t>C85977</t>
  </si>
  <si>
    <t>192.137.101.202</t>
  </si>
  <si>
    <t>D138885</t>
  </si>
  <si>
    <t>TX1000574</t>
  </si>
  <si>
    <t>C88544</t>
  </si>
  <si>
    <t>68.163.230.92</t>
  </si>
  <si>
    <t>D197280</t>
  </si>
  <si>
    <t>TX1000050</t>
  </si>
  <si>
    <t>C83931</t>
  </si>
  <si>
    <t>127.197.57.62</t>
  </si>
  <si>
    <t>D165481</t>
  </si>
  <si>
    <t>TX1000853</t>
  </si>
  <si>
    <t>C69794</t>
  </si>
  <si>
    <t>154.169.6.70</t>
  </si>
  <si>
    <t>D160899</t>
  </si>
  <si>
    <t>TX1001982</t>
  </si>
  <si>
    <t>C56530</t>
  </si>
  <si>
    <t>252.188.127.41</t>
  </si>
  <si>
    <t>D126841</t>
  </si>
  <si>
    <t>TX1001823</t>
  </si>
  <si>
    <t>C87400</t>
  </si>
  <si>
    <t>160.123.170.112</t>
  </si>
  <si>
    <t>D185082</t>
  </si>
  <si>
    <t>TX1000833</t>
  </si>
  <si>
    <t>C79890</t>
  </si>
  <si>
    <t>248.237.202.79</t>
  </si>
  <si>
    <t>D140525</t>
  </si>
  <si>
    <t>TX1001115</t>
  </si>
  <si>
    <t>C86405</t>
  </si>
  <si>
    <t>166.79.28.238</t>
  </si>
  <si>
    <t>D174368</t>
  </si>
  <si>
    <t>TX1001166</t>
  </si>
  <si>
    <t>C52066</t>
  </si>
  <si>
    <t>32.210.113.107</t>
  </si>
  <si>
    <t>D101184</t>
  </si>
  <si>
    <t>TX1002518</t>
  </si>
  <si>
    <t>C64337</t>
  </si>
  <si>
    <t>161.33.139.164</t>
  </si>
  <si>
    <t>D169266</t>
  </si>
  <si>
    <t>TX1001906</t>
  </si>
  <si>
    <t>C74250</t>
  </si>
  <si>
    <t>131.154.189.102</t>
  </si>
  <si>
    <t>D158054</t>
  </si>
  <si>
    <t>TX1000971</t>
  </si>
  <si>
    <t>C99286</t>
  </si>
  <si>
    <t>160.23.142.226</t>
  </si>
  <si>
    <t>D156173</t>
  </si>
  <si>
    <t>TX1000399</t>
  </si>
  <si>
    <t>C75103</t>
  </si>
  <si>
    <t>228.17.129.151</t>
  </si>
  <si>
    <t>D153714</t>
  </si>
  <si>
    <t>TX1002559</t>
  </si>
  <si>
    <t>C51774</t>
  </si>
  <si>
    <t>29.29.53.114</t>
  </si>
  <si>
    <t>D181768</t>
  </si>
  <si>
    <t>TX1002368</t>
  </si>
  <si>
    <t>C81466</t>
  </si>
  <si>
    <t>61.41.115.37</t>
  </si>
  <si>
    <t>D135895</t>
  </si>
  <si>
    <t>TX1000019</t>
  </si>
  <si>
    <t>C69776</t>
  </si>
  <si>
    <t>226.89.218.143</t>
  </si>
  <si>
    <t>D164962</t>
  </si>
  <si>
    <t>TX1000684</t>
  </si>
  <si>
    <t>C81810</t>
  </si>
  <si>
    <t>252.135.148.192</t>
  </si>
  <si>
    <t>D105287</t>
  </si>
  <si>
    <t>TX1000035</t>
  </si>
  <si>
    <t>C52409</t>
  </si>
  <si>
    <t>169.181.85.166</t>
  </si>
  <si>
    <t>D180304</t>
  </si>
  <si>
    <t>TX1002831</t>
  </si>
  <si>
    <t>C84492</t>
  </si>
  <si>
    <t>89.68.26.125</t>
  </si>
  <si>
    <t>D187003</t>
  </si>
  <si>
    <t>TX1000524</t>
  </si>
  <si>
    <t>C83733</t>
  </si>
  <si>
    <t>104.144.53.64</t>
  </si>
  <si>
    <t>D129651</t>
  </si>
  <si>
    <t>TX1002455</t>
  </si>
  <si>
    <t>C56451</t>
  </si>
  <si>
    <t>99.23.67.49</t>
  </si>
  <si>
    <t>D197719</t>
  </si>
  <si>
    <t>TX1000920</t>
  </si>
  <si>
    <t>C90616</t>
  </si>
  <si>
    <t>176.214.35.161</t>
  </si>
  <si>
    <t>D123159</t>
  </si>
  <si>
    <t>TX1001841</t>
  </si>
  <si>
    <t>C90209</t>
  </si>
  <si>
    <t>227.32.19.145</t>
  </si>
  <si>
    <t>D180188</t>
  </si>
  <si>
    <t>TX1001890</t>
  </si>
  <si>
    <t>C79253</t>
  </si>
  <si>
    <t>151.61.97.229</t>
  </si>
  <si>
    <t>D147812</t>
  </si>
  <si>
    <t>TX1000537</t>
  </si>
  <si>
    <t>C97313</t>
  </si>
  <si>
    <t>52.135.248.90</t>
  </si>
  <si>
    <t>D144171</t>
  </si>
  <si>
    <t>TX1001705</t>
  </si>
  <si>
    <t>M1921</t>
  </si>
  <si>
    <t>C50260</t>
  </si>
  <si>
    <t>106.137.45.63</t>
  </si>
  <si>
    <t>D152423</t>
  </si>
  <si>
    <t>TX1002933</t>
  </si>
  <si>
    <t>C74569</t>
  </si>
  <si>
    <t>108.3.67.186</t>
  </si>
  <si>
    <t>D173290</t>
  </si>
  <si>
    <t>TX1000245</t>
  </si>
  <si>
    <t>C57000</t>
  </si>
  <si>
    <t>137.191.57.82</t>
  </si>
  <si>
    <t>D171531</t>
  </si>
  <si>
    <t>TX1000784</t>
  </si>
  <si>
    <t>C66805</t>
  </si>
  <si>
    <t>144.167.150.59</t>
  </si>
  <si>
    <t>D184654</t>
  </si>
  <si>
    <t>TX1001409</t>
  </si>
  <si>
    <t>C72129</t>
  </si>
  <si>
    <t>201.12.109.236</t>
  </si>
  <si>
    <t>D140739</t>
  </si>
  <si>
    <t>TX1002537</t>
  </si>
  <si>
    <t>1.13.218.45</t>
  </si>
  <si>
    <t>D131324</t>
  </si>
  <si>
    <t>TX1000154</t>
  </si>
  <si>
    <t>C92780</t>
  </si>
  <si>
    <t>135.21.163.139</t>
  </si>
  <si>
    <t>D174044</t>
  </si>
  <si>
    <t>TX1001686</t>
  </si>
  <si>
    <t>C53311</t>
  </si>
  <si>
    <t>50.127.96.168</t>
  </si>
  <si>
    <t>D110780</t>
  </si>
  <si>
    <t>TX1000625</t>
  </si>
  <si>
    <t>M1425</t>
  </si>
  <si>
    <t>C59537</t>
  </si>
  <si>
    <t>228.221.39.154</t>
  </si>
  <si>
    <t>D138528</t>
  </si>
  <si>
    <t>TX1002878</t>
  </si>
  <si>
    <t>C61836</t>
  </si>
  <si>
    <t>72.131.109.47</t>
  </si>
  <si>
    <t>D176692</t>
  </si>
  <si>
    <t>TX1001346</t>
  </si>
  <si>
    <t>C67845</t>
  </si>
  <si>
    <t>228.116.3.176</t>
  </si>
  <si>
    <t>D164991</t>
  </si>
  <si>
    <t>TX1000569</t>
  </si>
  <si>
    <t>C72691</t>
  </si>
  <si>
    <t>236.43.163.221</t>
  </si>
  <si>
    <t>D166688</t>
  </si>
  <si>
    <t>TX1002935</t>
  </si>
  <si>
    <t>M1805</t>
  </si>
  <si>
    <t>C55854</t>
  </si>
  <si>
    <t>148.34.149.177</t>
  </si>
  <si>
    <t>D150971</t>
  </si>
  <si>
    <t>TX1001758</t>
  </si>
  <si>
    <t>C68971</t>
  </si>
  <si>
    <t>31.102.50.105</t>
  </si>
  <si>
    <t>D189401</t>
  </si>
  <si>
    <t>TX1001816</t>
  </si>
  <si>
    <t>M1337</t>
  </si>
  <si>
    <t>C63138</t>
  </si>
  <si>
    <t>161.244.72.112</t>
  </si>
  <si>
    <t>D168363</t>
  </si>
  <si>
    <t>TX1002065</t>
  </si>
  <si>
    <t>C80654</t>
  </si>
  <si>
    <t>115.50.228.92</t>
  </si>
  <si>
    <t>D168210</t>
  </si>
  <si>
    <t>TX1000127</t>
  </si>
  <si>
    <t>114.193.247.198</t>
  </si>
  <si>
    <t>D131886</t>
  </si>
  <si>
    <t>TX1002980</t>
  </si>
  <si>
    <t>C59274</t>
  </si>
  <si>
    <t>82.31.51.82</t>
  </si>
  <si>
    <t>D156596</t>
  </si>
  <si>
    <t>TX1002006</t>
  </si>
  <si>
    <t>C50229</t>
  </si>
  <si>
    <t>201.173.116.73</t>
  </si>
  <si>
    <t>D163948</t>
  </si>
  <si>
    <t>TX1000980</t>
  </si>
  <si>
    <t>C79845</t>
  </si>
  <si>
    <t>175.226.15.105</t>
  </si>
  <si>
    <t>D151216</t>
  </si>
  <si>
    <t>TX1002977</t>
  </si>
  <si>
    <t>C59544</t>
  </si>
  <si>
    <t>181.253.97.111</t>
  </si>
  <si>
    <t>D148245</t>
  </si>
  <si>
    <t>TX1000190</t>
  </si>
  <si>
    <t>C84298</t>
  </si>
  <si>
    <t>205.159.27.232</t>
  </si>
  <si>
    <t>D145029</t>
  </si>
  <si>
    <t>TX1001139</t>
  </si>
  <si>
    <t>C51886</t>
  </si>
  <si>
    <t>123.203.64.169</t>
  </si>
  <si>
    <t>D169569</t>
  </si>
  <si>
    <t>TX1000992</t>
  </si>
  <si>
    <t>C73086</t>
  </si>
  <si>
    <t>241.204.210.39</t>
  </si>
  <si>
    <t>D125897</t>
  </si>
  <si>
    <t>TX1000699</t>
  </si>
  <si>
    <t>C77516</t>
  </si>
  <si>
    <t>113.119.218.222</t>
  </si>
  <si>
    <t>TX1000606</t>
  </si>
  <si>
    <t>C54647</t>
  </si>
  <si>
    <t>254.37.84.64</t>
  </si>
  <si>
    <t>D182174</t>
  </si>
  <si>
    <t>TX1000180</t>
  </si>
  <si>
    <t>C83689</t>
  </si>
  <si>
    <t>147.125.87.19</t>
  </si>
  <si>
    <t>D140812</t>
  </si>
  <si>
    <t>TX1000301</t>
  </si>
  <si>
    <t>C90372</t>
  </si>
  <si>
    <t>224.64.250.54</t>
  </si>
  <si>
    <t>TX1002544</t>
  </si>
  <si>
    <t>C58931</t>
  </si>
  <si>
    <t>109.91.177.203</t>
  </si>
  <si>
    <t>D193482</t>
  </si>
  <si>
    <t>TX1002788</t>
  </si>
  <si>
    <t>C90252</t>
  </si>
  <si>
    <t>28.243.149.224</t>
  </si>
  <si>
    <t>D148743</t>
  </si>
  <si>
    <t>TX1001060</t>
  </si>
  <si>
    <t>C53443</t>
  </si>
  <si>
    <t>201.182.195.229</t>
  </si>
  <si>
    <t>TX1002821</t>
  </si>
  <si>
    <t>C96894</t>
  </si>
  <si>
    <t>47.141.212.146</t>
  </si>
  <si>
    <t>D128755</t>
  </si>
  <si>
    <t>TX1002880</t>
  </si>
  <si>
    <t>M1453</t>
  </si>
  <si>
    <t>123.102.144.179</t>
  </si>
  <si>
    <t>D119420</t>
  </si>
  <si>
    <t>TX1002565</t>
  </si>
  <si>
    <t>C72895</t>
  </si>
  <si>
    <t>250.24.234.231</t>
  </si>
  <si>
    <t>D152913</t>
  </si>
  <si>
    <t>TX1001069</t>
  </si>
  <si>
    <t>C64069</t>
  </si>
  <si>
    <t>86.64.110.78</t>
  </si>
  <si>
    <t>D124336</t>
  </si>
  <si>
    <t>TX1002524</t>
  </si>
  <si>
    <t>C81126</t>
  </si>
  <si>
    <t>177.47.89.112</t>
  </si>
  <si>
    <t>D165373</t>
  </si>
  <si>
    <t>TX1002205</t>
  </si>
  <si>
    <t>C77806</t>
  </si>
  <si>
    <t>129.14.190.86</t>
  </si>
  <si>
    <t>D187004</t>
  </si>
  <si>
    <t>TX1001243</t>
  </si>
  <si>
    <t>C58158</t>
  </si>
  <si>
    <t>128.145.190.183</t>
  </si>
  <si>
    <t>D152746</t>
  </si>
  <si>
    <t>TX1000016</t>
  </si>
  <si>
    <t>C54178</t>
  </si>
  <si>
    <t>47.69.215.96</t>
  </si>
  <si>
    <t>D150132</t>
  </si>
  <si>
    <t>TX1002983</t>
  </si>
  <si>
    <t>C72337</t>
  </si>
  <si>
    <t>3.96.132.66</t>
  </si>
  <si>
    <t>D106789</t>
  </si>
  <si>
    <t>TX1000546</t>
  </si>
  <si>
    <t>C50113</t>
  </si>
  <si>
    <t>145.191.35.245</t>
  </si>
  <si>
    <t>D122595</t>
  </si>
  <si>
    <t>TX1000658</t>
  </si>
  <si>
    <t>C66010</t>
  </si>
  <si>
    <t>236.93.254.251</t>
  </si>
  <si>
    <t>D169248</t>
  </si>
  <si>
    <t>TX1002706</t>
  </si>
  <si>
    <t>M1449</t>
  </si>
  <si>
    <t>C56141</t>
  </si>
  <si>
    <t>152.227.89.238</t>
  </si>
  <si>
    <t>D131435</t>
  </si>
  <si>
    <t>TX1002737</t>
  </si>
  <si>
    <t>C52530</t>
  </si>
  <si>
    <t>164.39.242.129</t>
  </si>
  <si>
    <t>D164309</t>
  </si>
  <si>
    <t>TX1001504</t>
  </si>
  <si>
    <t>C83765</t>
  </si>
  <si>
    <t>48.185.186.166</t>
  </si>
  <si>
    <t>D161215</t>
  </si>
  <si>
    <t>TX1000959</t>
  </si>
  <si>
    <t>C61944</t>
  </si>
  <si>
    <t>88.50.67.47</t>
  </si>
  <si>
    <t>D151842</t>
  </si>
  <si>
    <t>TX1002331</t>
  </si>
  <si>
    <t>C63237</t>
  </si>
  <si>
    <t>210.70.61.224</t>
  </si>
  <si>
    <t>D148580</t>
  </si>
  <si>
    <t>TX1000797</t>
  </si>
  <si>
    <t>C50998</t>
  </si>
  <si>
    <t>12.182.125.2</t>
  </si>
  <si>
    <t>D183519</t>
  </si>
  <si>
    <t>TX1000225</t>
  </si>
  <si>
    <t>C94951</t>
  </si>
  <si>
    <t>149.29.74.82</t>
  </si>
  <si>
    <t>D160429</t>
  </si>
  <si>
    <t>TX1002074</t>
  </si>
  <si>
    <t>C63895</t>
  </si>
  <si>
    <t>45.13.237.218</t>
  </si>
  <si>
    <t>D104230</t>
  </si>
  <si>
    <t>TX1001799</t>
  </si>
  <si>
    <t>124.42.69.190</t>
  </si>
  <si>
    <t>D179629</t>
  </si>
  <si>
    <t>TX1002485</t>
  </si>
  <si>
    <t>M1239</t>
  </si>
  <si>
    <t>C91197</t>
  </si>
  <si>
    <t>111.218.161.202</t>
  </si>
  <si>
    <t>D114161</t>
  </si>
  <si>
    <t>TX1002965</t>
  </si>
  <si>
    <t>C62274</t>
  </si>
  <si>
    <t>149.21.249.189</t>
  </si>
  <si>
    <t>D189138</t>
  </si>
  <si>
    <t>TX1002277</t>
  </si>
  <si>
    <t>C93873</t>
  </si>
  <si>
    <t>155.199.52.159</t>
  </si>
  <si>
    <t>D185774</t>
  </si>
  <si>
    <t>TX1002085</t>
  </si>
  <si>
    <t>C84485</t>
  </si>
  <si>
    <t>134.49.66.172</t>
  </si>
  <si>
    <t>D173452</t>
  </si>
  <si>
    <t>TX1001693</t>
  </si>
  <si>
    <t>C67576</t>
  </si>
  <si>
    <t>184.103.64.195</t>
  </si>
  <si>
    <t>D173603</t>
  </si>
  <si>
    <t>TX1001045</t>
  </si>
  <si>
    <t>C63771</t>
  </si>
  <si>
    <t>78.189.199.43</t>
  </si>
  <si>
    <t>D153082</t>
  </si>
  <si>
    <t>TX1000469</t>
  </si>
  <si>
    <t>C86709</t>
  </si>
  <si>
    <t>82.40.109.245</t>
  </si>
  <si>
    <t>D121773</t>
  </si>
  <si>
    <t>TX1000954</t>
  </si>
  <si>
    <t>C85791</t>
  </si>
  <si>
    <t>217.11.86.12</t>
  </si>
  <si>
    <t>D171518</t>
  </si>
  <si>
    <t>TX1002979</t>
  </si>
  <si>
    <t>C52851</t>
  </si>
  <si>
    <t>247.223.59.148</t>
  </si>
  <si>
    <t>D123977</t>
  </si>
  <si>
    <t>TX1000639</t>
  </si>
  <si>
    <t>C90296</t>
  </si>
  <si>
    <t>38.170.140.136</t>
  </si>
  <si>
    <t>D151208</t>
  </si>
  <si>
    <t>TX1002780</t>
  </si>
  <si>
    <t>36.8.77.170</t>
  </si>
  <si>
    <t>D131378</t>
  </si>
  <si>
    <t>TX1001218</t>
  </si>
  <si>
    <t>C91814</t>
  </si>
  <si>
    <t>245.74.15.136</t>
  </si>
  <si>
    <t>D125369</t>
  </si>
  <si>
    <t>TX1001158</t>
  </si>
  <si>
    <t>C64913</t>
  </si>
  <si>
    <t>212.19.157.129</t>
  </si>
  <si>
    <t>D145109</t>
  </si>
  <si>
    <t>TX1001415</t>
  </si>
  <si>
    <t>C84758</t>
  </si>
  <si>
    <t>162.230.10.251</t>
  </si>
  <si>
    <t>D176739</t>
  </si>
  <si>
    <t>TX1002715</t>
  </si>
  <si>
    <t>C92907</t>
  </si>
  <si>
    <t>179.195.180.87</t>
  </si>
  <si>
    <t>D152819</t>
  </si>
  <si>
    <t>TX1001527</t>
  </si>
  <si>
    <t>C68481</t>
  </si>
  <si>
    <t>52.205.44.232</t>
  </si>
  <si>
    <t>TX1002923</t>
  </si>
  <si>
    <t>M1899</t>
  </si>
  <si>
    <t>C50010</t>
  </si>
  <si>
    <t>134.241.215.77</t>
  </si>
  <si>
    <t>D197615</t>
  </si>
  <si>
    <t>TX1001300</t>
  </si>
  <si>
    <t>C78253</t>
  </si>
  <si>
    <t>64.45.24.235</t>
  </si>
  <si>
    <t>D182027</t>
  </si>
  <si>
    <t>TX1002868</t>
  </si>
  <si>
    <t>M1748</t>
  </si>
  <si>
    <t>C53364</t>
  </si>
  <si>
    <t>37.82.77.90</t>
  </si>
  <si>
    <t>D174427</t>
  </si>
  <si>
    <t>TX1001603</t>
  </si>
  <si>
    <t>C95853</t>
  </si>
  <si>
    <t>208.237.179.30</t>
  </si>
  <si>
    <t>D160325</t>
  </si>
  <si>
    <t>TX1000160</t>
  </si>
  <si>
    <t>C71860</t>
  </si>
  <si>
    <t>78.120.141.208</t>
  </si>
  <si>
    <t>D108127</t>
  </si>
  <si>
    <t>TX1001704</t>
  </si>
  <si>
    <t>C82854</t>
  </si>
  <si>
    <t>85.77.145.218</t>
  </si>
  <si>
    <t>D181603</t>
  </si>
  <si>
    <t>TX1000956</t>
  </si>
  <si>
    <t>C92727</t>
  </si>
  <si>
    <t>58.172.145.85</t>
  </si>
  <si>
    <t>D194098</t>
  </si>
  <si>
    <t>TX1002917</t>
  </si>
  <si>
    <t>C77184</t>
  </si>
  <si>
    <t>57.167.89.121</t>
  </si>
  <si>
    <t>D131439</t>
  </si>
  <si>
    <t>TX1000877</t>
  </si>
  <si>
    <t>C77883</t>
  </si>
  <si>
    <t>61.110.150.113</t>
  </si>
  <si>
    <t>D103853</t>
  </si>
  <si>
    <t>TX1001919</t>
  </si>
  <si>
    <t>C55937</t>
  </si>
  <si>
    <t>56.212.49.191</t>
  </si>
  <si>
    <t>D101908</t>
  </si>
  <si>
    <t>TX1001884</t>
  </si>
  <si>
    <t>C77852</t>
  </si>
  <si>
    <t>121.169.40.23</t>
  </si>
  <si>
    <t>TX1002200</t>
  </si>
  <si>
    <t>C75760</t>
  </si>
  <si>
    <t>155.28.160.252</t>
  </si>
  <si>
    <t>TX1000098</t>
  </si>
  <si>
    <t>C59204</t>
  </si>
  <si>
    <t>31.201.110.118</t>
  </si>
  <si>
    <t>D124979</t>
  </si>
  <si>
    <t>TX1002829</t>
  </si>
  <si>
    <t>C64216</t>
  </si>
  <si>
    <t>135.172.136.51</t>
  </si>
  <si>
    <t>D134223</t>
  </si>
  <si>
    <t>TX1002557</t>
  </si>
  <si>
    <t>C89198</t>
  </si>
  <si>
    <t>70.187.131.137</t>
  </si>
  <si>
    <t>D177919</t>
  </si>
  <si>
    <t>TX1000253</t>
  </si>
  <si>
    <t>C89137</t>
  </si>
  <si>
    <t>156.23.2.65</t>
  </si>
  <si>
    <t>D166131</t>
  </si>
  <si>
    <t>TX1000103</t>
  </si>
  <si>
    <t>M1320</t>
  </si>
  <si>
    <t>C50849</t>
  </si>
  <si>
    <t>234.188.100.199</t>
  </si>
  <si>
    <t>D195015</t>
  </si>
  <si>
    <t>TX1001445</t>
  </si>
  <si>
    <t>C65492</t>
  </si>
  <si>
    <t>131.163.109.129</t>
  </si>
  <si>
    <t>D105318</t>
  </si>
  <si>
    <t>TX1001443</t>
  </si>
  <si>
    <t>C77186</t>
  </si>
  <si>
    <t>28.7.146.90</t>
  </si>
  <si>
    <t>D198464</t>
  </si>
  <si>
    <t>TX1001648</t>
  </si>
  <si>
    <t>C75885</t>
  </si>
  <si>
    <t>46.40.85.125</t>
  </si>
  <si>
    <t>D105963</t>
  </si>
  <si>
    <t>TX1000586</t>
  </si>
  <si>
    <t>C68981</t>
  </si>
  <si>
    <t>151.18.106.59</t>
  </si>
  <si>
    <t>D176380</t>
  </si>
  <si>
    <t>TX1000627</t>
  </si>
  <si>
    <t>M1776</t>
  </si>
  <si>
    <t>C83683</t>
  </si>
  <si>
    <t>239.193.169.170</t>
  </si>
  <si>
    <t>D193620</t>
  </si>
  <si>
    <t>TX1001696</t>
  </si>
  <si>
    <t>C96466</t>
  </si>
  <si>
    <t>225.198.248.142</t>
  </si>
  <si>
    <t>D139868</t>
  </si>
  <si>
    <t>TX1002101</t>
  </si>
  <si>
    <t>C89307</t>
  </si>
  <si>
    <t>29.65.108.98</t>
  </si>
  <si>
    <t>D119968</t>
  </si>
  <si>
    <t>TX1002199</t>
  </si>
  <si>
    <t>C96504</t>
  </si>
  <si>
    <t>87.188.199.167</t>
  </si>
  <si>
    <t>D160909</t>
  </si>
  <si>
    <t>TX1000403</t>
  </si>
  <si>
    <t>C69726</t>
  </si>
  <si>
    <t>13.201.152.179</t>
  </si>
  <si>
    <t>TX1001154</t>
  </si>
  <si>
    <t>C94279</t>
  </si>
  <si>
    <t>94.253.114.136</t>
  </si>
  <si>
    <t>D125223</t>
  </si>
  <si>
    <t>TX1002255</t>
  </si>
  <si>
    <t>C51845</t>
  </si>
  <si>
    <t>6.249.86.212</t>
  </si>
  <si>
    <t>D129945</t>
  </si>
  <si>
    <t>TX1001682</t>
  </si>
  <si>
    <t>C90306</t>
  </si>
  <si>
    <t>131.181.72.6</t>
  </si>
  <si>
    <t>D152149</t>
  </si>
  <si>
    <t>TX1002056</t>
  </si>
  <si>
    <t>M1684</t>
  </si>
  <si>
    <t>C76734</t>
  </si>
  <si>
    <t>73.219.32.33</t>
  </si>
  <si>
    <t>D186388</t>
  </si>
  <si>
    <t>TX1002846</t>
  </si>
  <si>
    <t>C67658</t>
  </si>
  <si>
    <t>133.135.244.169</t>
  </si>
  <si>
    <t>D132141</t>
  </si>
  <si>
    <t>TX1000452</t>
  </si>
  <si>
    <t>C96289</t>
  </si>
  <si>
    <t>255.142.59.248</t>
  </si>
  <si>
    <t>D146362</t>
  </si>
  <si>
    <t>TX1002301</t>
  </si>
  <si>
    <t>C90860</t>
  </si>
  <si>
    <t>209.107.43.24</t>
  </si>
  <si>
    <t>D174117</t>
  </si>
  <si>
    <t>TX1001327</t>
  </si>
  <si>
    <t>C87840</t>
  </si>
  <si>
    <t>202.76.205.207</t>
  </si>
  <si>
    <t>D159534</t>
  </si>
  <si>
    <t>TX1002049</t>
  </si>
  <si>
    <t>C61360</t>
  </si>
  <si>
    <t>178.155.201.209</t>
  </si>
  <si>
    <t>D132090</t>
  </si>
  <si>
    <t>TX1000880</t>
  </si>
  <si>
    <t>M1598</t>
  </si>
  <si>
    <t>C94647</t>
  </si>
  <si>
    <t>84.250.188.158</t>
  </si>
  <si>
    <t>D111014</t>
  </si>
  <si>
    <t>TX1002920</t>
  </si>
  <si>
    <t>C95051</t>
  </si>
  <si>
    <t>64.227.209.214</t>
  </si>
  <si>
    <t>D180757</t>
  </si>
  <si>
    <t>TX1000623</t>
  </si>
  <si>
    <t>C97078</t>
  </si>
  <si>
    <t>33.18.105.19</t>
  </si>
  <si>
    <t>D178616</t>
  </si>
  <si>
    <t>TX1002393</t>
  </si>
  <si>
    <t>C70233</t>
  </si>
  <si>
    <t>200.113.171.14</t>
  </si>
  <si>
    <t>D154663</t>
  </si>
  <si>
    <t>TX1002774</t>
  </si>
  <si>
    <t>C88207</t>
  </si>
  <si>
    <t>144.24.94.82</t>
  </si>
  <si>
    <t>D151370</t>
  </si>
  <si>
    <t>TX1001787</t>
  </si>
  <si>
    <t>C86878</t>
  </si>
  <si>
    <t>142.78.69.6</t>
  </si>
  <si>
    <t>D105766</t>
  </si>
  <si>
    <t>TX1000262</t>
  </si>
  <si>
    <t>C66605</t>
  </si>
  <si>
    <t>119.91.93.216</t>
  </si>
  <si>
    <t>D151505</t>
  </si>
  <si>
    <t>TX1001634</t>
  </si>
  <si>
    <t>C56088</t>
  </si>
  <si>
    <t>43.226.203.184</t>
  </si>
  <si>
    <t>D165565</t>
  </si>
  <si>
    <t>TX1001438</t>
  </si>
  <si>
    <t>C80869</t>
  </si>
  <si>
    <t>37.183.45.228</t>
  </si>
  <si>
    <t>D195776</t>
  </si>
  <si>
    <t>TX1002198</t>
  </si>
  <si>
    <t>C65347</t>
  </si>
  <si>
    <t>239.210.39.34</t>
  </si>
  <si>
    <t>D116180</t>
  </si>
  <si>
    <t>TX1001969</t>
  </si>
  <si>
    <t>C96049</t>
  </si>
  <si>
    <t>57.236.112.215</t>
  </si>
  <si>
    <t>D101663</t>
  </si>
  <si>
    <t>TX1002520</t>
  </si>
  <si>
    <t>C77558</t>
  </si>
  <si>
    <t>110.50.191.232</t>
  </si>
  <si>
    <t>D190214</t>
  </si>
  <si>
    <t>TX1001802</t>
  </si>
  <si>
    <t>C84073</t>
  </si>
  <si>
    <t>176.25.25.240</t>
  </si>
  <si>
    <t>D170758</t>
  </si>
  <si>
    <t>TX1000640</t>
  </si>
  <si>
    <t>C69018</t>
  </si>
  <si>
    <t>161.32.242.213</t>
  </si>
  <si>
    <t>D154689</t>
  </si>
  <si>
    <t>TX1002385</t>
  </si>
  <si>
    <t>C59683</t>
  </si>
  <si>
    <t>216.214.240.196</t>
  </si>
  <si>
    <t>D190816</t>
  </si>
  <si>
    <t>TX1002598</t>
  </si>
  <si>
    <t>C76530</t>
  </si>
  <si>
    <t>111.252.154.126</t>
  </si>
  <si>
    <t>D171780</t>
  </si>
  <si>
    <t>TX1002832</t>
  </si>
  <si>
    <t>C91397</t>
  </si>
  <si>
    <t>181.188.41.66</t>
  </si>
  <si>
    <t>D130933</t>
  </si>
  <si>
    <t>TX1001959</t>
  </si>
  <si>
    <t>C84024</t>
  </si>
  <si>
    <t>58.185.231.250</t>
  </si>
  <si>
    <t>D194137</t>
  </si>
  <si>
    <t>TX1000488</t>
  </si>
  <si>
    <t>C59617</t>
  </si>
  <si>
    <t>21.172.154.109</t>
  </si>
  <si>
    <t>D152525</t>
  </si>
  <si>
    <t>TX1001843</t>
  </si>
  <si>
    <t>C60161</t>
  </si>
  <si>
    <t>171.200.90.102</t>
  </si>
  <si>
    <t>D105185</t>
  </si>
  <si>
    <t>TX1001734</t>
  </si>
  <si>
    <t>C60671</t>
  </si>
  <si>
    <t>80.218.40.10</t>
  </si>
  <si>
    <t>D150154</t>
  </si>
  <si>
    <t>TX1000146</t>
  </si>
  <si>
    <t>C72784</t>
  </si>
  <si>
    <t>116.151.134.139</t>
  </si>
  <si>
    <t>D148118</t>
  </si>
  <si>
    <t>TX1001534</t>
  </si>
  <si>
    <t>185.185.42.199</t>
  </si>
  <si>
    <t>D149600</t>
  </si>
  <si>
    <t>TX1001986</t>
  </si>
  <si>
    <t>C51316</t>
  </si>
  <si>
    <t>197.48.146.240</t>
  </si>
  <si>
    <t>D158173</t>
  </si>
  <si>
    <t>TX1001369</t>
  </si>
  <si>
    <t>C98294</t>
  </si>
  <si>
    <t>74.242.83.176</t>
  </si>
  <si>
    <t>D199955</t>
  </si>
  <si>
    <t>TX1002450</t>
  </si>
  <si>
    <t>C57840</t>
  </si>
  <si>
    <t>152.210.127.229</t>
  </si>
  <si>
    <t>D125561</t>
  </si>
  <si>
    <t>TX1002938</t>
  </si>
  <si>
    <t>C72518</t>
  </si>
  <si>
    <t>236.144.1.72</t>
  </si>
  <si>
    <t>D156167</t>
  </si>
  <si>
    <t>TX1000659</t>
  </si>
  <si>
    <t>C98012</t>
  </si>
  <si>
    <t>161.205.182.25</t>
  </si>
  <si>
    <t>D149797</t>
  </si>
  <si>
    <t>TX1001794</t>
  </si>
  <si>
    <t>C84248</t>
  </si>
  <si>
    <t>107.36.93.175</t>
  </si>
  <si>
    <t>D149660</t>
  </si>
  <si>
    <t>TX1002511</t>
  </si>
  <si>
    <t>C64796</t>
  </si>
  <si>
    <t>64.117.249.170</t>
  </si>
  <si>
    <t>D104982</t>
  </si>
  <si>
    <t>TX1000186</t>
  </si>
  <si>
    <t>104.65.150.16</t>
  </si>
  <si>
    <t>D148394</t>
  </si>
  <si>
    <t>TX1001147</t>
  </si>
  <si>
    <t>C75626</t>
  </si>
  <si>
    <t>66.25.194.139</t>
  </si>
  <si>
    <t>D164611</t>
  </si>
  <si>
    <t>TX1000608</t>
  </si>
  <si>
    <t>155.167.157.219</t>
  </si>
  <si>
    <t>D161592</t>
  </si>
  <si>
    <t>TX1002191</t>
  </si>
  <si>
    <t>C61735</t>
  </si>
  <si>
    <t>140.8.153.153</t>
  </si>
  <si>
    <t>D164940</t>
  </si>
  <si>
    <t>TX1001930</t>
  </si>
  <si>
    <t>C58067</t>
  </si>
  <si>
    <t>81.35.113.229</t>
  </si>
  <si>
    <t>D156394</t>
  </si>
  <si>
    <t>TX1000197</t>
  </si>
  <si>
    <t>C80602</t>
  </si>
  <si>
    <t>198.165.131.42</t>
  </si>
  <si>
    <t>D109698</t>
  </si>
  <si>
    <t>TX1002327</t>
  </si>
  <si>
    <t>C88931</t>
  </si>
  <si>
    <t>166.30.96.229</t>
  </si>
  <si>
    <t>D195622</t>
  </si>
  <si>
    <t>TX1000293</t>
  </si>
  <si>
    <t>C57067</t>
  </si>
  <si>
    <t>242.37.224.196</t>
  </si>
  <si>
    <t>D112539</t>
  </si>
  <si>
    <t>TX1000766</t>
  </si>
  <si>
    <t>C52733</t>
  </si>
  <si>
    <t>84.74.136.160</t>
  </si>
  <si>
    <t>D130072</t>
  </si>
  <si>
    <t>TX1000400</t>
  </si>
  <si>
    <t>C62184</t>
  </si>
  <si>
    <t>32.4.163.177</t>
  </si>
  <si>
    <t>D101428</t>
  </si>
  <si>
    <t>TX1000122</t>
  </si>
  <si>
    <t>C84245</t>
  </si>
  <si>
    <t>105.185.54.40</t>
  </si>
  <si>
    <t>D155846</t>
  </si>
  <si>
    <t>TX1000202</t>
  </si>
  <si>
    <t>C94438</t>
  </si>
  <si>
    <t>37.250.9.121</t>
  </si>
  <si>
    <t>D181051</t>
  </si>
  <si>
    <t>TX1000835</t>
  </si>
  <si>
    <t>C57203</t>
  </si>
  <si>
    <t>83.105.25.178</t>
  </si>
  <si>
    <t>D148622</t>
  </si>
  <si>
    <t>TX1002294</t>
  </si>
  <si>
    <t>C57575</t>
  </si>
  <si>
    <t>219.107.140.194</t>
  </si>
  <si>
    <t>D112837</t>
  </si>
  <si>
    <t>TX1001439</t>
  </si>
  <si>
    <t>C76243</t>
  </si>
  <si>
    <t>153.131.172.235</t>
  </si>
  <si>
    <t>D178181</t>
  </si>
  <si>
    <t>TX1001733</t>
  </si>
  <si>
    <t>C56227</t>
  </si>
  <si>
    <t>111.91.73.135</t>
  </si>
  <si>
    <t>D135929</t>
  </si>
  <si>
    <t>TX1001695</t>
  </si>
  <si>
    <t>C87268</t>
  </si>
  <si>
    <t>151.171.212.252</t>
  </si>
  <si>
    <t>D124625</t>
  </si>
  <si>
    <t>TX1002930</t>
  </si>
  <si>
    <t>C92883</t>
  </si>
  <si>
    <t>240.122.74.19</t>
  </si>
  <si>
    <t>D181722</t>
  </si>
  <si>
    <t>TX1001707</t>
  </si>
  <si>
    <t>C78634</t>
  </si>
  <si>
    <t>218.46.188.153</t>
  </si>
  <si>
    <t>D145439</t>
  </si>
  <si>
    <t>TX1002915</t>
  </si>
  <si>
    <t>C53473</t>
  </si>
  <si>
    <t>25.45.117.46</t>
  </si>
  <si>
    <t>D172308</t>
  </si>
  <si>
    <t>TX1001153</t>
  </si>
  <si>
    <t>C94812</t>
  </si>
  <si>
    <t>49.40.51.29</t>
  </si>
  <si>
    <t>D118643</t>
  </si>
  <si>
    <t>TX1001661</t>
  </si>
  <si>
    <t>223.238.20.34</t>
  </si>
  <si>
    <t>D119997</t>
  </si>
  <si>
    <t>TX1002432</t>
  </si>
  <si>
    <t>C87434</t>
  </si>
  <si>
    <t>193.95.231.204</t>
  </si>
  <si>
    <t>TX1001759</t>
  </si>
  <si>
    <t>C78775</t>
  </si>
  <si>
    <t>118.80.12.177</t>
  </si>
  <si>
    <t>D138549</t>
  </si>
  <si>
    <t>TX1000854</t>
  </si>
  <si>
    <t>C94687</t>
  </si>
  <si>
    <t>169.107.81.243</t>
  </si>
  <si>
    <t>D178346</t>
  </si>
  <si>
    <t>TX1001589</t>
  </si>
  <si>
    <t>C62550</t>
  </si>
  <si>
    <t>243.170.87.131</t>
  </si>
  <si>
    <t>D167878</t>
  </si>
  <si>
    <t>TX1002267</t>
  </si>
  <si>
    <t>C61530</t>
  </si>
  <si>
    <t>14.117.249.34</t>
  </si>
  <si>
    <t>D166610</t>
  </si>
  <si>
    <t>TX1000641</t>
  </si>
  <si>
    <t>C65038</t>
  </si>
  <si>
    <t>62.203.1.111</t>
  </si>
  <si>
    <t>TX1000001</t>
  </si>
  <si>
    <t>C90329</t>
  </si>
  <si>
    <t>185.160.97.196</t>
  </si>
  <si>
    <t>D120885</t>
  </si>
  <si>
    <t>TX1002160</t>
  </si>
  <si>
    <t>C71580</t>
  </si>
  <si>
    <t>193.110.53.136</t>
  </si>
  <si>
    <t>D193759</t>
  </si>
  <si>
    <t>TX1000698</t>
  </si>
  <si>
    <t>C66392</t>
  </si>
  <si>
    <t>171.87.95.20</t>
  </si>
  <si>
    <t>D101836</t>
  </si>
  <si>
    <t>TX1001636</t>
  </si>
  <si>
    <t>C70254</t>
  </si>
  <si>
    <t>57.94.146.210</t>
  </si>
  <si>
    <t>D149616</t>
  </si>
  <si>
    <t>TX1001291</t>
  </si>
  <si>
    <t>C59953</t>
  </si>
  <si>
    <t>19.40.80.96</t>
  </si>
  <si>
    <t>D148793</t>
  </si>
  <si>
    <t>TX1002858</t>
  </si>
  <si>
    <t>C60377</t>
  </si>
  <si>
    <t>21.142.92.243</t>
  </si>
  <si>
    <t>D129207</t>
  </si>
  <si>
    <t>TX1002489</t>
  </si>
  <si>
    <t>C91587</t>
  </si>
  <si>
    <t>92.5.139.100</t>
  </si>
  <si>
    <t>D178698</t>
  </si>
  <si>
    <t>TX1001520</t>
  </si>
  <si>
    <t>C83730</t>
  </si>
  <si>
    <t>63.26.135.202</t>
  </si>
  <si>
    <t>D143214</t>
  </si>
  <si>
    <t>TX1001853</t>
  </si>
  <si>
    <t>C66336</t>
  </si>
  <si>
    <t>42.134.59.41</t>
  </si>
  <si>
    <t>D138372</t>
  </si>
  <si>
    <t>TX1001136</t>
  </si>
  <si>
    <t>C92185</t>
  </si>
  <si>
    <t>226.92.25.160</t>
  </si>
  <si>
    <t>D196940</t>
  </si>
  <si>
    <t>TX1002900</t>
  </si>
  <si>
    <t>C75266</t>
  </si>
  <si>
    <t>30.90.211.76</t>
  </si>
  <si>
    <t>D142224</t>
  </si>
  <si>
    <t>TX1001631</t>
  </si>
  <si>
    <t>C67449</t>
  </si>
  <si>
    <t>26.106.130.213</t>
  </si>
  <si>
    <t>D129174</t>
  </si>
  <si>
    <t>TX1001998</t>
  </si>
  <si>
    <t>C86701</t>
  </si>
  <si>
    <t>100.198.42.222</t>
  </si>
  <si>
    <t>D192342</t>
  </si>
  <si>
    <t>TX1000663</t>
  </si>
  <si>
    <t>C98424</t>
  </si>
  <si>
    <t>60.23.91.51</t>
  </si>
  <si>
    <t>D127403</t>
  </si>
  <si>
    <t>TX1000683</t>
  </si>
  <si>
    <t>C63315</t>
  </si>
  <si>
    <t>176.233.37.83</t>
  </si>
  <si>
    <t>D197669</t>
  </si>
  <si>
    <t>TX1001257</t>
  </si>
  <si>
    <t>C91786</t>
  </si>
  <si>
    <t>29.216.12.141</t>
  </si>
  <si>
    <t>D192777</t>
  </si>
  <si>
    <t>TX1000317</t>
  </si>
  <si>
    <t>C56209</t>
  </si>
  <si>
    <t>45.162.246.18</t>
  </si>
  <si>
    <t>D143922</t>
  </si>
  <si>
    <t>TX1000648</t>
  </si>
  <si>
    <t>218.210.38.250</t>
  </si>
  <si>
    <t>D169594</t>
  </si>
  <si>
    <t>TX1001434</t>
  </si>
  <si>
    <t>C91590</t>
  </si>
  <si>
    <t>57.225.51.152</t>
  </si>
  <si>
    <t>D168650</t>
  </si>
  <si>
    <t>TX1001479</t>
  </si>
  <si>
    <t>C55450</t>
  </si>
  <si>
    <t>207.190.132.43</t>
  </si>
  <si>
    <t>D109601</t>
  </si>
  <si>
    <t>TX1000709</t>
  </si>
  <si>
    <t>C60989</t>
  </si>
  <si>
    <t>136.189.52.58</t>
  </si>
  <si>
    <t>D166123</t>
  </si>
  <si>
    <t>TX1001282</t>
  </si>
  <si>
    <t>C91057</t>
  </si>
  <si>
    <t>91.247.116.123</t>
  </si>
  <si>
    <t>D154421</t>
  </si>
  <si>
    <t>TX1001768</t>
  </si>
  <si>
    <t>C94246</t>
  </si>
  <si>
    <t>25.1.54.70</t>
  </si>
  <si>
    <t>D169209</t>
  </si>
  <si>
    <t>TX1000972</t>
  </si>
  <si>
    <t>C90337</t>
  </si>
  <si>
    <t>57.227.157.69</t>
  </si>
  <si>
    <t>D135038</t>
  </si>
  <si>
    <t>TX1002675</t>
  </si>
  <si>
    <t>C50975</t>
  </si>
  <si>
    <t>66.85.169.114</t>
  </si>
  <si>
    <t>D195281</t>
  </si>
  <si>
    <t>TX1002680</t>
  </si>
  <si>
    <t>C71020</t>
  </si>
  <si>
    <t>149.159.79.139</t>
  </si>
  <si>
    <t>D127392</t>
  </si>
  <si>
    <t>TX1001306</t>
  </si>
  <si>
    <t>C83854</t>
  </si>
  <si>
    <t>111.22.58.218</t>
  </si>
  <si>
    <t>D123552</t>
  </si>
  <si>
    <t>TX1001400</t>
  </si>
  <si>
    <t>C97832</t>
  </si>
  <si>
    <t>55.221.90.229</t>
  </si>
  <si>
    <t>D160513</t>
  </si>
  <si>
    <t>TX1001408</t>
  </si>
  <si>
    <t>C68698</t>
  </si>
  <si>
    <t>44.124.239.86</t>
  </si>
  <si>
    <t>D178614</t>
  </si>
  <si>
    <t>TX1002237</t>
  </si>
  <si>
    <t>C55617</t>
  </si>
  <si>
    <t>147.60.44.138</t>
  </si>
  <si>
    <t>D134483</t>
  </si>
  <si>
    <t>TX1001496</t>
  </si>
  <si>
    <t>C69503</t>
  </si>
  <si>
    <t>240.228.4.86</t>
  </si>
  <si>
    <t>TX1002038</t>
  </si>
  <si>
    <t>C51879</t>
  </si>
  <si>
    <t>50.40.225.97</t>
  </si>
  <si>
    <t>D153198</t>
  </si>
  <si>
    <t>TX1001529</t>
  </si>
  <si>
    <t>C54652</t>
  </si>
  <si>
    <t>154.103.92.249</t>
  </si>
  <si>
    <t>D131578</t>
  </si>
  <si>
    <t>TX1001663</t>
  </si>
  <si>
    <t>C80972</t>
  </si>
  <si>
    <t>63.205.216.51</t>
  </si>
  <si>
    <t>D193568</t>
  </si>
  <si>
    <t>TX1001354</t>
  </si>
  <si>
    <t>C59152</t>
  </si>
  <si>
    <t>85.17.124.182</t>
  </si>
  <si>
    <t>D146784</t>
  </si>
  <si>
    <t>TX1002926</t>
  </si>
  <si>
    <t>C69375</t>
  </si>
  <si>
    <t>35.116.234.198</t>
  </si>
  <si>
    <t>D181631</t>
  </si>
  <si>
    <t>TX1002946</t>
  </si>
  <si>
    <t>C87512</t>
  </si>
  <si>
    <t>227.112.105.12</t>
  </si>
  <si>
    <t>D178784</t>
  </si>
  <si>
    <t>TX1001643</t>
  </si>
  <si>
    <t>C87412</t>
  </si>
  <si>
    <t>84.229.81.125</t>
  </si>
  <si>
    <t>D132118</t>
  </si>
  <si>
    <t>TX1001051</t>
  </si>
  <si>
    <t>C84984</t>
  </si>
  <si>
    <t>138.27.72.60</t>
  </si>
  <si>
    <t>D183730</t>
  </si>
  <si>
    <t>TX1000795</t>
  </si>
  <si>
    <t>C95507</t>
  </si>
  <si>
    <t>79.191.115.6</t>
  </si>
  <si>
    <t>D100364</t>
  </si>
  <si>
    <t>TX1002693</t>
  </si>
  <si>
    <t>M1442</t>
  </si>
  <si>
    <t>C90671</t>
  </si>
  <si>
    <t>146.220.130.106</t>
  </si>
  <si>
    <t>D115448</t>
  </si>
  <si>
    <t>TX1001597</t>
  </si>
  <si>
    <t>C75522</t>
  </si>
  <si>
    <t>21.62.8.90</t>
  </si>
  <si>
    <t>D100858</t>
  </si>
  <si>
    <t>TX1002604</t>
  </si>
  <si>
    <t>C80002</t>
  </si>
  <si>
    <t>163.85.205.229</t>
  </si>
  <si>
    <t>D183624</t>
  </si>
  <si>
    <t>TX1002729</t>
  </si>
  <si>
    <t>C61060</t>
  </si>
  <si>
    <t>75.61.135.30</t>
  </si>
  <si>
    <t>D184752</t>
  </si>
  <si>
    <t>TX1002625</t>
  </si>
  <si>
    <t>C59836</t>
  </si>
  <si>
    <t>178.179.145.197</t>
  </si>
  <si>
    <t>D137119</t>
  </si>
  <si>
    <t>TX1001819</t>
  </si>
  <si>
    <t>C60609</t>
  </si>
  <si>
    <t>122.246.190.240</t>
  </si>
  <si>
    <t>D145861</t>
  </si>
  <si>
    <t>TX1001722</t>
  </si>
  <si>
    <t>C97205</t>
  </si>
  <si>
    <t>94.53.52.210</t>
  </si>
  <si>
    <t>D114708</t>
  </si>
  <si>
    <t>TX1001183</t>
  </si>
  <si>
    <t>C80462</t>
  </si>
  <si>
    <t>222.90.55.118</t>
  </si>
  <si>
    <t>D163367</t>
  </si>
  <si>
    <t>TX1002572</t>
  </si>
  <si>
    <t>C61691</t>
  </si>
  <si>
    <t>121.37.155.69</t>
  </si>
  <si>
    <t>D191402</t>
  </si>
  <si>
    <t>TX1001059</t>
  </si>
  <si>
    <t>C81087</t>
  </si>
  <si>
    <t>31.140.150.7</t>
  </si>
  <si>
    <t>D180842</t>
  </si>
  <si>
    <t>TX1000540</t>
  </si>
  <si>
    <t>C62598</t>
  </si>
  <si>
    <t>192.133.186.206</t>
  </si>
  <si>
    <t>D134544</t>
  </si>
  <si>
    <t>TX1001678</t>
  </si>
  <si>
    <t>C65755</t>
  </si>
  <si>
    <t>242.169.19.211</t>
  </si>
  <si>
    <t>D158623</t>
  </si>
  <si>
    <t>TX1002796</t>
  </si>
  <si>
    <t>C95542</t>
  </si>
  <si>
    <t>39.77.64.222</t>
  </si>
  <si>
    <t>TX1002890</t>
  </si>
  <si>
    <t>C54626</t>
  </si>
  <si>
    <t>230.209.255.244</t>
  </si>
  <si>
    <t>D123296</t>
  </si>
  <si>
    <t>TX1002532</t>
  </si>
  <si>
    <t>C51540</t>
  </si>
  <si>
    <t>103.170.9.14</t>
  </si>
  <si>
    <t>D158517</t>
  </si>
  <si>
    <t>TX1001757</t>
  </si>
  <si>
    <t>C81740</t>
  </si>
  <si>
    <t>179.73.181.166</t>
  </si>
  <si>
    <t>D193578</t>
  </si>
  <si>
    <t>TX1001923</t>
  </si>
  <si>
    <t>C69193</t>
  </si>
  <si>
    <t>60.13.2.71</t>
  </si>
  <si>
    <t>D156438</t>
  </si>
  <si>
    <t>TX1000095</t>
  </si>
  <si>
    <t>C90167</t>
  </si>
  <si>
    <t>223.84.38.193</t>
  </si>
  <si>
    <t>D164441</t>
  </si>
  <si>
    <t>TX1001020</t>
  </si>
  <si>
    <t>C80717</t>
  </si>
  <si>
    <t>206.45.135.63</t>
  </si>
  <si>
    <t>D100783</t>
  </si>
  <si>
    <t>TX1000563</t>
  </si>
  <si>
    <t>C98396</t>
  </si>
  <si>
    <t>161.18.49.202</t>
  </si>
  <si>
    <t>D108566</t>
  </si>
  <si>
    <t>TX1002790</t>
  </si>
  <si>
    <t>C92151</t>
  </si>
  <si>
    <t>220.82.246.224</t>
  </si>
  <si>
    <t>D152783</t>
  </si>
  <si>
    <t>TX1000863</t>
  </si>
  <si>
    <t>C84698</t>
  </si>
  <si>
    <t>237.213.87.169</t>
  </si>
  <si>
    <t>D173997</t>
  </si>
  <si>
    <t>TX1001484</t>
  </si>
  <si>
    <t>C94275</t>
  </si>
  <si>
    <t>79.114.88.15</t>
  </si>
  <si>
    <t>D147688</t>
  </si>
  <si>
    <t>TX1001881</t>
  </si>
  <si>
    <t>C69295</t>
  </si>
  <si>
    <t>108.247.143.3</t>
  </si>
  <si>
    <t>D173921</t>
  </si>
  <si>
    <t>TX1001038</t>
  </si>
  <si>
    <t>65.9.172.150</t>
  </si>
  <si>
    <t>D182304</t>
  </si>
  <si>
    <t>TX1000206</t>
  </si>
  <si>
    <t>C86550</t>
  </si>
  <si>
    <t>130.112.237.198</t>
  </si>
  <si>
    <t>D182111</t>
  </si>
  <si>
    <t>TX1000392</t>
  </si>
  <si>
    <t>C71960</t>
  </si>
  <si>
    <t>165.201.26.206</t>
  </si>
  <si>
    <t>D175740</t>
  </si>
  <si>
    <t>TX1002842</t>
  </si>
  <si>
    <t>C87737</t>
  </si>
  <si>
    <t>77.21.147.100</t>
  </si>
  <si>
    <t>D103448</t>
  </si>
  <si>
    <t>TX1000870</t>
  </si>
  <si>
    <t>M1496</t>
  </si>
  <si>
    <t>C50252</t>
  </si>
  <si>
    <t>91.145.207.71</t>
  </si>
  <si>
    <t>D109865</t>
  </si>
  <si>
    <t>TX1000397</t>
  </si>
  <si>
    <t>C83947</t>
  </si>
  <si>
    <t>36.112.42.187</t>
  </si>
  <si>
    <t>D190649</t>
  </si>
  <si>
    <t>TX1002814</t>
  </si>
  <si>
    <t>C92511</t>
  </si>
  <si>
    <t>92.129.143.243</t>
  </si>
  <si>
    <t>D122340</t>
  </si>
  <si>
    <t>TX1002884</t>
  </si>
  <si>
    <t>C74715</t>
  </si>
  <si>
    <t>78.52.201.235</t>
  </si>
  <si>
    <t>D176574</t>
  </si>
  <si>
    <t>TX1001028</t>
  </si>
  <si>
    <t>C81745</t>
  </si>
  <si>
    <t>234.218.17.151</t>
  </si>
  <si>
    <t>D197005</t>
  </si>
  <si>
    <t>TX1002690</t>
  </si>
  <si>
    <t>C83553</t>
  </si>
  <si>
    <t>199.66.183.212</t>
  </si>
  <si>
    <t>D190069</t>
  </si>
  <si>
    <t>TX1001485</t>
  </si>
  <si>
    <t>C94697</t>
  </si>
  <si>
    <t>79.49.238.174</t>
  </si>
  <si>
    <t>D165422</t>
  </si>
  <si>
    <t>TX1002660</t>
  </si>
  <si>
    <t>C51293</t>
  </si>
  <si>
    <t>135.200.191.84</t>
  </si>
  <si>
    <t>D168343</t>
  </si>
  <si>
    <t>TX1000960</t>
  </si>
  <si>
    <t>C93763</t>
  </si>
  <si>
    <t>180.13.217.31</t>
  </si>
  <si>
    <t>D158794</t>
  </si>
  <si>
    <t>TX1001570</t>
  </si>
  <si>
    <t>C82639</t>
  </si>
  <si>
    <t>129.206.82.250</t>
  </si>
  <si>
    <t>D131553</t>
  </si>
  <si>
    <t>TX1002773</t>
  </si>
  <si>
    <t>C75783</t>
  </si>
  <si>
    <t>102.76.229.65</t>
  </si>
  <si>
    <t>D148616</t>
  </si>
  <si>
    <t>TX1001895</t>
  </si>
  <si>
    <t>C67871</t>
  </si>
  <si>
    <t>6.120.209.237</t>
  </si>
  <si>
    <t>D155531</t>
  </si>
  <si>
    <t>TX1002731</t>
  </si>
  <si>
    <t>C76967</t>
  </si>
  <si>
    <t>223.97.116.122</t>
  </si>
  <si>
    <t>D190390</t>
  </si>
  <si>
    <t>TX1002146</t>
  </si>
  <si>
    <t>C77942</t>
  </si>
  <si>
    <t>219.201.223.229</t>
  </si>
  <si>
    <t>D136498</t>
  </si>
  <si>
    <t>TX1000804</t>
  </si>
  <si>
    <t>C89481</t>
  </si>
  <si>
    <t>163.106.25.71</t>
  </si>
  <si>
    <t>D193637</t>
  </si>
  <si>
    <t>TX1001751</t>
  </si>
  <si>
    <t>C94872</t>
  </si>
  <si>
    <t>109.51.198.82</t>
  </si>
  <si>
    <t>D166361</t>
  </si>
  <si>
    <t>TX1002454</t>
  </si>
  <si>
    <t>C78424</t>
  </si>
  <si>
    <t>234.30.51.199</t>
  </si>
  <si>
    <t>D107713</t>
  </si>
  <si>
    <t>TX1000502</t>
  </si>
  <si>
    <t>M1513</t>
  </si>
  <si>
    <t>C74534</t>
  </si>
  <si>
    <t>124.194.7.172</t>
  </si>
  <si>
    <t>D108487</t>
  </si>
  <si>
    <t>TX1000779</t>
  </si>
  <si>
    <t>C54890</t>
  </si>
  <si>
    <t>104.70.223.69</t>
  </si>
  <si>
    <t>D123203</t>
  </si>
  <si>
    <t>TX1001863</t>
  </si>
  <si>
    <t>C51169</t>
  </si>
  <si>
    <t>241.181.16.154</t>
  </si>
  <si>
    <t>D145888</t>
  </si>
  <si>
    <t>TX1000200</t>
  </si>
  <si>
    <t>C69846</t>
  </si>
  <si>
    <t>21.235.148.166</t>
  </si>
  <si>
    <t>D126623</t>
  </si>
  <si>
    <t>TX1002182</t>
  </si>
  <si>
    <t>C87410</t>
  </si>
  <si>
    <t>1.184.219.137</t>
  </si>
  <si>
    <t>D186238</t>
  </si>
  <si>
    <t>TX1002088</t>
  </si>
  <si>
    <t>C72947</t>
  </si>
  <si>
    <t>93.64.146.212</t>
  </si>
  <si>
    <t>D199215</t>
  </si>
  <si>
    <t>TX1002278</t>
  </si>
  <si>
    <t>C89349</t>
  </si>
  <si>
    <t>131.150.45.225</t>
  </si>
  <si>
    <t>D167328</t>
  </si>
  <si>
    <t>TX1001796</t>
  </si>
  <si>
    <t>C53526</t>
  </si>
  <si>
    <t>248.28.153.215</t>
  </si>
  <si>
    <t>D165723</t>
  </si>
  <si>
    <t>TX1000378</t>
  </si>
  <si>
    <t>C52940</t>
  </si>
  <si>
    <t>246.203.99.81</t>
  </si>
  <si>
    <t>D198545</t>
  </si>
  <si>
    <t>TX1002336</t>
  </si>
  <si>
    <t>C97715</t>
  </si>
  <si>
    <t>152.204.60.29</t>
  </si>
  <si>
    <t>D199754</t>
  </si>
  <si>
    <t>TX1000418</t>
  </si>
  <si>
    <t>C67121</t>
  </si>
  <si>
    <t>206.71.102.65</t>
  </si>
  <si>
    <t>D117785</t>
  </si>
  <si>
    <t>TX1001698</t>
  </si>
  <si>
    <t>C99358</t>
  </si>
  <si>
    <t>167.8.185.171</t>
  </si>
  <si>
    <t>D145337</t>
  </si>
  <si>
    <t>TX1000391</t>
  </si>
  <si>
    <t>69.135.157.215</t>
  </si>
  <si>
    <t>D154357</t>
  </si>
  <si>
    <t>TX1002640</t>
  </si>
  <si>
    <t>C83520</t>
  </si>
  <si>
    <t>85.39.53.148</t>
  </si>
  <si>
    <t>D171982</t>
  </si>
  <si>
    <t>TX1001522</t>
  </si>
  <si>
    <t>C62640</t>
  </si>
  <si>
    <t>111.226.128.117</t>
  </si>
  <si>
    <t>D193763</t>
  </si>
  <si>
    <t>TX1001162</t>
  </si>
  <si>
    <t>M1159</t>
  </si>
  <si>
    <t>C88908</t>
  </si>
  <si>
    <t>174.235.222.200</t>
  </si>
  <si>
    <t>D163444</t>
  </si>
  <si>
    <t>TX1001495</t>
  </si>
  <si>
    <t>C97592</t>
  </si>
  <si>
    <t>22.61.81.154</t>
  </si>
  <si>
    <t>D123898</t>
  </si>
  <si>
    <t>TX1002695</t>
  </si>
  <si>
    <t>C63667</t>
  </si>
  <si>
    <t>252.57.190.185</t>
  </si>
  <si>
    <t>D157459</t>
  </si>
  <si>
    <t>TX1002027</t>
  </si>
  <si>
    <t>C84805</t>
  </si>
  <si>
    <t>85.114.29.199</t>
  </si>
  <si>
    <t>D172896</t>
  </si>
  <si>
    <t>TX1001152</t>
  </si>
  <si>
    <t>C86846</t>
  </si>
  <si>
    <t>10.67.2.77</t>
  </si>
  <si>
    <t>D145022</t>
  </si>
  <si>
    <t>TX1001367</t>
  </si>
  <si>
    <t>C86462</t>
  </si>
  <si>
    <t>1.204.248.224</t>
  </si>
  <si>
    <t>D113470</t>
  </si>
  <si>
    <t>TX1002568</t>
  </si>
  <si>
    <t>M1208</t>
  </si>
  <si>
    <t>C78482</t>
  </si>
  <si>
    <t>33.109.103.166</t>
  </si>
  <si>
    <t>D117382</t>
  </si>
  <si>
    <t>TX1000064</t>
  </si>
  <si>
    <t>C51920</t>
  </si>
  <si>
    <t>60.81.51.64</t>
  </si>
  <si>
    <t>D186096</t>
  </si>
  <si>
    <t>TX1002062</t>
  </si>
  <si>
    <t>C96464</t>
  </si>
  <si>
    <t>78.254.190.99</t>
  </si>
  <si>
    <t>D145232</t>
  </si>
  <si>
    <t>TX1001180</t>
  </si>
  <si>
    <t>C89170</t>
  </si>
  <si>
    <t>188.111.78.38</t>
  </si>
  <si>
    <t>D142225</t>
  </si>
  <si>
    <t>TX1000492</t>
  </si>
  <si>
    <t>C55445</t>
  </si>
  <si>
    <t>120.15.79.160</t>
  </si>
  <si>
    <t>D176668</t>
  </si>
  <si>
    <t>TX1000379</t>
  </si>
  <si>
    <t>C75042</t>
  </si>
  <si>
    <t>21.47.118.227</t>
  </si>
  <si>
    <t>D128265</t>
  </si>
  <si>
    <t>TX1002235</t>
  </si>
  <si>
    <t>C70668</t>
  </si>
  <si>
    <t>222.96.95.146</t>
  </si>
  <si>
    <t>D158011</t>
  </si>
  <si>
    <t>TX1000763</t>
  </si>
  <si>
    <t>C91651</t>
  </si>
  <si>
    <t>178.119.166.225</t>
  </si>
  <si>
    <t>D133189</t>
  </si>
  <si>
    <t>TX1002264</t>
  </si>
  <si>
    <t>C79140</t>
  </si>
  <si>
    <t>14.91.153.148</t>
  </si>
  <si>
    <t>D151013</t>
  </si>
  <si>
    <t>TX1000791</t>
  </si>
  <si>
    <t>C95851</t>
  </si>
  <si>
    <t>233.177.132.113</t>
  </si>
  <si>
    <t>D183062</t>
  </si>
  <si>
    <t>TX1001076</t>
  </si>
  <si>
    <t>201.100.152.201</t>
  </si>
  <si>
    <t>D157936</t>
  </si>
  <si>
    <t>TX1000878</t>
  </si>
  <si>
    <t>C56316</t>
  </si>
  <si>
    <t>86.178.111.27</t>
  </si>
  <si>
    <t>D121787</t>
  </si>
  <si>
    <t>TX1000337</t>
  </si>
  <si>
    <t>C61732</t>
  </si>
  <si>
    <t>254.11.200.87</t>
  </si>
  <si>
    <t>D155369</t>
  </si>
  <si>
    <t>TX1002767</t>
  </si>
  <si>
    <t>C84999</t>
  </si>
  <si>
    <t>125.250.118.4</t>
  </si>
  <si>
    <t>D181242</t>
  </si>
  <si>
    <t>TX1002343</t>
  </si>
  <si>
    <t>C70961</t>
  </si>
  <si>
    <t>192.64.50.133</t>
  </si>
  <si>
    <t>D105411</t>
  </si>
  <si>
    <t>TX1001016</t>
  </si>
  <si>
    <t>C50791</t>
  </si>
  <si>
    <t>109.15.229.3</t>
  </si>
  <si>
    <t>D138840</t>
  </si>
  <si>
    <t>TX1001275</t>
  </si>
  <si>
    <t>C66571</t>
  </si>
  <si>
    <t>137.174.149.189</t>
  </si>
  <si>
    <t>D171152</t>
  </si>
  <si>
    <t>TX1000455</t>
  </si>
  <si>
    <t>C81788</t>
  </si>
  <si>
    <t>247.147.214.249</t>
  </si>
  <si>
    <t>D158611</t>
  </si>
  <si>
    <t>TX1000815</t>
  </si>
  <si>
    <t>C67412</t>
  </si>
  <si>
    <t>140.100.126.203</t>
  </si>
  <si>
    <t>D120632</t>
  </si>
  <si>
    <t>TX1002317</t>
  </si>
  <si>
    <t>C80274</t>
  </si>
  <si>
    <t>98.36.4.97</t>
  </si>
  <si>
    <t>D112288</t>
  </si>
  <si>
    <t>TX1000995</t>
  </si>
  <si>
    <t>C69733</t>
  </si>
  <si>
    <t>209.126.48.84</t>
  </si>
  <si>
    <t>D126233</t>
  </si>
  <si>
    <t>TX1001981</t>
  </si>
  <si>
    <t>C94498</t>
  </si>
  <si>
    <t>95.135.101.178</t>
  </si>
  <si>
    <t>D136471</t>
  </si>
  <si>
    <t>TX1000201</t>
  </si>
  <si>
    <t>C62416</t>
  </si>
  <si>
    <t>17.157.255.137</t>
  </si>
  <si>
    <t>D158891</t>
  </si>
  <si>
    <t>TX1000161</t>
  </si>
  <si>
    <t>C75745</t>
  </si>
  <si>
    <t>176.116.213.62</t>
  </si>
  <si>
    <t>D175090</t>
  </si>
  <si>
    <t>TX1001579</t>
  </si>
  <si>
    <t>C94724</t>
  </si>
  <si>
    <t>240.18.230.195</t>
  </si>
  <si>
    <t>D167652</t>
  </si>
  <si>
    <t>TX1002777</t>
  </si>
  <si>
    <t>C85311</t>
  </si>
  <si>
    <t>130.74.218.250</t>
  </si>
  <si>
    <t>D113842</t>
  </si>
  <si>
    <t>TX1002449</t>
  </si>
  <si>
    <t>M1385</t>
  </si>
  <si>
    <t>C67744</t>
  </si>
  <si>
    <t>163.152.63.151</t>
  </si>
  <si>
    <t>D166288</t>
  </si>
  <si>
    <t>TX1000702</t>
  </si>
  <si>
    <t>C92683</t>
  </si>
  <si>
    <t>249.233.20.143</t>
  </si>
  <si>
    <t>D177415</t>
  </si>
  <si>
    <t>TX1001500</t>
  </si>
  <si>
    <t>C77743</t>
  </si>
  <si>
    <t>10.66.205.98</t>
  </si>
  <si>
    <t>D125668</t>
  </si>
  <si>
    <t>TX1001129</t>
  </si>
  <si>
    <t>C65370</t>
  </si>
  <si>
    <t>42.144.70.253</t>
  </si>
  <si>
    <t>D188403</t>
  </si>
  <si>
    <t>TX1002613</t>
  </si>
  <si>
    <t>39.27.40.122</t>
  </si>
  <si>
    <t>D195277</t>
  </si>
  <si>
    <t>TX1001021</t>
  </si>
  <si>
    <t>C96299</t>
  </si>
  <si>
    <t>75.132.20.48</t>
  </si>
  <si>
    <t>D173488</t>
  </si>
  <si>
    <t>TX1001585</t>
  </si>
  <si>
    <t>C51413</t>
  </si>
  <si>
    <t>91.195.240.76</t>
  </si>
  <si>
    <t>D103713</t>
  </si>
  <si>
    <t>TX1001955</t>
  </si>
  <si>
    <t>C57666</t>
  </si>
  <si>
    <t>178.13.10.107</t>
  </si>
  <si>
    <t>D185499</t>
  </si>
  <si>
    <t>TX1002253</t>
  </si>
  <si>
    <t>C87091</t>
  </si>
  <si>
    <t>224.16.205.119</t>
  </si>
  <si>
    <t>D151036</t>
  </si>
  <si>
    <t>TX1000034</t>
  </si>
  <si>
    <t>C95405</t>
  </si>
  <si>
    <t>78.123.129.169</t>
  </si>
  <si>
    <t>D120203</t>
  </si>
  <si>
    <t>TX1000775</t>
  </si>
  <si>
    <t>C92421</t>
  </si>
  <si>
    <t>253.144.0.207</t>
  </si>
  <si>
    <t>D158591</t>
  </si>
  <si>
    <t>TX1002556</t>
  </si>
  <si>
    <t>C76860</t>
  </si>
  <si>
    <t>89.135.160.21</t>
  </si>
  <si>
    <t>D187297</t>
  </si>
  <si>
    <t>TX1001478</t>
  </si>
  <si>
    <t>47.60.14.224</t>
  </si>
  <si>
    <t>D150960</t>
  </si>
  <si>
    <t>TX1001390</t>
  </si>
  <si>
    <t>C80025</t>
  </si>
  <si>
    <t>108.146.204.223</t>
  </si>
  <si>
    <t>D184531</t>
  </si>
  <si>
    <t>TX1002139</t>
  </si>
  <si>
    <t>C87356</t>
  </si>
  <si>
    <t>75.28.135.22</t>
  </si>
  <si>
    <t>D117051</t>
  </si>
  <si>
    <t>TX1001363</t>
  </si>
  <si>
    <t>C60199</t>
  </si>
  <si>
    <t>56.231.238.178</t>
  </si>
  <si>
    <t>D132847</t>
  </si>
  <si>
    <t>TX1002945</t>
  </si>
  <si>
    <t>C59154</t>
  </si>
  <si>
    <t>159.27.92.191</t>
  </si>
  <si>
    <t>D116345</t>
  </si>
  <si>
    <t>TX1002612</t>
  </si>
  <si>
    <t>C78627</t>
  </si>
  <si>
    <t>119.61.78.191</t>
  </si>
  <si>
    <t>D188674</t>
  </si>
  <si>
    <t>TX1002824</t>
  </si>
  <si>
    <t>126.89.58.167</t>
  </si>
  <si>
    <t>D124876</t>
  </si>
  <si>
    <t>TX1002041</t>
  </si>
  <si>
    <t>157.28.84.41</t>
  </si>
  <si>
    <t>D185846</t>
  </si>
  <si>
    <t>TX1000241</t>
  </si>
  <si>
    <t>C82715</t>
  </si>
  <si>
    <t>137.222.30.134</t>
  </si>
  <si>
    <t>TX1002061</t>
  </si>
  <si>
    <t>C87682</t>
  </si>
  <si>
    <t>149.13.19.62</t>
  </si>
  <si>
    <t>D199484</t>
  </si>
  <si>
    <t>TX1002363</t>
  </si>
  <si>
    <t>C64611</t>
  </si>
  <si>
    <t>14.127.213.221</t>
  </si>
  <si>
    <t>D190354</t>
  </si>
  <si>
    <t>TX1000600</t>
  </si>
  <si>
    <t>C85634</t>
  </si>
  <si>
    <t>192.172.123.155</t>
  </si>
  <si>
    <t>D161509</t>
  </si>
  <si>
    <t>TX1002435</t>
  </si>
  <si>
    <t>C74103</t>
  </si>
  <si>
    <t>62.116.12.2</t>
  </si>
  <si>
    <t>D126174</t>
  </si>
  <si>
    <t>TX1001297</t>
  </si>
  <si>
    <t>M1358</t>
  </si>
  <si>
    <t>C88745</t>
  </si>
  <si>
    <t>46.17.6.123</t>
  </si>
  <si>
    <t>D120458</t>
  </si>
  <si>
    <t>TX1002214</t>
  </si>
  <si>
    <t>C63999</t>
  </si>
  <si>
    <t>113.233.15.186</t>
  </si>
  <si>
    <t>D160330</t>
  </si>
  <si>
    <t>TX1002888</t>
  </si>
  <si>
    <t>C52856</t>
  </si>
  <si>
    <t>93.172.182.148</t>
  </si>
  <si>
    <t>TX1002068</t>
  </si>
  <si>
    <t>C91300</t>
  </si>
  <si>
    <t>108.140.247.17</t>
  </si>
  <si>
    <t>D103826</t>
  </si>
  <si>
    <t>TX1000646</t>
  </si>
  <si>
    <t>C64860</t>
  </si>
  <si>
    <t>165.188.101.231</t>
  </si>
  <si>
    <t>D105500</t>
  </si>
  <si>
    <t>TX1001528</t>
  </si>
  <si>
    <t>C65856</t>
  </si>
  <si>
    <t>29.3.3.228</t>
  </si>
  <si>
    <t>D146693</t>
  </si>
  <si>
    <t>TX1002879</t>
  </si>
  <si>
    <t>C75809</t>
  </si>
  <si>
    <t>233.70.251.173</t>
  </si>
  <si>
    <t>D127349</t>
  </si>
  <si>
    <t>TX1001267</t>
  </si>
  <si>
    <t>C93914</t>
  </si>
  <si>
    <t>142.214.88.48</t>
  </si>
  <si>
    <t>D186597</t>
  </si>
  <si>
    <t>TX1001899</t>
  </si>
  <si>
    <t>C68442</t>
  </si>
  <si>
    <t>91.60.60.166</t>
  </si>
  <si>
    <t>D190998</t>
  </si>
  <si>
    <t>TX1000562</t>
  </si>
  <si>
    <t>C64232</t>
  </si>
  <si>
    <t>7.105.197.146</t>
  </si>
  <si>
    <t>D187424</t>
  </si>
  <si>
    <t>TX1002734</t>
  </si>
  <si>
    <t>C89284</t>
  </si>
  <si>
    <t>42.53.166.75</t>
  </si>
  <si>
    <t>D119602</t>
  </si>
  <si>
    <t>TX1000189</t>
  </si>
  <si>
    <t>C82647</t>
  </si>
  <si>
    <t>9.19.247.181</t>
  </si>
  <si>
    <t>D148310</t>
  </si>
  <si>
    <t>TX1001806</t>
  </si>
  <si>
    <t>C90915</t>
  </si>
  <si>
    <t>91.249.230.61</t>
  </si>
  <si>
    <t>D153698</t>
  </si>
  <si>
    <t>TX1000975</t>
  </si>
  <si>
    <t>C69970</t>
  </si>
  <si>
    <t>130.134.141.55</t>
  </si>
  <si>
    <t>D159904</t>
  </si>
  <si>
    <t>TX1002747</t>
  </si>
  <si>
    <t>C96139</t>
  </si>
  <si>
    <t>67.13.129.28</t>
  </si>
  <si>
    <t>D110449</t>
  </si>
  <si>
    <t>TX1002047</t>
  </si>
  <si>
    <t>C86747</t>
  </si>
  <si>
    <t>122.141.28.117</t>
  </si>
  <si>
    <t>D141629</t>
  </si>
  <si>
    <t>TX1002558</t>
  </si>
  <si>
    <t>C85450</t>
  </si>
  <si>
    <t>121.86.199.205</t>
  </si>
  <si>
    <t>D150436</t>
  </si>
  <si>
    <t>TX1001082</t>
  </si>
  <si>
    <t>C63144</t>
  </si>
  <si>
    <t>16.107.163.51</t>
  </si>
  <si>
    <t>D109789</t>
  </si>
  <si>
    <t>TX1000474</t>
  </si>
  <si>
    <t>C61335</t>
  </si>
  <si>
    <t>31.174.238.146</t>
  </si>
  <si>
    <t>D191264</t>
  </si>
  <si>
    <t>TX1002904</t>
  </si>
  <si>
    <t>11.83.98.222</t>
  </si>
  <si>
    <t>D159395</t>
  </si>
  <si>
    <t>TX1000747</t>
  </si>
  <si>
    <t>C65029</t>
  </si>
  <si>
    <t>12.253.127.46</t>
  </si>
  <si>
    <t>D163898</t>
  </si>
  <si>
    <t>TX1002300</t>
  </si>
  <si>
    <t>C81846</t>
  </si>
  <si>
    <t>208.221.39.13</t>
  </si>
  <si>
    <t>D119200</t>
  </si>
  <si>
    <t>TX1000021</t>
  </si>
  <si>
    <t>C52591</t>
  </si>
  <si>
    <t>123.106.170.78</t>
  </si>
  <si>
    <t>D102009</t>
  </si>
  <si>
    <t>TX1000459</t>
  </si>
  <si>
    <t>C60285</t>
  </si>
  <si>
    <t>192.63.193.168</t>
  </si>
  <si>
    <t>D152527</t>
  </si>
  <si>
    <t>TX1001184</t>
  </si>
  <si>
    <t>M1211</t>
  </si>
  <si>
    <t>C80832</t>
  </si>
  <si>
    <t>169.115.150.250</t>
  </si>
  <si>
    <t>D101468</t>
  </si>
  <si>
    <t>TX1002324</t>
  </si>
  <si>
    <t>C78337</t>
  </si>
  <si>
    <t>194.223.89.146</t>
  </si>
  <si>
    <t>D149590</t>
  </si>
  <si>
    <t>TX1000955</t>
  </si>
  <si>
    <t>C74340</t>
  </si>
  <si>
    <t>67.17.115.45</t>
  </si>
  <si>
    <t>D120562</t>
  </si>
  <si>
    <t>TX1001215</t>
  </si>
  <si>
    <t>C53109</t>
  </si>
  <si>
    <t>197.160.163.117</t>
  </si>
  <si>
    <t>D153317</t>
  </si>
  <si>
    <t>TX1002433</t>
  </si>
  <si>
    <t>C58056</t>
  </si>
  <si>
    <t>1.82.4.156</t>
  </si>
  <si>
    <t>D199857</t>
  </si>
  <si>
    <t>TX1002853</t>
  </si>
  <si>
    <t>C80988</t>
  </si>
  <si>
    <t>29.223.35.162</t>
  </si>
  <si>
    <t>D154728</t>
  </si>
  <si>
    <t>TX1001515</t>
  </si>
  <si>
    <t>C84884</t>
  </si>
  <si>
    <t>198.231.221.104</t>
  </si>
  <si>
    <t>D132566</t>
  </si>
  <si>
    <t>TX1002391</t>
  </si>
  <si>
    <t>C56288</t>
  </si>
  <si>
    <t>136.215.166.68</t>
  </si>
  <si>
    <t>D180381</t>
  </si>
  <si>
    <t>TX1000769</t>
  </si>
  <si>
    <t>C60158</t>
  </si>
  <si>
    <t>180.68.245.27</t>
  </si>
  <si>
    <t>D135945</t>
  </si>
  <si>
    <t>TX1001685</t>
  </si>
  <si>
    <t>C79994</t>
  </si>
  <si>
    <t>92.178.152.85</t>
  </si>
  <si>
    <t>D180934</t>
  </si>
  <si>
    <t>TX1000130</t>
  </si>
  <si>
    <t>C82266</t>
  </si>
  <si>
    <t>72.203.113.193</t>
  </si>
  <si>
    <t>D175584</t>
  </si>
  <si>
    <t>TX1002919</t>
  </si>
  <si>
    <t>C90422</t>
  </si>
  <si>
    <t>68.128.31.189</t>
  </si>
  <si>
    <t>D122103</t>
  </si>
  <si>
    <t>TX1002135</t>
  </si>
  <si>
    <t>223.30.106.123</t>
  </si>
  <si>
    <t>D109331</t>
  </si>
  <si>
    <t>TX1001482</t>
  </si>
  <si>
    <t>C70173</t>
  </si>
  <si>
    <t>195.38.133.150</t>
  </si>
  <si>
    <t>D179129</t>
  </si>
  <si>
    <t>TX1000330</t>
  </si>
  <si>
    <t>C99246</t>
  </si>
  <si>
    <t>170.96.1.253</t>
  </si>
  <si>
    <t>D183633</t>
  </si>
  <si>
    <t>TX1001238</t>
  </si>
  <si>
    <t>169.252.52.87</t>
  </si>
  <si>
    <t>D153808</t>
  </si>
  <si>
    <t>TX1000466</t>
  </si>
  <si>
    <t>C80834</t>
  </si>
  <si>
    <t>85.48.31.160</t>
  </si>
  <si>
    <t>D161432</t>
  </si>
  <si>
    <t>TX1002169</t>
  </si>
  <si>
    <t>C55634</t>
  </si>
  <si>
    <t>151.79.167.106</t>
  </si>
  <si>
    <t>D188683</t>
  </si>
  <si>
    <t>TX1001638</t>
  </si>
  <si>
    <t>C64347</t>
  </si>
  <si>
    <t>133.131.71.23</t>
  </si>
  <si>
    <t>D101140</t>
  </si>
  <si>
    <t>TX1001095</t>
  </si>
  <si>
    <t>C57563</t>
  </si>
  <si>
    <t>114.128.122.211</t>
  </si>
  <si>
    <t>TX1001130</t>
  </si>
  <si>
    <t>M1090</t>
  </si>
  <si>
    <t>C99823</t>
  </si>
  <si>
    <t>73.244.124.108</t>
  </si>
  <si>
    <t>D106562</t>
  </si>
  <si>
    <t>TX1001294</t>
  </si>
  <si>
    <t>C58612</t>
  </si>
  <si>
    <t>241.37.160.11</t>
  </si>
  <si>
    <t>D137901</t>
  </si>
  <si>
    <t>TX1000860</t>
  </si>
  <si>
    <t>C78530</t>
  </si>
  <si>
    <t>239.223.74.46</t>
  </si>
  <si>
    <t>D109843</t>
  </si>
  <si>
    <t>Month Name</t>
  </si>
  <si>
    <t>Fruad Status</t>
  </si>
  <si>
    <t>Age Group</t>
  </si>
  <si>
    <t>September</t>
  </si>
  <si>
    <t>Legit</t>
  </si>
  <si>
    <t>60+</t>
  </si>
  <si>
    <t>July</t>
  </si>
  <si>
    <t>40-59</t>
  </si>
  <si>
    <t>May</t>
  </si>
  <si>
    <t>June</t>
  </si>
  <si>
    <t>25-39</t>
  </si>
  <si>
    <t>October</t>
  </si>
  <si>
    <t>Fraud</t>
  </si>
  <si>
    <t>Under 25</t>
  </si>
  <si>
    <t>August</t>
  </si>
  <si>
    <t>Row Labels</t>
  </si>
  <si>
    <t>Grand Total</t>
  </si>
  <si>
    <t>Sum of FraudLabel</t>
  </si>
  <si>
    <t>Total Transactions</t>
  </si>
  <si>
    <t>Total Amount Processed</t>
  </si>
  <si>
    <t>Fraudulent Transactions</t>
  </si>
  <si>
    <t>Fraud Rate (%)</t>
  </si>
  <si>
    <t>Fraud Amount</t>
  </si>
  <si>
    <t>Fraud Amount Rate (%)</t>
  </si>
  <si>
    <t>FORMULA</t>
  </si>
  <si>
    <t>OUTPUT</t>
  </si>
  <si>
    <t>KPIs</t>
  </si>
  <si>
    <r>
      <t xml:space="preserve">4. </t>
    </r>
    <r>
      <rPr>
        <b/>
        <sz val="11"/>
        <color theme="1"/>
        <rFont val="Calibri"/>
        <family val="2"/>
        <scheme val="minor"/>
      </rPr>
      <t>Fraud by age group</t>
    </r>
  </si>
  <si>
    <t>Sum of Amount</t>
  </si>
  <si>
    <t>5. Fraud amount by country</t>
  </si>
  <si>
    <t>4. Fraud amount and fraud count by month</t>
  </si>
  <si>
    <t>→ Chart: combo chart with fraud label in the secondary axis</t>
  </si>
  <si>
    <t>Sum of Avg_loss_per_case</t>
  </si>
  <si>
    <t>Sum of Fruad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</si>
</sst>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0.00"/>
    <numFmt numFmtId="166" formatCode="&quot;$&quot;#,##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4" fontId="0" fillId="0" borderId="0" xfId="0" applyNumberFormat="1"/>
    <xf numFmtId="0" fontId="0" fillId="2" borderId="0" xfId="0" applyFill="1"/>
    <xf numFmtId="14" fontId="0" fillId="2" borderId="0" xfId="0" applyNumberFormat="1" applyFill="1"/>
    <xf numFmtId="164" fontId="0" fillId="2" borderId="0" xfId="0" applyNumberFormat="1" applyFill="1"/>
    <xf numFmtId="164" fontId="0" fillId="0" borderId="0" xfId="0" applyNumberFormat="1"/>
    <xf numFmtId="0" fontId="0" fillId="0" borderId="0" xfId="0" pivotButton="1"/>
    <xf numFmtId="0" fontId="0" fillId="0" borderId="0" xfId="0" applyAlignment="1">
      <alignment horizontal="left"/>
    </xf>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1" fillId="3" borderId="2" xfId="0" applyFont="1" applyFill="1" applyBorder="1"/>
    <xf numFmtId="3" fontId="1" fillId="3" borderId="1" xfId="0" applyNumberFormat="1" applyFont="1" applyFill="1" applyBorder="1" applyAlignment="1">
      <alignment horizontal="left"/>
    </xf>
    <xf numFmtId="0" fontId="1" fillId="3" borderId="3" xfId="0" applyFont="1" applyFill="1" applyBorder="1"/>
    <xf numFmtId="165" fontId="1" fillId="3" borderId="1" xfId="0" applyNumberFormat="1" applyFont="1" applyFill="1" applyBorder="1" applyAlignment="1">
      <alignment horizontal="left"/>
    </xf>
    <xf numFmtId="1" fontId="1" fillId="3" borderId="1" xfId="0" applyNumberFormat="1" applyFont="1" applyFill="1" applyBorder="1" applyAlignment="1">
      <alignment horizontal="left"/>
    </xf>
    <xf numFmtId="10" fontId="1" fillId="3" borderId="1" xfId="1" applyNumberFormat="1" applyFont="1" applyFill="1" applyBorder="1" applyAlignment="1">
      <alignment horizontal="left"/>
    </xf>
    <xf numFmtId="0" fontId="1" fillId="3" borderId="7" xfId="0" applyFont="1" applyFill="1" applyBorder="1"/>
    <xf numFmtId="10" fontId="1" fillId="3" borderId="8" xfId="1" applyNumberFormat="1" applyFont="1" applyFill="1" applyBorder="1" applyAlignment="1">
      <alignment horizontal="left"/>
    </xf>
    <xf numFmtId="0" fontId="1" fillId="3" borderId="9" xfId="0" applyFont="1" applyFill="1" applyBorder="1"/>
    <xf numFmtId="165" fontId="0" fillId="0" borderId="0" xfId="0" applyNumberFormat="1"/>
    <xf numFmtId="49" fontId="0" fillId="0" borderId="0" xfId="0" applyNumberFormat="1"/>
    <xf numFmtId="3" fontId="0" fillId="0" borderId="0" xfId="0" applyNumberFormat="1"/>
    <xf numFmtId="166" fontId="0" fillId="0" borderId="0" xfId="0" applyNumberFormat="1"/>
    <xf numFmtId="10" fontId="0" fillId="0" borderId="0" xfId="0" applyNumberFormat="1"/>
  </cellXfs>
  <cellStyles count="2">
    <cellStyle name="Normal" xfId="0" builtinId="0"/>
    <cellStyle name="Percent" xfId="1" builtinId="5"/>
  </cellStyles>
  <dxfs count="31">
    <dxf>
      <numFmt numFmtId="165" formatCode="&quot;$&quot;#,##0.00"/>
    </dxf>
    <dxf>
      <numFmt numFmtId="165" formatCode="&quot;$&quot;#,##0.00"/>
    </dxf>
    <dxf>
      <numFmt numFmtId="165" formatCode="&quot;$&quot;#,##0.00"/>
    </dxf>
    <dxf>
      <numFmt numFmtId="30" formatCode="@"/>
    </dxf>
    <dxf>
      <numFmt numFmtId="165" formatCode="&quot;$&quot;#,##0.00"/>
    </dxf>
    <dxf>
      <font>
        <b/>
      </font>
      <fill>
        <patternFill patternType="solid">
          <fgColor indexed="64"/>
          <bgColor theme="4" tint="0.79998168889431442"/>
        </patternFill>
      </fill>
      <border diagonalUp="0" diagonalDown="0" outline="0">
        <left style="thin">
          <color indexed="64"/>
        </left>
        <right/>
        <top style="thin">
          <color indexed="64"/>
        </top>
        <bottom style="thin">
          <color indexed="64"/>
        </bottom>
      </border>
    </dxf>
    <dxf>
      <font>
        <b/>
      </font>
      <fill>
        <patternFill patternType="solid">
          <fgColor indexed="64"/>
          <bgColor theme="4" tint="0.79998168889431442"/>
        </patternFill>
      </fill>
    </dxf>
    <dxf>
      <font>
        <b/>
      </font>
      <fill>
        <patternFill patternType="solid">
          <fgColor indexed="64"/>
          <bgColor theme="4" tint="0.79998168889431442"/>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fill>
        <patternFill patternType="solid">
          <fgColor indexed="64"/>
          <bgColor theme="4" tint="0.79998168889431442"/>
        </patternFill>
      </fill>
    </dxf>
    <dxf>
      <border outline="0">
        <bottom style="thin">
          <color indexed="64"/>
        </bottom>
      </border>
    </dxf>
    <dxf>
      <font>
        <b/>
        <i val="0"/>
        <strike val="0"/>
        <condense val="0"/>
        <extend val="0"/>
        <outline val="0"/>
        <shadow val="0"/>
        <u val="none"/>
        <vertAlign val="baseline"/>
        <sz val="16"/>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dd/mm/yy"/>
    </dxf>
    <dxf>
      <numFmt numFmtId="0" formatCode="General"/>
    </dxf>
    <dxf>
      <font>
        <b val="0"/>
        <i val="0"/>
        <sz val="9"/>
        <color theme="0"/>
        <name val="Segoe UI Semibold"/>
        <family val="2"/>
        <scheme val="none"/>
      </font>
      <fill>
        <patternFill>
          <bgColor rgb="FF00BFA6"/>
        </patternFill>
      </fill>
      <border diagonalUp="0" diagonalDown="0">
        <left/>
        <right/>
        <top/>
        <bottom/>
        <vertical/>
        <horizontal/>
      </border>
    </dxf>
    <dxf>
      <font>
        <b val="0"/>
        <i val="0"/>
        <sz val="9"/>
        <name val="Segoe UI"/>
        <family val="2"/>
        <scheme val="none"/>
      </font>
      <fill>
        <patternFill patternType="solid">
          <fgColor theme="0"/>
          <bgColor rgb="FF00897B"/>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9"/>
        <color theme="0"/>
        <name val="Segoe UI Semibold"/>
        <family val="2"/>
        <scheme val="none"/>
      </font>
      <fill>
        <patternFill>
          <bgColor rgb="FF00BFA6"/>
        </patternFill>
      </fill>
      <border diagonalUp="0" diagonalDown="0">
        <left/>
        <right/>
        <top/>
        <bottom/>
        <vertical/>
        <horizontal/>
      </border>
    </dxf>
    <dxf>
      <font>
        <b val="0"/>
        <i val="0"/>
        <sz val="9"/>
        <color rgb="FF555555"/>
        <name val="Segoe UI"/>
        <family val="2"/>
        <scheme val="none"/>
      </font>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Dashboard Slicer Style" pivot="0" table="0" count="10" xr9:uid="{0580EA46-A0FB-480F-B83A-F8413035376C}">
      <tableStyleElement type="wholeTable" dxfId="30"/>
      <tableStyleElement type="headerRow" dxfId="29"/>
    </tableStyle>
    <tableStyle name="Timeline Style 1" pivot="0" table="0" count="8" xr9:uid="{72353BA6-88F2-4D4E-A30E-7D5C3BE7D58B}">
      <tableStyleElement type="wholeTable" dxfId="28"/>
      <tableStyleElement type="headerRow" dxfId="27"/>
    </tableStyle>
  </tableStyles>
  <colors>
    <mruColors>
      <color rgb="FF2BBBAD"/>
      <color rgb="FFB7EFEA"/>
      <color rgb="FF00685E"/>
      <color rgb="FF1F4E79"/>
      <color rgb="FF26A69A"/>
      <color rgb="FF00897B"/>
      <color rgb="FF104843"/>
      <color rgb="FF2AB8AA"/>
      <color rgb="FF555555"/>
      <color rgb="FF00BFA6"/>
    </mruColors>
  </colors>
  <extLst>
    <ext xmlns:x14="http://schemas.microsoft.com/office/spreadsheetml/2009/9/main" uri="{46F421CA-312F-682f-3DD2-61675219B42D}">
      <x14:dxfs count="8">
        <dxf>
          <font>
            <b val="0"/>
            <i val="0"/>
            <sz val="7.5"/>
            <color rgb="FF999999"/>
            <name val="Segoe UI"/>
            <family val="2"/>
            <scheme val="none"/>
          </font>
          <fill>
            <patternFill>
              <bgColor rgb="FFE0E0E0"/>
            </patternFill>
          </fill>
          <border diagonalUp="0" diagonalDown="0">
            <left/>
            <right/>
            <top/>
            <bottom/>
            <vertical/>
            <horizontal/>
          </border>
        </dxf>
        <dxf>
          <font>
            <b val="0"/>
            <i val="0"/>
            <sz val="7"/>
            <color rgb="FF999999"/>
            <name val="Segoe UI"/>
            <family val="2"/>
            <scheme val="none"/>
          </font>
          <fill>
            <patternFill>
              <bgColor rgb="FFE0E0E0"/>
            </patternFill>
          </fill>
          <border diagonalUp="0" diagonalDown="0">
            <left/>
            <right/>
            <top/>
            <bottom/>
            <vertical/>
            <horizontal/>
          </border>
        </dxf>
        <dxf>
          <font>
            <b/>
            <i val="0"/>
            <sz val="8"/>
            <color theme="0"/>
            <name val="Segoe UI"/>
            <family val="2"/>
            <scheme val="none"/>
          </font>
          <fill>
            <patternFill>
              <bgColor rgb="FF26A69A"/>
            </patternFill>
          </fill>
          <border diagonalUp="0" diagonalDown="0">
            <left/>
            <right/>
            <top/>
            <bottom/>
            <vertical/>
            <horizontal/>
          </border>
        </dxf>
        <dxf>
          <font>
            <b val="0"/>
            <i val="0"/>
            <sz val="8"/>
            <color rgb="FF555555"/>
            <name val="Segoe UI"/>
            <family val="2"/>
            <scheme val="none"/>
          </font>
          <fill>
            <patternFill>
              <bgColor rgb="FFE0F2F1"/>
            </patternFill>
          </fill>
          <border diagonalUp="0" diagonalDown="0">
            <left/>
            <right/>
            <top/>
            <bottom/>
            <vertical/>
            <horizontal/>
          </border>
        </dxf>
        <dxf>
          <font>
            <b val="0"/>
            <i val="0"/>
            <sz val="7.5"/>
            <color rgb="FF999999"/>
            <name val="Segoe UI"/>
            <family val="2"/>
            <scheme val="none"/>
          </font>
          <fill>
            <patternFill>
              <bgColor rgb="FFE0E0E0"/>
            </patternFill>
          </fill>
          <border diagonalUp="0" diagonalDown="0">
            <left/>
            <right/>
            <top/>
            <bottom/>
            <vertical/>
            <horizontal/>
          </border>
        </dxf>
        <dxf>
          <font>
            <b val="0"/>
            <i val="0"/>
            <sz val="8"/>
            <color theme="0"/>
            <name val="Segoe UI Semibold"/>
            <family val="2"/>
            <scheme val="none"/>
          </font>
          <fill>
            <patternFill>
              <bgColor rgb="FF00897B"/>
            </patternFill>
          </fill>
          <border diagonalUp="0" diagonalDown="0">
            <left/>
            <right/>
            <top/>
            <bottom/>
            <vertical/>
            <horizontal/>
          </border>
        </dxf>
        <dxf>
          <font>
            <b val="0"/>
            <i val="0"/>
            <sz val="7.5"/>
            <color rgb="FF999999"/>
            <name val="Segoe UI"/>
            <family val="2"/>
            <scheme val="none"/>
          </font>
          <fill>
            <patternFill>
              <bgColor rgb="FFE0E0E0"/>
            </patternFill>
          </fill>
          <border diagonalUp="0" diagonalDown="0">
            <left/>
            <right/>
            <top/>
            <bottom/>
            <vertical/>
            <horizontal/>
          </border>
        </dxf>
        <dxf>
          <font>
            <b val="0"/>
            <i val="0"/>
            <sz val="8"/>
            <color rgb="FF555555"/>
            <name val="Segoe UI"/>
            <family val="2"/>
            <scheme val="none"/>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Dashboard Slicer Style">
        <x14:slicerStyle name="Dashboard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rgb="FF2BBBAD"/>
            </patternFill>
          </fill>
          <border diagonalUp="0" diagonalDown="0">
            <left/>
            <right/>
            <top/>
            <bottom/>
            <vertical/>
            <horizontal/>
          </border>
        </dxf>
        <dxf>
          <fill>
            <patternFill patternType="solid">
              <fgColor theme="0"/>
              <bgColor rgb="FF00685E"/>
            </patternFill>
          </fill>
          <border diagonalUp="0" diagonalDown="0">
            <left/>
            <right/>
            <top/>
            <bottom/>
            <vertical/>
            <horizontal/>
          </border>
        </dxf>
        <dxf>
          <font>
            <b val="0"/>
            <i val="0"/>
            <sz val="8"/>
            <color theme="0"/>
            <name val="Segoe UI"/>
            <family val="2"/>
            <scheme val="none"/>
          </font>
        </dxf>
        <dxf>
          <font>
            <b val="0"/>
            <i val="0"/>
            <sz val="8"/>
            <color theme="0"/>
            <name val="Segoe UI"/>
            <family val="2"/>
            <scheme val="none"/>
          </font>
        </dxf>
        <dxf>
          <font>
            <b val="0"/>
            <i val="0"/>
            <sz val="8"/>
            <color theme="0"/>
            <name val="Segoe UI"/>
            <family val="2"/>
            <scheme val="none"/>
          </font>
        </dxf>
        <dxf>
          <font>
            <b val="0"/>
            <i val="0"/>
            <sz val="8"/>
            <color theme="0"/>
            <name val="Segoe UI"/>
            <family val="2"/>
            <scheme val="none"/>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PROJECT.xlsx]TFC!PivotTable2</c:name>
    <c:fmtId val="0"/>
  </c:pivotSource>
  <c:chart>
    <c:title>
      <c:tx>
        <c:rich>
          <a:bodyPr rot="0" spcFirstLastPara="1" vertOverflow="ellipsis" vert="horz" wrap="square" anchor="t" anchorCtr="1"/>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strike="noStrike" baseline="0">
                <a:latin typeface="Segoe UI Semibold" panose="020B0702040204020203" pitchFamily="34" charset="0"/>
              </a:rPr>
              <a:t> </a:t>
            </a:r>
            <a:r>
              <a:rPr lang="en-US" sz="1400" b="1" i="0" u="none" strike="noStrike" baseline="0">
                <a:solidFill>
                  <a:srgbClr val="1F4E79"/>
                </a:solidFill>
                <a:uFill>
                  <a:solidFill>
                    <a:srgbClr val="F4B400"/>
                  </a:solidFill>
                </a:uFill>
                <a:latin typeface="Segoe UI Semibold" panose="020B0702040204020203" pitchFamily="34" charset="0"/>
              </a:rPr>
              <a:t>Comparison of Total </a:t>
            </a:r>
            <a:r>
              <a:rPr lang="en-US" sz="1400" b="1" i="0" u="none" strike="noStrike" baseline="0">
                <a:solidFill>
                  <a:srgbClr val="E53935"/>
                </a:solidFill>
                <a:uFill>
                  <a:solidFill>
                    <a:srgbClr val="F4B400"/>
                  </a:solidFill>
                </a:uFill>
                <a:latin typeface="Segoe UI Semibold" panose="020B0702040204020203" pitchFamily="34" charset="0"/>
              </a:rPr>
              <a:t>Fraud</a:t>
            </a:r>
            <a:r>
              <a:rPr lang="en-US" sz="1400" b="1" i="0" u="none" strike="noStrike" baseline="0">
                <a:solidFill>
                  <a:srgbClr val="1F4E79"/>
                </a:solidFill>
                <a:uFill>
                  <a:solidFill>
                    <a:srgbClr val="F4B400"/>
                  </a:solidFill>
                </a:uFill>
                <a:latin typeface="Segoe UI Semibold" panose="020B0702040204020203" pitchFamily="34" charset="0"/>
              </a:rPr>
              <a:t> Amount vs Average Loss per Case by Category</a:t>
            </a:r>
            <a:endParaRPr lang="en-US" sz="1400" b="1" i="0" u="none" baseline="0">
              <a:solidFill>
                <a:srgbClr val="1F4E79"/>
              </a:solidFill>
              <a:uFill>
                <a:solidFill>
                  <a:srgbClr val="F4B400"/>
                </a:solidFill>
              </a:uFill>
              <a:latin typeface="Segoe UI Semibold" panose="020B0702040204020203" pitchFamily="34" charset="0"/>
            </a:endParaRPr>
          </a:p>
        </c:rich>
      </c:tx>
      <c:layout>
        <c:manualLayout>
          <c:xMode val="edge"/>
          <c:yMode val="edge"/>
          <c:x val="0.17397112041535912"/>
          <c:y val="3.0754247824285121E-2"/>
        </c:manualLayout>
      </c:layout>
      <c:overlay val="0"/>
      <c:spPr>
        <a:noFill/>
        <a:ln w="9525"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0"/>
              <c:y val="-3.15789473684210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066764226146828E-2"/>
                  <c:h val="4.4246189409810011E-2"/>
                </c:manualLayout>
              </c15:layout>
            </c:ext>
          </c:extLst>
        </c:dLbl>
      </c:pivotFmt>
      <c:pivotFmt>
        <c:idx val="8"/>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9"/>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1"/>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2"/>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3"/>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4"/>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5"/>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2.5436172802703835E-17"/>
              <c:y val="-4.9122807017543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pivotFmt>
      <c:pivotFmt>
        <c:idx val="19"/>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387443635102324E-3"/>
              <c:y val="-4.5614035087719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2.5436172802703835E-17"/>
              <c:y val="-4.9122807017543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pivotFmt>
      <c:pivotFmt>
        <c:idx val="22"/>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pivotFmt>
      <c:pivotFmt>
        <c:idx val="2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0"/>
              <c:y val="-4.21052631578948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387443635102324E-3"/>
              <c:y val="-4.5614035087719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pivotFmt>
    </c:pivotFmts>
    <c:plotArea>
      <c:layout>
        <c:manualLayout>
          <c:layoutTarget val="inner"/>
          <c:xMode val="edge"/>
          <c:yMode val="edge"/>
          <c:x val="0.10126809070822443"/>
          <c:y val="0.13272192291753004"/>
          <c:w val="0.88668693208354155"/>
          <c:h val="0.67688271860754246"/>
        </c:manualLayout>
      </c:layout>
      <c:barChart>
        <c:barDir val="col"/>
        <c:grouping val="clustered"/>
        <c:varyColors val="0"/>
        <c:ser>
          <c:idx val="0"/>
          <c:order val="0"/>
          <c:tx>
            <c:strRef>
              <c:f>TFC!$B$3</c:f>
              <c:strCache>
                <c:ptCount val="1"/>
                <c:pt idx="0">
                  <c:v>Sum of Fruad Amount</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invertIfNegative val="0"/>
          <c:dPt>
            <c:idx val="0"/>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0-BF85-425A-855E-D6921B7BABF6}"/>
              </c:ext>
            </c:extLst>
          </c:dPt>
          <c:dPt>
            <c:idx val="1"/>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B-4F8D-47A3-B419-CE3DDCA243D8}"/>
              </c:ext>
            </c:extLst>
          </c:dPt>
          <c:dPt>
            <c:idx val="2"/>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6-4F8D-47A3-B419-CE3DDCA243D8}"/>
              </c:ext>
            </c:extLst>
          </c:dPt>
          <c:dPt>
            <c:idx val="3"/>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7-F543-4BED-BB27-3A42941F8313}"/>
              </c:ext>
            </c:extLst>
          </c:dPt>
          <c:dPt>
            <c:idx val="4"/>
            <c:invertIfNegative val="0"/>
            <c:bubble3D val="0"/>
            <c:extLst>
              <c:ext xmlns:c16="http://schemas.microsoft.com/office/drawing/2014/chart" uri="{C3380CC4-5D6E-409C-BE32-E72D297353CC}">
                <c16:uniqueId val="{00000009-F543-4BED-BB27-3A42941F8313}"/>
              </c:ext>
            </c:extLst>
          </c:dPt>
          <c:dPt>
            <c:idx val="5"/>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A-4F8D-47A3-B419-CE3DDCA243D8}"/>
              </c:ext>
            </c:extLst>
          </c:dPt>
          <c:dPt>
            <c:idx val="6"/>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22-C201-4B23-ADFE-7CBAC7A23112}"/>
              </c:ext>
            </c:extLst>
          </c:dPt>
          <c:dPt>
            <c:idx val="7"/>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7-4F8D-47A3-B419-CE3DDCA243D8}"/>
              </c:ext>
            </c:extLst>
          </c:dPt>
          <c:dPt>
            <c:idx val="8"/>
            <c:invertIfNegative val="0"/>
            <c:bubble3D val="0"/>
            <c:extLst>
              <c:ext xmlns:c16="http://schemas.microsoft.com/office/drawing/2014/chart" uri="{C3380CC4-5D6E-409C-BE32-E72D297353CC}">
                <c16:uniqueId val="{00000018-4F8D-47A3-B419-CE3DDCA243D8}"/>
              </c:ext>
            </c:extLst>
          </c:dPt>
          <c:dPt>
            <c:idx val="9"/>
            <c:invertIfNegative val="0"/>
            <c:bubble3D val="0"/>
            <c:extLst>
              <c:ext xmlns:c16="http://schemas.microsoft.com/office/drawing/2014/chart" uri="{C3380CC4-5D6E-409C-BE32-E72D297353CC}">
                <c16:uniqueId val="{00000019-4F8D-47A3-B419-CE3DDCA243D8}"/>
              </c:ext>
            </c:extLst>
          </c:dPt>
          <c:dLbls>
            <c:dLbl>
              <c:idx val="0"/>
              <c:layout>
                <c:manualLayout>
                  <c:x val="0"/>
                  <c:y val="-3.15789473684210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85-425A-855E-D6921B7BABF6}"/>
                </c:ext>
              </c:extLst>
            </c:dLbl>
            <c:dLbl>
              <c:idx val="1"/>
              <c:layout>
                <c:manualLayout>
                  <c:x val="0"/>
                  <c:y val="-4.2105263157894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4F8D-47A3-B419-CE3DDCA243D8}"/>
                </c:ext>
              </c:extLst>
            </c:dLbl>
            <c:dLbl>
              <c:idx val="2"/>
              <c:layout>
                <c:manualLayout>
                  <c:x val="-2.5436172802703835E-17"/>
                  <c:y val="-4.91228070175439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F8D-47A3-B419-CE3DDCA243D8}"/>
                </c:ext>
              </c:extLst>
            </c:dLbl>
            <c:dLbl>
              <c:idx val="3"/>
              <c:layout>
                <c:manualLayout>
                  <c:x val="-2.5436172802703835E-17"/>
                  <c:y val="-4.91228070175439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43-4BED-BB27-3A42941F8313}"/>
                </c:ext>
              </c:extLst>
            </c:dLbl>
            <c:dLbl>
              <c:idx val="5"/>
              <c:layout>
                <c:manualLayout>
                  <c:x val="1.387443635102324E-3"/>
                  <c:y val="-4.5614035087719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F8D-47A3-B419-CE3DDCA243D8}"/>
                </c:ext>
              </c:extLst>
            </c:dLbl>
            <c:dLbl>
              <c:idx val="6"/>
              <c:layout>
                <c:manualLayout>
                  <c:x val="1.387443635102324E-3"/>
                  <c:y val="-4.5614035087719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C201-4B23-ADFE-7CBAC7A231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TFC!$A$4:$A$14</c:f>
              <c:strCache>
                <c:ptCount val="10"/>
                <c:pt idx="0">
                  <c:v>Electronics</c:v>
                </c:pt>
                <c:pt idx="1">
                  <c:v>Entertainment</c:v>
                </c:pt>
                <c:pt idx="2">
                  <c:v>Fashion</c:v>
                </c:pt>
                <c:pt idx="3">
                  <c:v>FoodDelivery</c:v>
                </c:pt>
                <c:pt idx="4">
                  <c:v>Gaming</c:v>
                </c:pt>
                <c:pt idx="5">
                  <c:v>Grocery</c:v>
                </c:pt>
                <c:pt idx="6">
                  <c:v>Health</c:v>
                </c:pt>
                <c:pt idx="7">
                  <c:v>Retail</c:v>
                </c:pt>
                <c:pt idx="8">
                  <c:v>Travel</c:v>
                </c:pt>
                <c:pt idx="9">
                  <c:v>Utilities</c:v>
                </c:pt>
              </c:strCache>
            </c:strRef>
          </c:cat>
          <c:val>
            <c:numRef>
              <c:f>TFC!$B$4:$B$14</c:f>
              <c:numCache>
                <c:formatCode>"$"#,##0.00</c:formatCode>
                <c:ptCount val="10"/>
                <c:pt idx="0">
                  <c:v>7096.7400000000007</c:v>
                </c:pt>
                <c:pt idx="1">
                  <c:v>1800.31</c:v>
                </c:pt>
                <c:pt idx="2">
                  <c:v>7980.6999999999989</c:v>
                </c:pt>
                <c:pt idx="3">
                  <c:v>1092.44</c:v>
                </c:pt>
                <c:pt idx="4">
                  <c:v>7028.44</c:v>
                </c:pt>
                <c:pt idx="5">
                  <c:v>1123.73</c:v>
                </c:pt>
                <c:pt idx="6">
                  <c:v>4610.33</c:v>
                </c:pt>
                <c:pt idx="7">
                  <c:v>2102.9899999999998</c:v>
                </c:pt>
                <c:pt idx="8">
                  <c:v>3563.29</c:v>
                </c:pt>
                <c:pt idx="9">
                  <c:v>1187.7</c:v>
                </c:pt>
              </c:numCache>
            </c:numRef>
          </c:val>
          <c:extLst>
            <c:ext xmlns:c16="http://schemas.microsoft.com/office/drawing/2014/chart" uri="{C3380CC4-5D6E-409C-BE32-E72D297353CC}">
              <c16:uniqueId val="{00000000-43C9-47EA-9F84-8A9606BE830B}"/>
            </c:ext>
          </c:extLst>
        </c:ser>
        <c:ser>
          <c:idx val="1"/>
          <c:order val="1"/>
          <c:tx>
            <c:strRef>
              <c:f>TFC!$C$3</c:f>
              <c:strCache>
                <c:ptCount val="1"/>
                <c:pt idx="0">
                  <c:v>Sum of Avg_loss_per_case</c:v>
                </c:pt>
              </c:strCache>
            </c:strRef>
          </c:tx>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invertIfNegative val="0"/>
          <c:dPt>
            <c:idx val="0"/>
            <c:invertIfNegative val="0"/>
            <c:bubble3D val="0"/>
            <c:extLst>
              <c:ext xmlns:c16="http://schemas.microsoft.com/office/drawing/2014/chart" uri="{C3380CC4-5D6E-409C-BE32-E72D297353CC}">
                <c16:uniqueId val="{00000002-BA05-4F49-A8E3-18DBE7F2B5CA}"/>
              </c:ext>
            </c:extLst>
          </c:dPt>
          <c:dPt>
            <c:idx val="1"/>
            <c:invertIfNegative val="0"/>
            <c:bubble3D val="0"/>
            <c:extLst>
              <c:ext xmlns:c16="http://schemas.microsoft.com/office/drawing/2014/chart" uri="{C3380CC4-5D6E-409C-BE32-E72D297353CC}">
                <c16:uniqueId val="{00000003-BA05-4F49-A8E3-18DBE7F2B5CA}"/>
              </c:ext>
            </c:extLst>
          </c:dPt>
          <c:dPt>
            <c:idx val="2"/>
            <c:invertIfNegative val="0"/>
            <c:bubble3D val="0"/>
            <c:extLst>
              <c:ext xmlns:c16="http://schemas.microsoft.com/office/drawing/2014/chart" uri="{C3380CC4-5D6E-409C-BE32-E72D297353CC}">
                <c16:uniqueId val="{0000000B-BA05-4F49-A8E3-18DBE7F2B5CA}"/>
              </c:ext>
            </c:extLst>
          </c:dPt>
          <c:dPt>
            <c:idx val="3"/>
            <c:invertIfNegative val="0"/>
            <c:bubble3D val="0"/>
            <c:extLst>
              <c:ext xmlns:c16="http://schemas.microsoft.com/office/drawing/2014/chart" uri="{C3380CC4-5D6E-409C-BE32-E72D297353CC}">
                <c16:uniqueId val="{00000004-BA05-4F49-A8E3-18DBE7F2B5CA}"/>
              </c:ext>
            </c:extLst>
          </c:dPt>
          <c:dPt>
            <c:idx val="4"/>
            <c:invertIfNegative val="0"/>
            <c:bubble3D val="0"/>
            <c:extLst>
              <c:ext xmlns:c16="http://schemas.microsoft.com/office/drawing/2014/chart" uri="{C3380CC4-5D6E-409C-BE32-E72D297353CC}">
                <c16:uniqueId val="{00000005-BA05-4F49-A8E3-18DBE7F2B5CA}"/>
              </c:ext>
            </c:extLst>
          </c:dPt>
          <c:dPt>
            <c:idx val="5"/>
            <c:invertIfNegative val="0"/>
            <c:bubble3D val="0"/>
            <c:extLst>
              <c:ext xmlns:c16="http://schemas.microsoft.com/office/drawing/2014/chart" uri="{C3380CC4-5D6E-409C-BE32-E72D297353CC}">
                <c16:uniqueId val="{00000006-BA05-4F49-A8E3-18DBE7F2B5CA}"/>
              </c:ext>
            </c:extLst>
          </c:dPt>
          <c:dPt>
            <c:idx val="6"/>
            <c:invertIfNegative val="0"/>
            <c:bubble3D val="0"/>
            <c:extLst>
              <c:ext xmlns:c16="http://schemas.microsoft.com/office/drawing/2014/chart" uri="{C3380CC4-5D6E-409C-BE32-E72D297353CC}">
                <c16:uniqueId val="{0000000A-BA05-4F49-A8E3-18DBE7F2B5CA}"/>
              </c:ext>
            </c:extLst>
          </c:dPt>
          <c:dPt>
            <c:idx val="7"/>
            <c:invertIfNegative val="0"/>
            <c:bubble3D val="0"/>
            <c:extLst>
              <c:ext xmlns:c16="http://schemas.microsoft.com/office/drawing/2014/chart" uri="{C3380CC4-5D6E-409C-BE32-E72D297353CC}">
                <c16:uniqueId val="{00000009-BA05-4F49-A8E3-18DBE7F2B5CA}"/>
              </c:ext>
            </c:extLst>
          </c:dPt>
          <c:dPt>
            <c:idx val="8"/>
            <c:invertIfNegative val="0"/>
            <c:bubble3D val="0"/>
            <c:extLst>
              <c:ext xmlns:c16="http://schemas.microsoft.com/office/drawing/2014/chart" uri="{C3380CC4-5D6E-409C-BE32-E72D297353CC}">
                <c16:uniqueId val="{00000008-BA05-4F49-A8E3-18DBE7F2B5CA}"/>
              </c:ext>
            </c:extLst>
          </c:dPt>
          <c:dPt>
            <c:idx val="9"/>
            <c:invertIfNegative val="0"/>
            <c:bubble3D val="0"/>
            <c:extLst>
              <c:ext xmlns:c16="http://schemas.microsoft.com/office/drawing/2014/chart" uri="{C3380CC4-5D6E-409C-BE32-E72D297353CC}">
                <c16:uniqueId val="{00000007-BA05-4F49-A8E3-18DBE7F2B5C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8.7066764226146828E-2"/>
                      <c:h val="4.4246189409810011E-2"/>
                    </c:manualLayout>
                  </c15:layout>
                </c:ext>
                <c:ext xmlns:c16="http://schemas.microsoft.com/office/drawing/2014/chart" uri="{C3380CC4-5D6E-409C-BE32-E72D297353CC}">
                  <c16:uniqueId val="{00000002-BA05-4F49-A8E3-18DBE7F2B5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TFC!$A$4:$A$14</c:f>
              <c:strCache>
                <c:ptCount val="10"/>
                <c:pt idx="0">
                  <c:v>Electronics</c:v>
                </c:pt>
                <c:pt idx="1">
                  <c:v>Entertainment</c:v>
                </c:pt>
                <c:pt idx="2">
                  <c:v>Fashion</c:v>
                </c:pt>
                <c:pt idx="3">
                  <c:v>FoodDelivery</c:v>
                </c:pt>
                <c:pt idx="4">
                  <c:v>Gaming</c:v>
                </c:pt>
                <c:pt idx="5">
                  <c:v>Grocery</c:v>
                </c:pt>
                <c:pt idx="6">
                  <c:v>Health</c:v>
                </c:pt>
                <c:pt idx="7">
                  <c:v>Retail</c:v>
                </c:pt>
                <c:pt idx="8">
                  <c:v>Travel</c:v>
                </c:pt>
                <c:pt idx="9">
                  <c:v>Utilities</c:v>
                </c:pt>
              </c:strCache>
            </c:strRef>
          </c:cat>
          <c:val>
            <c:numRef>
              <c:f>TFC!$C$4:$C$14</c:f>
              <c:numCache>
                <c:formatCode>"$"#,##0.00</c:formatCode>
                <c:ptCount val="10"/>
                <c:pt idx="0">
                  <c:v>545.90307692307692</c:v>
                </c:pt>
                <c:pt idx="1">
                  <c:v>138.48538461538462</c:v>
                </c:pt>
                <c:pt idx="2">
                  <c:v>613.89999999999986</c:v>
                </c:pt>
                <c:pt idx="3">
                  <c:v>99.312727272727273</c:v>
                </c:pt>
                <c:pt idx="4">
                  <c:v>540.64923076923071</c:v>
                </c:pt>
                <c:pt idx="5">
                  <c:v>102.15727272727273</c:v>
                </c:pt>
                <c:pt idx="6">
                  <c:v>256.12944444444446</c:v>
                </c:pt>
                <c:pt idx="7">
                  <c:v>123.70529411764704</c:v>
                </c:pt>
                <c:pt idx="8">
                  <c:v>323.93545454545455</c:v>
                </c:pt>
                <c:pt idx="9">
                  <c:v>118.77000000000001</c:v>
                </c:pt>
              </c:numCache>
            </c:numRef>
          </c:val>
          <c:extLst>
            <c:ext xmlns:c16="http://schemas.microsoft.com/office/drawing/2014/chart" uri="{C3380CC4-5D6E-409C-BE32-E72D297353CC}">
              <c16:uniqueId val="{00000002-43C9-47EA-9F84-8A9606BE830B}"/>
            </c:ext>
          </c:extLst>
        </c:ser>
        <c:dLbls>
          <c:dLblPos val="outEnd"/>
          <c:showLegendKey val="0"/>
          <c:showVal val="1"/>
          <c:showCatName val="0"/>
          <c:showSerName val="0"/>
          <c:showPercent val="0"/>
          <c:showBubbleSize val="0"/>
        </c:dLbls>
        <c:gapWidth val="70"/>
        <c:axId val="566676720"/>
        <c:axId val="566677200"/>
      </c:barChart>
      <c:catAx>
        <c:axId val="566676720"/>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aseline="0">
                    <a:solidFill>
                      <a:srgbClr val="444444"/>
                    </a:solidFill>
                    <a:latin typeface="Segoe UI" panose="020B0502040204020203" pitchFamily="34" charset="0"/>
                  </a:rPr>
                  <a:t>Category</a:t>
                </a:r>
              </a:p>
            </c:rich>
          </c:tx>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566677200"/>
        <c:crosses val="autoZero"/>
        <c:auto val="1"/>
        <c:lblAlgn val="ctr"/>
        <c:lblOffset val="100"/>
        <c:noMultiLvlLbl val="0"/>
      </c:catAx>
      <c:valAx>
        <c:axId val="566677200"/>
        <c:scaling>
          <c:orientation val="minMax"/>
        </c:scaling>
        <c:delete val="0"/>
        <c:axPos val="l"/>
        <c:majorGridlines>
          <c:spPr>
            <a:ln w="9525" cap="flat" cmpd="sng" algn="ctr">
              <a:solidFill>
                <a:srgbClr val="E0E0E0">
                  <a:alpha val="75000"/>
                </a:srgbClr>
              </a:solidFill>
              <a:round/>
            </a:ln>
            <a:effectLst/>
          </c:spPr>
        </c:majorGridlines>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 Amount ($)</a:t>
                </a:r>
              </a:p>
            </c:rich>
          </c:tx>
          <c:layout>
            <c:manualLayout>
              <c:xMode val="edge"/>
              <c:yMode val="edge"/>
              <c:x val="6.554524076790089E-3"/>
              <c:y val="0.37256444260256943"/>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566676720"/>
        <c:crosses val="autoZero"/>
        <c:crossBetween val="between"/>
      </c:valAx>
      <c:spPr>
        <a:solidFill>
          <a:srgbClr val="FFFFFF"/>
        </a:solidFill>
        <a:ln>
          <a:solidFill>
            <a:srgbClr val="E0E0E0"/>
          </a:solidFill>
        </a:ln>
        <a:effectLst/>
      </c:spPr>
    </c:plotArea>
    <c:legend>
      <c:legendPos val="b"/>
      <c:layout>
        <c:manualLayout>
          <c:xMode val="edge"/>
          <c:yMode val="edge"/>
          <c:x val="0.29017657206324571"/>
          <c:y val="0.94080978122248826"/>
          <c:w val="0.42078864108928532"/>
          <c:h val="5.2758317682937338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5F7FA"/>
        </a:gs>
        <a:gs pos="100000">
          <a:srgbClr val="E9EEF2"/>
        </a:gs>
      </a:gsLst>
      <a:lin ang="5400000" scaled="1"/>
    </a:gradFill>
    <a:ln w="9525" cap="flat" cmpd="sng" algn="ctr">
      <a:solidFill>
        <a:schemeClr val="tx1">
          <a:lumMod val="15000"/>
          <a:lumOff val="85000"/>
        </a:schemeClr>
      </a:solidFill>
      <a:round/>
    </a:ln>
    <a:effectLst>
      <a:outerShdw blurRad="50800" dist="38100" dir="2700000" algn="tl" rotWithShape="0">
        <a:srgbClr val="C0C0C0">
          <a:alpha val="49804"/>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PROJECT.xlsx]FPM!PivotTable3</c:name>
    <c:fmtId val="2"/>
  </c:pivotSource>
  <c:chart>
    <c:title>
      <c:tx>
        <c:rich>
          <a:bodyPr rot="0" spcFirstLastPara="1" vertOverflow="ellipsis" vert="horz" wrap="square" anchor="ctr" anchorCtr="0"/>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strike="noStrike" baseline="0">
                <a:solidFill>
                  <a:srgbClr val="E53935"/>
                </a:solidFill>
                <a:uFill>
                  <a:solidFill>
                    <a:srgbClr val="F4B400"/>
                  </a:solidFill>
                </a:uFill>
                <a:latin typeface="Segoe UI Semibold" panose="020B0702040204020203" pitchFamily="34" charset="0"/>
              </a:rPr>
              <a:t>Fraud</a:t>
            </a:r>
            <a:r>
              <a:rPr lang="en-US" sz="1400" b="1" i="0" u="none" strike="noStrike" baseline="0">
                <a:solidFill>
                  <a:srgbClr val="1F4E79"/>
                </a:solidFill>
                <a:uFill>
                  <a:solidFill>
                    <a:srgbClr val="F4B400"/>
                  </a:solidFill>
                </a:uFill>
                <a:latin typeface="Segoe UI Semibold" panose="020B0702040204020203" pitchFamily="34" charset="0"/>
              </a:rPr>
              <a:t> Cases by Payment </a:t>
            </a:r>
            <a:r>
              <a:rPr lang="en-US" sz="1400" b="1" i="0" u="none" strike="noStrike" kern="1200" spc="0" baseline="0">
                <a:solidFill>
                  <a:srgbClr val="1F4E79"/>
                </a:solidFill>
                <a:uFill>
                  <a:solidFill>
                    <a:srgbClr val="F4B400"/>
                  </a:solidFill>
                </a:uFill>
                <a:latin typeface="Segoe UI Semibold" panose="020B0702040204020203" pitchFamily="34" charset="0"/>
                <a:ea typeface="+mn-ea"/>
                <a:cs typeface="+mn-cs"/>
              </a:rPr>
              <a:t>Method</a:t>
            </a:r>
          </a:p>
        </c:rich>
      </c:tx>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ctr" anchorCtr="0"/>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512820512820513E-2"/>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30769230769231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56410256410256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0"/>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1"/>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2"/>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3"/>
        <c:spPr>
          <a:gradFill flip="none" rotWithShape="1">
            <a:gsLst>
              <a:gs pos="0">
                <a:srgbClr val="FF8F00"/>
              </a:gs>
              <a:gs pos="100000">
                <a:srgbClr val="F4B400"/>
              </a:gs>
            </a:gsLst>
            <a:lin ang="2700000" scaled="1"/>
            <a:tileRect/>
          </a:gradFill>
          <a:ln>
            <a:noFill/>
          </a:ln>
          <a:effectLst>
            <a:glow rad="50800">
              <a:srgbClr val="FF0000">
                <a:alpha val="50000"/>
              </a:srgbClr>
            </a:glow>
            <a:outerShdw blurRad="63500" dist="38100" dir="2700000" algn="tl" rotWithShape="0">
              <a:srgbClr val="C0C0C0">
                <a:alpha val="49804"/>
              </a:srgbClr>
            </a:outerShdw>
          </a:effectLst>
        </c:spPr>
      </c:pivotFmt>
      <c:pivotFmt>
        <c:idx val="14"/>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3863683852972"/>
          <c:y val="0.15868507964116182"/>
          <c:w val="0.80846876763907372"/>
          <c:h val="0.64993024604123639"/>
        </c:manualLayout>
      </c:layout>
      <c:barChart>
        <c:barDir val="bar"/>
        <c:grouping val="stacked"/>
        <c:varyColors val="0"/>
        <c:ser>
          <c:idx val="0"/>
          <c:order val="0"/>
          <c:tx>
            <c:strRef>
              <c:f>FPM!$B$3</c:f>
              <c:strCache>
                <c:ptCount val="1"/>
                <c:pt idx="0">
                  <c:v>Total</c:v>
                </c:pt>
              </c:strCache>
            </c:strRef>
          </c:tx>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invertIfNegative val="0"/>
          <c:dPt>
            <c:idx val="0"/>
            <c:invertIfNegative val="0"/>
            <c:bubble3D val="0"/>
            <c:extLst>
              <c:ext xmlns:c16="http://schemas.microsoft.com/office/drawing/2014/chart" uri="{C3380CC4-5D6E-409C-BE32-E72D297353CC}">
                <c16:uniqueId val="{0000000E-F452-4763-A658-2F517D016FCA}"/>
              </c:ext>
            </c:extLst>
          </c:dPt>
          <c:dPt>
            <c:idx val="1"/>
            <c:invertIfNegative val="0"/>
            <c:bubble3D val="0"/>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D-F452-4763-A658-2F517D016FCA}"/>
              </c:ext>
            </c:extLst>
          </c:dPt>
          <c:dPt>
            <c:idx val="2"/>
            <c:invertIfNegative val="0"/>
            <c:bubble3D val="0"/>
            <c:extLst>
              <c:ext xmlns:c16="http://schemas.microsoft.com/office/drawing/2014/chart" uri="{C3380CC4-5D6E-409C-BE32-E72D297353CC}">
                <c16:uniqueId val="{0000000C-F452-4763-A658-2F517D016FCA}"/>
              </c:ext>
            </c:extLst>
          </c:dPt>
          <c:dPt>
            <c:idx val="3"/>
            <c:invertIfNegative val="0"/>
            <c:bubble3D val="0"/>
            <c:spPr>
              <a:gradFill flip="none" rotWithShape="1">
                <a:gsLst>
                  <a:gs pos="0">
                    <a:srgbClr val="FF8F00"/>
                  </a:gs>
                  <a:gs pos="100000">
                    <a:srgbClr val="F4B400"/>
                  </a:gs>
                </a:gsLst>
                <a:lin ang="2700000" scaled="1"/>
                <a:tileRect/>
              </a:gradFill>
              <a:ln>
                <a:noFill/>
              </a:ln>
              <a:effectLst>
                <a:glow rad="50800">
                  <a:srgbClr val="FF0000">
                    <a:alpha val="50000"/>
                  </a:srgbClr>
                </a:glow>
                <a:outerShdw blurRad="63500" dist="38100" dir="2700000" algn="tl" rotWithShape="0">
                  <a:srgbClr val="C0C0C0">
                    <a:alpha val="49804"/>
                  </a:srgbClr>
                </a:outerShdw>
              </a:effectLst>
            </c:spPr>
            <c:extLst>
              <c:ext xmlns:c16="http://schemas.microsoft.com/office/drawing/2014/chart" uri="{C3380CC4-5D6E-409C-BE32-E72D297353CC}">
                <c16:uniqueId val="{0000000B-F452-4763-A658-2F517D016FCA}"/>
              </c:ext>
            </c:extLst>
          </c:dPt>
          <c:dPt>
            <c:idx val="4"/>
            <c:invertIfNegative val="0"/>
            <c:bubble3D val="0"/>
            <c:extLst>
              <c:ext xmlns:c16="http://schemas.microsoft.com/office/drawing/2014/chart" uri="{C3380CC4-5D6E-409C-BE32-E72D297353CC}">
                <c16:uniqueId val="{0000000A-F452-4763-A658-2F517D016FCA}"/>
              </c:ext>
            </c:extLst>
          </c:dPt>
          <c:dPt>
            <c:idx val="5"/>
            <c:invertIfNegative val="0"/>
            <c:bubble3D val="0"/>
            <c:extLst>
              <c:ext xmlns:c16="http://schemas.microsoft.com/office/drawing/2014/chart" uri="{C3380CC4-5D6E-409C-BE32-E72D297353CC}">
                <c16:uniqueId val="{00000009-F452-4763-A658-2F517D016F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FPM!$A$4:$A$10</c:f>
              <c:strCache>
                <c:ptCount val="6"/>
                <c:pt idx="0">
                  <c:v>UPI</c:v>
                </c:pt>
                <c:pt idx="1">
                  <c:v>Wallet</c:v>
                </c:pt>
                <c:pt idx="2">
                  <c:v>MobileMoney</c:v>
                </c:pt>
                <c:pt idx="3">
                  <c:v>Card</c:v>
                </c:pt>
                <c:pt idx="4">
                  <c:v>NetBanking</c:v>
                </c:pt>
                <c:pt idx="5">
                  <c:v>BankTransfer</c:v>
                </c:pt>
              </c:strCache>
            </c:strRef>
          </c:cat>
          <c:val>
            <c:numRef>
              <c:f>FPM!$B$4:$B$10</c:f>
              <c:numCache>
                <c:formatCode>General</c:formatCode>
                <c:ptCount val="6"/>
                <c:pt idx="0">
                  <c:v>17</c:v>
                </c:pt>
                <c:pt idx="1">
                  <c:v>18</c:v>
                </c:pt>
                <c:pt idx="2">
                  <c:v>20</c:v>
                </c:pt>
                <c:pt idx="3">
                  <c:v>22</c:v>
                </c:pt>
                <c:pt idx="4">
                  <c:v>25</c:v>
                </c:pt>
                <c:pt idx="5">
                  <c:v>28</c:v>
                </c:pt>
              </c:numCache>
            </c:numRef>
          </c:val>
          <c:extLst>
            <c:ext xmlns:c16="http://schemas.microsoft.com/office/drawing/2014/chart" uri="{C3380CC4-5D6E-409C-BE32-E72D297353CC}">
              <c16:uniqueId val="{00000008-F452-4763-A658-2F517D016FCA}"/>
            </c:ext>
          </c:extLst>
        </c:ser>
        <c:dLbls>
          <c:showLegendKey val="0"/>
          <c:showVal val="1"/>
          <c:showCatName val="0"/>
          <c:showSerName val="0"/>
          <c:showPercent val="0"/>
          <c:showBubbleSize val="0"/>
        </c:dLbls>
        <c:gapWidth val="150"/>
        <c:overlap val="100"/>
        <c:axId val="648498735"/>
        <c:axId val="648505455"/>
      </c:barChart>
      <c:catAx>
        <c:axId val="648498735"/>
        <c:scaling>
          <c:orientation val="minMax"/>
        </c:scaling>
        <c:delete val="0"/>
        <c:axPos val="l"/>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Payment Method</a:t>
                </a:r>
              </a:p>
            </c:rich>
          </c:tx>
          <c:layout>
            <c:manualLayout>
              <c:xMode val="edge"/>
              <c:yMode val="edge"/>
              <c:x val="1.0437738471527919E-2"/>
              <c:y val="0.30409425972802429"/>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648505455"/>
        <c:crosses val="autoZero"/>
        <c:auto val="1"/>
        <c:lblAlgn val="ctr"/>
        <c:lblOffset val="100"/>
        <c:noMultiLvlLbl val="0"/>
      </c:catAx>
      <c:valAx>
        <c:axId val="648505455"/>
        <c:scaling>
          <c:orientation val="minMax"/>
        </c:scaling>
        <c:delete val="0"/>
        <c:axPos val="b"/>
        <c:title>
          <c:tx>
            <c:rich>
              <a:bodyPr rot="0" spcFirstLastPara="1" vertOverflow="ellipsis" vert="horz" wrap="square" anchor="b"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Number of Fraud Cases</a:t>
                </a:r>
              </a:p>
            </c:rich>
          </c:tx>
          <c:layout>
            <c:manualLayout>
              <c:xMode val="edge"/>
              <c:yMode val="edge"/>
              <c:x val="0.4041473643947972"/>
              <c:y val="0.89256926217556143"/>
            </c:manualLayout>
          </c:layout>
          <c:overlay val="0"/>
          <c:spPr>
            <a:noFill/>
            <a:ln>
              <a:noFill/>
            </a:ln>
            <a:effectLst/>
          </c:spPr>
          <c:txPr>
            <a:bodyPr rot="0" spcFirstLastPara="1" vertOverflow="ellipsis" vert="horz" wrap="square" anchor="b"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648498735"/>
        <c:crosses val="autoZero"/>
        <c:crossBetween val="between"/>
      </c:valAx>
      <c:spPr>
        <a:solidFill>
          <a:srgbClr val="FFFFFF"/>
        </a:solidFill>
        <a:ln>
          <a:solidFill>
            <a:srgbClr val="E0E0E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solidFill>
        <a:schemeClr val="tx1">
          <a:lumMod val="15000"/>
          <a:lumOff val="85000"/>
        </a:schemeClr>
      </a:solidFill>
      <a:round/>
    </a:ln>
    <a:effectLst>
      <a:outerShdw blurRad="50800" dist="38100" dir="2700000" algn="tl" rotWithShape="0">
        <a:srgbClr val="C0C0C0">
          <a:alpha val="49804"/>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PROJECT.xlsx]FAG!PivotTable1</c:name>
    <c:fmtId val="3"/>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Distribution by Age Group</a:t>
            </a:r>
          </a:p>
        </c:rich>
      </c:tx>
      <c:layout>
        <c:manualLayout>
          <c:xMode val="edge"/>
          <c:yMode val="edge"/>
          <c:x val="0.17927746885792717"/>
          <c:y val="2.8736274212774124E-2"/>
        </c:manualLayout>
      </c:layout>
      <c:overlay val="0"/>
      <c:spPr>
        <a:noFill/>
        <a:ln cap="rnd">
          <a:solidFill>
            <a:srgbClr val="E0E0E0"/>
          </a:solidFill>
        </a:ln>
        <a:effectLst>
          <a:glow rad="38100">
            <a:schemeClr val="accent4">
              <a:satMod val="175000"/>
              <a:alpha val="25000"/>
            </a:scheme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897B"/>
          </a:solidFill>
          <a:ln w="19050">
            <a:noFill/>
          </a:ln>
          <a:effectLst>
            <a:outerShdw blurRad="50800" dist="38100" dir="2700000" algn="tl" rotWithShape="0">
              <a:prstClr val="black">
                <a:alpha val="40000"/>
              </a:prstClr>
            </a:outerShdw>
          </a:effectLst>
        </c:spPr>
      </c:pivotFmt>
      <c:pivotFmt>
        <c:idx val="2"/>
        <c:spPr>
          <a:solidFill>
            <a:srgbClr val="80CBC4"/>
          </a:solidFill>
          <a:ln w="19050">
            <a:noFill/>
          </a:ln>
          <a:effectLst>
            <a:outerShdw blurRad="50800" dist="38100" dir="2700000" algn="tl" rotWithShape="0">
              <a:prstClr val="black">
                <a:alpha val="40000"/>
              </a:prstClr>
            </a:outerShdw>
          </a:effectLst>
        </c:spPr>
      </c:pivotFmt>
      <c:pivotFmt>
        <c:idx val="3"/>
        <c:spPr>
          <a:solidFill>
            <a:srgbClr val="FB8C0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Lst>
        </c:dLbl>
      </c:pivotFmt>
      <c:pivotFmt>
        <c:idx val="4"/>
        <c:spPr>
          <a:solidFill>
            <a:srgbClr val="FFB74D"/>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Lst>
        </c:dLbl>
      </c:pivotFmt>
    </c:pivotFmts>
    <c:plotArea>
      <c:layout>
        <c:manualLayout>
          <c:layoutTarget val="inner"/>
          <c:xMode val="edge"/>
          <c:yMode val="edge"/>
          <c:x val="0.21512244664521649"/>
          <c:y val="0.15955251623348138"/>
          <c:w val="0.56199726215426393"/>
          <c:h val="0.71267176608345839"/>
        </c:manualLayout>
      </c:layout>
      <c:pieChart>
        <c:varyColors val="1"/>
        <c:ser>
          <c:idx val="0"/>
          <c:order val="0"/>
          <c:tx>
            <c:strRef>
              <c:f>FAG!$B$3</c:f>
              <c:strCache>
                <c:ptCount val="1"/>
                <c:pt idx="0">
                  <c:v>Total</c:v>
                </c:pt>
              </c:strCache>
            </c:strRef>
          </c:tx>
          <c:spPr>
            <a:ln>
              <a:noFill/>
            </a:ln>
            <a:effectLst>
              <a:outerShdw blurRad="50800" dist="38100" dir="2700000" algn="tl" rotWithShape="0">
                <a:prstClr val="black">
                  <a:alpha val="40000"/>
                </a:prstClr>
              </a:outerShdw>
            </a:effectLst>
          </c:spPr>
          <c:explosion val="2"/>
          <c:dPt>
            <c:idx val="0"/>
            <c:bubble3D val="0"/>
            <c:spPr>
              <a:solidFill>
                <a:srgbClr val="00897B"/>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0BCC-46D3-92B4-4CCF3286C238}"/>
              </c:ext>
            </c:extLst>
          </c:dPt>
          <c:dPt>
            <c:idx val="1"/>
            <c:bubble3D val="0"/>
            <c:spPr>
              <a:solidFill>
                <a:srgbClr val="FFB74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BCC-46D3-92B4-4CCF3286C238}"/>
              </c:ext>
            </c:extLst>
          </c:dPt>
          <c:dPt>
            <c:idx val="2"/>
            <c:bubble3D val="0"/>
            <c:spPr>
              <a:solidFill>
                <a:srgbClr val="FB8C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0BCC-46D3-92B4-4CCF3286C238}"/>
              </c:ext>
            </c:extLst>
          </c:dPt>
          <c:dPt>
            <c:idx val="3"/>
            <c:bubble3D val="0"/>
            <c:spPr>
              <a:solidFill>
                <a:srgbClr val="80CBC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BCC-46D3-92B4-4CCF3286C238}"/>
              </c:ext>
            </c:extLst>
          </c:dPt>
          <c:dLbls>
            <c:dLbl>
              <c:idx val="1"/>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 xmlns:c16="http://schemas.microsoft.com/office/drawing/2014/chart" uri="{C3380CC4-5D6E-409C-BE32-E72D297353CC}">
                  <c16:uniqueId val="{00000005-0BCC-46D3-92B4-4CCF3286C238}"/>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 xmlns:c16="http://schemas.microsoft.com/office/drawing/2014/chart" uri="{C3380CC4-5D6E-409C-BE32-E72D297353CC}">
                  <c16:uniqueId val="{00000004-0BCC-46D3-92B4-4CCF3286C238}"/>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FAG!$A$4:$A$8</c:f>
              <c:strCache>
                <c:ptCount val="4"/>
                <c:pt idx="0">
                  <c:v>25-39</c:v>
                </c:pt>
                <c:pt idx="1">
                  <c:v>40-59</c:v>
                </c:pt>
                <c:pt idx="2">
                  <c:v>60+</c:v>
                </c:pt>
                <c:pt idx="3">
                  <c:v>Under 25</c:v>
                </c:pt>
              </c:strCache>
            </c:strRef>
          </c:cat>
          <c:val>
            <c:numRef>
              <c:f>FAG!$B$4:$B$8</c:f>
              <c:numCache>
                <c:formatCode>General</c:formatCode>
                <c:ptCount val="4"/>
                <c:pt idx="0">
                  <c:v>26</c:v>
                </c:pt>
                <c:pt idx="1">
                  <c:v>49</c:v>
                </c:pt>
                <c:pt idx="2">
                  <c:v>39</c:v>
                </c:pt>
                <c:pt idx="3">
                  <c:v>16</c:v>
                </c:pt>
              </c:numCache>
            </c:numRef>
          </c:val>
          <c:extLst>
            <c:ext xmlns:c16="http://schemas.microsoft.com/office/drawing/2014/chart" uri="{C3380CC4-5D6E-409C-BE32-E72D297353CC}">
              <c16:uniqueId val="{00000000-0BCC-46D3-92B4-4CCF3286C238}"/>
            </c:ext>
          </c:extLst>
        </c:ser>
        <c:dLbls>
          <c:showLegendKey val="0"/>
          <c:showVal val="1"/>
          <c:showCatName val="0"/>
          <c:showSerName val="0"/>
          <c:showPercent val="0"/>
          <c:showBubbleSize val="0"/>
          <c:showLeaderLines val="1"/>
        </c:dLbls>
        <c:firstSliceAng val="0"/>
      </c:pieChart>
      <c:spPr>
        <a:solidFill>
          <a:schemeClr val="bg1"/>
        </a:solidFill>
        <a:ln>
          <a:solidFill>
            <a:srgbClr val="E0E0E0"/>
          </a:solidFill>
        </a:ln>
        <a:effectLst/>
      </c:spPr>
    </c:plotArea>
    <c:legend>
      <c:legendPos val="b"/>
      <c:layout>
        <c:manualLayout>
          <c:xMode val="edge"/>
          <c:yMode val="edge"/>
          <c:x val="4.0424504457301426E-2"/>
          <c:y val="0.91141976139034164"/>
          <c:w val="0.92207978495734577"/>
          <c:h val="6.62961225638080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gradFill>
        <a:gsLst>
          <a:gs pos="0">
            <a:srgbClr val="F5F7FA"/>
          </a:gs>
          <a:gs pos="100000">
            <a:srgbClr val="E9EEF2"/>
          </a:gs>
        </a:gsLst>
        <a:lin ang="5400000" scaled="1"/>
      </a:gradFill>
      <a:round/>
    </a:ln>
    <a:effectLst>
      <a:outerShdw blurRad="50800" dist="38100" dir="2700000" algn="tl" rotWithShape="0">
        <a:srgbClr val="C0C0C0">
          <a:alpha val="50196"/>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PROJECT.xlsx]MFAC!PivotTable2</c:name>
    <c:fmtId val="6"/>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baseline="0">
                <a:solidFill>
                  <a:srgbClr val="1F4E79"/>
                </a:solidFill>
                <a:uFill>
                  <a:solidFill>
                    <a:srgbClr val="F4B400"/>
                  </a:solidFill>
                </a:uFill>
                <a:latin typeface="Segoe UI Semibold" panose="020B0702040204020203" pitchFamily="34" charset="0"/>
              </a:rPr>
              <a:t>Monthly </a:t>
            </a: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Trend</a:t>
            </a:r>
            <a:r>
              <a:rPr lang="en-US" sz="1400" b="1" i="0" u="none" strike="noStrike" baseline="0">
                <a:uFill>
                  <a:solidFill>
                    <a:srgbClr val="F4B400"/>
                  </a:solidFill>
                </a:uFill>
                <a:latin typeface="Segoe UI Semibold" panose="020B0702040204020203" pitchFamily="34" charset="0"/>
              </a:rPr>
              <a:t>—</a:t>
            </a:r>
            <a:r>
              <a:rPr lang="en-US" sz="1400" b="1" i="0" u="none" baseline="0">
                <a:solidFill>
                  <a:srgbClr val="1F4E79"/>
                </a:solidFill>
                <a:uFill>
                  <a:solidFill>
                    <a:srgbClr val="F4B400"/>
                  </a:solidFill>
                </a:uFill>
                <a:latin typeface="Segoe UI Semibold" panose="020B0702040204020203" pitchFamily="34" charset="0"/>
              </a:rPr>
              <a:t>Amount ($) &amp; Case Count</a:t>
            </a:r>
          </a:p>
        </c:rich>
      </c:tx>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4200549715916566E-3"/>
              <c:y val="-6.815761448349309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4200549715916731E-3"/>
              <c:y val="-4.259850905218317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084010994318331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840109943183313E-2"/>
              <c:y val="-1.27795527156549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646794933713732E-2"/>
              <c:y val="-1.27795527156549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8"/>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9"/>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1"/>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2"/>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s>
    <c:plotArea>
      <c:layout/>
      <c:barChart>
        <c:barDir val="col"/>
        <c:grouping val="clustered"/>
        <c:varyColors val="0"/>
        <c:ser>
          <c:idx val="0"/>
          <c:order val="0"/>
          <c:tx>
            <c:strRef>
              <c:f>MFAC!$B$5</c:f>
              <c:strCache>
                <c:ptCount val="1"/>
                <c:pt idx="0">
                  <c:v>Sum of Amount</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invertIfNegative val="0"/>
          <c:dPt>
            <c:idx val="0"/>
            <c:invertIfNegative val="0"/>
            <c:bubble3D val="0"/>
            <c:extLst>
              <c:ext xmlns:c16="http://schemas.microsoft.com/office/drawing/2014/chart" uri="{C3380CC4-5D6E-409C-BE32-E72D297353CC}">
                <c16:uniqueId val="{00000001-1393-44E6-B930-2CBE42543C71}"/>
              </c:ext>
            </c:extLst>
          </c:dPt>
          <c:dPt>
            <c:idx val="1"/>
            <c:invertIfNegative val="0"/>
            <c:bubble3D val="0"/>
            <c:extLst>
              <c:ext xmlns:c16="http://schemas.microsoft.com/office/drawing/2014/chart" uri="{C3380CC4-5D6E-409C-BE32-E72D297353CC}">
                <c16:uniqueId val="{0000000E-B519-477B-9271-7E6F57FD5CFF}"/>
              </c:ext>
            </c:extLst>
          </c:dPt>
          <c:dPt>
            <c:idx val="2"/>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0-E6AE-4B22-8E6B-CA81F64203F7}"/>
              </c:ext>
            </c:extLst>
          </c:dPt>
          <c:dPt>
            <c:idx val="3"/>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4-0F05-431A-8E11-325D98B492CE}"/>
              </c:ext>
            </c:extLst>
          </c:dPt>
          <c:dPt>
            <c:idx val="4"/>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F-B519-477B-9271-7E6F57FD5CFF}"/>
              </c:ext>
            </c:extLst>
          </c:dPt>
          <c:dPt>
            <c:idx val="5"/>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7-0F05-431A-8E11-325D98B492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MFAC!$A$6:$A$12</c:f>
              <c:strCache>
                <c:ptCount val="6"/>
                <c:pt idx="0">
                  <c:v>May</c:v>
                </c:pt>
                <c:pt idx="1">
                  <c:v>June</c:v>
                </c:pt>
                <c:pt idx="2">
                  <c:v>July</c:v>
                </c:pt>
                <c:pt idx="3">
                  <c:v>August</c:v>
                </c:pt>
                <c:pt idx="4">
                  <c:v>September</c:v>
                </c:pt>
                <c:pt idx="5">
                  <c:v>October</c:v>
                </c:pt>
              </c:strCache>
            </c:strRef>
          </c:cat>
          <c:val>
            <c:numRef>
              <c:f>MFAC!$B$6:$B$12</c:f>
              <c:numCache>
                <c:formatCode>"$"#,##0.00</c:formatCode>
                <c:ptCount val="6"/>
                <c:pt idx="0">
                  <c:v>2732.2399999999993</c:v>
                </c:pt>
                <c:pt idx="1">
                  <c:v>8022.25</c:v>
                </c:pt>
                <c:pt idx="2">
                  <c:v>5865.7900000000009</c:v>
                </c:pt>
                <c:pt idx="3">
                  <c:v>3206.6400000000003</c:v>
                </c:pt>
                <c:pt idx="4">
                  <c:v>8929.9200000000019</c:v>
                </c:pt>
                <c:pt idx="5">
                  <c:v>8829.8299999999981</c:v>
                </c:pt>
              </c:numCache>
            </c:numRef>
          </c:val>
          <c:extLst>
            <c:ext xmlns:c16="http://schemas.microsoft.com/office/drawing/2014/chart" uri="{C3380CC4-5D6E-409C-BE32-E72D297353CC}">
              <c16:uniqueId val="{00000000-D03E-453B-A052-F13D5BB1231C}"/>
            </c:ext>
          </c:extLst>
        </c:ser>
        <c:dLbls>
          <c:showLegendKey val="0"/>
          <c:showVal val="1"/>
          <c:showCatName val="0"/>
          <c:showSerName val="0"/>
          <c:showPercent val="0"/>
          <c:showBubbleSize val="0"/>
        </c:dLbls>
        <c:gapWidth val="219"/>
        <c:axId val="648516015"/>
        <c:axId val="648516495"/>
      </c:barChart>
      <c:lineChart>
        <c:grouping val="standard"/>
        <c:varyColors val="0"/>
        <c:ser>
          <c:idx val="1"/>
          <c:order val="1"/>
          <c:tx>
            <c:strRef>
              <c:f>MFAC!$C$5</c:f>
              <c:strCache>
                <c:ptCount val="1"/>
                <c:pt idx="0">
                  <c:v>Sum of FraudLabel</c:v>
                </c:pt>
              </c:strCache>
            </c:strRef>
          </c:tx>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Pt>
            <c:idx val="0"/>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C-962B-48E7-AEEE-35F6169581EC}"/>
              </c:ext>
            </c:extLst>
          </c:dPt>
          <c:dPt>
            <c:idx val="1"/>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B-962B-48E7-AEEE-35F6169581EC}"/>
              </c:ext>
            </c:extLst>
          </c:dPt>
          <c:dPt>
            <c:idx val="2"/>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962B-48E7-AEEE-35F6169581EC}"/>
              </c:ext>
            </c:extLst>
          </c:dPt>
          <c:dPt>
            <c:idx val="3"/>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8-962B-48E7-AEEE-35F6169581EC}"/>
              </c:ext>
            </c:extLst>
          </c:dPt>
          <c:dPt>
            <c:idx val="4"/>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9-962B-48E7-AEEE-35F6169581EC}"/>
              </c:ext>
            </c:extLst>
          </c:dPt>
          <c:dPt>
            <c:idx val="5"/>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A-962B-48E7-AEEE-35F6169581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MFAC!$A$6:$A$12</c:f>
              <c:strCache>
                <c:ptCount val="6"/>
                <c:pt idx="0">
                  <c:v>May</c:v>
                </c:pt>
                <c:pt idx="1">
                  <c:v>June</c:v>
                </c:pt>
                <c:pt idx="2">
                  <c:v>July</c:v>
                </c:pt>
                <c:pt idx="3">
                  <c:v>August</c:v>
                </c:pt>
                <c:pt idx="4">
                  <c:v>September</c:v>
                </c:pt>
                <c:pt idx="5">
                  <c:v>October</c:v>
                </c:pt>
              </c:strCache>
            </c:strRef>
          </c:cat>
          <c:val>
            <c:numRef>
              <c:f>MFAC!$C$6:$C$12</c:f>
              <c:numCache>
                <c:formatCode>General</c:formatCode>
                <c:ptCount val="6"/>
                <c:pt idx="0">
                  <c:v>23</c:v>
                </c:pt>
                <c:pt idx="1">
                  <c:v>25</c:v>
                </c:pt>
                <c:pt idx="2">
                  <c:v>19</c:v>
                </c:pt>
                <c:pt idx="3">
                  <c:v>21</c:v>
                </c:pt>
                <c:pt idx="4">
                  <c:v>18</c:v>
                </c:pt>
                <c:pt idx="5">
                  <c:v>24</c:v>
                </c:pt>
              </c:numCache>
            </c:numRef>
          </c:val>
          <c:smooth val="1"/>
          <c:extLst>
            <c:ext xmlns:c16="http://schemas.microsoft.com/office/drawing/2014/chart" uri="{C3380CC4-5D6E-409C-BE32-E72D297353CC}">
              <c16:uniqueId val="{00000000-5039-4C32-81B4-E5EFEB454C62}"/>
            </c:ext>
          </c:extLst>
        </c:ser>
        <c:dLbls>
          <c:showLegendKey val="0"/>
          <c:showVal val="0"/>
          <c:showCatName val="0"/>
          <c:showSerName val="0"/>
          <c:showPercent val="0"/>
          <c:showBubbleSize val="0"/>
        </c:dLbls>
        <c:marker val="1"/>
        <c:smooth val="0"/>
        <c:axId val="1342459568"/>
        <c:axId val="1342455248"/>
      </c:lineChart>
      <c:catAx>
        <c:axId val="648516015"/>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Months</a:t>
                </a:r>
              </a:p>
            </c:rich>
          </c:tx>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648516495"/>
        <c:crosses val="autoZero"/>
        <c:auto val="1"/>
        <c:lblAlgn val="ctr"/>
        <c:lblOffset val="100"/>
        <c:noMultiLvlLbl val="0"/>
      </c:catAx>
      <c:valAx>
        <c:axId val="648516495"/>
        <c:scaling>
          <c:orientation val="minMax"/>
        </c:scaling>
        <c:delete val="0"/>
        <c:axPos val="l"/>
        <c:majorGridlines>
          <c:spPr>
            <a:ln w="9525" cap="flat" cmpd="sng" algn="ctr">
              <a:solidFill>
                <a:srgbClr val="E0E0E0">
                  <a:alpha val="75000"/>
                </a:srgbClr>
              </a:solidFill>
              <a:round/>
            </a:ln>
            <a:effectLst/>
          </c:spPr>
        </c:majorGridlines>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 Amount($)</a:t>
                </a:r>
              </a:p>
            </c:rich>
          </c:tx>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648516015"/>
        <c:crosses val="autoZero"/>
        <c:crossBetween val="between"/>
      </c:valAx>
      <c:valAx>
        <c:axId val="1342455248"/>
        <c:scaling>
          <c:orientation val="minMax"/>
        </c:scaling>
        <c:delete val="0"/>
        <c:axPos val="r"/>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 Fruad Cases</a:t>
                </a:r>
              </a:p>
            </c:rich>
          </c:tx>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1342459568"/>
        <c:crosses val="max"/>
        <c:crossBetween val="between"/>
      </c:valAx>
      <c:catAx>
        <c:axId val="1342459568"/>
        <c:scaling>
          <c:orientation val="minMax"/>
        </c:scaling>
        <c:delete val="1"/>
        <c:axPos val="b"/>
        <c:numFmt formatCode="General" sourceLinked="1"/>
        <c:majorTickMark val="out"/>
        <c:minorTickMark val="none"/>
        <c:tickLblPos val="nextTo"/>
        <c:crossAx val="1342455248"/>
        <c:crosses val="autoZero"/>
        <c:auto val="1"/>
        <c:lblAlgn val="ctr"/>
        <c:lblOffset val="100"/>
        <c:noMultiLvlLbl val="0"/>
      </c:catAx>
      <c:spPr>
        <a:solidFill>
          <a:schemeClr val="bg1"/>
        </a:solidFill>
        <a:ln>
          <a:solidFill>
            <a:srgbClr val="E0E0E0"/>
          </a:solidFill>
        </a:ln>
        <a:effectLst/>
      </c:spPr>
    </c:plotArea>
    <c:legend>
      <c:legendPos val="b"/>
      <c:layout>
        <c:manualLayout>
          <c:xMode val="edge"/>
          <c:yMode val="edge"/>
          <c:x val="0.27361193500998854"/>
          <c:y val="0.89405131735582233"/>
          <c:w val="0.45277597374952722"/>
          <c:h val="6.587582289918678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solidFill>
        <a:schemeClr val="tx1">
          <a:lumMod val="15000"/>
          <a:lumOff val="85000"/>
        </a:schemeClr>
      </a:solidFill>
      <a:round/>
    </a:ln>
    <a:effectLst>
      <a:outerShdw blurRad="50800" dist="38100" dir="2700000" algn="tl" rotWithShape="0">
        <a:srgbClr val="C0C0C0">
          <a:alpha val="50196"/>
        </a:srgb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PROJECT.xlsx]FAC!Chart 5</c:name>
    <c:fmtId val="19"/>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mn-cs"/>
              </a:defRPr>
            </a:pP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Amount by Country</a:t>
            </a:r>
          </a:p>
        </c:rich>
      </c:tx>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5"/>
        <c:spPr>
          <a:solidFill>
            <a:srgbClr val="F4B400"/>
          </a:solidFill>
          <a:ln>
            <a:noFill/>
          </a:ln>
          <a:effectLst>
            <a:glow rad="88900">
              <a:srgbClr val="FF0000">
                <a:alpha val="40000"/>
              </a:srgbClr>
            </a:glow>
            <a:outerShdw blurRad="63500" dist="38100" dir="2700000" algn="tl" rotWithShape="0">
              <a:srgbClr val="C0C0C0">
                <a:alpha val="50000"/>
              </a:srgbClr>
            </a:outerShdw>
          </a:effectLst>
        </c:spPr>
        <c:dLbl>
          <c:idx val="0"/>
          <c:layout>
            <c:manualLayout>
              <c:x val="6.4083039002839435E-4"/>
              <c:y val="-5.063295659471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0"/>
        <c:spPr>
          <a:solidFill>
            <a:srgbClr val="F4B400"/>
          </a:solidFill>
          <a:ln>
            <a:noFill/>
          </a:ln>
          <a:effectLst>
            <a:glow rad="88900">
              <a:srgbClr val="FF0000">
                <a:alpha val="40000"/>
              </a:srgbClr>
            </a:glow>
            <a:outerShdw blurRad="63500" dist="38100" dir="2700000" algn="tl" rotWithShape="0">
              <a:srgbClr val="C0C0C0">
                <a:alpha val="50000"/>
              </a:srgbClr>
            </a:outerShdw>
          </a:effectLst>
        </c:spPr>
        <c:dLbl>
          <c:idx val="0"/>
          <c:layout>
            <c:manualLayout>
              <c:x val="6.4083039002839435E-4"/>
              <c:y val="-5.063295659471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1026538349372993E-3"/>
              <c:y val="9.5438070241219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5.3968871175053739E-3"/>
              <c:y val="1.05729640937739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3.630862906494638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01091170710278E-2"/>
          <c:y val="0.11442513234659736"/>
          <c:w val="0.89970685763045055"/>
          <c:h val="0.63219097612798403"/>
        </c:manualLayout>
      </c:layout>
      <c:barChart>
        <c:barDir val="col"/>
        <c:grouping val="clustered"/>
        <c:varyColors val="0"/>
        <c:ser>
          <c:idx val="0"/>
          <c:order val="0"/>
          <c:tx>
            <c:strRef>
              <c:f>FAC!$B$5</c:f>
              <c:strCache>
                <c:ptCount val="1"/>
                <c:pt idx="0">
                  <c:v>Total</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invertIfNegative val="0"/>
          <c:dPt>
            <c:idx val="0"/>
            <c:invertIfNegative val="0"/>
            <c:bubble3D val="0"/>
            <c:extLst>
              <c:ext xmlns:c16="http://schemas.microsoft.com/office/drawing/2014/chart" uri="{C3380CC4-5D6E-409C-BE32-E72D297353CC}">
                <c16:uniqueId val="{00000009-CEB7-4126-99C2-EF7B4254841B}"/>
              </c:ext>
            </c:extLst>
          </c:dPt>
          <c:dPt>
            <c:idx val="1"/>
            <c:invertIfNegative val="0"/>
            <c:bubble3D val="0"/>
            <c:extLst>
              <c:ext xmlns:c16="http://schemas.microsoft.com/office/drawing/2014/chart" uri="{C3380CC4-5D6E-409C-BE32-E72D297353CC}">
                <c16:uniqueId val="{00000004-CEB7-4126-99C2-EF7B4254841B}"/>
              </c:ext>
            </c:extLst>
          </c:dPt>
          <c:dPt>
            <c:idx val="2"/>
            <c:invertIfNegative val="0"/>
            <c:bubble3D val="0"/>
            <c:extLst>
              <c:ext xmlns:c16="http://schemas.microsoft.com/office/drawing/2014/chart" uri="{C3380CC4-5D6E-409C-BE32-E72D297353CC}">
                <c16:uniqueId val="{00000003-CEB7-4126-99C2-EF7B4254841B}"/>
              </c:ext>
            </c:extLst>
          </c:dPt>
          <c:dPt>
            <c:idx val="3"/>
            <c:invertIfNegative val="0"/>
            <c:bubble3D val="0"/>
            <c:extLst>
              <c:ext xmlns:c16="http://schemas.microsoft.com/office/drawing/2014/chart" uri="{C3380CC4-5D6E-409C-BE32-E72D297353CC}">
                <c16:uniqueId val="{00000012-7F0B-42A5-82F5-93001BE87A04}"/>
              </c:ext>
            </c:extLst>
          </c:dPt>
          <c:dPt>
            <c:idx val="4"/>
            <c:invertIfNegative val="0"/>
            <c:bubble3D val="0"/>
            <c:extLst>
              <c:ext xmlns:c16="http://schemas.microsoft.com/office/drawing/2014/chart" uri="{C3380CC4-5D6E-409C-BE32-E72D297353CC}">
                <c16:uniqueId val="{00000005-CEB7-4126-99C2-EF7B4254841B}"/>
              </c:ext>
            </c:extLst>
          </c:dPt>
          <c:dPt>
            <c:idx val="5"/>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6-CEB7-4126-99C2-EF7B4254841B}"/>
              </c:ext>
            </c:extLst>
          </c:dPt>
          <c:dPt>
            <c:idx val="6"/>
            <c:invertIfNegative val="0"/>
            <c:bubble3D val="0"/>
            <c:spPr>
              <a:solidFill>
                <a:srgbClr val="F4B400"/>
              </a:solidFill>
              <a:ln>
                <a:noFill/>
              </a:ln>
              <a:effectLst>
                <a:glow rad="88900">
                  <a:srgbClr val="FF0000">
                    <a:alpha val="40000"/>
                  </a:srgbClr>
                </a:glow>
                <a:outerShdw blurRad="63500" dist="38100" dir="2700000" algn="tl" rotWithShape="0">
                  <a:srgbClr val="C0C0C0">
                    <a:alpha val="50000"/>
                  </a:srgbClr>
                </a:outerShdw>
              </a:effectLst>
            </c:spPr>
            <c:extLst>
              <c:ext xmlns:c16="http://schemas.microsoft.com/office/drawing/2014/chart" uri="{C3380CC4-5D6E-409C-BE32-E72D297353CC}">
                <c16:uniqueId val="{00000008-CEB7-4126-99C2-EF7B4254841B}"/>
              </c:ext>
            </c:extLst>
          </c:dPt>
          <c:dPt>
            <c:idx val="7"/>
            <c:invertIfNegative val="0"/>
            <c:bubble3D val="0"/>
            <c:extLst>
              <c:ext xmlns:c16="http://schemas.microsoft.com/office/drawing/2014/chart" uri="{C3380CC4-5D6E-409C-BE32-E72D297353CC}">
                <c16:uniqueId val="{00000000-E657-4639-97DA-7352B4B0483E}"/>
              </c:ext>
            </c:extLst>
          </c:dPt>
          <c:dPt>
            <c:idx val="8"/>
            <c:invertIfNegative val="0"/>
            <c:bubble3D val="0"/>
            <c:extLst>
              <c:ext xmlns:c16="http://schemas.microsoft.com/office/drawing/2014/chart" uri="{C3380CC4-5D6E-409C-BE32-E72D297353CC}">
                <c16:uniqueId val="{00000007-CEB7-4126-99C2-EF7B4254841B}"/>
              </c:ext>
            </c:extLst>
          </c:dPt>
          <c:dPt>
            <c:idx val="9"/>
            <c:invertIfNegative val="0"/>
            <c:bubble3D val="0"/>
            <c:spPr>
              <a:solidFill>
                <a:srgbClr val="F4B400"/>
              </a:solidFill>
              <a:ln>
                <a:noFill/>
              </a:ln>
              <a:effectLst>
                <a:glow rad="88900">
                  <a:srgbClr val="FF0000">
                    <a:alpha val="40000"/>
                  </a:srgbClr>
                </a:glow>
                <a:outerShdw blurRad="63500" dist="38100" dir="2700000" algn="tl" rotWithShape="0">
                  <a:srgbClr val="C0C0C0">
                    <a:alpha val="50000"/>
                  </a:srgbClr>
                </a:outerShdw>
              </a:effectLst>
            </c:spPr>
            <c:extLst>
              <c:ext xmlns:c16="http://schemas.microsoft.com/office/drawing/2014/chart" uri="{C3380CC4-5D6E-409C-BE32-E72D297353CC}">
                <c16:uniqueId val="{00000016-7F0B-42A5-82F5-93001BE87A04}"/>
              </c:ext>
            </c:extLst>
          </c:dPt>
          <c:dPt>
            <c:idx val="10"/>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5-7F0B-42A5-82F5-93001BE87A04}"/>
              </c:ext>
            </c:extLst>
          </c:dPt>
          <c:dPt>
            <c:idx val="11"/>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1-7F0B-42A5-82F5-93001BE87A04}"/>
              </c:ext>
            </c:extLst>
          </c:dPt>
          <c:dPt>
            <c:idx val="12"/>
            <c:invertIfNegative val="0"/>
            <c:bubble3D val="0"/>
            <c:extLst>
              <c:ext xmlns:c16="http://schemas.microsoft.com/office/drawing/2014/chart" uri="{C3380CC4-5D6E-409C-BE32-E72D297353CC}">
                <c16:uniqueId val="{00000010-7F0B-42A5-82F5-93001BE87A04}"/>
              </c:ext>
            </c:extLst>
          </c:dPt>
          <c:dPt>
            <c:idx val="13"/>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4-7F0B-42A5-82F5-93001BE87A04}"/>
              </c:ext>
            </c:extLst>
          </c:dPt>
          <c:dPt>
            <c:idx val="14"/>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3-7F0B-42A5-82F5-93001BE87A04}"/>
              </c:ext>
            </c:extLst>
          </c:dPt>
          <c:dLbls>
            <c:dLbl>
              <c:idx val="6"/>
              <c:layout>
                <c:manualLayout>
                  <c:x val="6.4083039002839435E-4"/>
                  <c:y val="-5.0632956594711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B7-4126-99C2-EF7B4254841B}"/>
                </c:ext>
              </c:extLst>
            </c:dLbl>
            <c:dLbl>
              <c:idx val="9"/>
              <c:layout>
                <c:manualLayout>
                  <c:x val="6.4083039002839435E-4"/>
                  <c:y val="-5.0632956594711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F0B-42A5-82F5-93001BE87A04}"/>
                </c:ext>
              </c:extLst>
            </c:dLbl>
            <c:dLbl>
              <c:idx val="10"/>
              <c:layout>
                <c:manualLayout>
                  <c:x val="2.0125784568847853E-3"/>
                  <c:y val="8.06858423665467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F0B-42A5-82F5-93001BE87A04}"/>
                </c:ext>
              </c:extLst>
            </c:dLbl>
            <c:dLbl>
              <c:idx val="13"/>
              <c:layout>
                <c:manualLayout>
                  <c:x val="-2.1026538349372993E-3"/>
                  <c:y val="9.5438070241219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F0B-42A5-82F5-93001BE87A04}"/>
                </c:ext>
              </c:extLst>
            </c:dLbl>
            <c:dLbl>
              <c:idx val="14"/>
              <c:layout>
                <c:manualLayout>
                  <c:x val="5.3968871175053739E-3"/>
                  <c:y val="1.05729640937739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F0B-42A5-82F5-93001BE87A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FAC!$A$6:$A$21</c:f>
              <c:strCache>
                <c:ptCount val="15"/>
                <c:pt idx="0">
                  <c:v>Sweden</c:v>
                </c:pt>
                <c:pt idx="1">
                  <c:v>Canada</c:v>
                </c:pt>
                <c:pt idx="2">
                  <c:v>France</c:v>
                </c:pt>
                <c:pt idx="3">
                  <c:v>Poland</c:v>
                </c:pt>
                <c:pt idx="4">
                  <c:v>Netherlands</c:v>
                </c:pt>
                <c:pt idx="5">
                  <c:v>Germany</c:v>
                </c:pt>
                <c:pt idx="6">
                  <c:v>Spain</c:v>
                </c:pt>
                <c:pt idx="7">
                  <c:v>Australia</c:v>
                </c:pt>
                <c:pt idx="8">
                  <c:v>United States</c:v>
                </c:pt>
                <c:pt idx="9">
                  <c:v>Norway</c:v>
                </c:pt>
                <c:pt idx="10">
                  <c:v>Nigeria</c:v>
                </c:pt>
                <c:pt idx="11">
                  <c:v>Kenya</c:v>
                </c:pt>
                <c:pt idx="12">
                  <c:v>India</c:v>
                </c:pt>
                <c:pt idx="13">
                  <c:v>United Kingdom</c:v>
                </c:pt>
                <c:pt idx="14">
                  <c:v>South Africa</c:v>
                </c:pt>
              </c:strCache>
            </c:strRef>
          </c:cat>
          <c:val>
            <c:numRef>
              <c:f>FAC!$B$6:$B$21</c:f>
              <c:numCache>
                <c:formatCode>"$"#,##0.00</c:formatCode>
                <c:ptCount val="15"/>
                <c:pt idx="0">
                  <c:v>6683.8600000000015</c:v>
                </c:pt>
                <c:pt idx="1">
                  <c:v>6014.1899999999987</c:v>
                </c:pt>
                <c:pt idx="2">
                  <c:v>5737.7899999999991</c:v>
                </c:pt>
                <c:pt idx="3">
                  <c:v>3449.5099999999998</c:v>
                </c:pt>
                <c:pt idx="4">
                  <c:v>2536.89</c:v>
                </c:pt>
                <c:pt idx="5">
                  <c:v>2249.21</c:v>
                </c:pt>
                <c:pt idx="6">
                  <c:v>2115.84</c:v>
                </c:pt>
                <c:pt idx="7">
                  <c:v>1992.73</c:v>
                </c:pt>
                <c:pt idx="8">
                  <c:v>1643.3400000000001</c:v>
                </c:pt>
                <c:pt idx="9">
                  <c:v>1518.84</c:v>
                </c:pt>
                <c:pt idx="10">
                  <c:v>924.43000000000006</c:v>
                </c:pt>
                <c:pt idx="11">
                  <c:v>825.93999999999994</c:v>
                </c:pt>
                <c:pt idx="12">
                  <c:v>759.78</c:v>
                </c:pt>
                <c:pt idx="13">
                  <c:v>710.08</c:v>
                </c:pt>
                <c:pt idx="14">
                  <c:v>424.24</c:v>
                </c:pt>
              </c:numCache>
            </c:numRef>
          </c:val>
          <c:extLst>
            <c:ext xmlns:c16="http://schemas.microsoft.com/office/drawing/2014/chart" uri="{C3380CC4-5D6E-409C-BE32-E72D297353CC}">
              <c16:uniqueId val="{00000002-CEB7-4126-99C2-EF7B4254841B}"/>
            </c:ext>
          </c:extLst>
        </c:ser>
        <c:dLbls>
          <c:dLblPos val="outEnd"/>
          <c:showLegendKey val="0"/>
          <c:showVal val="1"/>
          <c:showCatName val="0"/>
          <c:showSerName val="0"/>
          <c:showPercent val="0"/>
          <c:showBubbleSize val="0"/>
        </c:dLbls>
        <c:gapWidth val="65"/>
        <c:axId val="936925872"/>
        <c:axId val="936929232"/>
      </c:barChart>
      <c:catAx>
        <c:axId val="936925872"/>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Countries</a:t>
                </a:r>
              </a:p>
            </c:rich>
          </c:tx>
          <c:layout>
            <c:manualLayout>
              <c:xMode val="edge"/>
              <c:yMode val="edge"/>
              <c:x val="0.51568722437614067"/>
              <c:y val="0.92374503546768871"/>
            </c:manualLayout>
          </c:layout>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936929232"/>
        <c:crosses val="autoZero"/>
        <c:auto val="1"/>
        <c:lblAlgn val="ctr"/>
        <c:lblOffset val="100"/>
        <c:noMultiLvlLbl val="0"/>
      </c:catAx>
      <c:valAx>
        <c:axId val="936929232"/>
        <c:scaling>
          <c:orientation val="minMax"/>
        </c:scaling>
        <c:delete val="0"/>
        <c:axPos val="l"/>
        <c:majorGridlines>
          <c:spPr>
            <a:ln w="9525" cap="flat" cmpd="sng" algn="ctr">
              <a:solidFill>
                <a:srgbClr val="E0E0E0">
                  <a:alpha val="75000"/>
                </a:srgbClr>
              </a:solidFill>
              <a:round/>
            </a:ln>
            <a:effectLst/>
          </c:spPr>
        </c:majorGridlines>
        <c:title>
          <c:tx>
            <c:rich>
              <a:bodyPr rot="-5400000" spcFirstLastPara="1" vertOverflow="ellipsis" vert="horz" wrap="square" anchor="ctr" anchorCtr="1"/>
              <a:lstStyle/>
              <a:p>
                <a:pPr>
                  <a:defRPr sz="7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a:t>
                </a:r>
                <a:r>
                  <a:rPr lang="en-US" sz="750" b="0" i="0" baseline="0">
                    <a:solidFill>
                      <a:srgbClr val="444444"/>
                    </a:solidFill>
                    <a:latin typeface="Segoe UI" panose="020B0502040204020203" pitchFamily="34" charset="0"/>
                  </a:rPr>
                  <a:t> </a:t>
                </a:r>
                <a:r>
                  <a:rPr lang="en-US" sz="950" b="0" i="0" baseline="0">
                    <a:solidFill>
                      <a:srgbClr val="444444"/>
                    </a:solidFill>
                    <a:latin typeface="Segoe UI" panose="020B0502040204020203" pitchFamily="34" charset="0"/>
                  </a:rPr>
                  <a:t>Amount</a:t>
                </a:r>
                <a:r>
                  <a:rPr lang="en-US" sz="750" b="0" i="0" baseline="0">
                    <a:solidFill>
                      <a:srgbClr val="444444"/>
                    </a:solidFill>
                    <a:latin typeface="Segoe UI" panose="020B0502040204020203" pitchFamily="34" charset="0"/>
                  </a:rPr>
                  <a:t> ($)</a:t>
                </a:r>
              </a:p>
            </c:rich>
          </c:tx>
          <c:layout>
            <c:manualLayout>
              <c:xMode val="edge"/>
              <c:yMode val="edge"/>
              <c:x val="6.8586553375636942E-4"/>
              <c:y val="0.38377235219698258"/>
            </c:manualLayout>
          </c:layout>
          <c:overlay val="0"/>
          <c:spPr>
            <a:noFill/>
            <a:ln>
              <a:noFill/>
            </a:ln>
            <a:effectLst/>
          </c:spPr>
          <c:txPr>
            <a:bodyPr rot="-5400000" spcFirstLastPara="1" vertOverflow="ellipsis" vert="horz" wrap="square" anchor="ctr" anchorCtr="1"/>
            <a:lstStyle/>
            <a:p>
              <a:pPr>
                <a:defRPr sz="7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936925872"/>
        <c:crosses val="autoZero"/>
        <c:crossBetween val="between"/>
      </c:valAx>
      <c:spPr>
        <a:solidFill>
          <a:schemeClr val="bg1"/>
        </a:solidFill>
        <a:ln>
          <a:solidFill>
            <a:srgbClr val="E0E0E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5F7FA"/>
        </a:gs>
        <a:gs pos="100000">
          <a:srgbClr val="E9EEF2"/>
        </a:gs>
      </a:gsLst>
      <a:lin ang="5400000" scaled="1"/>
    </a:gradFill>
    <a:ln w="9525" cap="flat" cmpd="sng" algn="ctr">
      <a:solidFill>
        <a:schemeClr val="bg2">
          <a:lumMod val="75000"/>
        </a:schemeClr>
      </a:solidFill>
      <a:round/>
    </a:ln>
    <a:effectLst>
      <a:outerShdw blurRad="76200" dist="38100" dir="2700000" algn="tl" rotWithShape="0">
        <a:schemeClr val="bg2">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PROJECT.xlsx]TFC!PivotTable2</c:name>
    <c:fmtId val="38"/>
  </c:pivotSource>
  <c:chart>
    <c:title>
      <c:tx>
        <c:rich>
          <a:bodyPr rot="0" spcFirstLastPara="1" vertOverflow="ellipsis" vert="horz" wrap="square" anchor="t" anchorCtr="1"/>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strike="noStrike" baseline="0">
                <a:latin typeface="Segoe UI Semibold" panose="020B0702040204020203" pitchFamily="34" charset="0"/>
              </a:rPr>
              <a:t> </a:t>
            </a:r>
            <a:r>
              <a:rPr lang="en-US" sz="1400" b="1" i="0" u="none" strike="noStrike" baseline="0">
                <a:solidFill>
                  <a:srgbClr val="1F4E79"/>
                </a:solidFill>
                <a:uFill>
                  <a:solidFill>
                    <a:srgbClr val="F4B400"/>
                  </a:solidFill>
                </a:uFill>
                <a:latin typeface="Segoe UI Semibold" panose="020B0702040204020203" pitchFamily="34" charset="0"/>
              </a:rPr>
              <a:t>Comparison of Total </a:t>
            </a:r>
            <a:r>
              <a:rPr lang="en-US" sz="1400" b="1" i="0" u="none" strike="noStrike" baseline="0">
                <a:solidFill>
                  <a:srgbClr val="E53935"/>
                </a:solidFill>
                <a:uFill>
                  <a:solidFill>
                    <a:srgbClr val="F4B400"/>
                  </a:solidFill>
                </a:uFill>
                <a:latin typeface="Segoe UI Semibold" panose="020B0702040204020203" pitchFamily="34" charset="0"/>
              </a:rPr>
              <a:t>Fraud</a:t>
            </a:r>
            <a:r>
              <a:rPr lang="en-US" sz="1400" b="1" i="0" u="none" strike="noStrike" baseline="0">
                <a:solidFill>
                  <a:srgbClr val="1F4E79"/>
                </a:solidFill>
                <a:uFill>
                  <a:solidFill>
                    <a:srgbClr val="F4B400"/>
                  </a:solidFill>
                </a:uFill>
                <a:latin typeface="Segoe UI Semibold" panose="020B0702040204020203" pitchFamily="34" charset="0"/>
              </a:rPr>
              <a:t> Amount vs Average Loss per Case by Category</a:t>
            </a:r>
            <a:endParaRPr lang="en-US" sz="1400" b="1" i="0" u="none" baseline="0">
              <a:solidFill>
                <a:srgbClr val="1F4E79"/>
              </a:solidFill>
              <a:uFill>
                <a:solidFill>
                  <a:srgbClr val="F4B400"/>
                </a:solidFill>
              </a:uFill>
              <a:latin typeface="Segoe UI Semibold" panose="020B0702040204020203" pitchFamily="34" charset="0"/>
            </a:endParaRPr>
          </a:p>
        </c:rich>
      </c:tx>
      <c:layout>
        <c:manualLayout>
          <c:xMode val="edge"/>
          <c:yMode val="edge"/>
          <c:x val="0.15407305326121357"/>
          <c:y val="2.1087253067396658E-2"/>
        </c:manualLayout>
      </c:layout>
      <c:overlay val="0"/>
      <c:spPr>
        <a:noFill/>
        <a:ln w="9525"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9"/>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1"/>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2"/>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3"/>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4"/>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5"/>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1"/>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2"/>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3"/>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4"/>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5"/>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7"/>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48"/>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3062430742820655E-17"/>
              <c:y val="-1.4035091596930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2.5436172802703835E-17"/>
              <c:y val="-4.9122807017543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4494770995519086E-3"/>
              <c:y val="-2.921106502381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0"/>
              <c:y val="-4.21052631578948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5.087234560540767E-17"/>
              <c:y val="-4.5614035087719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387420088698389E-3"/>
              <c:y val="-2.45614102946291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4250089063056644E-3"/>
              <c:y val="-2.047989055198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2.7748872702046479E-3"/>
              <c:y val="-4.5614035087719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2.8500178126113287E-3"/>
              <c:y val="-3.0075113568549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dLbl>
          <c:idx val="0"/>
          <c:layout>
            <c:manualLayout>
              <c:x val="-1.0174469121081534E-16"/>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7066764226146828E-2"/>
                  <c:h val="4.4246189409810011E-2"/>
                </c:manualLayout>
              </c15:layout>
            </c:ext>
          </c:extLst>
        </c:dLbl>
      </c:pivotFmt>
      <c:pivotFmt>
        <c:idx val="61"/>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2"/>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3"/>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4"/>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5"/>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6"/>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7"/>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8"/>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
        <c:idx val="69"/>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pivotFmt>
    </c:pivotFmts>
    <c:plotArea>
      <c:layout>
        <c:manualLayout>
          <c:layoutTarget val="inner"/>
          <c:xMode val="edge"/>
          <c:yMode val="edge"/>
          <c:x val="0.1012680896184735"/>
          <c:y val="0.17528304820287297"/>
          <c:w val="0.88668693208354155"/>
          <c:h val="0.69005620244355226"/>
        </c:manualLayout>
      </c:layout>
      <c:barChart>
        <c:barDir val="col"/>
        <c:grouping val="clustered"/>
        <c:varyColors val="0"/>
        <c:ser>
          <c:idx val="0"/>
          <c:order val="0"/>
          <c:tx>
            <c:strRef>
              <c:f>TFC!$B$3</c:f>
              <c:strCache>
                <c:ptCount val="1"/>
                <c:pt idx="0">
                  <c:v>Sum of Fruad Amount</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invertIfNegative val="0"/>
          <c:dPt>
            <c:idx val="0"/>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1-E7CB-4B8E-8697-C43E2145E934}"/>
              </c:ext>
            </c:extLst>
          </c:dPt>
          <c:dPt>
            <c:idx val="1"/>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3-E7CB-4B8E-8697-C43E2145E934}"/>
              </c:ext>
            </c:extLst>
          </c:dPt>
          <c:dPt>
            <c:idx val="2"/>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5-E7CB-4B8E-8697-C43E2145E934}"/>
              </c:ext>
            </c:extLst>
          </c:dPt>
          <c:dPt>
            <c:idx val="3"/>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7-E7CB-4B8E-8697-C43E2145E934}"/>
              </c:ext>
            </c:extLst>
          </c:dPt>
          <c:dPt>
            <c:idx val="4"/>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9-E7CB-4B8E-8697-C43E2145E934}"/>
              </c:ext>
            </c:extLst>
          </c:dPt>
          <c:dPt>
            <c:idx val="5"/>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B-E7CB-4B8E-8697-C43E2145E934}"/>
              </c:ext>
            </c:extLst>
          </c:dPt>
          <c:dPt>
            <c:idx val="6"/>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D-E7CB-4B8E-8697-C43E2145E934}"/>
              </c:ext>
            </c:extLst>
          </c:dPt>
          <c:dPt>
            <c:idx val="7"/>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F-E7CB-4B8E-8697-C43E2145E934}"/>
              </c:ext>
            </c:extLst>
          </c:dPt>
          <c:dPt>
            <c:idx val="8"/>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1-E7CB-4B8E-8697-C43E2145E934}"/>
              </c:ext>
            </c:extLst>
          </c:dPt>
          <c:dPt>
            <c:idx val="9"/>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13-E7CB-4B8E-8697-C43E2145E934}"/>
              </c:ext>
            </c:extLst>
          </c:dPt>
          <c:dLbls>
            <c:dLbl>
              <c:idx val="0"/>
              <c:layout>
                <c:manualLayout>
                  <c:x val="-1.3062430742820655E-17"/>
                  <c:y val="-1.40350915969309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CB-4B8E-8697-C43E2145E934}"/>
                </c:ext>
              </c:extLst>
            </c:dLbl>
            <c:dLbl>
              <c:idx val="1"/>
              <c:layout>
                <c:manualLayout>
                  <c:x val="-2.5436172802703835E-17"/>
                  <c:y val="-4.91228070175439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CB-4B8E-8697-C43E2145E934}"/>
                </c:ext>
              </c:extLst>
            </c:dLbl>
            <c:dLbl>
              <c:idx val="2"/>
              <c:layout>
                <c:manualLayout>
                  <c:x val="1.4494770995519086E-3"/>
                  <c:y val="-2.9211065023811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CB-4B8E-8697-C43E2145E934}"/>
                </c:ext>
              </c:extLst>
            </c:dLbl>
            <c:dLbl>
              <c:idx val="3"/>
              <c:layout>
                <c:manualLayout>
                  <c:x val="0"/>
                  <c:y val="-4.2105263157894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CB-4B8E-8697-C43E2145E934}"/>
                </c:ext>
              </c:extLst>
            </c:dLbl>
            <c:dLbl>
              <c:idx val="4"/>
              <c:layout>
                <c:manualLayout>
                  <c:x val="-5.087234560540767E-17"/>
                  <c:y val="-4.5614035087719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CB-4B8E-8697-C43E2145E934}"/>
                </c:ext>
              </c:extLst>
            </c:dLbl>
            <c:dLbl>
              <c:idx val="5"/>
              <c:layout>
                <c:manualLayout>
                  <c:x val="1.387420088698389E-3"/>
                  <c:y val="-2.45614102946291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CB-4B8E-8697-C43E2145E934}"/>
                </c:ext>
              </c:extLst>
            </c:dLbl>
            <c:dLbl>
              <c:idx val="6"/>
              <c:layout>
                <c:manualLayout>
                  <c:x val="1.4250089063056644E-3"/>
                  <c:y val="-2.047989055198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7CB-4B8E-8697-C43E2145E934}"/>
                </c:ext>
              </c:extLst>
            </c:dLbl>
            <c:dLbl>
              <c:idx val="7"/>
              <c:layout>
                <c:manualLayout>
                  <c:x val="-2.7748872702046479E-3"/>
                  <c:y val="-4.56140350877193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7CB-4B8E-8697-C43E2145E934}"/>
                </c:ext>
              </c:extLst>
            </c:dLbl>
            <c:dLbl>
              <c:idx val="8"/>
              <c:layout>
                <c:manualLayout>
                  <c:x val="-2.8500178126113287E-3"/>
                  <c:y val="-3.00751135685491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7CB-4B8E-8697-C43E2145E934}"/>
                </c:ext>
              </c:extLst>
            </c:dLbl>
            <c:dLbl>
              <c:idx val="9"/>
              <c:layout>
                <c:manualLayout>
                  <c:x val="-1.0174469121081534E-16"/>
                  <c:y val="-5.26315789473684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7CB-4B8E-8697-C43E2145E9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TFC!$A$4:$A$14</c:f>
              <c:strCache>
                <c:ptCount val="10"/>
                <c:pt idx="0">
                  <c:v>Electronics</c:v>
                </c:pt>
                <c:pt idx="1">
                  <c:v>Entertainment</c:v>
                </c:pt>
                <c:pt idx="2">
                  <c:v>Fashion</c:v>
                </c:pt>
                <c:pt idx="3">
                  <c:v>FoodDelivery</c:v>
                </c:pt>
                <c:pt idx="4">
                  <c:v>Gaming</c:v>
                </c:pt>
                <c:pt idx="5">
                  <c:v>Grocery</c:v>
                </c:pt>
                <c:pt idx="6">
                  <c:v>Health</c:v>
                </c:pt>
                <c:pt idx="7">
                  <c:v>Retail</c:v>
                </c:pt>
                <c:pt idx="8">
                  <c:v>Travel</c:v>
                </c:pt>
                <c:pt idx="9">
                  <c:v>Utilities</c:v>
                </c:pt>
              </c:strCache>
            </c:strRef>
          </c:cat>
          <c:val>
            <c:numRef>
              <c:f>TFC!$B$4:$B$14</c:f>
              <c:numCache>
                <c:formatCode>"$"#,##0.00</c:formatCode>
                <c:ptCount val="10"/>
                <c:pt idx="0">
                  <c:v>7096.7400000000007</c:v>
                </c:pt>
                <c:pt idx="1">
                  <c:v>1800.31</c:v>
                </c:pt>
                <c:pt idx="2">
                  <c:v>7980.6999999999989</c:v>
                </c:pt>
                <c:pt idx="3">
                  <c:v>1092.44</c:v>
                </c:pt>
                <c:pt idx="4">
                  <c:v>7028.44</c:v>
                </c:pt>
                <c:pt idx="5">
                  <c:v>1123.73</c:v>
                </c:pt>
                <c:pt idx="6">
                  <c:v>4610.33</c:v>
                </c:pt>
                <c:pt idx="7">
                  <c:v>2102.9899999999998</c:v>
                </c:pt>
                <c:pt idx="8">
                  <c:v>3563.29</c:v>
                </c:pt>
                <c:pt idx="9">
                  <c:v>1187.7</c:v>
                </c:pt>
              </c:numCache>
            </c:numRef>
          </c:val>
          <c:extLst>
            <c:ext xmlns:c16="http://schemas.microsoft.com/office/drawing/2014/chart" uri="{C3380CC4-5D6E-409C-BE32-E72D297353CC}">
              <c16:uniqueId val="{00000014-E7CB-4B8E-8697-C43E2145E934}"/>
            </c:ext>
          </c:extLst>
        </c:ser>
        <c:ser>
          <c:idx val="1"/>
          <c:order val="1"/>
          <c:tx>
            <c:strRef>
              <c:f>TFC!$C$3</c:f>
              <c:strCache>
                <c:ptCount val="1"/>
                <c:pt idx="0">
                  <c:v>Sum of Avg_loss_per_case</c:v>
                </c:pt>
              </c:strCache>
            </c:strRef>
          </c:tx>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invertIfNegative val="0"/>
          <c:dPt>
            <c:idx val="0"/>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16-E7CB-4B8E-8697-C43E2145E934}"/>
              </c:ext>
            </c:extLst>
          </c:dPt>
          <c:dPt>
            <c:idx val="1"/>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18-E7CB-4B8E-8697-C43E2145E934}"/>
              </c:ext>
            </c:extLst>
          </c:dPt>
          <c:dPt>
            <c:idx val="2"/>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1A-E7CB-4B8E-8697-C43E2145E934}"/>
              </c:ext>
            </c:extLst>
          </c:dPt>
          <c:dPt>
            <c:idx val="3"/>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1C-E7CB-4B8E-8697-C43E2145E934}"/>
              </c:ext>
            </c:extLst>
          </c:dPt>
          <c:dPt>
            <c:idx val="4"/>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1E-E7CB-4B8E-8697-C43E2145E934}"/>
              </c:ext>
            </c:extLst>
          </c:dPt>
          <c:dPt>
            <c:idx val="5"/>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20-E7CB-4B8E-8697-C43E2145E934}"/>
              </c:ext>
            </c:extLst>
          </c:dPt>
          <c:dPt>
            <c:idx val="6"/>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22-E7CB-4B8E-8697-C43E2145E934}"/>
              </c:ext>
            </c:extLst>
          </c:dPt>
          <c:dPt>
            <c:idx val="7"/>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24-E7CB-4B8E-8697-C43E2145E934}"/>
              </c:ext>
            </c:extLst>
          </c:dPt>
          <c:dPt>
            <c:idx val="8"/>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26-E7CB-4B8E-8697-C43E2145E934}"/>
              </c:ext>
            </c:extLst>
          </c:dPt>
          <c:dPt>
            <c:idx val="9"/>
            <c:invertIfNegative val="0"/>
            <c:bubble3D val="0"/>
            <c:spPr>
              <a:gradFill>
                <a:gsLst>
                  <a:gs pos="0">
                    <a:srgbClr val="FF8F00"/>
                  </a:gs>
                  <a:gs pos="100000">
                    <a:srgbClr val="FFA726"/>
                  </a:gs>
                </a:gsLst>
                <a:lin ang="5400000" scaled="1"/>
              </a:gradFill>
              <a:ln>
                <a:noFill/>
              </a:ln>
              <a:effectLst>
                <a:outerShdw blurRad="63500" dist="38100" dir="2700000" algn="tl" rotWithShape="0">
                  <a:srgbClr val="C0C0C0">
                    <a:alpha val="50196"/>
                  </a:srgbClr>
                </a:outerShdw>
              </a:effectLst>
            </c:spPr>
            <c:extLst>
              <c:ext xmlns:c16="http://schemas.microsoft.com/office/drawing/2014/chart" uri="{C3380CC4-5D6E-409C-BE32-E72D297353CC}">
                <c16:uniqueId val="{00000028-E7CB-4B8E-8697-C43E2145E93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8.7066764226146828E-2"/>
                      <c:h val="4.4246189409810011E-2"/>
                    </c:manualLayout>
                  </c15:layout>
                </c:ext>
                <c:ext xmlns:c16="http://schemas.microsoft.com/office/drawing/2014/chart" uri="{C3380CC4-5D6E-409C-BE32-E72D297353CC}">
                  <c16:uniqueId val="{00000016-E7CB-4B8E-8697-C43E2145E9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TFC!$A$4:$A$14</c:f>
              <c:strCache>
                <c:ptCount val="10"/>
                <c:pt idx="0">
                  <c:v>Electronics</c:v>
                </c:pt>
                <c:pt idx="1">
                  <c:v>Entertainment</c:v>
                </c:pt>
                <c:pt idx="2">
                  <c:v>Fashion</c:v>
                </c:pt>
                <c:pt idx="3">
                  <c:v>FoodDelivery</c:v>
                </c:pt>
                <c:pt idx="4">
                  <c:v>Gaming</c:v>
                </c:pt>
                <c:pt idx="5">
                  <c:v>Grocery</c:v>
                </c:pt>
                <c:pt idx="6">
                  <c:v>Health</c:v>
                </c:pt>
                <c:pt idx="7">
                  <c:v>Retail</c:v>
                </c:pt>
                <c:pt idx="8">
                  <c:v>Travel</c:v>
                </c:pt>
                <c:pt idx="9">
                  <c:v>Utilities</c:v>
                </c:pt>
              </c:strCache>
            </c:strRef>
          </c:cat>
          <c:val>
            <c:numRef>
              <c:f>TFC!$C$4:$C$14</c:f>
              <c:numCache>
                <c:formatCode>"$"#,##0.00</c:formatCode>
                <c:ptCount val="10"/>
                <c:pt idx="0">
                  <c:v>545.90307692307692</c:v>
                </c:pt>
                <c:pt idx="1">
                  <c:v>138.48538461538462</c:v>
                </c:pt>
                <c:pt idx="2">
                  <c:v>613.89999999999986</c:v>
                </c:pt>
                <c:pt idx="3">
                  <c:v>99.312727272727273</c:v>
                </c:pt>
                <c:pt idx="4">
                  <c:v>540.64923076923071</c:v>
                </c:pt>
                <c:pt idx="5">
                  <c:v>102.15727272727273</c:v>
                </c:pt>
                <c:pt idx="6">
                  <c:v>256.12944444444446</c:v>
                </c:pt>
                <c:pt idx="7">
                  <c:v>123.70529411764704</c:v>
                </c:pt>
                <c:pt idx="8">
                  <c:v>323.93545454545455</c:v>
                </c:pt>
                <c:pt idx="9">
                  <c:v>118.77000000000001</c:v>
                </c:pt>
              </c:numCache>
            </c:numRef>
          </c:val>
          <c:extLst>
            <c:ext xmlns:c16="http://schemas.microsoft.com/office/drawing/2014/chart" uri="{C3380CC4-5D6E-409C-BE32-E72D297353CC}">
              <c16:uniqueId val="{00000029-E7CB-4B8E-8697-C43E2145E934}"/>
            </c:ext>
          </c:extLst>
        </c:ser>
        <c:dLbls>
          <c:dLblPos val="outEnd"/>
          <c:showLegendKey val="0"/>
          <c:showVal val="1"/>
          <c:showCatName val="0"/>
          <c:showSerName val="0"/>
          <c:showPercent val="0"/>
          <c:showBubbleSize val="0"/>
        </c:dLbls>
        <c:gapWidth val="70"/>
        <c:axId val="566676720"/>
        <c:axId val="566677200"/>
      </c:barChart>
      <c:catAx>
        <c:axId val="566676720"/>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aseline="0">
                    <a:solidFill>
                      <a:srgbClr val="444444"/>
                    </a:solidFill>
                    <a:latin typeface="Segoe UI" panose="020B0502040204020203" pitchFamily="34" charset="0"/>
                  </a:rPr>
                  <a:t>Category</a:t>
                </a:r>
              </a:p>
            </c:rich>
          </c:tx>
          <c:layout>
            <c:manualLayout>
              <c:xMode val="edge"/>
              <c:yMode val="edge"/>
              <c:x val="0.51336790252999609"/>
              <c:y val="0.91218518580215024"/>
            </c:manualLayout>
          </c:layout>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566677200"/>
        <c:crosses val="autoZero"/>
        <c:auto val="1"/>
        <c:lblAlgn val="ctr"/>
        <c:lblOffset val="100"/>
        <c:noMultiLvlLbl val="0"/>
      </c:catAx>
      <c:valAx>
        <c:axId val="566677200"/>
        <c:scaling>
          <c:orientation val="minMax"/>
        </c:scaling>
        <c:delete val="0"/>
        <c:axPos val="l"/>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 Amount ($)</a:t>
                </a:r>
              </a:p>
            </c:rich>
          </c:tx>
          <c:layout>
            <c:manualLayout>
              <c:xMode val="edge"/>
              <c:yMode val="edge"/>
              <c:x val="6.554524076790089E-3"/>
              <c:y val="0.37256444260256943"/>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566676720"/>
        <c:crosses val="autoZero"/>
        <c:crossBetween val="between"/>
      </c:valAx>
      <c:spPr>
        <a:solidFill>
          <a:srgbClr val="FFFFFF"/>
        </a:solidFill>
        <a:ln>
          <a:solidFill>
            <a:srgbClr val="E0E0E0"/>
          </a:solidFill>
        </a:ln>
        <a:effectLst/>
      </c:spPr>
    </c:plotArea>
    <c:legend>
      <c:legendPos val="b"/>
      <c:layout>
        <c:manualLayout>
          <c:xMode val="edge"/>
          <c:yMode val="edge"/>
          <c:x val="0.29017657206324571"/>
          <c:y val="0.94080978122248826"/>
          <c:w val="0.42078864108928532"/>
          <c:h val="5.2758317682937338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5F7FA"/>
        </a:gs>
        <a:gs pos="100000">
          <a:srgbClr val="E9EEF2"/>
        </a:gs>
      </a:gsLst>
      <a:lin ang="5400000" scaled="1"/>
    </a:gradFill>
    <a:ln w="9525" cap="flat" cmpd="sng" algn="ctr">
      <a:solidFill>
        <a:schemeClr val="bg2">
          <a:lumMod val="90000"/>
        </a:schemeClr>
      </a:solidFill>
      <a:round/>
    </a:ln>
    <a:effectLst>
      <a:outerShdw blurRad="50800" dist="38100" dir="2700000" algn="tl" rotWithShape="0">
        <a:srgbClr val="C0C0C0">
          <a:alpha val="49804"/>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PROJECT.xlsx]FAC!Chart 5</c:name>
    <c:fmtId val="47"/>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mn-cs"/>
              </a:defRPr>
            </a:pP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Amount by Country</a:t>
            </a:r>
          </a:p>
        </c:rich>
      </c:tx>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5.3968871175053739E-3"/>
              <c:y val="1.05729640937739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016266485207868E-4"/>
              <c:y val="-3.56098344849750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7434842249655055E-3"/>
              <c:y val="-2.749656292971693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1.613716847330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324098376591815E-3"/>
              <c:y val="1.2102772867677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4B400"/>
          </a:solidFill>
          <a:ln>
            <a:noFill/>
          </a:ln>
          <a:effectLst>
            <a:glow rad="88900">
              <a:srgbClr val="FF0000">
                <a:alpha val="40000"/>
              </a:srgbClr>
            </a:glow>
            <a:outerShdw blurRad="63500" dist="38100" dir="2700000" algn="tl" rotWithShape="0">
              <a:srgbClr val="C0C0C0">
                <a:alpha val="50000"/>
              </a:srgbClr>
            </a:outerShdw>
          </a:effectLst>
        </c:spPr>
        <c:dLbl>
          <c:idx val="0"/>
          <c:layout>
            <c:manualLayout>
              <c:x val="6.4083039002839435E-4"/>
              <c:y val="-5.063295659471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3.00498152016712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1026538349372993E-3"/>
              <c:y val="9.5438070241219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26A69A"/>
          </a:solidFill>
          <a:ln>
            <a:noFill/>
          </a:ln>
          <a:effectLst>
            <a:outerShdw blurRad="63500" dist="38100" dir="2700000" algn="tl" rotWithShape="0">
              <a:srgbClr val="C0C0C0">
                <a:alpha val="50000"/>
              </a:srgbClr>
            </a:outerShdw>
          </a:effectLst>
        </c:spPr>
        <c:dLbl>
          <c:idx val="0"/>
          <c:layout>
            <c:manualLayout>
              <c:x val="-1.0011557197326145E-3"/>
              <c:y val="1.50266930919341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6088221525749995E-4"/>
              <c:y val="5.5021179906468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3.630862906494638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4B400"/>
          </a:solidFill>
          <a:ln>
            <a:noFill/>
          </a:ln>
          <a:effectLst>
            <a:glow rad="88900">
              <a:srgbClr val="FF0000">
                <a:alpha val="40000"/>
              </a:srgbClr>
            </a:glow>
            <a:outerShdw blurRad="63500" dist="38100" dir="2700000" algn="tl" rotWithShape="0">
              <a:srgbClr val="C0C0C0">
                <a:alpha val="50000"/>
              </a:srgbClr>
            </a:outerShdw>
          </a:effectLst>
        </c:spPr>
        <c:dLbl>
          <c:idx val="0"/>
          <c:layout>
            <c:manualLayout>
              <c:x val="6.4083039002839435E-4"/>
              <c:y val="-5.063295659471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016266485207868E-4"/>
              <c:y val="-3.56098344849750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5.3968871175053739E-3"/>
              <c:y val="1.05729640937739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26A69A"/>
          </a:solidFill>
          <a:ln>
            <a:noFill/>
          </a:ln>
          <a:effectLst>
            <a:outerShdw blurRad="63500" dist="38100" dir="2700000" algn="tl" rotWithShape="0">
              <a:srgbClr val="C0C0C0">
                <a:alpha val="50000"/>
              </a:srgbClr>
            </a:outerShdw>
          </a:effectLst>
        </c:spPr>
        <c:dLbl>
          <c:idx val="0"/>
          <c:layout>
            <c:manualLayout>
              <c:x val="-1.0011557197326145E-3"/>
              <c:y val="1.50266930919341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1.613716847330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3.00498152016712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324098376591815E-3"/>
              <c:y val="1.2102772867677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7434842249655055E-3"/>
              <c:y val="-2.749656292971693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1026538349372993E-3"/>
              <c:y val="9.5438070241219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6088221525749995E-4"/>
              <c:y val="5.5021179906468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4B400"/>
          </a:solidFill>
          <a:ln>
            <a:noFill/>
          </a:ln>
          <a:effectLst>
            <a:glow rad="88900">
              <a:srgbClr val="FF0000">
                <a:alpha val="40000"/>
              </a:srgbClr>
            </a:glow>
            <a:outerShdw blurRad="63500" dist="38100" dir="2700000" algn="tl" rotWithShape="0">
              <a:srgbClr val="C0C0C0">
                <a:alpha val="50000"/>
              </a:srgbClr>
            </a:outerShdw>
          </a:effectLst>
        </c:spPr>
        <c:dLbl>
          <c:idx val="0"/>
          <c:layout>
            <c:manualLayout>
              <c:x val="6.4083039002839435E-4"/>
              <c:y val="-5.0632956594711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016266485207868E-4"/>
              <c:y val="-3.56098344849750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5.3968871175053739E-3"/>
              <c:y val="1.05729640937739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26A69A"/>
          </a:solidFill>
          <a:ln>
            <a:noFill/>
          </a:ln>
          <a:effectLst>
            <a:outerShdw blurRad="63500" dist="38100" dir="2700000" algn="tl" rotWithShape="0">
              <a:srgbClr val="C0C0C0">
                <a:alpha val="50000"/>
              </a:srgbClr>
            </a:outerShdw>
          </a:effectLst>
        </c:spPr>
        <c:dLbl>
          <c:idx val="0"/>
          <c:layout>
            <c:manualLayout>
              <c:x val="-1.0011557197326145E-3"/>
              <c:y val="1.50266930919341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784568847853E-3"/>
              <c:y val="1.613716847330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6284214473191E-3"/>
              <c:y val="-1.9854606957549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8.06858423665467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0125377142225054E-3"/>
              <c:y val="-3.7306609141935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0"/>
              <c:y val="3.00498152016712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1.8324098376591815E-3"/>
              <c:y val="1.2102772867677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1883754829129876E-3"/>
              <c:y val="-5.866791403549803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7434842249655055E-3"/>
              <c:y val="-2.749656292971693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2.1026538349372993E-3"/>
              <c:y val="9.5438070241219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dLbl>
          <c:idx val="0"/>
          <c:layout>
            <c:manualLayout>
              <c:x val="-4.6088221525749995E-4"/>
              <c:y val="5.5021179906468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3921259842518"/>
          <c:y val="0.11442513234659736"/>
          <c:w val="0.8844687214098238"/>
          <c:h val="0.63219097612798403"/>
        </c:manualLayout>
      </c:layout>
      <c:barChart>
        <c:barDir val="col"/>
        <c:grouping val="clustered"/>
        <c:varyColors val="0"/>
        <c:ser>
          <c:idx val="0"/>
          <c:order val="0"/>
          <c:tx>
            <c:strRef>
              <c:f>FAC!$B$5</c:f>
              <c:strCache>
                <c:ptCount val="1"/>
                <c:pt idx="0">
                  <c:v>Total</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invertIfNegative val="0"/>
          <c:dPt>
            <c:idx val="0"/>
            <c:invertIfNegative val="0"/>
            <c:bubble3D val="0"/>
            <c:spPr>
              <a:solidFill>
                <a:srgbClr val="F4B400"/>
              </a:solidFill>
              <a:ln>
                <a:noFill/>
              </a:ln>
              <a:effectLst>
                <a:glow rad="88900">
                  <a:srgbClr val="FF0000">
                    <a:alpha val="40000"/>
                  </a:srgbClr>
                </a:glow>
                <a:outerShdw blurRad="63500" dist="38100" dir="2700000" algn="tl" rotWithShape="0">
                  <a:srgbClr val="C0C0C0">
                    <a:alpha val="50000"/>
                  </a:srgbClr>
                </a:outerShdw>
              </a:effectLst>
            </c:spPr>
            <c:extLst>
              <c:ext xmlns:c16="http://schemas.microsoft.com/office/drawing/2014/chart" uri="{C3380CC4-5D6E-409C-BE32-E72D297353CC}">
                <c16:uniqueId val="{00000001-1D95-4B86-8C75-535625D6FB63}"/>
              </c:ext>
            </c:extLst>
          </c:dPt>
          <c:dPt>
            <c:idx val="1"/>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3-1D95-4B86-8C75-535625D6FB63}"/>
              </c:ext>
            </c:extLst>
          </c:dPt>
          <c:dPt>
            <c:idx val="2"/>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5-1D95-4B86-8C75-535625D6FB63}"/>
              </c:ext>
            </c:extLst>
          </c:dPt>
          <c:dPt>
            <c:idx val="3"/>
            <c:invertIfNegative val="0"/>
            <c:bubble3D val="0"/>
            <c:spPr>
              <a:solidFill>
                <a:srgbClr val="26A69A"/>
              </a:soli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7-1D95-4B86-8C75-535625D6FB63}"/>
              </c:ext>
            </c:extLst>
          </c:dPt>
          <c:dPt>
            <c:idx val="4"/>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9-1D95-4B86-8C75-535625D6FB63}"/>
              </c:ext>
            </c:extLst>
          </c:dPt>
          <c:dPt>
            <c:idx val="5"/>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B-1D95-4B86-8C75-535625D6FB63}"/>
              </c:ext>
            </c:extLst>
          </c:dPt>
          <c:dPt>
            <c:idx val="6"/>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D-1D95-4B86-8C75-535625D6FB63}"/>
              </c:ext>
            </c:extLst>
          </c:dPt>
          <c:dPt>
            <c:idx val="7"/>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0F-1D95-4B86-8C75-535625D6FB63}"/>
              </c:ext>
            </c:extLst>
          </c:dPt>
          <c:dPt>
            <c:idx val="8"/>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1-1D95-4B86-8C75-535625D6FB63}"/>
              </c:ext>
            </c:extLst>
          </c:dPt>
          <c:dPt>
            <c:idx val="9"/>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3-1D95-4B86-8C75-535625D6FB63}"/>
              </c:ext>
            </c:extLst>
          </c:dPt>
          <c:dPt>
            <c:idx val="10"/>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5-1D95-4B86-8C75-535625D6FB63}"/>
              </c:ext>
            </c:extLst>
          </c:dPt>
          <c:dPt>
            <c:idx val="11"/>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7-1D95-4B86-8C75-535625D6FB63}"/>
              </c:ext>
            </c:extLst>
          </c:dPt>
          <c:dPt>
            <c:idx val="12"/>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9-1D95-4B86-8C75-535625D6FB63}"/>
              </c:ext>
            </c:extLst>
          </c:dPt>
          <c:dPt>
            <c:idx val="13"/>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B-1D95-4B86-8C75-535625D6FB63}"/>
              </c:ext>
            </c:extLst>
          </c:dPt>
          <c:dPt>
            <c:idx val="14"/>
            <c:invertIfNegative val="0"/>
            <c:bubble3D val="0"/>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extLst>
              <c:ext xmlns:c16="http://schemas.microsoft.com/office/drawing/2014/chart" uri="{C3380CC4-5D6E-409C-BE32-E72D297353CC}">
                <c16:uniqueId val="{0000001D-1D95-4B86-8C75-535625D6FB63}"/>
              </c:ext>
            </c:extLst>
          </c:dPt>
          <c:dLbls>
            <c:dLbl>
              <c:idx val="0"/>
              <c:layout>
                <c:manualLayout>
                  <c:x val="6.4083039002839435E-4"/>
                  <c:y val="-5.0632956594711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95-4B86-8C75-535625D6FB63}"/>
                </c:ext>
              </c:extLst>
            </c:dLbl>
            <c:dLbl>
              <c:idx val="1"/>
              <c:layout>
                <c:manualLayout>
                  <c:x val="-1.8016266485207868E-4"/>
                  <c:y val="-3.56098344849750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95-4B86-8C75-535625D6FB63}"/>
                </c:ext>
              </c:extLst>
            </c:dLbl>
            <c:dLbl>
              <c:idx val="2"/>
              <c:layout>
                <c:manualLayout>
                  <c:x val="5.3968871175053739E-3"/>
                  <c:y val="1.05729640937739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95-4B86-8C75-535625D6FB63}"/>
                </c:ext>
              </c:extLst>
            </c:dLbl>
            <c:dLbl>
              <c:idx val="3"/>
              <c:layout>
                <c:manualLayout>
                  <c:x val="-1.0011557197326145E-3"/>
                  <c:y val="1.50266930919341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95-4B86-8C75-535625D6FB63}"/>
                </c:ext>
              </c:extLst>
            </c:dLbl>
            <c:dLbl>
              <c:idx val="4"/>
              <c:layout>
                <c:manualLayout>
                  <c:x val="-2.0125784568847853E-3"/>
                  <c:y val="1.6137168473309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95-4B86-8C75-535625D6FB63}"/>
                </c:ext>
              </c:extLst>
            </c:dLbl>
            <c:dLbl>
              <c:idx val="5"/>
              <c:layout>
                <c:manualLayout>
                  <c:x val="2.0126284214473191E-3"/>
                  <c:y val="-1.98546069575498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95-4B86-8C75-535625D6FB63}"/>
                </c:ext>
              </c:extLst>
            </c:dLbl>
            <c:dLbl>
              <c:idx val="6"/>
              <c:layout>
                <c:manualLayout>
                  <c:x val="0"/>
                  <c:y val="8.06858423665467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D95-4B86-8C75-535625D6FB63}"/>
                </c:ext>
              </c:extLst>
            </c:dLbl>
            <c:dLbl>
              <c:idx val="7"/>
              <c:layout>
                <c:manualLayout>
                  <c:x val="2.0125377142225054E-3"/>
                  <c:y val="-3.73066091419358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D95-4B86-8C75-535625D6FB63}"/>
                </c:ext>
              </c:extLst>
            </c:dLbl>
            <c:dLbl>
              <c:idx val="8"/>
              <c:layout>
                <c:manualLayout>
                  <c:x val="0"/>
                  <c:y val="3.00498152016712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D95-4B86-8C75-535625D6FB63}"/>
                </c:ext>
              </c:extLst>
            </c:dLbl>
            <c:dLbl>
              <c:idx val="9"/>
              <c:layout>
                <c:manualLayout>
                  <c:x val="4.1883754829129876E-3"/>
                  <c:y val="-5.86679140354980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D95-4B86-8C75-535625D6FB63}"/>
                </c:ext>
              </c:extLst>
            </c:dLbl>
            <c:dLbl>
              <c:idx val="10"/>
              <c:layout>
                <c:manualLayout>
                  <c:x val="1.8324098376591815E-3"/>
                  <c:y val="1.21027728676772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D95-4B86-8C75-535625D6FB63}"/>
                </c:ext>
              </c:extLst>
            </c:dLbl>
            <c:dLbl>
              <c:idx val="11"/>
              <c:layout>
                <c:manualLayout>
                  <c:x val="4.1883754829129876E-3"/>
                  <c:y val="-5.86679140354980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D95-4B86-8C75-535625D6FB63}"/>
                </c:ext>
              </c:extLst>
            </c:dLbl>
            <c:dLbl>
              <c:idx val="12"/>
              <c:layout>
                <c:manualLayout>
                  <c:x val="2.7434842249655055E-3"/>
                  <c:y val="-2.749656292971693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D95-4B86-8C75-535625D6FB63}"/>
                </c:ext>
              </c:extLst>
            </c:dLbl>
            <c:dLbl>
              <c:idx val="13"/>
              <c:layout>
                <c:manualLayout>
                  <c:x val="-2.1026538349372993E-3"/>
                  <c:y val="9.5438070241219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1D95-4B86-8C75-535625D6FB63}"/>
                </c:ext>
              </c:extLst>
            </c:dLbl>
            <c:dLbl>
              <c:idx val="14"/>
              <c:layout>
                <c:manualLayout>
                  <c:x val="-4.6088221525749995E-4"/>
                  <c:y val="5.50211799064685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D95-4B86-8C75-535625D6FB6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FAC!$A$6:$A$21</c:f>
              <c:strCache>
                <c:ptCount val="15"/>
                <c:pt idx="0">
                  <c:v>Sweden</c:v>
                </c:pt>
                <c:pt idx="1">
                  <c:v>Canada</c:v>
                </c:pt>
                <c:pt idx="2">
                  <c:v>France</c:v>
                </c:pt>
                <c:pt idx="3">
                  <c:v>Poland</c:v>
                </c:pt>
                <c:pt idx="4">
                  <c:v>Netherlands</c:v>
                </c:pt>
                <c:pt idx="5">
                  <c:v>Germany</c:v>
                </c:pt>
                <c:pt idx="6">
                  <c:v>Spain</c:v>
                </c:pt>
                <c:pt idx="7">
                  <c:v>Australia</c:v>
                </c:pt>
                <c:pt idx="8">
                  <c:v>United States</c:v>
                </c:pt>
                <c:pt idx="9">
                  <c:v>Norway</c:v>
                </c:pt>
                <c:pt idx="10">
                  <c:v>Nigeria</c:v>
                </c:pt>
                <c:pt idx="11">
                  <c:v>Kenya</c:v>
                </c:pt>
                <c:pt idx="12">
                  <c:v>India</c:v>
                </c:pt>
                <c:pt idx="13">
                  <c:v>United Kingdom</c:v>
                </c:pt>
                <c:pt idx="14">
                  <c:v>South Africa</c:v>
                </c:pt>
              </c:strCache>
            </c:strRef>
          </c:cat>
          <c:val>
            <c:numRef>
              <c:f>FAC!$B$6:$B$21</c:f>
              <c:numCache>
                <c:formatCode>"$"#,##0.00</c:formatCode>
                <c:ptCount val="15"/>
                <c:pt idx="0">
                  <c:v>6683.8600000000015</c:v>
                </c:pt>
                <c:pt idx="1">
                  <c:v>6014.1899999999987</c:v>
                </c:pt>
                <c:pt idx="2">
                  <c:v>5737.7899999999991</c:v>
                </c:pt>
                <c:pt idx="3">
                  <c:v>3449.5099999999998</c:v>
                </c:pt>
                <c:pt idx="4">
                  <c:v>2536.89</c:v>
                </c:pt>
                <c:pt idx="5">
                  <c:v>2249.21</c:v>
                </c:pt>
                <c:pt idx="6">
                  <c:v>2115.84</c:v>
                </c:pt>
                <c:pt idx="7">
                  <c:v>1992.73</c:v>
                </c:pt>
                <c:pt idx="8">
                  <c:v>1643.3400000000001</c:v>
                </c:pt>
                <c:pt idx="9">
                  <c:v>1518.84</c:v>
                </c:pt>
                <c:pt idx="10">
                  <c:v>924.43000000000006</c:v>
                </c:pt>
                <c:pt idx="11">
                  <c:v>825.93999999999994</c:v>
                </c:pt>
                <c:pt idx="12">
                  <c:v>759.78</c:v>
                </c:pt>
                <c:pt idx="13">
                  <c:v>710.08</c:v>
                </c:pt>
                <c:pt idx="14">
                  <c:v>424.24</c:v>
                </c:pt>
              </c:numCache>
            </c:numRef>
          </c:val>
          <c:extLst>
            <c:ext xmlns:c16="http://schemas.microsoft.com/office/drawing/2014/chart" uri="{C3380CC4-5D6E-409C-BE32-E72D297353CC}">
              <c16:uniqueId val="{0000001E-1D95-4B86-8C75-535625D6FB63}"/>
            </c:ext>
          </c:extLst>
        </c:ser>
        <c:dLbls>
          <c:dLblPos val="outEnd"/>
          <c:showLegendKey val="0"/>
          <c:showVal val="1"/>
          <c:showCatName val="0"/>
          <c:showSerName val="0"/>
          <c:showPercent val="0"/>
          <c:showBubbleSize val="0"/>
        </c:dLbls>
        <c:gapWidth val="65"/>
        <c:axId val="936925872"/>
        <c:axId val="936929232"/>
      </c:barChart>
      <c:catAx>
        <c:axId val="936925872"/>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Countries</a:t>
                </a:r>
              </a:p>
            </c:rich>
          </c:tx>
          <c:layout>
            <c:manualLayout>
              <c:xMode val="edge"/>
              <c:yMode val="edge"/>
              <c:x val="0.51568722437614067"/>
              <c:y val="0.92374503546768871"/>
            </c:manualLayout>
          </c:layout>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936929232"/>
        <c:crosses val="autoZero"/>
        <c:auto val="1"/>
        <c:lblAlgn val="ctr"/>
        <c:lblOffset val="100"/>
        <c:noMultiLvlLbl val="0"/>
      </c:catAx>
      <c:valAx>
        <c:axId val="936929232"/>
        <c:scaling>
          <c:orientation val="minMax"/>
        </c:scaling>
        <c:delete val="0"/>
        <c:axPos val="l"/>
        <c:title>
          <c:tx>
            <c:rich>
              <a:bodyPr rot="-5400000" spcFirstLastPara="1" vertOverflow="ellipsis" vert="horz" wrap="square" anchor="ctr" anchorCtr="1"/>
              <a:lstStyle/>
              <a:p>
                <a:pPr>
                  <a:defRPr sz="7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a:t>
                </a:r>
                <a:r>
                  <a:rPr lang="en-US" sz="750" b="0" i="0" baseline="0">
                    <a:solidFill>
                      <a:srgbClr val="444444"/>
                    </a:solidFill>
                    <a:latin typeface="Segoe UI" panose="020B0502040204020203" pitchFamily="34" charset="0"/>
                  </a:rPr>
                  <a:t> </a:t>
                </a:r>
                <a:r>
                  <a:rPr lang="en-US" sz="950" b="0" i="0" baseline="0">
                    <a:solidFill>
                      <a:srgbClr val="444444"/>
                    </a:solidFill>
                    <a:latin typeface="Segoe UI" panose="020B0502040204020203" pitchFamily="34" charset="0"/>
                  </a:rPr>
                  <a:t>Amount</a:t>
                </a:r>
                <a:r>
                  <a:rPr lang="en-US" sz="750" b="0" i="0" baseline="0">
                    <a:solidFill>
                      <a:srgbClr val="444444"/>
                    </a:solidFill>
                    <a:latin typeface="Segoe UI" panose="020B0502040204020203" pitchFamily="34" charset="0"/>
                  </a:rPr>
                  <a:t> ($)</a:t>
                </a:r>
              </a:p>
            </c:rich>
          </c:tx>
          <c:layout>
            <c:manualLayout>
              <c:xMode val="edge"/>
              <c:yMode val="edge"/>
              <c:x val="6.8586553375636942E-4"/>
              <c:y val="0.38377235219698258"/>
            </c:manualLayout>
          </c:layout>
          <c:overlay val="0"/>
          <c:spPr>
            <a:noFill/>
            <a:ln>
              <a:noFill/>
            </a:ln>
            <a:effectLst/>
          </c:spPr>
          <c:txPr>
            <a:bodyPr rot="-5400000" spcFirstLastPara="1" vertOverflow="ellipsis" vert="horz" wrap="square" anchor="ctr" anchorCtr="1"/>
            <a:lstStyle/>
            <a:p>
              <a:pPr>
                <a:defRPr sz="7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936925872"/>
        <c:crosses val="autoZero"/>
        <c:crossBetween val="between"/>
      </c:valAx>
      <c:spPr>
        <a:solidFill>
          <a:schemeClr val="bg1"/>
        </a:solidFill>
        <a:ln>
          <a:solidFill>
            <a:srgbClr val="E0E0E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5F7FA"/>
        </a:gs>
        <a:gs pos="100000">
          <a:srgbClr val="E9EEF2"/>
        </a:gs>
      </a:gsLst>
      <a:lin ang="5400000" scaled="1"/>
    </a:gradFill>
    <a:ln w="9525" cap="flat" cmpd="sng" algn="ctr">
      <a:solidFill>
        <a:schemeClr val="bg2">
          <a:lumMod val="90000"/>
        </a:schemeClr>
      </a:solidFill>
      <a:round/>
    </a:ln>
    <a:effectLst>
      <a:outerShdw blurRad="76200" dist="38100" algn="l" rotWithShape="0">
        <a:srgbClr val="C0C0C0">
          <a:alpha val="50196"/>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PROJECT.xlsx]MFAC!PivotTable2</c:name>
    <c:fmtId val="40"/>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baseline="0">
                <a:solidFill>
                  <a:srgbClr val="1F4E79"/>
                </a:solidFill>
                <a:uFill>
                  <a:solidFill>
                    <a:srgbClr val="F4B400"/>
                  </a:solidFill>
                </a:uFill>
                <a:latin typeface="Segoe UI Semibold" panose="020B0702040204020203" pitchFamily="34" charset="0"/>
              </a:rPr>
              <a:t>Monthly </a:t>
            </a: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Trend</a:t>
            </a:r>
            <a:r>
              <a:rPr lang="en-US" sz="1400" b="1" i="0" u="none" strike="noStrike" baseline="0">
                <a:uFill>
                  <a:solidFill>
                    <a:srgbClr val="F4B400"/>
                  </a:solidFill>
                </a:uFill>
                <a:latin typeface="Segoe UI Semibold" panose="020B0702040204020203" pitchFamily="34" charset="0"/>
              </a:rPr>
              <a:t>—</a:t>
            </a:r>
            <a:r>
              <a:rPr lang="en-US" sz="1400" b="1" i="0" u="none" baseline="0">
                <a:solidFill>
                  <a:srgbClr val="1F4E79"/>
                </a:solidFill>
                <a:uFill>
                  <a:solidFill>
                    <a:srgbClr val="F4B400"/>
                  </a:solidFill>
                </a:uFill>
                <a:latin typeface="Segoe UI Semibold" panose="020B0702040204020203" pitchFamily="34" charset="0"/>
              </a:rPr>
              <a:t>Amount ($) &amp; Case Count</a:t>
            </a:r>
          </a:p>
        </c:rich>
      </c:tx>
      <c:layout>
        <c:manualLayout>
          <c:xMode val="edge"/>
          <c:yMode val="edge"/>
          <c:x val="0.20992968975766468"/>
          <c:y val="2.3452771135732759E-2"/>
        </c:manualLayout>
      </c:layout>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4200549715916566E-3"/>
              <c:y val="-6.815761448349309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4200549715916731E-3"/>
              <c:y val="-4.259850905218317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0840109943183313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840109943183313E-2"/>
              <c:y val="-1.27795527156549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646794933713732E-2"/>
              <c:y val="-1.27795527156549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8"/>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9"/>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0"/>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layout>
            <c:manualLayout>
              <c:x val="2.0882354956225389E-2"/>
              <c:y val="4.7004124484439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2"/>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13"/>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4"/>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5"/>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19"/>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21"/>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22"/>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23"/>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24"/>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25"/>
        <c:spPr>
          <a:solidFill>
            <a:schemeClr val="accent1"/>
          </a:solidFill>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layout>
            <c:manualLayout>
              <c:x val="2.0882354956225389E-2"/>
              <c:y val="4.7004124484439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8"/>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pivotFmt>
      <c:pivotFmt>
        <c:idx val="29"/>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31"/>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layout>
            <c:manualLayout>
              <c:x val="-2.0824884679858331E-2"/>
              <c:y val="-5.66187444272737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Lbl>
          <c:idx val="0"/>
          <c:layout>
            <c:manualLayout>
              <c:x val="-2.0654296729959134E-2"/>
              <c:y val="-9.57066963201617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34"/>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
        <c:idx val="35"/>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pivotFmt>
    </c:pivotFmts>
    <c:plotArea>
      <c:layout>
        <c:manualLayout>
          <c:layoutTarget val="inner"/>
          <c:xMode val="edge"/>
          <c:yMode val="edge"/>
          <c:x val="0.13510169573757858"/>
          <c:y val="0.16268405577819958"/>
          <c:w val="0.80551516782897981"/>
          <c:h val="0.62065727468334908"/>
        </c:manualLayout>
      </c:layout>
      <c:barChart>
        <c:barDir val="col"/>
        <c:grouping val="clustered"/>
        <c:varyColors val="0"/>
        <c:ser>
          <c:idx val="0"/>
          <c:order val="0"/>
          <c:tx>
            <c:strRef>
              <c:f>MFAC!$B$5</c:f>
              <c:strCache>
                <c:ptCount val="1"/>
                <c:pt idx="0">
                  <c:v>Sum of Amount</c:v>
                </c:pt>
              </c:strCache>
            </c:strRef>
          </c:tx>
          <c:spPr>
            <a:gradFill>
              <a:gsLst>
                <a:gs pos="0">
                  <a:srgbClr val="00BFA6"/>
                </a:gs>
                <a:gs pos="100000">
                  <a:srgbClr val="26A69A"/>
                </a:gs>
              </a:gsLst>
              <a:lin ang="5400000" scaled="1"/>
            </a:gradFill>
            <a:ln>
              <a:noFill/>
            </a:ln>
            <a:effectLst>
              <a:outerShdw blurRad="63500" dist="38100" dir="2700000" algn="tl" rotWithShape="0">
                <a:srgbClr val="C0C0C0">
                  <a:alpha val="50000"/>
                </a:srgbClr>
              </a:outerShdw>
            </a:effectLst>
          </c:spPr>
          <c:invertIfNegative val="0"/>
          <c:dPt>
            <c:idx val="0"/>
            <c:invertIfNegative val="0"/>
            <c:bubble3D val="0"/>
            <c:extLst>
              <c:ext xmlns:c16="http://schemas.microsoft.com/office/drawing/2014/chart" uri="{C3380CC4-5D6E-409C-BE32-E72D297353CC}">
                <c16:uniqueId val="{00000001-E7AD-4174-9107-F53CBE3BC8F7}"/>
              </c:ext>
            </c:extLst>
          </c:dPt>
          <c:dPt>
            <c:idx val="1"/>
            <c:invertIfNegative val="0"/>
            <c:bubble3D val="0"/>
            <c:extLst>
              <c:ext xmlns:c16="http://schemas.microsoft.com/office/drawing/2014/chart" uri="{C3380CC4-5D6E-409C-BE32-E72D297353CC}">
                <c16:uniqueId val="{00000000-E0DC-4CE3-8BD5-BABA90167F90}"/>
              </c:ext>
            </c:extLst>
          </c:dPt>
          <c:dPt>
            <c:idx val="2"/>
            <c:invertIfNegative val="0"/>
            <c:bubble3D val="0"/>
            <c:extLst>
              <c:ext xmlns:c16="http://schemas.microsoft.com/office/drawing/2014/chart" uri="{C3380CC4-5D6E-409C-BE32-E72D297353CC}">
                <c16:uniqueId val="{00000002-E0DC-4CE3-8BD5-BABA90167F90}"/>
              </c:ext>
            </c:extLst>
          </c:dPt>
          <c:dPt>
            <c:idx val="4"/>
            <c:invertIfNegative val="0"/>
            <c:bubble3D val="0"/>
            <c:extLst>
              <c:ext xmlns:c16="http://schemas.microsoft.com/office/drawing/2014/chart" uri="{C3380CC4-5D6E-409C-BE32-E72D297353CC}">
                <c16:uniqueId val="{00000004-E0DC-4CE3-8BD5-BABA90167F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MFAC!$A$6:$A$12</c:f>
              <c:strCache>
                <c:ptCount val="6"/>
                <c:pt idx="0">
                  <c:v>May</c:v>
                </c:pt>
                <c:pt idx="1">
                  <c:v>June</c:v>
                </c:pt>
                <c:pt idx="2">
                  <c:v>July</c:v>
                </c:pt>
                <c:pt idx="3">
                  <c:v>August</c:v>
                </c:pt>
                <c:pt idx="4">
                  <c:v>September</c:v>
                </c:pt>
                <c:pt idx="5">
                  <c:v>October</c:v>
                </c:pt>
              </c:strCache>
            </c:strRef>
          </c:cat>
          <c:val>
            <c:numRef>
              <c:f>MFAC!$B$6:$B$12</c:f>
              <c:numCache>
                <c:formatCode>"$"#,##0.00</c:formatCode>
                <c:ptCount val="6"/>
                <c:pt idx="0">
                  <c:v>2732.2399999999993</c:v>
                </c:pt>
                <c:pt idx="1">
                  <c:v>8022.25</c:v>
                </c:pt>
                <c:pt idx="2">
                  <c:v>5865.7900000000009</c:v>
                </c:pt>
                <c:pt idx="3">
                  <c:v>3206.6400000000003</c:v>
                </c:pt>
                <c:pt idx="4">
                  <c:v>8929.9200000000019</c:v>
                </c:pt>
                <c:pt idx="5">
                  <c:v>8829.8299999999981</c:v>
                </c:pt>
              </c:numCache>
            </c:numRef>
          </c:val>
          <c:extLst>
            <c:ext xmlns:c16="http://schemas.microsoft.com/office/drawing/2014/chart" uri="{C3380CC4-5D6E-409C-BE32-E72D297353CC}">
              <c16:uniqueId val="{00000005-E0DC-4CE3-8BD5-BABA90167F90}"/>
            </c:ext>
          </c:extLst>
        </c:ser>
        <c:dLbls>
          <c:showLegendKey val="0"/>
          <c:showVal val="1"/>
          <c:showCatName val="0"/>
          <c:showSerName val="0"/>
          <c:showPercent val="0"/>
          <c:showBubbleSize val="0"/>
        </c:dLbls>
        <c:gapWidth val="219"/>
        <c:axId val="648516015"/>
        <c:axId val="648516495"/>
      </c:barChart>
      <c:lineChart>
        <c:grouping val="standard"/>
        <c:varyColors val="0"/>
        <c:ser>
          <c:idx val="1"/>
          <c:order val="1"/>
          <c:tx>
            <c:strRef>
              <c:f>MFAC!$C$5</c:f>
              <c:strCache>
                <c:ptCount val="1"/>
                <c:pt idx="0">
                  <c:v>Sum of FraudLabel</c:v>
                </c:pt>
              </c:strCache>
            </c:strRef>
          </c:tx>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dPt>
            <c:idx val="0"/>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E0DC-4CE3-8BD5-BABA90167F90}"/>
              </c:ext>
            </c:extLst>
          </c:dPt>
          <c:dPt>
            <c:idx val="1"/>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9-E0DC-4CE3-8BD5-BABA90167F90}"/>
              </c:ext>
            </c:extLst>
          </c:dPt>
          <c:dPt>
            <c:idx val="2"/>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B-E0DC-4CE3-8BD5-BABA90167F90}"/>
              </c:ext>
            </c:extLst>
          </c:dPt>
          <c:dPt>
            <c:idx val="3"/>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D-E0DC-4CE3-8BD5-BABA90167F90}"/>
              </c:ext>
            </c:extLst>
          </c:dPt>
          <c:dPt>
            <c:idx val="4"/>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F-E0DC-4CE3-8BD5-BABA90167F90}"/>
              </c:ext>
            </c:extLst>
          </c:dPt>
          <c:dPt>
            <c:idx val="5"/>
            <c:marker>
              <c:symbol val="circle"/>
              <c:size val="6"/>
              <c:spPr>
                <a:solidFill>
                  <a:srgbClr val="F4B400"/>
                </a:solidFill>
                <a:ln w="9525">
                  <a:solidFill>
                    <a:srgbClr val="FF8F00"/>
                  </a:solidFill>
                </a:ln>
                <a:effectLst>
                  <a:glow rad="63500">
                    <a:srgbClr val="FFD54F">
                      <a:alpha val="40000"/>
                    </a:srgbClr>
                  </a:glow>
                  <a:outerShdw blurRad="50800" dist="50800" dir="5400000" sx="1000" sy="1000" algn="ctr" rotWithShape="0">
                    <a:srgbClr val="000000">
                      <a:alpha val="43137"/>
                    </a:srgbClr>
                  </a:outerShdw>
                </a:effectLst>
              </c:spPr>
            </c:marker>
            <c:bubble3D val="0"/>
            <c:spPr>
              <a:ln w="28575" cap="rnd">
                <a:gradFill>
                  <a:gsLst>
                    <a:gs pos="0">
                      <a:srgbClr val="FF8F00"/>
                    </a:gs>
                    <a:gs pos="100000">
                      <a:srgbClr val="F4B400"/>
                    </a:gs>
                  </a:gsLst>
                  <a:lin ang="5400000" scaled="1"/>
                </a:gradFill>
                <a:prstDash val="solid"/>
                <a:round/>
              </a:ln>
              <a:effectLst>
                <a:glow rad="63500">
                  <a:srgbClr val="FFD54F">
                    <a:alpha val="40000"/>
                  </a:srgb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11-E0DC-4CE3-8BD5-BABA90167F90}"/>
              </c:ext>
            </c:extLst>
          </c:dPt>
          <c:dLbls>
            <c:dLbl>
              <c:idx val="1"/>
              <c:layout>
                <c:manualLayout>
                  <c:x val="-2.0824884679858331E-2"/>
                  <c:y val="-5.66187444272737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DC-4CE3-8BD5-BABA90167F90}"/>
                </c:ext>
              </c:extLst>
            </c:dLbl>
            <c:dLbl>
              <c:idx val="2"/>
              <c:layout>
                <c:manualLayout>
                  <c:x val="-2.0654296729959134E-2"/>
                  <c:y val="-9.57066963201617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DC-4CE3-8BD5-BABA90167F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2">
                          <a:lumMod val="75000"/>
                        </a:schemeClr>
                      </a:solidFill>
                      <a:round/>
                    </a:ln>
                    <a:effectLst/>
                  </c:spPr>
                </c15:leaderLines>
              </c:ext>
            </c:extLst>
          </c:dLbls>
          <c:cat>
            <c:strRef>
              <c:f>MFAC!$A$6:$A$12</c:f>
              <c:strCache>
                <c:ptCount val="6"/>
                <c:pt idx="0">
                  <c:v>May</c:v>
                </c:pt>
                <c:pt idx="1">
                  <c:v>June</c:v>
                </c:pt>
                <c:pt idx="2">
                  <c:v>July</c:v>
                </c:pt>
                <c:pt idx="3">
                  <c:v>August</c:v>
                </c:pt>
                <c:pt idx="4">
                  <c:v>September</c:v>
                </c:pt>
                <c:pt idx="5">
                  <c:v>October</c:v>
                </c:pt>
              </c:strCache>
            </c:strRef>
          </c:cat>
          <c:val>
            <c:numRef>
              <c:f>MFAC!$C$6:$C$12</c:f>
              <c:numCache>
                <c:formatCode>General</c:formatCode>
                <c:ptCount val="6"/>
                <c:pt idx="0">
                  <c:v>23</c:v>
                </c:pt>
                <c:pt idx="1">
                  <c:v>25</c:v>
                </c:pt>
                <c:pt idx="2">
                  <c:v>19</c:v>
                </c:pt>
                <c:pt idx="3">
                  <c:v>21</c:v>
                </c:pt>
                <c:pt idx="4">
                  <c:v>18</c:v>
                </c:pt>
                <c:pt idx="5">
                  <c:v>24</c:v>
                </c:pt>
              </c:numCache>
            </c:numRef>
          </c:val>
          <c:smooth val="1"/>
          <c:extLst>
            <c:ext xmlns:c16="http://schemas.microsoft.com/office/drawing/2014/chart" uri="{C3380CC4-5D6E-409C-BE32-E72D297353CC}">
              <c16:uniqueId val="{00000012-E0DC-4CE3-8BD5-BABA90167F90}"/>
            </c:ext>
          </c:extLst>
        </c:ser>
        <c:dLbls>
          <c:showLegendKey val="0"/>
          <c:showVal val="0"/>
          <c:showCatName val="0"/>
          <c:showSerName val="0"/>
          <c:showPercent val="0"/>
          <c:showBubbleSize val="0"/>
        </c:dLbls>
        <c:marker val="1"/>
        <c:smooth val="0"/>
        <c:axId val="1342459568"/>
        <c:axId val="1342455248"/>
      </c:lineChart>
      <c:catAx>
        <c:axId val="648516015"/>
        <c:scaling>
          <c:orientation val="minMax"/>
        </c:scaling>
        <c:delete val="0"/>
        <c:axPos val="b"/>
        <c:title>
          <c:tx>
            <c:rich>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Months</a:t>
                </a:r>
              </a:p>
            </c:rich>
          </c:tx>
          <c:layout>
            <c:manualLayout>
              <c:xMode val="edge"/>
              <c:yMode val="edge"/>
              <c:x val="0.49106725960359937"/>
              <c:y val="0.86129532548106646"/>
            </c:manualLayout>
          </c:layout>
          <c:overlay val="0"/>
          <c:spPr>
            <a:noFill/>
            <a:ln>
              <a:noFill/>
            </a:ln>
            <a:effectLst/>
          </c:spPr>
          <c:txPr>
            <a:bodyPr rot="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648516495"/>
        <c:crosses val="autoZero"/>
        <c:auto val="1"/>
        <c:lblAlgn val="ctr"/>
        <c:lblOffset val="100"/>
        <c:noMultiLvlLbl val="0"/>
      </c:catAx>
      <c:valAx>
        <c:axId val="648516495"/>
        <c:scaling>
          <c:orientation val="minMax"/>
        </c:scaling>
        <c:delete val="0"/>
        <c:axPos val="l"/>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Fraud Amount($)</a:t>
                </a:r>
              </a:p>
            </c:rich>
          </c:tx>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648516015"/>
        <c:crosses val="autoZero"/>
        <c:crossBetween val="between"/>
      </c:valAx>
      <c:valAx>
        <c:axId val="1342455248"/>
        <c:scaling>
          <c:orientation val="minMax"/>
        </c:scaling>
        <c:delete val="0"/>
        <c:axPos val="r"/>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 Fraud Cases</a:t>
                </a:r>
              </a:p>
            </c:rich>
          </c:tx>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crossAx val="1342459568"/>
        <c:crosses val="max"/>
        <c:crossBetween val="between"/>
      </c:valAx>
      <c:catAx>
        <c:axId val="1342459568"/>
        <c:scaling>
          <c:orientation val="minMax"/>
        </c:scaling>
        <c:delete val="1"/>
        <c:axPos val="b"/>
        <c:numFmt formatCode="General" sourceLinked="1"/>
        <c:majorTickMark val="out"/>
        <c:minorTickMark val="none"/>
        <c:tickLblPos val="nextTo"/>
        <c:crossAx val="1342455248"/>
        <c:crosses val="autoZero"/>
        <c:auto val="1"/>
        <c:lblAlgn val="ctr"/>
        <c:lblOffset val="100"/>
        <c:noMultiLvlLbl val="0"/>
      </c:catAx>
      <c:spPr>
        <a:solidFill>
          <a:schemeClr val="bg1"/>
        </a:solidFill>
        <a:ln>
          <a:solidFill>
            <a:srgbClr val="E0E0E0"/>
          </a:solidFill>
        </a:ln>
        <a:effectLst/>
      </c:spPr>
    </c:plotArea>
    <c:legend>
      <c:legendPos val="b"/>
      <c:layout>
        <c:manualLayout>
          <c:xMode val="edge"/>
          <c:yMode val="edge"/>
          <c:x val="0.27361189713744649"/>
          <c:y val="0.91359531289289919"/>
          <c:w val="0.45277597374952722"/>
          <c:h val="6.587582289918678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solidFill>
        <a:schemeClr val="bg2">
          <a:lumMod val="90000"/>
        </a:schemeClr>
      </a:solidFill>
      <a:round/>
    </a:ln>
    <a:effectLst>
      <a:outerShdw blurRad="50800" dist="38100" dir="2700000" algn="tl" rotWithShape="0">
        <a:srgbClr val="C0C0C0">
          <a:alpha val="50196"/>
        </a:srgb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PROJECT.xlsx]FAG!PivotTable1</c:name>
    <c:fmtId val="59"/>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baseline="0">
                <a:solidFill>
                  <a:srgbClr val="E53935"/>
                </a:solidFill>
                <a:uFill>
                  <a:solidFill>
                    <a:srgbClr val="F4B400"/>
                  </a:solidFill>
                </a:uFill>
                <a:latin typeface="Segoe UI Semibold" panose="020B0702040204020203" pitchFamily="34" charset="0"/>
              </a:rPr>
              <a:t>Fraud</a:t>
            </a:r>
            <a:r>
              <a:rPr lang="en-US" sz="1400" b="1" i="0" u="none" baseline="0">
                <a:solidFill>
                  <a:srgbClr val="1F4E79"/>
                </a:solidFill>
                <a:uFill>
                  <a:solidFill>
                    <a:srgbClr val="F4B400"/>
                  </a:solidFill>
                </a:uFill>
                <a:latin typeface="Segoe UI Semibold" panose="020B0702040204020203" pitchFamily="34" charset="0"/>
              </a:rPr>
              <a:t> Distribution by Age Group</a:t>
            </a:r>
          </a:p>
        </c:rich>
      </c:tx>
      <c:layout>
        <c:manualLayout>
          <c:xMode val="edge"/>
          <c:yMode val="edge"/>
          <c:x val="0.111621683835761"/>
          <c:y val="2.8736424627017722E-2"/>
        </c:manualLayout>
      </c:layout>
      <c:overlay val="0"/>
      <c:spPr>
        <a:noFill/>
        <a:ln cap="rnd">
          <a:solidFill>
            <a:srgbClr val="E0E0E0"/>
          </a:solidFill>
        </a:ln>
        <a:effectLst>
          <a:glow rad="38100">
            <a:schemeClr val="accent4">
              <a:satMod val="175000"/>
              <a:alpha val="25000"/>
            </a:schemeClr>
          </a:glow>
          <a:outerShdw blurRad="50800" dist="38100" dir="5400000" algn="t" rotWithShape="0">
            <a:srgbClr val="F4B400">
              <a:alpha val="30000"/>
            </a:srgbClr>
          </a:outerShdw>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897B"/>
          </a:solidFill>
          <a:ln w="19050">
            <a:noFill/>
          </a:ln>
          <a:effectLst>
            <a:outerShdw blurRad="50800" dist="38100" dir="2700000" algn="tl" rotWithShape="0">
              <a:prstClr val="black">
                <a:alpha val="40000"/>
              </a:prstClr>
            </a:outerShdw>
          </a:effectLst>
        </c:spPr>
      </c:pivotFmt>
      <c:pivotFmt>
        <c:idx val="2"/>
        <c:spPr>
          <a:solidFill>
            <a:srgbClr val="80CBC4"/>
          </a:solidFill>
          <a:ln w="19050">
            <a:noFill/>
          </a:ln>
          <a:effectLst>
            <a:outerShdw blurRad="50800" dist="38100" dir="2700000" algn="tl" rotWithShape="0">
              <a:prstClr val="black">
                <a:alpha val="40000"/>
              </a:prstClr>
            </a:outerShdw>
          </a:effectLst>
        </c:spPr>
      </c:pivotFmt>
      <c:pivotFmt>
        <c:idx val="3"/>
        <c:spPr>
          <a:solidFill>
            <a:srgbClr val="FB8C0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Lst>
        </c:dLbl>
      </c:pivotFmt>
      <c:pivotFmt>
        <c:idx val="4"/>
        <c:spPr>
          <a:solidFill>
            <a:srgbClr val="FFB74D"/>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Lst>
        </c:dLbl>
      </c:pivotFmt>
      <c:pivotFmt>
        <c:idx val="5"/>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00897B"/>
          </a:solidFill>
          <a:ln w="19050">
            <a:noFill/>
          </a:ln>
          <a:effectLst>
            <a:outerShdw blurRad="50800" dist="38100" dir="2700000" algn="tl" rotWithShape="0">
              <a:prstClr val="black">
                <a:alpha val="40000"/>
              </a:prstClr>
            </a:outerShdw>
          </a:effectLst>
        </c:spPr>
      </c:pivotFmt>
      <c:pivotFmt>
        <c:idx val="7"/>
        <c:spPr>
          <a:solidFill>
            <a:srgbClr val="FFB74D"/>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Lst>
        </c:dLbl>
      </c:pivotFmt>
      <c:pivotFmt>
        <c:idx val="8"/>
        <c:spPr>
          <a:solidFill>
            <a:srgbClr val="FB8C0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Lst>
        </c:dLbl>
      </c:pivotFmt>
      <c:pivotFmt>
        <c:idx val="9"/>
        <c:spPr>
          <a:solidFill>
            <a:srgbClr val="80CBC4"/>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897B"/>
          </a:solidFill>
          <a:ln w="19050">
            <a:noFill/>
          </a:ln>
          <a:effectLst>
            <a:outerShdw blurRad="50800" dist="38100" dir="2700000" algn="tl" rotWithShape="0">
              <a:prstClr val="black">
                <a:alpha val="40000"/>
              </a:prstClr>
            </a:outerShdw>
          </a:effectLst>
        </c:spPr>
      </c:pivotFmt>
      <c:pivotFmt>
        <c:idx val="12"/>
        <c:spPr>
          <a:solidFill>
            <a:srgbClr val="FFB74D"/>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Lst>
        </c:dLbl>
      </c:pivotFmt>
      <c:pivotFmt>
        <c:idx val="13"/>
        <c:spPr>
          <a:solidFill>
            <a:srgbClr val="FB8C0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Lst>
        </c:dLbl>
      </c:pivotFmt>
      <c:pivotFmt>
        <c:idx val="14"/>
        <c:spPr>
          <a:solidFill>
            <a:srgbClr val="80CBC4"/>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1512244664521649"/>
          <c:y val="0.15955251623348138"/>
          <c:w val="0.56199726215426393"/>
          <c:h val="0.71267176608345839"/>
        </c:manualLayout>
      </c:layout>
      <c:pieChart>
        <c:varyColors val="1"/>
        <c:ser>
          <c:idx val="0"/>
          <c:order val="0"/>
          <c:tx>
            <c:strRef>
              <c:f>FAG!$B$3</c:f>
              <c:strCache>
                <c:ptCount val="1"/>
                <c:pt idx="0">
                  <c:v>Total</c:v>
                </c:pt>
              </c:strCache>
            </c:strRef>
          </c:tx>
          <c:spPr>
            <a:ln>
              <a:noFill/>
            </a:ln>
            <a:effectLst>
              <a:outerShdw blurRad="50800" dist="38100" dir="2700000" algn="tl" rotWithShape="0">
                <a:prstClr val="black">
                  <a:alpha val="40000"/>
                </a:prstClr>
              </a:outerShdw>
            </a:effectLst>
          </c:spPr>
          <c:explosion val="2"/>
          <c:dPt>
            <c:idx val="0"/>
            <c:bubble3D val="0"/>
            <c:spPr>
              <a:solidFill>
                <a:srgbClr val="00897B"/>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B08-4571-8098-57160606BD95}"/>
              </c:ext>
            </c:extLst>
          </c:dPt>
          <c:dPt>
            <c:idx val="1"/>
            <c:bubble3D val="0"/>
            <c:spPr>
              <a:solidFill>
                <a:srgbClr val="FFB74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B08-4571-8098-57160606BD95}"/>
              </c:ext>
            </c:extLst>
          </c:dPt>
          <c:dPt>
            <c:idx val="2"/>
            <c:bubble3D val="0"/>
            <c:spPr>
              <a:solidFill>
                <a:srgbClr val="FB8C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B08-4571-8098-57160606BD95}"/>
              </c:ext>
            </c:extLst>
          </c:dPt>
          <c:dPt>
            <c:idx val="3"/>
            <c:bubble3D val="0"/>
            <c:spPr>
              <a:solidFill>
                <a:srgbClr val="80CBC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B08-4571-8098-57160606BD95}"/>
              </c:ext>
            </c:extLst>
          </c:dPt>
          <c:dLbls>
            <c:dLbl>
              <c:idx val="1"/>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034608657791422"/>
                      <c:h val="7.1680573280818463E-2"/>
                    </c:manualLayout>
                  </c15:layout>
                </c:ext>
                <c:ext xmlns:c16="http://schemas.microsoft.com/office/drawing/2014/chart" uri="{C3380CC4-5D6E-409C-BE32-E72D297353CC}">
                  <c16:uniqueId val="{00000003-6B08-4571-8098-57160606BD95}"/>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70211721817161"/>
                      <c:h val="7.5394592621793516E-2"/>
                    </c:manualLayout>
                  </c15:layout>
                </c:ext>
                <c:ext xmlns:c16="http://schemas.microsoft.com/office/drawing/2014/chart" uri="{C3380CC4-5D6E-409C-BE32-E72D297353CC}">
                  <c16:uniqueId val="{00000005-6B08-4571-8098-57160606BD95}"/>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FAG!$A$4:$A$8</c:f>
              <c:strCache>
                <c:ptCount val="4"/>
                <c:pt idx="0">
                  <c:v>25-39</c:v>
                </c:pt>
                <c:pt idx="1">
                  <c:v>40-59</c:v>
                </c:pt>
                <c:pt idx="2">
                  <c:v>60+</c:v>
                </c:pt>
                <c:pt idx="3">
                  <c:v>Under 25</c:v>
                </c:pt>
              </c:strCache>
            </c:strRef>
          </c:cat>
          <c:val>
            <c:numRef>
              <c:f>FAG!$B$4:$B$8</c:f>
              <c:numCache>
                <c:formatCode>General</c:formatCode>
                <c:ptCount val="4"/>
                <c:pt idx="0">
                  <c:v>26</c:v>
                </c:pt>
                <c:pt idx="1">
                  <c:v>49</c:v>
                </c:pt>
                <c:pt idx="2">
                  <c:v>39</c:v>
                </c:pt>
                <c:pt idx="3">
                  <c:v>16</c:v>
                </c:pt>
              </c:numCache>
            </c:numRef>
          </c:val>
          <c:extLst>
            <c:ext xmlns:c16="http://schemas.microsoft.com/office/drawing/2014/chart" uri="{C3380CC4-5D6E-409C-BE32-E72D297353CC}">
              <c16:uniqueId val="{00000008-6B08-4571-8098-57160606BD95}"/>
            </c:ext>
          </c:extLst>
        </c:ser>
        <c:dLbls>
          <c:showLegendKey val="0"/>
          <c:showVal val="1"/>
          <c:showCatName val="0"/>
          <c:showSerName val="0"/>
          <c:showPercent val="0"/>
          <c:showBubbleSize val="0"/>
          <c:showLeaderLines val="1"/>
        </c:dLbls>
        <c:firstSliceAng val="0"/>
      </c:pieChart>
      <c:spPr>
        <a:solidFill>
          <a:schemeClr val="bg1"/>
        </a:solidFill>
        <a:ln>
          <a:solidFill>
            <a:srgbClr val="E0E0E0"/>
          </a:solidFill>
        </a:ln>
        <a:effectLst/>
      </c:spPr>
    </c:plotArea>
    <c:legend>
      <c:legendPos val="b"/>
      <c:layout>
        <c:manualLayout>
          <c:xMode val="edge"/>
          <c:yMode val="edge"/>
          <c:x val="4.0424504457301426E-2"/>
          <c:y val="0.91141976139034164"/>
          <c:w val="0.92207978495734577"/>
          <c:h val="6.62961225638080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solidFill>
        <a:schemeClr val="bg2">
          <a:lumMod val="90000"/>
        </a:schemeClr>
      </a:solidFill>
      <a:round/>
    </a:ln>
    <a:effectLst>
      <a:outerShdw blurRad="50800" dist="38100" dir="2700000" algn="tl" rotWithShape="0">
        <a:srgbClr val="C0C0C0">
          <a:alpha val="50196"/>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MINI PROJECT.xlsx]FPM!PivotTable3</c:name>
    <c:fmtId val="25"/>
  </c:pivotSource>
  <c:chart>
    <c:title>
      <c:tx>
        <c:rich>
          <a:bodyPr rot="0" spcFirstLastPara="1" vertOverflow="ellipsis" vert="horz" wrap="square" anchor="ctr" anchorCtr="0"/>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r>
              <a:rPr lang="en-US" sz="1400" b="1" i="0" u="none" strike="noStrike" baseline="0">
                <a:solidFill>
                  <a:srgbClr val="E53935"/>
                </a:solidFill>
                <a:uFill>
                  <a:solidFill>
                    <a:srgbClr val="F4B400"/>
                  </a:solidFill>
                </a:uFill>
                <a:latin typeface="Segoe UI Semibold" panose="020B0702040204020203" pitchFamily="34" charset="0"/>
              </a:rPr>
              <a:t>Fraud</a:t>
            </a:r>
            <a:r>
              <a:rPr lang="en-US" sz="1400" b="1" i="0" u="none" strike="noStrike" baseline="0">
                <a:solidFill>
                  <a:srgbClr val="1F4E79"/>
                </a:solidFill>
                <a:uFill>
                  <a:solidFill>
                    <a:srgbClr val="F4B400"/>
                  </a:solidFill>
                </a:uFill>
                <a:latin typeface="Segoe UI Semibold" panose="020B0702040204020203" pitchFamily="34" charset="0"/>
              </a:rPr>
              <a:t> Cases by Payment </a:t>
            </a:r>
            <a:r>
              <a:rPr lang="en-US" sz="1400" b="1" i="0" u="none" strike="noStrike" kern="1200" spc="0" baseline="0">
                <a:solidFill>
                  <a:srgbClr val="1F4E79"/>
                </a:solidFill>
                <a:uFill>
                  <a:solidFill>
                    <a:srgbClr val="F4B400"/>
                  </a:solidFill>
                </a:uFill>
                <a:latin typeface="Segoe UI Semibold" panose="020B0702040204020203" pitchFamily="34" charset="0"/>
                <a:ea typeface="+mn-ea"/>
                <a:cs typeface="+mn-cs"/>
              </a:rPr>
              <a:t>Method</a:t>
            </a:r>
          </a:p>
        </c:rich>
      </c:tx>
      <c:layout>
        <c:manualLayout>
          <c:xMode val="edge"/>
          <c:yMode val="edge"/>
          <c:x val="0.28068977297341519"/>
          <c:y val="2.3452771135732759E-2"/>
        </c:manualLayout>
      </c:layout>
      <c:overlay val="0"/>
      <c:spPr>
        <a:noFill/>
        <a:ln cap="rnd">
          <a:solidFill>
            <a:srgbClr val="E0E0E0"/>
          </a:solidFill>
        </a:ln>
        <a:effectLst>
          <a:glow rad="38100">
            <a:srgbClr val="F4B400">
              <a:alpha val="25000"/>
            </a:srgbClr>
          </a:glow>
          <a:outerShdw blurRad="50800" dist="38100" dir="5400000" algn="t" rotWithShape="0">
            <a:srgbClr val="F4B400">
              <a:alpha val="30000"/>
            </a:srgbClr>
          </a:outerShdw>
        </a:effectLst>
      </c:spPr>
      <c:txPr>
        <a:bodyPr rot="0" spcFirstLastPara="1" vertOverflow="ellipsis" vert="horz" wrap="square" anchor="ctr" anchorCtr="0"/>
        <a:lstStyle/>
        <a:p>
          <a:pPr>
            <a:defRPr sz="1400" b="1" i="0" u="none" strike="noStrike" kern="1200" spc="0" baseline="0">
              <a:solidFill>
                <a:schemeClr val="tx1">
                  <a:lumMod val="65000"/>
                  <a:lumOff val="35000"/>
                </a:schemeClr>
              </a:solidFill>
              <a:uFill>
                <a:solidFill>
                  <a:srgbClr val="F4B400"/>
                </a:solidFill>
              </a:uFill>
              <a:latin typeface="Segoe UI Semibold" panose="020B07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512820512820513E-2"/>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30769230769230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30769230769231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56410256410256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0"/>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1"/>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2"/>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3"/>
        <c:spPr>
          <a:gradFill flip="none" rotWithShape="1">
            <a:gsLst>
              <a:gs pos="0">
                <a:srgbClr val="FF8F00"/>
              </a:gs>
              <a:gs pos="100000">
                <a:srgbClr val="F4B400"/>
              </a:gs>
            </a:gsLst>
            <a:lin ang="2700000" scaled="1"/>
            <a:tileRect/>
          </a:gradFill>
          <a:ln>
            <a:noFill/>
          </a:ln>
          <a:effectLst>
            <a:glow rad="50800">
              <a:srgbClr val="FF0000">
                <a:alpha val="50000"/>
              </a:srgbClr>
            </a:glow>
            <a:outerShdw blurRad="63500" dist="38100" dir="2700000" algn="tl" rotWithShape="0">
              <a:srgbClr val="C0C0C0">
                <a:alpha val="49804"/>
              </a:srgbClr>
            </a:outerShdw>
          </a:effectLst>
        </c:spPr>
      </c:pivotFmt>
      <c:pivotFmt>
        <c:idx val="14"/>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18"/>
        <c:spPr>
          <a:gradFill flip="none" rotWithShape="1">
            <a:gsLst>
              <a:gs pos="0">
                <a:srgbClr val="FF8F00"/>
              </a:gs>
              <a:gs pos="100000">
                <a:srgbClr val="F4B400"/>
              </a:gs>
            </a:gsLst>
            <a:lin ang="2700000" scaled="1"/>
            <a:tileRect/>
          </a:gradFill>
          <a:ln>
            <a:noFill/>
          </a:ln>
          <a:effectLst>
            <a:glow rad="50800">
              <a:srgbClr val="FF0000">
                <a:alpha val="50000"/>
              </a:srgbClr>
            </a:glow>
            <a:outerShdw blurRad="63500" dist="38100" dir="2700000" algn="tl" rotWithShape="0">
              <a:srgbClr val="C0C0C0">
                <a:alpha val="49804"/>
              </a:srgbClr>
            </a:outerShdw>
          </a:effectLst>
        </c:spPr>
      </c:pivotFmt>
      <c:pivotFmt>
        <c:idx val="19"/>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pivotFmt>
      <c:pivotFmt>
        <c:idx val="21"/>
        <c:spPr>
          <a:gradFill flip="none" rotWithShape="1">
            <a:gsLst>
              <a:gs pos="0">
                <a:srgbClr val="FF8F00"/>
              </a:gs>
              <a:gs pos="100000">
                <a:srgbClr val="F4B400"/>
              </a:gs>
            </a:gsLst>
            <a:lin ang="2700000" scaled="1"/>
            <a:tileRect/>
          </a:gradFill>
          <a:ln>
            <a:noFill/>
          </a:ln>
          <a:effectLst>
            <a:glow rad="50800">
              <a:schemeClr val="bg1">
                <a:alpha val="50000"/>
              </a:schemeClr>
            </a:glow>
            <a:outerShdw blurRad="63500" dist="38100" dir="2700000" algn="tl" rotWithShape="0">
              <a:srgbClr val="C0C0C0">
                <a:alpha val="49804"/>
              </a:srgbClr>
            </a:outerShdw>
          </a:effectLst>
        </c:spPr>
      </c:pivotFmt>
      <c:pivotFmt>
        <c:idx val="22"/>
        <c:spPr>
          <a:gradFill flip="none" rotWithShape="1">
            <a:gsLst>
              <a:gs pos="0">
                <a:srgbClr val="FF8F00"/>
              </a:gs>
              <a:gs pos="100000">
                <a:srgbClr val="F4B400"/>
              </a:gs>
            </a:gsLst>
            <a:lin ang="2700000" scaled="1"/>
            <a:tileRect/>
          </a:gradFill>
          <a:ln>
            <a:noFill/>
          </a:ln>
          <a:effectLst>
            <a:glow rad="63500">
              <a:srgbClr val="FF0000">
                <a:alpha val="50000"/>
              </a:srgbClr>
            </a:glow>
            <a:outerShdw blurRad="63500" dist="38100" dir="2700000" algn="tl" rotWithShape="0">
              <a:srgbClr val="C0C0C0">
                <a:alpha val="49804"/>
              </a:srgbClr>
            </a:outerShdw>
          </a:effectLst>
        </c:spPr>
      </c:pivotFmt>
    </c:pivotFmts>
    <c:plotArea>
      <c:layout>
        <c:manualLayout>
          <c:layoutTarget val="inner"/>
          <c:xMode val="edge"/>
          <c:yMode val="edge"/>
          <c:x val="0.17143863683852972"/>
          <c:y val="0.15868507964116182"/>
          <c:w val="0.80846876763907372"/>
          <c:h val="0.64993024604123639"/>
        </c:manualLayout>
      </c:layout>
      <c:barChart>
        <c:barDir val="bar"/>
        <c:grouping val="stacked"/>
        <c:varyColors val="0"/>
        <c:ser>
          <c:idx val="0"/>
          <c:order val="0"/>
          <c:tx>
            <c:strRef>
              <c:f>FPM!$B$3</c:f>
              <c:strCache>
                <c:ptCount val="1"/>
                <c:pt idx="0">
                  <c:v>Total</c:v>
                </c:pt>
              </c:strCache>
            </c:strRef>
          </c:tx>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invertIfNegative val="0"/>
          <c:dPt>
            <c:idx val="0"/>
            <c:invertIfNegative val="0"/>
            <c:bubble3D val="0"/>
            <c:extLst>
              <c:ext xmlns:c16="http://schemas.microsoft.com/office/drawing/2014/chart" uri="{C3380CC4-5D6E-409C-BE32-E72D297353CC}">
                <c16:uniqueId val="{00000000-48C7-46CD-986D-ED4ABA22B14A}"/>
              </c:ext>
            </c:extLst>
          </c:dPt>
          <c:dPt>
            <c:idx val="1"/>
            <c:invertIfNegative val="0"/>
            <c:bubble3D val="0"/>
            <c:spPr>
              <a:gradFill flip="none" rotWithShape="1">
                <a:gsLst>
                  <a:gs pos="0">
                    <a:srgbClr val="FF8F00"/>
                  </a:gs>
                  <a:gs pos="100000">
                    <a:srgbClr val="F4B400"/>
                  </a:gs>
                </a:gsLst>
                <a:lin ang="2700000" scaled="1"/>
                <a:tileRect/>
              </a:gradFill>
              <a:ln>
                <a:noFill/>
              </a:ln>
              <a:effectLst>
                <a:outerShdw blurRad="63500" dist="38100" dir="2700000" algn="tl" rotWithShape="0">
                  <a:srgbClr val="C0C0C0">
                    <a:alpha val="49804"/>
                  </a:srgbClr>
                </a:outerShdw>
              </a:effectLst>
            </c:spPr>
            <c:extLst>
              <c:ext xmlns:c16="http://schemas.microsoft.com/office/drawing/2014/chart" uri="{C3380CC4-5D6E-409C-BE32-E72D297353CC}">
                <c16:uniqueId val="{00000002-48C7-46CD-986D-ED4ABA22B14A}"/>
              </c:ext>
            </c:extLst>
          </c:dPt>
          <c:dPt>
            <c:idx val="2"/>
            <c:invertIfNegative val="0"/>
            <c:bubble3D val="0"/>
            <c:extLst>
              <c:ext xmlns:c16="http://schemas.microsoft.com/office/drawing/2014/chart" uri="{C3380CC4-5D6E-409C-BE32-E72D297353CC}">
                <c16:uniqueId val="{00000003-48C7-46CD-986D-ED4ABA22B14A}"/>
              </c:ext>
            </c:extLst>
          </c:dPt>
          <c:dPt>
            <c:idx val="3"/>
            <c:invertIfNegative val="0"/>
            <c:bubble3D val="0"/>
            <c:spPr>
              <a:gradFill flip="none" rotWithShape="1">
                <a:gsLst>
                  <a:gs pos="0">
                    <a:srgbClr val="FF8F00"/>
                  </a:gs>
                  <a:gs pos="100000">
                    <a:srgbClr val="F4B400"/>
                  </a:gs>
                </a:gsLst>
                <a:lin ang="2700000" scaled="1"/>
                <a:tileRect/>
              </a:gradFill>
              <a:ln>
                <a:noFill/>
              </a:ln>
              <a:effectLst>
                <a:glow rad="50800">
                  <a:schemeClr val="bg1">
                    <a:alpha val="50000"/>
                  </a:schemeClr>
                </a:glow>
                <a:outerShdw blurRad="63500" dist="38100" dir="2700000" algn="tl" rotWithShape="0">
                  <a:srgbClr val="C0C0C0">
                    <a:alpha val="49804"/>
                  </a:srgbClr>
                </a:outerShdw>
              </a:effectLst>
            </c:spPr>
            <c:extLst>
              <c:ext xmlns:c16="http://schemas.microsoft.com/office/drawing/2014/chart" uri="{C3380CC4-5D6E-409C-BE32-E72D297353CC}">
                <c16:uniqueId val="{00000005-48C7-46CD-986D-ED4ABA22B14A}"/>
              </c:ext>
            </c:extLst>
          </c:dPt>
          <c:dPt>
            <c:idx val="4"/>
            <c:invertIfNegative val="0"/>
            <c:bubble3D val="0"/>
            <c:extLst>
              <c:ext xmlns:c16="http://schemas.microsoft.com/office/drawing/2014/chart" uri="{C3380CC4-5D6E-409C-BE32-E72D297353CC}">
                <c16:uniqueId val="{00000006-48C7-46CD-986D-ED4ABA22B14A}"/>
              </c:ext>
            </c:extLst>
          </c:dPt>
          <c:dPt>
            <c:idx val="5"/>
            <c:invertIfNegative val="0"/>
            <c:bubble3D val="0"/>
            <c:spPr>
              <a:gradFill flip="none" rotWithShape="1">
                <a:gsLst>
                  <a:gs pos="0">
                    <a:srgbClr val="FF8F00"/>
                  </a:gs>
                  <a:gs pos="100000">
                    <a:srgbClr val="F4B400"/>
                  </a:gs>
                </a:gsLst>
                <a:lin ang="2700000" scaled="1"/>
                <a:tileRect/>
              </a:gradFill>
              <a:ln>
                <a:noFill/>
              </a:ln>
              <a:effectLst>
                <a:glow rad="63500">
                  <a:srgbClr val="FF0000">
                    <a:alpha val="50000"/>
                  </a:srgbClr>
                </a:glow>
                <a:outerShdw blurRad="63500" dist="38100" dir="2700000" algn="tl" rotWithShape="0">
                  <a:srgbClr val="C0C0C0">
                    <a:alpha val="49804"/>
                  </a:srgbClr>
                </a:outerShdw>
              </a:effectLst>
            </c:spPr>
            <c:extLst>
              <c:ext xmlns:c16="http://schemas.microsoft.com/office/drawing/2014/chart" uri="{C3380CC4-5D6E-409C-BE32-E72D297353CC}">
                <c16:uniqueId val="{00000007-48C7-46CD-986D-ED4ABA22B1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FPM!$A$4:$A$10</c:f>
              <c:strCache>
                <c:ptCount val="6"/>
                <c:pt idx="0">
                  <c:v>UPI</c:v>
                </c:pt>
                <c:pt idx="1">
                  <c:v>Wallet</c:v>
                </c:pt>
                <c:pt idx="2">
                  <c:v>MobileMoney</c:v>
                </c:pt>
                <c:pt idx="3">
                  <c:v>Card</c:v>
                </c:pt>
                <c:pt idx="4">
                  <c:v>NetBanking</c:v>
                </c:pt>
                <c:pt idx="5">
                  <c:v>BankTransfer</c:v>
                </c:pt>
              </c:strCache>
            </c:strRef>
          </c:cat>
          <c:val>
            <c:numRef>
              <c:f>FPM!$B$4:$B$10</c:f>
              <c:numCache>
                <c:formatCode>General</c:formatCode>
                <c:ptCount val="6"/>
                <c:pt idx="0">
                  <c:v>17</c:v>
                </c:pt>
                <c:pt idx="1">
                  <c:v>18</c:v>
                </c:pt>
                <c:pt idx="2">
                  <c:v>20</c:v>
                </c:pt>
                <c:pt idx="3">
                  <c:v>22</c:v>
                </c:pt>
                <c:pt idx="4">
                  <c:v>25</c:v>
                </c:pt>
                <c:pt idx="5">
                  <c:v>28</c:v>
                </c:pt>
              </c:numCache>
            </c:numRef>
          </c:val>
          <c:extLst>
            <c:ext xmlns:c16="http://schemas.microsoft.com/office/drawing/2014/chart" uri="{C3380CC4-5D6E-409C-BE32-E72D297353CC}">
              <c16:uniqueId val="{00000008-48C7-46CD-986D-ED4ABA22B14A}"/>
            </c:ext>
          </c:extLst>
        </c:ser>
        <c:dLbls>
          <c:showLegendKey val="0"/>
          <c:showVal val="1"/>
          <c:showCatName val="0"/>
          <c:showSerName val="0"/>
          <c:showPercent val="0"/>
          <c:showBubbleSize val="0"/>
        </c:dLbls>
        <c:gapWidth val="150"/>
        <c:overlap val="100"/>
        <c:axId val="648498735"/>
        <c:axId val="648505455"/>
      </c:barChart>
      <c:catAx>
        <c:axId val="648498735"/>
        <c:scaling>
          <c:orientation val="minMax"/>
        </c:scaling>
        <c:delete val="0"/>
        <c:axPos val="l"/>
        <c:title>
          <c:tx>
            <c:rich>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Payment Method</a:t>
                </a:r>
              </a:p>
            </c:rich>
          </c:tx>
          <c:layout>
            <c:manualLayout>
              <c:xMode val="edge"/>
              <c:yMode val="edge"/>
              <c:x val="1.0437738471527919E-2"/>
              <c:y val="0.30409425972802429"/>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mn-cs"/>
              </a:defRPr>
            </a:pPr>
            <a:endParaRPr lang="en-US"/>
          </a:p>
        </c:txPr>
        <c:crossAx val="648505455"/>
        <c:crosses val="autoZero"/>
        <c:auto val="1"/>
        <c:lblAlgn val="ctr"/>
        <c:lblOffset val="100"/>
        <c:noMultiLvlLbl val="0"/>
      </c:catAx>
      <c:valAx>
        <c:axId val="648505455"/>
        <c:scaling>
          <c:orientation val="minMax"/>
          <c:min val="0"/>
        </c:scaling>
        <c:delete val="0"/>
        <c:axPos val="b"/>
        <c:title>
          <c:tx>
            <c:rich>
              <a:bodyPr rot="0" spcFirstLastPara="1" vertOverflow="ellipsis" vert="horz" wrap="square" anchor="b" anchorCtr="1"/>
              <a:lstStyle/>
              <a:p>
                <a:pPr>
                  <a:defRPr sz="950" b="0" i="0" u="none" strike="noStrike" kern="1200" baseline="0">
                    <a:solidFill>
                      <a:srgbClr val="444444"/>
                    </a:solidFill>
                    <a:latin typeface="Segoe UI" panose="020B0502040204020203" pitchFamily="34" charset="0"/>
                    <a:ea typeface="+mn-ea"/>
                    <a:cs typeface="+mn-cs"/>
                  </a:defRPr>
                </a:pPr>
                <a:r>
                  <a:rPr lang="en-US" sz="950" b="0" i="0" baseline="0">
                    <a:solidFill>
                      <a:srgbClr val="444444"/>
                    </a:solidFill>
                    <a:latin typeface="Segoe UI" panose="020B0502040204020203" pitchFamily="34" charset="0"/>
                  </a:rPr>
                  <a:t>Number of Fraud Cases</a:t>
                </a:r>
              </a:p>
            </c:rich>
          </c:tx>
          <c:layout>
            <c:manualLayout>
              <c:xMode val="edge"/>
              <c:yMode val="edge"/>
              <c:x val="0.4041473643947972"/>
              <c:y val="0.89256926217556143"/>
            </c:manualLayout>
          </c:layout>
          <c:overlay val="0"/>
          <c:spPr>
            <a:noFill/>
            <a:ln>
              <a:noFill/>
            </a:ln>
            <a:effectLst/>
          </c:spPr>
          <c:txPr>
            <a:bodyPr rot="0" spcFirstLastPara="1" vertOverflow="ellipsis" vert="horz" wrap="square" anchor="b" anchorCtr="1"/>
            <a:lstStyle/>
            <a:p>
              <a:pPr>
                <a:defRPr sz="950" b="0" i="0" u="none" strike="noStrike" kern="1200" baseline="0">
                  <a:solidFill>
                    <a:srgbClr val="444444"/>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648498735"/>
        <c:crosses val="autoZero"/>
        <c:crossBetween val="between"/>
      </c:valAx>
      <c:spPr>
        <a:solidFill>
          <a:srgbClr val="FFFFFF"/>
        </a:solidFill>
        <a:ln>
          <a:solidFill>
            <a:srgbClr val="E0E0E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EEF2"/>
    </a:solidFill>
    <a:ln w="9525" cap="flat" cmpd="sng" algn="ctr">
      <a:solidFill>
        <a:schemeClr val="bg2">
          <a:lumMod val="90000"/>
        </a:schemeClr>
      </a:solidFill>
      <a:round/>
    </a:ln>
    <a:effectLst>
      <a:outerShdw blurRad="50800" dist="38100" dir="2700000" algn="tl" rotWithShape="0">
        <a:srgbClr val="C0C0C0">
          <a:alpha val="49804"/>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1179512</xdr:colOff>
      <xdr:row>12</xdr:row>
      <xdr:rowOff>156369</xdr:rowOff>
    </xdr:from>
    <xdr:to>
      <xdr:col>18</xdr:col>
      <xdr:colOff>63499</xdr:colOff>
      <xdr:row>32</xdr:row>
      <xdr:rowOff>146844</xdr:rowOff>
    </xdr:to>
    <xdr:graphicFrame macro="">
      <xdr:nvGraphicFramePr>
        <xdr:cNvPr id="2" name="Chart 1">
          <a:extLst>
            <a:ext uri="{FF2B5EF4-FFF2-40B4-BE49-F238E27FC236}">
              <a16:creationId xmlns:a16="http://schemas.microsoft.com/office/drawing/2014/main" id="{07AC086D-5AF2-71D9-C693-85665169C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209551</xdr:colOff>
      <xdr:row>11</xdr:row>
      <xdr:rowOff>52386</xdr:rowOff>
    </xdr:from>
    <xdr:to>
      <xdr:col>12</xdr:col>
      <xdr:colOff>409575</xdr:colOff>
      <xdr:row>27</xdr:row>
      <xdr:rowOff>95250</xdr:rowOff>
    </xdr:to>
    <xdr:graphicFrame macro="">
      <xdr:nvGraphicFramePr>
        <xdr:cNvPr id="2" name="Chart 2">
          <a:extLst>
            <a:ext uri="{FF2B5EF4-FFF2-40B4-BE49-F238E27FC236}">
              <a16:creationId xmlns:a16="http://schemas.microsoft.com/office/drawing/2014/main" id="{93B4F7A5-45C6-D535-721C-80FB1E9CC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559593</xdr:colOff>
      <xdr:row>11</xdr:row>
      <xdr:rowOff>171449</xdr:rowOff>
    </xdr:from>
    <xdr:to>
      <xdr:col>13</xdr:col>
      <xdr:colOff>38099</xdr:colOff>
      <xdr:row>29</xdr:row>
      <xdr:rowOff>161925</xdr:rowOff>
    </xdr:to>
    <xdr:graphicFrame macro="">
      <xdr:nvGraphicFramePr>
        <xdr:cNvPr id="3" name="Chart 3">
          <a:extLst>
            <a:ext uri="{FF2B5EF4-FFF2-40B4-BE49-F238E27FC236}">
              <a16:creationId xmlns:a16="http://schemas.microsoft.com/office/drawing/2014/main" id="{363742E6-6E47-5FA9-15F9-C49302FFD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0.37021</cdr:x>
      <cdr:y>0.52994</cdr:y>
    </cdr:from>
    <cdr:to>
      <cdr:x>0.57447</cdr:x>
      <cdr:y>0.81737</cdr:y>
    </cdr:to>
    <cdr:sp macro="" textlink="">
      <cdr:nvSpPr>
        <cdr:cNvPr id="2" name="TextBox 1">
          <a:extLst xmlns:a="http://schemas.openxmlformats.org/drawingml/2006/main">
            <a:ext uri="{FF2B5EF4-FFF2-40B4-BE49-F238E27FC236}">
              <a16:creationId xmlns:a16="http://schemas.microsoft.com/office/drawing/2014/main" id="{79E961B2-E4B3-37EA-51C1-5B93BA12A49F}"/>
            </a:ext>
          </a:extLst>
        </cdr:cNvPr>
        <cdr:cNvSpPr txBox="1"/>
      </cdr:nvSpPr>
      <cdr:spPr>
        <a:xfrm xmlns:a="http://schemas.openxmlformats.org/drawingml/2006/main">
          <a:off x="1657350" y="1685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762002</xdr:colOff>
      <xdr:row>19</xdr:row>
      <xdr:rowOff>47626</xdr:rowOff>
    </xdr:from>
    <xdr:to>
      <xdr:col>17</xdr:col>
      <xdr:colOff>485775</xdr:colOff>
      <xdr:row>36</xdr:row>
      <xdr:rowOff>9526</xdr:rowOff>
    </xdr:to>
    <xdr:graphicFrame macro="">
      <xdr:nvGraphicFramePr>
        <xdr:cNvPr id="3" name="Chart 4">
          <a:extLst>
            <a:ext uri="{FF2B5EF4-FFF2-40B4-BE49-F238E27FC236}">
              <a16:creationId xmlns:a16="http://schemas.microsoft.com/office/drawing/2014/main" id="{4C60D3EF-DFE5-D2E8-2382-72DD2C37B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16</xdr:row>
      <xdr:rowOff>47624</xdr:rowOff>
    </xdr:from>
    <xdr:to>
      <xdr:col>18</xdr:col>
      <xdr:colOff>438149</xdr:colOff>
      <xdr:row>37</xdr:row>
      <xdr:rowOff>19049</xdr:rowOff>
    </xdr:to>
    <xdr:graphicFrame macro="">
      <xdr:nvGraphicFramePr>
        <xdr:cNvPr id="3" name="Chart 2">
          <a:extLst>
            <a:ext uri="{FF2B5EF4-FFF2-40B4-BE49-F238E27FC236}">
              <a16:creationId xmlns:a16="http://schemas.microsoft.com/office/drawing/2014/main" id="{E3D4769B-702A-4C1C-0034-330866268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566209</xdr:colOff>
      <xdr:row>48</xdr:row>
      <xdr:rowOff>171450</xdr:rowOff>
    </xdr:to>
    <xdr:sp macro="" textlink="">
      <xdr:nvSpPr>
        <xdr:cNvPr id="2" name="Rectangle 1">
          <a:extLst>
            <a:ext uri="{FF2B5EF4-FFF2-40B4-BE49-F238E27FC236}">
              <a16:creationId xmlns:a16="http://schemas.microsoft.com/office/drawing/2014/main" id="{B340981D-08F7-C05D-1A86-E6140728F472}"/>
            </a:ext>
          </a:extLst>
        </xdr:cNvPr>
        <xdr:cNvSpPr/>
      </xdr:nvSpPr>
      <xdr:spPr>
        <a:xfrm>
          <a:off x="0" y="0"/>
          <a:ext cx="19595042" cy="9315450"/>
        </a:xfrm>
        <a:prstGeom prst="rect">
          <a:avLst/>
        </a:prstGeom>
        <a:solidFill>
          <a:srgbClr val="E8F5E9"/>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314325</xdr:colOff>
      <xdr:row>7</xdr:row>
      <xdr:rowOff>133351</xdr:rowOff>
    </xdr:from>
    <xdr:to>
      <xdr:col>18</xdr:col>
      <xdr:colOff>42333</xdr:colOff>
      <xdr:row>30</xdr:row>
      <xdr:rowOff>74083</xdr:rowOff>
    </xdr:to>
    <xdr:graphicFrame macro="">
      <xdr:nvGraphicFramePr>
        <xdr:cNvPr id="4" name="CHART 1">
          <a:extLst>
            <a:ext uri="{FF2B5EF4-FFF2-40B4-BE49-F238E27FC236}">
              <a16:creationId xmlns:a16="http://schemas.microsoft.com/office/drawing/2014/main" id="{5C87E345-9180-4FD6-A9C8-87FE66A592C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123825</xdr:colOff>
      <xdr:row>7</xdr:row>
      <xdr:rowOff>133349</xdr:rowOff>
    </xdr:from>
    <xdr:to>
      <xdr:col>31</xdr:col>
      <xdr:colOff>486834</xdr:colOff>
      <xdr:row>30</xdr:row>
      <xdr:rowOff>63500</xdr:rowOff>
    </xdr:to>
    <xdr:graphicFrame macro="">
      <xdr:nvGraphicFramePr>
        <xdr:cNvPr id="6" name="Chart 5">
          <a:extLst>
            <a:ext uri="{FF2B5EF4-FFF2-40B4-BE49-F238E27FC236}">
              <a16:creationId xmlns:a16="http://schemas.microsoft.com/office/drawing/2014/main" id="{6A0B57F3-A2B8-48FD-8937-17DB8BC0D27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20</xdr:col>
      <xdr:colOff>158749</xdr:colOff>
      <xdr:row>30</xdr:row>
      <xdr:rowOff>148167</xdr:rowOff>
    </xdr:from>
    <xdr:to>
      <xdr:col>31</xdr:col>
      <xdr:colOff>476250</xdr:colOff>
      <xdr:row>47</xdr:row>
      <xdr:rowOff>158750</xdr:rowOff>
    </xdr:to>
    <xdr:graphicFrame macro="">
      <xdr:nvGraphicFramePr>
        <xdr:cNvPr id="11" name="Chart 4">
          <a:extLst>
            <a:ext uri="{FF2B5EF4-FFF2-40B4-BE49-F238E27FC236}">
              <a16:creationId xmlns:a16="http://schemas.microsoft.com/office/drawing/2014/main" id="{1FED437D-408B-4A64-A580-B47CAC3CF5D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10583</xdr:colOff>
      <xdr:row>0</xdr:row>
      <xdr:rowOff>116415</xdr:rowOff>
    </xdr:from>
    <xdr:to>
      <xdr:col>31</xdr:col>
      <xdr:colOff>560917</xdr:colOff>
      <xdr:row>3</xdr:row>
      <xdr:rowOff>74082</xdr:rowOff>
    </xdr:to>
    <xdr:sp macro="" textlink="">
      <xdr:nvSpPr>
        <xdr:cNvPr id="3" name="Rectangle: Rounded Corners 2">
          <a:extLst>
            <a:ext uri="{FF2B5EF4-FFF2-40B4-BE49-F238E27FC236}">
              <a16:creationId xmlns:a16="http://schemas.microsoft.com/office/drawing/2014/main" id="{B08BC00D-AB28-2155-4D6E-1CB0D202BC6A}"/>
            </a:ext>
          </a:extLst>
        </xdr:cNvPr>
        <xdr:cNvSpPr/>
      </xdr:nvSpPr>
      <xdr:spPr>
        <a:xfrm>
          <a:off x="10583" y="116415"/>
          <a:ext cx="19579167" cy="529167"/>
        </a:xfrm>
        <a:prstGeom prst="roundRect">
          <a:avLst>
            <a:gd name="adj" fmla="val 39744"/>
          </a:avLst>
        </a:prstGeom>
        <a:solidFill>
          <a:srgbClr val="80CB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lvl="0" algn="ctr"/>
          <a:r>
            <a:rPr lang="en-US" sz="3200" b="1" u="heavy">
              <a:solidFill>
                <a:srgbClr val="1F4E79"/>
              </a:solidFill>
              <a:uFill>
                <a:solidFill>
                  <a:srgbClr val="F4B400"/>
                </a:solidFill>
              </a:uFill>
              <a:latin typeface="Segoe UI Semibold" panose="020B0702040204020203" pitchFamily="34" charset="0"/>
              <a:cs typeface="Segoe UI Semibold" panose="020B0702040204020203" pitchFamily="34" charset="0"/>
            </a:rPr>
            <a:t>FRAUD</a:t>
          </a:r>
          <a:r>
            <a:rPr lang="en-US" sz="3200" b="1" u="heavy" baseline="0">
              <a:solidFill>
                <a:srgbClr val="1F4E79"/>
              </a:solidFill>
              <a:uFill>
                <a:solidFill>
                  <a:srgbClr val="F4B400"/>
                </a:solidFill>
              </a:uFill>
              <a:latin typeface="Segoe UI Semibold" panose="020B0702040204020203" pitchFamily="34" charset="0"/>
              <a:cs typeface="Segoe UI Semibold" panose="020B0702040204020203" pitchFamily="34" charset="0"/>
            </a:rPr>
            <a:t> DETECTION &amp; RISK ANALYSIS DASHBOARD</a:t>
          </a:r>
        </a:p>
        <a:p>
          <a:pPr algn="l"/>
          <a:endParaRPr lang="en-US" sz="1100"/>
        </a:p>
      </xdr:txBody>
    </xdr:sp>
    <xdr:clientData/>
  </xdr:twoCellAnchor>
  <xdr:twoCellAnchor>
    <xdr:from>
      <xdr:col>6</xdr:col>
      <xdr:colOff>52918</xdr:colOff>
      <xdr:row>3</xdr:row>
      <xdr:rowOff>179916</xdr:rowOff>
    </xdr:from>
    <xdr:to>
      <xdr:col>9</xdr:col>
      <xdr:colOff>116418</xdr:colOff>
      <xdr:row>7</xdr:row>
      <xdr:rowOff>52916</xdr:rowOff>
    </xdr:to>
    <xdr:grpSp>
      <xdr:nvGrpSpPr>
        <xdr:cNvPr id="19" name="Group 18">
          <a:extLst>
            <a:ext uri="{FF2B5EF4-FFF2-40B4-BE49-F238E27FC236}">
              <a16:creationId xmlns:a16="http://schemas.microsoft.com/office/drawing/2014/main" id="{326B8B28-9040-9A1F-AEC0-A47B791690BC}"/>
            </a:ext>
          </a:extLst>
        </xdr:cNvPr>
        <xdr:cNvGrpSpPr/>
      </xdr:nvGrpSpPr>
      <xdr:grpSpPr>
        <a:xfrm>
          <a:off x="3735918" y="751416"/>
          <a:ext cx="1905000" cy="635000"/>
          <a:chOff x="3714751" y="656166"/>
          <a:chExt cx="1905000" cy="635000"/>
        </a:xfrm>
      </xdr:grpSpPr>
      <xdr:sp macro="" textlink="">
        <xdr:nvSpPr>
          <xdr:cNvPr id="5" name="Rectangle: Rounded Corners 4">
            <a:extLst>
              <a:ext uri="{FF2B5EF4-FFF2-40B4-BE49-F238E27FC236}">
                <a16:creationId xmlns:a16="http://schemas.microsoft.com/office/drawing/2014/main" id="{E208B1A9-5FDF-E7A4-2359-503CF3D566A4}"/>
              </a:ext>
            </a:extLst>
          </xdr:cNvPr>
          <xdr:cNvSpPr/>
        </xdr:nvSpPr>
        <xdr:spPr>
          <a:xfrm>
            <a:off x="3714751" y="656166"/>
            <a:ext cx="1905000" cy="635000"/>
          </a:xfrm>
          <a:prstGeom prst="roundRect">
            <a:avLst/>
          </a:prstGeom>
          <a:solidFill>
            <a:srgbClr val="B7EF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rgbClr val="1F4E79"/>
                </a:solidFill>
                <a:latin typeface="+mn-lt"/>
              </a:rPr>
              <a:t>TOTAL TRANSACTION</a:t>
            </a:r>
          </a:p>
        </xdr:txBody>
      </xdr:sp>
      <xdr:sp macro="" textlink="KPIs!B13">
        <xdr:nvSpPr>
          <xdr:cNvPr id="8" name="Rectangle: Rounded Corners 7">
            <a:extLst>
              <a:ext uri="{FF2B5EF4-FFF2-40B4-BE49-F238E27FC236}">
                <a16:creationId xmlns:a16="http://schemas.microsoft.com/office/drawing/2014/main" id="{35FCFC9D-F225-48BA-78DD-A5B98FCF0A83}"/>
              </a:ext>
            </a:extLst>
          </xdr:cNvPr>
          <xdr:cNvSpPr/>
        </xdr:nvSpPr>
        <xdr:spPr>
          <a:xfrm>
            <a:off x="3893221" y="971019"/>
            <a:ext cx="1524000" cy="282223"/>
          </a:xfrm>
          <a:prstGeom prst="roundRect">
            <a:avLst/>
          </a:prstGeom>
          <a:solidFill>
            <a:srgbClr val="2BB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E45A53-2AAC-4BC7-A597-D1D9E741CEA8}" type="TxLink">
              <a:rPr lang="en-US" sz="1100" b="0" i="0" u="none" strike="noStrike">
                <a:solidFill>
                  <a:srgbClr val="000000"/>
                </a:solidFill>
                <a:latin typeface="Calibri"/>
                <a:ea typeface="Calibri"/>
                <a:cs typeface="Calibri"/>
              </a:rPr>
              <a:pPr algn="ctr"/>
              <a:t>2,610</a:t>
            </a:fld>
            <a:endParaRPr lang="en-US" sz="1200">
              <a:latin typeface="+mn-lt"/>
            </a:endParaRPr>
          </a:p>
        </xdr:txBody>
      </xdr:sp>
    </xdr:grpSp>
    <xdr:clientData/>
  </xdr:twoCellAnchor>
  <xdr:twoCellAnchor editAs="absolute">
    <xdr:from>
      <xdr:col>14</xdr:col>
      <xdr:colOff>190498</xdr:colOff>
      <xdr:row>30</xdr:row>
      <xdr:rowOff>148168</xdr:rowOff>
    </xdr:from>
    <xdr:to>
      <xdr:col>20</xdr:col>
      <xdr:colOff>74081</xdr:colOff>
      <xdr:row>47</xdr:row>
      <xdr:rowOff>158750</xdr:rowOff>
    </xdr:to>
    <xdr:graphicFrame macro="">
      <xdr:nvGraphicFramePr>
        <xdr:cNvPr id="9" name="Chart 3">
          <a:extLst>
            <a:ext uri="{FF2B5EF4-FFF2-40B4-BE49-F238E27FC236}">
              <a16:creationId xmlns:a16="http://schemas.microsoft.com/office/drawing/2014/main" id="{53733159-CB14-47C6-917B-5A579CD590F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211666</xdr:colOff>
      <xdr:row>3</xdr:row>
      <xdr:rowOff>179918</xdr:rowOff>
    </xdr:from>
    <xdr:to>
      <xdr:col>17</xdr:col>
      <xdr:colOff>275165</xdr:colOff>
      <xdr:row>7</xdr:row>
      <xdr:rowOff>52918</xdr:rowOff>
    </xdr:to>
    <xdr:grpSp>
      <xdr:nvGrpSpPr>
        <xdr:cNvPr id="21" name="Group 20">
          <a:extLst>
            <a:ext uri="{FF2B5EF4-FFF2-40B4-BE49-F238E27FC236}">
              <a16:creationId xmlns:a16="http://schemas.microsoft.com/office/drawing/2014/main" id="{36F2A517-4277-4443-8ABA-6ADC65664632}"/>
            </a:ext>
          </a:extLst>
        </xdr:cNvPr>
        <xdr:cNvGrpSpPr/>
      </xdr:nvGrpSpPr>
      <xdr:grpSpPr>
        <a:xfrm>
          <a:off x="8805333" y="751418"/>
          <a:ext cx="1904999" cy="635000"/>
          <a:chOff x="3714751" y="656166"/>
          <a:chExt cx="1904999" cy="635000"/>
        </a:xfrm>
      </xdr:grpSpPr>
      <xdr:sp macro="" textlink="">
        <xdr:nvSpPr>
          <xdr:cNvPr id="22" name="Rectangle: Rounded Corners 21">
            <a:extLst>
              <a:ext uri="{FF2B5EF4-FFF2-40B4-BE49-F238E27FC236}">
                <a16:creationId xmlns:a16="http://schemas.microsoft.com/office/drawing/2014/main" id="{6A1D5700-42E8-3356-D8BA-5F7B8F06A552}"/>
              </a:ext>
            </a:extLst>
          </xdr:cNvPr>
          <xdr:cNvSpPr/>
        </xdr:nvSpPr>
        <xdr:spPr>
          <a:xfrm>
            <a:off x="3714751" y="656166"/>
            <a:ext cx="1904999" cy="635000"/>
          </a:xfrm>
          <a:prstGeom prst="roundRect">
            <a:avLst/>
          </a:prstGeom>
          <a:solidFill>
            <a:srgbClr val="B7EF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F4E79"/>
                </a:solidFill>
                <a:latin typeface="+mn-lt"/>
              </a:rPr>
              <a:t>TOTAL AMOUNT</a:t>
            </a:r>
          </a:p>
        </xdr:txBody>
      </xdr:sp>
      <xdr:sp macro="" textlink="KPIs!B14">
        <xdr:nvSpPr>
          <xdr:cNvPr id="23" name="Rectangle: Rounded Corners 22">
            <a:extLst>
              <a:ext uri="{FF2B5EF4-FFF2-40B4-BE49-F238E27FC236}">
                <a16:creationId xmlns:a16="http://schemas.microsoft.com/office/drawing/2014/main" id="{5C178D1B-BFAD-FE9B-520E-68983FB03C1A}"/>
              </a:ext>
            </a:extLst>
          </xdr:cNvPr>
          <xdr:cNvSpPr/>
        </xdr:nvSpPr>
        <xdr:spPr>
          <a:xfrm>
            <a:off x="3893221" y="971019"/>
            <a:ext cx="1524000" cy="282223"/>
          </a:xfrm>
          <a:prstGeom prst="roundRect">
            <a:avLst/>
          </a:prstGeom>
          <a:solidFill>
            <a:srgbClr val="2BB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EEBCE2-190C-4087-BAE7-FB226D1A66ED}" type="TxLink">
              <a:rPr lang="en-US" sz="1100" b="0" i="0" u="none" strike="noStrike">
                <a:solidFill>
                  <a:srgbClr val="000000"/>
                </a:solidFill>
                <a:latin typeface="Calibri"/>
                <a:ea typeface="Calibri"/>
                <a:cs typeface="Calibri"/>
              </a:rPr>
              <a:pPr algn="ctr"/>
              <a:t>$601,541</a:t>
            </a:fld>
            <a:endParaRPr lang="en-US" sz="1200">
              <a:latin typeface="+mn-lt"/>
            </a:endParaRPr>
          </a:p>
        </xdr:txBody>
      </xdr:sp>
    </xdr:grpSp>
    <xdr:clientData/>
  </xdr:twoCellAnchor>
  <xdr:twoCellAnchor>
    <xdr:from>
      <xdr:col>10</xdr:col>
      <xdr:colOff>110067</xdr:colOff>
      <xdr:row>3</xdr:row>
      <xdr:rowOff>173568</xdr:rowOff>
    </xdr:from>
    <xdr:to>
      <xdr:col>13</xdr:col>
      <xdr:colOff>173566</xdr:colOff>
      <xdr:row>7</xdr:row>
      <xdr:rowOff>46568</xdr:rowOff>
    </xdr:to>
    <xdr:grpSp>
      <xdr:nvGrpSpPr>
        <xdr:cNvPr id="27" name="Group 26">
          <a:extLst>
            <a:ext uri="{FF2B5EF4-FFF2-40B4-BE49-F238E27FC236}">
              <a16:creationId xmlns:a16="http://schemas.microsoft.com/office/drawing/2014/main" id="{86C20072-E5AF-4031-818B-E040499E1A1C}"/>
            </a:ext>
          </a:extLst>
        </xdr:cNvPr>
        <xdr:cNvGrpSpPr/>
      </xdr:nvGrpSpPr>
      <xdr:grpSpPr>
        <a:xfrm>
          <a:off x="6248400" y="745068"/>
          <a:ext cx="1904999" cy="635000"/>
          <a:chOff x="3714751" y="656166"/>
          <a:chExt cx="1904999" cy="635000"/>
        </a:xfrm>
      </xdr:grpSpPr>
      <xdr:sp macro="" textlink="">
        <xdr:nvSpPr>
          <xdr:cNvPr id="28" name="Rectangle: Rounded Corners 27">
            <a:extLst>
              <a:ext uri="{FF2B5EF4-FFF2-40B4-BE49-F238E27FC236}">
                <a16:creationId xmlns:a16="http://schemas.microsoft.com/office/drawing/2014/main" id="{CD0C3AA2-DF2C-7A73-B5E1-3617429670F4}"/>
              </a:ext>
            </a:extLst>
          </xdr:cNvPr>
          <xdr:cNvSpPr/>
        </xdr:nvSpPr>
        <xdr:spPr>
          <a:xfrm>
            <a:off x="3714751" y="656166"/>
            <a:ext cx="1904999" cy="635000"/>
          </a:xfrm>
          <a:prstGeom prst="roundRect">
            <a:avLst/>
          </a:prstGeom>
          <a:solidFill>
            <a:srgbClr val="B7EF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F4E79"/>
                </a:solidFill>
                <a:latin typeface="+mn-lt"/>
              </a:rPr>
              <a:t>FRADULENT</a:t>
            </a:r>
            <a:r>
              <a:rPr lang="en-US" sz="1100" b="1" baseline="0">
                <a:solidFill>
                  <a:srgbClr val="1F4E79"/>
                </a:solidFill>
                <a:latin typeface="+mn-lt"/>
              </a:rPr>
              <a:t> TRANSACTION</a:t>
            </a:r>
            <a:endParaRPr lang="en-US" sz="1100" b="1">
              <a:solidFill>
                <a:srgbClr val="1F4E79"/>
              </a:solidFill>
              <a:latin typeface="+mn-lt"/>
            </a:endParaRPr>
          </a:p>
        </xdr:txBody>
      </xdr:sp>
      <xdr:sp macro="" textlink="KPIs!B15">
        <xdr:nvSpPr>
          <xdr:cNvPr id="29" name="Rectangle: Rounded Corners 28">
            <a:extLst>
              <a:ext uri="{FF2B5EF4-FFF2-40B4-BE49-F238E27FC236}">
                <a16:creationId xmlns:a16="http://schemas.microsoft.com/office/drawing/2014/main" id="{FB562DFE-50A6-4FC6-F9E0-5F5F6BCD3147}"/>
              </a:ext>
            </a:extLst>
          </xdr:cNvPr>
          <xdr:cNvSpPr/>
        </xdr:nvSpPr>
        <xdr:spPr>
          <a:xfrm>
            <a:off x="3893221" y="971019"/>
            <a:ext cx="1524000" cy="282223"/>
          </a:xfrm>
          <a:prstGeom prst="roundRect">
            <a:avLst/>
          </a:prstGeom>
          <a:solidFill>
            <a:srgbClr val="2BB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884E88-A1A6-41B9-B475-59D00F4AB7EF}" type="TxLink">
              <a:rPr lang="en-US" sz="1100" b="0" i="0" u="none" strike="noStrike">
                <a:solidFill>
                  <a:srgbClr val="000000"/>
                </a:solidFill>
                <a:latin typeface="Calibri"/>
                <a:ea typeface="Calibri"/>
                <a:cs typeface="Calibri"/>
              </a:rPr>
              <a:pPr algn="ctr"/>
              <a:t>130</a:t>
            </a:fld>
            <a:endParaRPr lang="en-US" sz="1200">
              <a:latin typeface="+mn-lt"/>
            </a:endParaRPr>
          </a:p>
        </xdr:txBody>
      </xdr:sp>
    </xdr:grpSp>
    <xdr:clientData/>
  </xdr:twoCellAnchor>
  <xdr:twoCellAnchor>
    <xdr:from>
      <xdr:col>22</xdr:col>
      <xdr:colOff>465668</xdr:colOff>
      <xdr:row>3</xdr:row>
      <xdr:rowOff>158751</xdr:rowOff>
    </xdr:from>
    <xdr:to>
      <xdr:col>25</xdr:col>
      <xdr:colOff>529167</xdr:colOff>
      <xdr:row>7</xdr:row>
      <xdr:rowOff>31751</xdr:rowOff>
    </xdr:to>
    <xdr:grpSp>
      <xdr:nvGrpSpPr>
        <xdr:cNvPr id="30" name="Group 29">
          <a:extLst>
            <a:ext uri="{FF2B5EF4-FFF2-40B4-BE49-F238E27FC236}">
              <a16:creationId xmlns:a16="http://schemas.microsoft.com/office/drawing/2014/main" id="{A823753D-6651-430D-8DBD-6338CE8D0C0D}"/>
            </a:ext>
          </a:extLst>
        </xdr:cNvPr>
        <xdr:cNvGrpSpPr/>
      </xdr:nvGrpSpPr>
      <xdr:grpSpPr>
        <a:xfrm>
          <a:off x="13970001" y="730251"/>
          <a:ext cx="1904999" cy="635000"/>
          <a:chOff x="3714751" y="656166"/>
          <a:chExt cx="1904999" cy="635000"/>
        </a:xfrm>
      </xdr:grpSpPr>
      <xdr:sp macro="" textlink="">
        <xdr:nvSpPr>
          <xdr:cNvPr id="31" name="Rectangle: Rounded Corners 30">
            <a:extLst>
              <a:ext uri="{FF2B5EF4-FFF2-40B4-BE49-F238E27FC236}">
                <a16:creationId xmlns:a16="http://schemas.microsoft.com/office/drawing/2014/main" id="{116CC3C3-0066-B694-9C6D-B5A0485C42DA}"/>
              </a:ext>
            </a:extLst>
          </xdr:cNvPr>
          <xdr:cNvSpPr/>
        </xdr:nvSpPr>
        <xdr:spPr>
          <a:xfrm>
            <a:off x="3714751" y="656166"/>
            <a:ext cx="1904999" cy="635000"/>
          </a:xfrm>
          <a:prstGeom prst="roundRect">
            <a:avLst/>
          </a:prstGeom>
          <a:solidFill>
            <a:srgbClr val="B7EF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F4E79"/>
                </a:solidFill>
                <a:latin typeface="+mn-lt"/>
              </a:rPr>
              <a:t>FRAUD</a:t>
            </a:r>
            <a:r>
              <a:rPr lang="en-US" sz="1100" b="1" baseline="0">
                <a:solidFill>
                  <a:srgbClr val="1F4E79"/>
                </a:solidFill>
                <a:latin typeface="+mn-lt"/>
              </a:rPr>
              <a:t> RATE </a:t>
            </a:r>
            <a:endParaRPr lang="en-US" sz="1100" b="1">
              <a:solidFill>
                <a:srgbClr val="1F4E79"/>
              </a:solidFill>
              <a:latin typeface="+mn-lt"/>
            </a:endParaRPr>
          </a:p>
        </xdr:txBody>
      </xdr:sp>
      <xdr:sp macro="" textlink="KPIs!B16">
        <xdr:nvSpPr>
          <xdr:cNvPr id="32" name="Rectangle: Rounded Corners 31">
            <a:extLst>
              <a:ext uri="{FF2B5EF4-FFF2-40B4-BE49-F238E27FC236}">
                <a16:creationId xmlns:a16="http://schemas.microsoft.com/office/drawing/2014/main" id="{A0845B75-1283-04D8-2789-894FF410D3F5}"/>
              </a:ext>
            </a:extLst>
          </xdr:cNvPr>
          <xdr:cNvSpPr/>
        </xdr:nvSpPr>
        <xdr:spPr>
          <a:xfrm>
            <a:off x="3893221" y="971019"/>
            <a:ext cx="1524000" cy="282223"/>
          </a:xfrm>
          <a:prstGeom prst="roundRect">
            <a:avLst/>
          </a:prstGeom>
          <a:solidFill>
            <a:srgbClr val="2BB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2CD309-D77D-4556-91D9-6401C2076498}" type="TxLink">
              <a:rPr lang="en-US" sz="1100" b="0" i="0" u="none" strike="noStrike">
                <a:solidFill>
                  <a:srgbClr val="000000"/>
                </a:solidFill>
                <a:latin typeface="Calibri"/>
                <a:ea typeface="Calibri"/>
                <a:cs typeface="Calibri"/>
              </a:rPr>
              <a:pPr algn="ctr"/>
              <a:t>4.98%</a:t>
            </a:fld>
            <a:endParaRPr lang="en-US" sz="1200">
              <a:latin typeface="+mn-lt"/>
            </a:endParaRPr>
          </a:p>
        </xdr:txBody>
      </xdr:sp>
    </xdr:grpSp>
    <xdr:clientData/>
  </xdr:twoCellAnchor>
  <xdr:twoCellAnchor>
    <xdr:from>
      <xdr:col>18</xdr:col>
      <xdr:colOff>342901</xdr:colOff>
      <xdr:row>3</xdr:row>
      <xdr:rowOff>173567</xdr:rowOff>
    </xdr:from>
    <xdr:to>
      <xdr:col>21</xdr:col>
      <xdr:colOff>406400</xdr:colOff>
      <xdr:row>7</xdr:row>
      <xdr:rowOff>46567</xdr:rowOff>
    </xdr:to>
    <xdr:grpSp>
      <xdr:nvGrpSpPr>
        <xdr:cNvPr id="33" name="Group 32">
          <a:extLst>
            <a:ext uri="{FF2B5EF4-FFF2-40B4-BE49-F238E27FC236}">
              <a16:creationId xmlns:a16="http://schemas.microsoft.com/office/drawing/2014/main" id="{FF07ACB5-BED0-4095-8558-F621561F1BCE}"/>
            </a:ext>
          </a:extLst>
        </xdr:cNvPr>
        <xdr:cNvGrpSpPr/>
      </xdr:nvGrpSpPr>
      <xdr:grpSpPr>
        <a:xfrm>
          <a:off x="11391901" y="745067"/>
          <a:ext cx="1904999" cy="635000"/>
          <a:chOff x="3714751" y="656166"/>
          <a:chExt cx="1904999" cy="635000"/>
        </a:xfrm>
      </xdr:grpSpPr>
      <xdr:sp macro="" textlink="">
        <xdr:nvSpPr>
          <xdr:cNvPr id="34" name="Rectangle: Rounded Corners 33">
            <a:extLst>
              <a:ext uri="{FF2B5EF4-FFF2-40B4-BE49-F238E27FC236}">
                <a16:creationId xmlns:a16="http://schemas.microsoft.com/office/drawing/2014/main" id="{604FF5A8-D811-42CF-B272-54CF2598F242}"/>
              </a:ext>
            </a:extLst>
          </xdr:cNvPr>
          <xdr:cNvSpPr/>
        </xdr:nvSpPr>
        <xdr:spPr>
          <a:xfrm>
            <a:off x="3714751" y="656166"/>
            <a:ext cx="1904999" cy="635000"/>
          </a:xfrm>
          <a:prstGeom prst="roundRect">
            <a:avLst/>
          </a:prstGeom>
          <a:solidFill>
            <a:srgbClr val="B7EFE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F4E79"/>
                </a:solidFill>
                <a:latin typeface="+mn-lt"/>
              </a:rPr>
              <a:t>FRAUD</a:t>
            </a:r>
            <a:r>
              <a:rPr lang="en-US" sz="1100" b="1" baseline="0">
                <a:solidFill>
                  <a:srgbClr val="1F4E79"/>
                </a:solidFill>
                <a:latin typeface="+mn-lt"/>
              </a:rPr>
              <a:t> AMOUNT</a:t>
            </a:r>
            <a:endParaRPr lang="en-US" sz="1100" b="1">
              <a:solidFill>
                <a:srgbClr val="1F4E79"/>
              </a:solidFill>
              <a:latin typeface="+mn-lt"/>
            </a:endParaRPr>
          </a:p>
        </xdr:txBody>
      </xdr:sp>
      <xdr:sp macro="" textlink="KPIs!B17">
        <xdr:nvSpPr>
          <xdr:cNvPr id="35" name="Rectangle: Rounded Corners 34">
            <a:extLst>
              <a:ext uri="{FF2B5EF4-FFF2-40B4-BE49-F238E27FC236}">
                <a16:creationId xmlns:a16="http://schemas.microsoft.com/office/drawing/2014/main" id="{2FAEF22C-0C29-6D59-1704-BE1A93F8FDE2}"/>
              </a:ext>
            </a:extLst>
          </xdr:cNvPr>
          <xdr:cNvSpPr/>
        </xdr:nvSpPr>
        <xdr:spPr>
          <a:xfrm>
            <a:off x="3893221" y="971019"/>
            <a:ext cx="1524000" cy="282223"/>
          </a:xfrm>
          <a:prstGeom prst="roundRect">
            <a:avLst/>
          </a:prstGeom>
          <a:solidFill>
            <a:srgbClr val="2BBB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FC9C76-D257-47D6-AD9C-3055ABA30464}" type="TxLink">
              <a:rPr lang="en-US" sz="1100" b="0" i="0" u="none" strike="noStrike">
                <a:solidFill>
                  <a:srgbClr val="000000"/>
                </a:solidFill>
                <a:latin typeface="Calibri"/>
                <a:ea typeface="Calibri"/>
                <a:cs typeface="Calibri"/>
              </a:rPr>
              <a:pPr algn="ctr"/>
              <a:t>$37,586.67</a:t>
            </a:fld>
            <a:endParaRPr lang="en-US" sz="1200">
              <a:latin typeface="+mn-lt"/>
            </a:endParaRPr>
          </a:p>
        </xdr:txBody>
      </xdr:sp>
    </xdr:grpSp>
    <xdr:clientData/>
  </xdr:twoCellAnchor>
  <xdr:twoCellAnchor>
    <xdr:from>
      <xdr:col>0</xdr:col>
      <xdr:colOff>0</xdr:colOff>
      <xdr:row>3</xdr:row>
      <xdr:rowOff>127000</xdr:rowOff>
    </xdr:from>
    <xdr:to>
      <xdr:col>3</xdr:col>
      <xdr:colOff>317500</xdr:colOff>
      <xdr:row>48</xdr:row>
      <xdr:rowOff>0</xdr:rowOff>
    </xdr:to>
    <xdr:sp macro="" textlink="">
      <xdr:nvSpPr>
        <xdr:cNvPr id="45" name="Rectangle: Top Corners One Rounded and One Snipped 44">
          <a:extLst>
            <a:ext uri="{FF2B5EF4-FFF2-40B4-BE49-F238E27FC236}">
              <a16:creationId xmlns:a16="http://schemas.microsoft.com/office/drawing/2014/main" id="{B00E4C1F-2616-739F-7F33-9C22D71ED969}"/>
            </a:ext>
          </a:extLst>
        </xdr:cNvPr>
        <xdr:cNvSpPr/>
      </xdr:nvSpPr>
      <xdr:spPr>
        <a:xfrm>
          <a:off x="0" y="698500"/>
          <a:ext cx="2159000" cy="8445500"/>
        </a:xfrm>
        <a:prstGeom prst="snipRoundRect">
          <a:avLst/>
        </a:prstGeom>
        <a:solidFill>
          <a:srgbClr val="B7EFEA"/>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42333</xdr:colOff>
      <xdr:row>5</xdr:row>
      <xdr:rowOff>84667</xdr:rowOff>
    </xdr:from>
    <xdr:to>
      <xdr:col>3</xdr:col>
      <xdr:colOff>285750</xdr:colOff>
      <xdr:row>12</xdr:row>
      <xdr:rowOff>95251</xdr:rowOff>
    </xdr:to>
    <mc:AlternateContent xmlns:mc="http://schemas.openxmlformats.org/markup-compatibility/2006" xmlns:a14="http://schemas.microsoft.com/office/drawing/2010/main">
      <mc:Choice Requires="a14">
        <xdr:graphicFrame macro="">
          <xdr:nvGraphicFramePr>
            <xdr:cNvPr id="37" name="CustomerCountry">
              <a:extLst>
                <a:ext uri="{FF2B5EF4-FFF2-40B4-BE49-F238E27FC236}">
                  <a16:creationId xmlns:a16="http://schemas.microsoft.com/office/drawing/2014/main" id="{69811B9D-84E8-6A91-5667-BF180B062E2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ustomerCountry"/>
            </a:graphicData>
          </a:graphic>
        </xdr:graphicFrame>
      </mc:Choice>
      <mc:Fallback xmlns="">
        <xdr:sp macro="" textlink="">
          <xdr:nvSpPr>
            <xdr:cNvPr id="0" name=""/>
            <xdr:cNvSpPr>
              <a:spLocks noTextEdit="1"/>
            </xdr:cNvSpPr>
          </xdr:nvSpPr>
          <xdr:spPr>
            <a:xfrm>
              <a:off x="42333" y="1037167"/>
              <a:ext cx="2084917" cy="134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xdr:colOff>
      <xdr:row>41</xdr:row>
      <xdr:rowOff>21167</xdr:rowOff>
    </xdr:from>
    <xdr:to>
      <xdr:col>3</xdr:col>
      <xdr:colOff>275167</xdr:colOff>
      <xdr:row>47</xdr:row>
      <xdr:rowOff>158750</xdr:rowOff>
    </xdr:to>
    <mc:AlternateContent xmlns:mc="http://schemas.openxmlformats.org/markup-compatibility/2006" xmlns:a14="http://schemas.microsoft.com/office/drawing/2010/main">
      <mc:Choice Requires="a14">
        <xdr:graphicFrame macro="">
          <xdr:nvGraphicFramePr>
            <xdr:cNvPr id="39" name="Age Group">
              <a:extLst>
                <a:ext uri="{FF2B5EF4-FFF2-40B4-BE49-F238E27FC236}">
                  <a16:creationId xmlns:a16="http://schemas.microsoft.com/office/drawing/2014/main" id="{43326461-EEA9-DA5C-5278-353B177A415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2333" y="7831667"/>
              <a:ext cx="2074334" cy="1280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xdr:colOff>
      <xdr:row>13</xdr:row>
      <xdr:rowOff>79375</xdr:rowOff>
    </xdr:from>
    <xdr:to>
      <xdr:col>3</xdr:col>
      <xdr:colOff>275167</xdr:colOff>
      <xdr:row>21</xdr:row>
      <xdr:rowOff>148167</xdr:rowOff>
    </xdr:to>
    <mc:AlternateContent xmlns:mc="http://schemas.openxmlformats.org/markup-compatibility/2006" xmlns:a14="http://schemas.microsoft.com/office/drawing/2010/main">
      <mc:Choice Requires="a14">
        <xdr:graphicFrame macro="">
          <xdr:nvGraphicFramePr>
            <xdr:cNvPr id="40" name="PaymentMethod">
              <a:extLst>
                <a:ext uri="{FF2B5EF4-FFF2-40B4-BE49-F238E27FC236}">
                  <a16:creationId xmlns:a16="http://schemas.microsoft.com/office/drawing/2014/main" id="{D5438D38-1FC4-F400-F89F-C2062E2C1D3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42333" y="2555875"/>
              <a:ext cx="2074334" cy="1592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31750</xdr:colOff>
      <xdr:row>22</xdr:row>
      <xdr:rowOff>148167</xdr:rowOff>
    </xdr:from>
    <xdr:to>
      <xdr:col>3</xdr:col>
      <xdr:colOff>264584</xdr:colOff>
      <xdr:row>30</xdr:row>
      <xdr:rowOff>42334</xdr:rowOff>
    </xdr:to>
    <mc:AlternateContent xmlns:mc="http://schemas.openxmlformats.org/markup-compatibility/2006" xmlns:tsle="http://schemas.microsoft.com/office/drawing/2012/timeslicer">
      <mc:Choice Requires="tsle">
        <xdr:graphicFrame macro="">
          <xdr:nvGraphicFramePr>
            <xdr:cNvPr id="41" name="TransactionDate">
              <a:extLst>
                <a:ext uri="{FF2B5EF4-FFF2-40B4-BE49-F238E27FC236}">
                  <a16:creationId xmlns:a16="http://schemas.microsoft.com/office/drawing/2014/main" id="{01F800A3-3F0F-0D07-DE40-24B1D9895754}"/>
                </a:ext>
              </a:extLst>
            </xdr:cNvPr>
            <xdr:cNvGraphicFramePr>
              <a:graphicFrameLocks noChangeAspect="1"/>
            </xdr:cNvGraphicFramePr>
          </xdr:nvGraphicFramePr>
          <xdr:xfrm>
            <a:off x="0" y="0"/>
            <a:ext cx="0" cy="0"/>
          </xdr:xfrm>
          <a:graphic>
            <a:graphicData uri="http://schemas.microsoft.com/office/drawing/2012/timeslicer">
              <tsle:timeslicer name="TransactionDate"/>
            </a:graphicData>
          </a:graphic>
        </xdr:graphicFrame>
      </mc:Choice>
      <mc:Fallback xmlns="">
        <xdr:sp macro="" textlink="">
          <xdr:nvSpPr>
            <xdr:cNvPr id="0" name=""/>
            <xdr:cNvSpPr>
              <a:spLocks noTextEdit="1"/>
            </xdr:cNvSpPr>
          </xdr:nvSpPr>
          <xdr:spPr>
            <a:xfrm>
              <a:off x="31750" y="4339167"/>
              <a:ext cx="2074334" cy="14181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31750</xdr:colOff>
      <xdr:row>31</xdr:row>
      <xdr:rowOff>79375</xdr:rowOff>
    </xdr:from>
    <xdr:to>
      <xdr:col>3</xdr:col>
      <xdr:colOff>275167</xdr:colOff>
      <xdr:row>40</xdr:row>
      <xdr:rowOff>10583</xdr:rowOff>
    </xdr:to>
    <mc:AlternateContent xmlns:mc="http://schemas.openxmlformats.org/markup-compatibility/2006" xmlns:a14="http://schemas.microsoft.com/office/drawing/2010/main">
      <mc:Choice Requires="a14">
        <xdr:graphicFrame macro="">
          <xdr:nvGraphicFramePr>
            <xdr:cNvPr id="42" name="MerchantCategory">
              <a:extLst>
                <a:ext uri="{FF2B5EF4-FFF2-40B4-BE49-F238E27FC236}">
                  <a16:creationId xmlns:a16="http://schemas.microsoft.com/office/drawing/2014/main" id="{19227BAF-91A4-FE67-94AE-2F1AB2091E9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erchantCategory"/>
            </a:graphicData>
          </a:graphic>
        </xdr:graphicFrame>
      </mc:Choice>
      <mc:Fallback xmlns="">
        <xdr:sp macro="" textlink="">
          <xdr:nvSpPr>
            <xdr:cNvPr id="0" name=""/>
            <xdr:cNvSpPr>
              <a:spLocks noTextEdit="1"/>
            </xdr:cNvSpPr>
          </xdr:nvSpPr>
          <xdr:spPr>
            <a:xfrm>
              <a:off x="31750" y="5984875"/>
              <a:ext cx="2084917" cy="1645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328084</xdr:colOff>
      <xdr:row>30</xdr:row>
      <xdr:rowOff>148166</xdr:rowOff>
    </xdr:from>
    <xdr:to>
      <xdr:col>14</xdr:col>
      <xdr:colOff>127000</xdr:colOff>
      <xdr:row>47</xdr:row>
      <xdr:rowOff>158749</xdr:rowOff>
    </xdr:to>
    <xdr:graphicFrame macro="">
      <xdr:nvGraphicFramePr>
        <xdr:cNvPr id="47" name="Chart 2">
          <a:extLst>
            <a:ext uri="{FF2B5EF4-FFF2-40B4-BE49-F238E27FC236}">
              <a16:creationId xmlns:a16="http://schemas.microsoft.com/office/drawing/2014/main" id="{2D27DE44-AFAE-41D7-B898-F9188608CB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0.37021</cdr:x>
      <cdr:y>0.52994</cdr:y>
    </cdr:from>
    <cdr:to>
      <cdr:x>0.57447</cdr:x>
      <cdr:y>0.81737</cdr:y>
    </cdr:to>
    <cdr:sp macro="" textlink="">
      <cdr:nvSpPr>
        <cdr:cNvPr id="2" name="TextBox 1">
          <a:extLst xmlns:a="http://schemas.openxmlformats.org/drawingml/2006/main">
            <a:ext uri="{FF2B5EF4-FFF2-40B4-BE49-F238E27FC236}">
              <a16:creationId xmlns:a16="http://schemas.microsoft.com/office/drawing/2014/main" id="{79E961B2-E4B3-37EA-51C1-5B93BA12A49F}"/>
            </a:ext>
          </a:extLst>
        </cdr:cNvPr>
        <cdr:cNvSpPr txBox="1"/>
      </cdr:nvSpPr>
      <cdr:spPr>
        <a:xfrm xmlns:a="http://schemas.openxmlformats.org/drawingml/2006/main">
          <a:off x="1657350" y="1685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 Sekhar MS" refreshedDate="45971.023553125" createdVersion="8" refreshedVersion="8" minRefreshableVersion="3" recordCount="2610" xr:uid="{F9463E9C-F252-4DEC-923C-98C6B55D7B5A}">
  <cacheSource type="worksheet">
    <worksheetSource name="Sheet1"/>
  </cacheSource>
  <cacheFields count="20">
    <cacheField name="TransactionID" numFmtId="0">
      <sharedItems/>
    </cacheField>
    <cacheField name="TransactionDate" numFmtId="14">
      <sharedItems containsSemiMixedTypes="0" containsNonDate="0" containsDate="1" containsString="0" minDate="2025-05-03T00:00:00" maxDate="2025-10-31T00:00:00" count="181">
        <d v="2025-07-31T00:00:00"/>
        <d v="2025-05-25T00:00:00"/>
        <d v="2025-09-09T00:00:00"/>
        <d v="2025-07-11T00:00:00"/>
        <d v="2025-10-18T00:00:00"/>
        <d v="2025-05-12T00:00:00"/>
        <d v="2025-05-15T00:00:00"/>
        <d v="2025-10-15T00:00:00"/>
        <d v="2025-06-27T00:00:00"/>
        <d v="2025-09-30T00:00:00"/>
        <d v="2025-06-19T00:00:00"/>
        <d v="2025-10-07T00:00:00"/>
        <d v="2025-06-25T00:00:00"/>
        <d v="2025-10-02T00:00:00"/>
        <d v="2025-09-20T00:00:00"/>
        <d v="2025-08-23T00:00:00"/>
        <d v="2025-07-01T00:00:00"/>
        <d v="2025-06-14T00:00:00"/>
        <d v="2025-06-20T00:00:00"/>
        <d v="2025-09-28T00:00:00"/>
        <d v="2025-06-13T00:00:00"/>
        <d v="2025-09-07T00:00:00"/>
        <d v="2025-07-05T00:00:00"/>
        <d v="2025-10-01T00:00:00"/>
        <d v="2025-09-12T00:00:00"/>
        <d v="2025-05-31T00:00:00"/>
        <d v="2025-08-19T00:00:00"/>
        <d v="2025-08-14T00:00:00"/>
        <d v="2025-09-29T00:00:00"/>
        <d v="2025-08-05T00:00:00"/>
        <d v="2025-05-13T00:00:00"/>
        <d v="2025-05-17T00:00:00"/>
        <d v="2025-05-20T00:00:00"/>
        <d v="2025-09-04T00:00:00"/>
        <d v="2025-10-10T00:00:00"/>
        <d v="2025-07-03T00:00:00"/>
        <d v="2025-06-07T00:00:00"/>
        <d v="2025-05-10T00:00:00"/>
        <d v="2025-09-15T00:00:00"/>
        <d v="2025-08-11T00:00:00"/>
        <d v="2025-07-13T00:00:00"/>
        <d v="2025-10-08T00:00:00"/>
        <d v="2025-05-14T00:00:00"/>
        <d v="2025-05-24T00:00:00"/>
        <d v="2025-05-09T00:00:00"/>
        <d v="2025-10-26T00:00:00"/>
        <d v="2025-09-25T00:00:00"/>
        <d v="2025-07-07T00:00:00"/>
        <d v="2025-07-22T00:00:00"/>
        <d v="2025-05-16T00:00:00"/>
        <d v="2025-07-25T00:00:00"/>
        <d v="2025-06-26T00:00:00"/>
        <d v="2025-10-03T00:00:00"/>
        <d v="2025-08-25T00:00:00"/>
        <d v="2025-07-26T00:00:00"/>
        <d v="2025-05-21T00:00:00"/>
        <d v="2025-05-26T00:00:00"/>
        <d v="2025-06-02T00:00:00"/>
        <d v="2025-08-02T00:00:00"/>
        <d v="2025-07-08T00:00:00"/>
        <d v="2025-07-27T00:00:00"/>
        <d v="2025-07-30T00:00:00"/>
        <d v="2025-06-16T00:00:00"/>
        <d v="2025-06-03T00:00:00"/>
        <d v="2025-09-11T00:00:00"/>
        <d v="2025-06-11T00:00:00"/>
        <d v="2025-08-08T00:00:00"/>
        <d v="2025-09-26T00:00:00"/>
        <d v="2025-06-28T00:00:00"/>
        <d v="2025-09-14T00:00:00"/>
        <d v="2025-08-16T00:00:00"/>
        <d v="2025-08-31T00:00:00"/>
        <d v="2025-08-18T00:00:00"/>
        <d v="2025-08-28T00:00:00"/>
        <d v="2025-07-24T00:00:00"/>
        <d v="2025-07-18T00:00:00"/>
        <d v="2025-07-19T00:00:00"/>
        <d v="2025-09-21T00:00:00"/>
        <d v="2025-08-29T00:00:00"/>
        <d v="2025-09-16T00:00:00"/>
        <d v="2025-06-29T00:00:00"/>
        <d v="2025-07-16T00:00:00"/>
        <d v="2025-09-23T00:00:00"/>
        <d v="2025-08-03T00:00:00"/>
        <d v="2025-08-07T00:00:00"/>
        <d v="2025-05-08T00:00:00"/>
        <d v="2025-10-19T00:00:00"/>
        <d v="2025-10-21T00:00:00"/>
        <d v="2025-05-18T00:00:00"/>
        <d v="2025-10-11T00:00:00"/>
        <d v="2025-09-24T00:00:00"/>
        <d v="2025-06-23T00:00:00"/>
        <d v="2025-07-29T00:00:00"/>
        <d v="2025-09-13T00:00:00"/>
        <d v="2025-10-06T00:00:00"/>
        <d v="2025-05-23T00:00:00"/>
        <d v="2025-10-25T00:00:00"/>
        <d v="2025-09-18T00:00:00"/>
        <d v="2025-08-01T00:00:00"/>
        <d v="2025-10-30T00:00:00"/>
        <d v="2025-05-27T00:00:00"/>
        <d v="2025-10-17T00:00:00"/>
        <d v="2025-07-02T00:00:00"/>
        <d v="2025-10-04T00:00:00"/>
        <d v="2025-07-06T00:00:00"/>
        <d v="2025-06-04T00:00:00"/>
        <d v="2025-06-17T00:00:00"/>
        <d v="2025-07-15T00:00:00"/>
        <d v="2025-07-23T00:00:00"/>
        <d v="2025-05-06T00:00:00"/>
        <d v="2025-06-21T00:00:00"/>
        <d v="2025-06-18T00:00:00"/>
        <d v="2025-09-10T00:00:00"/>
        <d v="2025-06-15T00:00:00"/>
        <d v="2025-06-24T00:00:00"/>
        <d v="2025-09-02T00:00:00"/>
        <d v="2025-10-29T00:00:00"/>
        <d v="2025-08-24T00:00:00"/>
        <d v="2025-10-27T00:00:00"/>
        <d v="2025-09-19T00:00:00"/>
        <d v="2025-07-14T00:00:00"/>
        <d v="2025-08-30T00:00:00"/>
        <d v="2025-06-05T00:00:00"/>
        <d v="2025-07-20T00:00:00"/>
        <d v="2025-06-01T00:00:00"/>
        <d v="2025-07-21T00:00:00"/>
        <d v="2025-09-01T00:00:00"/>
        <d v="2025-08-09T00:00:00"/>
        <d v="2025-07-17T00:00:00"/>
        <d v="2025-07-09T00:00:00"/>
        <d v="2025-10-12T00:00:00"/>
        <d v="2025-10-13T00:00:00"/>
        <d v="2025-10-09T00:00:00"/>
        <d v="2025-08-20T00:00:00"/>
        <d v="2025-08-13T00:00:00"/>
        <d v="2025-09-08T00:00:00"/>
        <d v="2025-10-14T00:00:00"/>
        <d v="2025-10-23T00:00:00"/>
        <d v="2025-09-03T00:00:00"/>
        <d v="2025-08-22T00:00:00"/>
        <d v="2025-09-05T00:00:00"/>
        <d v="2025-10-28T00:00:00"/>
        <d v="2025-08-15T00:00:00"/>
        <d v="2025-08-10T00:00:00"/>
        <d v="2025-10-22T00:00:00"/>
        <d v="2025-08-04T00:00:00"/>
        <d v="2025-05-04T00:00:00"/>
        <d v="2025-08-26T00:00:00"/>
        <d v="2025-05-29T00:00:00"/>
        <d v="2025-05-28T00:00:00"/>
        <d v="2025-07-28T00:00:00"/>
        <d v="2025-05-30T00:00:00"/>
        <d v="2025-05-19T00:00:00"/>
        <d v="2025-06-08T00:00:00"/>
        <d v="2025-09-27T00:00:00"/>
        <d v="2025-08-27T00:00:00"/>
        <d v="2025-09-17T00:00:00"/>
        <d v="2025-05-22T00:00:00"/>
        <d v="2025-09-06T00:00:00"/>
        <d v="2025-06-10T00:00:00"/>
        <d v="2025-09-22T00:00:00"/>
        <d v="2025-08-06T00:00:00"/>
        <d v="2025-08-21T00:00:00"/>
        <d v="2025-06-09T00:00:00"/>
        <d v="2025-06-30T00:00:00"/>
        <d v="2025-07-12T00:00:00"/>
        <d v="2025-10-20T00:00:00"/>
        <d v="2025-05-07T00:00:00"/>
        <d v="2025-07-10T00:00:00"/>
        <d v="2025-10-16T00:00:00"/>
        <d v="2025-06-22T00:00:00"/>
        <d v="2025-05-05T00:00:00"/>
        <d v="2025-06-06T00:00:00"/>
        <d v="2025-10-05T00:00:00"/>
        <d v="2025-07-04T00:00:00"/>
        <d v="2025-08-17T00:00:00"/>
        <d v="2025-08-12T00:00:00"/>
        <d v="2025-05-03T00:00:00"/>
        <d v="2025-06-12T00:00:00"/>
        <d v="2025-05-11T00:00:00"/>
        <d v="2025-10-24T00:00:00"/>
      </sharedItems>
    </cacheField>
    <cacheField name="Month Name" numFmtId="0">
      <sharedItems count="6">
        <s v="July"/>
        <s v="May"/>
        <s v="September"/>
        <s v="October"/>
        <s v="June"/>
        <s v="August"/>
      </sharedItems>
    </cacheField>
    <cacheField name="TransactionTime" numFmtId="164">
      <sharedItems containsSemiMixedTypes="0" containsNonDate="0" containsDate="1" containsString="0" minDate="1899-12-30T00:01:58" maxDate="1899-12-30T23:59:51"/>
    </cacheField>
    <cacheField name="Amount" numFmtId="0">
      <sharedItems containsSemiMixedTypes="0" containsString="0" containsNumber="1" minValue="0" maxValue="4865.6499999999996"/>
    </cacheField>
    <cacheField name="Currency" numFmtId="0">
      <sharedItems/>
    </cacheField>
    <cacheField name="MerchantID" numFmtId="0">
      <sharedItems/>
    </cacheField>
    <cacheField name="MerchantCategory" numFmtId="0">
      <sharedItems count="10">
        <s v="Health"/>
        <s v="FoodDelivery"/>
        <s v="Gaming"/>
        <s v="Travel"/>
        <s v="Fashion"/>
        <s v="Electronics"/>
        <s v="Entertainment"/>
        <s v="Grocery"/>
        <s v="Utilities"/>
        <s v="Retail"/>
      </sharedItems>
    </cacheField>
    <cacheField name="MerchantCountry" numFmtId="0">
      <sharedItems/>
    </cacheField>
    <cacheField name="CustomerID" numFmtId="0">
      <sharedItems/>
    </cacheField>
    <cacheField name="CustomerAge" numFmtId="0">
      <sharedItems containsSemiMixedTypes="0" containsString="0" containsNumber="1" containsInteger="1" minValue="10" maxValue="119"/>
    </cacheField>
    <cacheField name="CustomerGender" numFmtId="0">
      <sharedItems/>
    </cacheField>
    <cacheField name="CustomerCountry" numFmtId="0">
      <sharedItems count="15">
        <s v="Spain"/>
        <s v="Kenya"/>
        <s v="France"/>
        <s v="Canada"/>
        <s v="Sweden"/>
        <s v="United States"/>
        <s v="India"/>
        <s v="Australia"/>
        <s v="Netherlands"/>
        <s v="Norway"/>
        <s v="South Africa"/>
        <s v="United Kingdom"/>
        <s v="Germany"/>
        <s v="Nigeria"/>
        <s v="Poland"/>
      </sharedItems>
    </cacheField>
    <cacheField name="PaymentMethod" numFmtId="0">
      <sharedItems count="6">
        <s v="UPI"/>
        <s v="NetBanking"/>
        <s v="Wallet"/>
        <s v="BankTransfer"/>
        <s v="Card"/>
        <s v="MobileMoney"/>
      </sharedItems>
    </cacheField>
    <cacheField name="IsInternational" numFmtId="0">
      <sharedItems/>
    </cacheField>
    <cacheField name="TransactionStatus" numFmtId="0">
      <sharedItems/>
    </cacheField>
    <cacheField name="FraudLabel" numFmtId="0">
      <sharedItems containsSemiMixedTypes="0" containsString="0" containsNumber="1" containsInteger="1" minValue="0" maxValue="1" count="2">
        <n v="0"/>
        <n v="1"/>
      </sharedItems>
    </cacheField>
    <cacheField name="Fruad Status" numFmtId="0">
      <sharedItems count="2">
        <s v="Legit"/>
        <s v="Fraud"/>
      </sharedItems>
    </cacheField>
    <cacheField name="Age Group" numFmtId="0">
      <sharedItems count="4">
        <s v="Under 25"/>
        <s v="25-39"/>
        <s v="40-59"/>
        <s v="60+"/>
      </sharedItems>
    </cacheField>
    <cacheField name="Avg_Fruad_per_case" numFmtId="0" formula="Amount/FraudLabel" databaseField="0"/>
  </cacheFields>
  <extLst>
    <ext xmlns:x14="http://schemas.microsoft.com/office/spreadsheetml/2009/9/main" uri="{725AE2AE-9491-48be-B2B4-4EB974FC3084}">
      <x14:pivotCacheDefinition pivotCacheId="1436302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0">
  <r>
    <s v="TX1001486"/>
    <x v="0"/>
    <x v="0"/>
    <d v="1899-12-30T17:46:47"/>
    <n v="4865.6499999999996"/>
    <s v="USD"/>
    <s v="M1520"/>
    <x v="0"/>
    <s v="Netherlands"/>
    <s v="C85129"/>
    <n v="22"/>
    <s v="M"/>
    <x v="0"/>
    <x v="0"/>
    <s v="Y"/>
    <s v="Success"/>
    <x v="0"/>
    <x v="0"/>
    <x v="0"/>
  </r>
  <r>
    <s v="TX1000350"/>
    <x v="1"/>
    <x v="1"/>
    <d v="1899-12-30T01:20:23"/>
    <n v="4793.59"/>
    <s v="USD"/>
    <s v="M1139"/>
    <x v="1"/>
    <s v="South Africa"/>
    <s v="C83751"/>
    <n v="25"/>
    <s v="F"/>
    <x v="1"/>
    <x v="0"/>
    <s v="Y"/>
    <s v="Success"/>
    <x v="0"/>
    <x v="0"/>
    <x v="1"/>
  </r>
  <r>
    <s v="TX1002162"/>
    <x v="2"/>
    <x v="2"/>
    <d v="1899-12-30T12:53:57"/>
    <n v="4781.71"/>
    <s v="USD"/>
    <s v="M1906"/>
    <x v="2"/>
    <s v="South Africa"/>
    <s v="C82901"/>
    <n v="41"/>
    <s v="F"/>
    <x v="2"/>
    <x v="0"/>
    <s v="Y"/>
    <s v="Success"/>
    <x v="1"/>
    <x v="1"/>
    <x v="2"/>
  </r>
  <r>
    <s v="TX1001136"/>
    <x v="3"/>
    <x v="0"/>
    <d v="1899-12-30T20:52:58"/>
    <n v="4762.05"/>
    <s v="USD"/>
    <s v="M1045"/>
    <x v="3"/>
    <s v="Canada"/>
    <s v="C92185"/>
    <n v="35"/>
    <s v="M"/>
    <x v="2"/>
    <x v="0"/>
    <s v="Y"/>
    <s v="Success"/>
    <x v="0"/>
    <x v="0"/>
    <x v="1"/>
  </r>
  <r>
    <s v="TX1002813"/>
    <x v="4"/>
    <x v="3"/>
    <d v="1899-12-30T11:28:48"/>
    <n v="4753.9799999999996"/>
    <s v="USD"/>
    <s v="M1631"/>
    <x v="4"/>
    <s v="Germany"/>
    <s v="C60307"/>
    <n v="56"/>
    <s v="F"/>
    <x v="3"/>
    <x v="1"/>
    <s v="Y"/>
    <s v="Success"/>
    <x v="1"/>
    <x v="1"/>
    <x v="2"/>
  </r>
  <r>
    <s v="TX1000121"/>
    <x v="5"/>
    <x v="1"/>
    <d v="1899-12-30T03:19:26"/>
    <n v="4750.9399999999996"/>
    <s v="USD"/>
    <s v="M1430"/>
    <x v="5"/>
    <s v="Norway"/>
    <s v="C52846"/>
    <n v="48"/>
    <s v="F"/>
    <x v="2"/>
    <x v="0"/>
    <s v="Y"/>
    <s v="Success"/>
    <x v="0"/>
    <x v="0"/>
    <x v="2"/>
  </r>
  <r>
    <s v="TX1000179"/>
    <x v="6"/>
    <x v="1"/>
    <d v="1899-12-30T20:45:55"/>
    <n v="4729.3500000000004"/>
    <s v="USD"/>
    <s v="M1089"/>
    <x v="5"/>
    <s v="South Africa"/>
    <s v="C53023"/>
    <n v="19"/>
    <s v="Other"/>
    <x v="4"/>
    <x v="1"/>
    <s v="Y"/>
    <s v="Success"/>
    <x v="0"/>
    <x v="0"/>
    <x v="0"/>
  </r>
  <r>
    <s v="TX1002764"/>
    <x v="7"/>
    <x v="3"/>
    <d v="1899-12-30T20:20:22"/>
    <n v="4659.0600000000004"/>
    <s v="USD"/>
    <s v="M1510"/>
    <x v="6"/>
    <s v="Kenya"/>
    <s v="C84940"/>
    <n v="32"/>
    <s v="M"/>
    <x v="5"/>
    <x v="0"/>
    <s v="Y"/>
    <s v="Success"/>
    <x v="0"/>
    <x v="0"/>
    <x v="1"/>
  </r>
  <r>
    <s v="TX1000904"/>
    <x v="8"/>
    <x v="4"/>
    <d v="1899-12-30T23:35:21"/>
    <n v="4329.53"/>
    <s v="USD"/>
    <s v="M1176"/>
    <x v="4"/>
    <s v="India"/>
    <s v="C57070"/>
    <n v="37"/>
    <s v="F"/>
    <x v="3"/>
    <x v="2"/>
    <s v="Y"/>
    <s v="Success"/>
    <x v="0"/>
    <x v="0"/>
    <x v="1"/>
  </r>
  <r>
    <s v="TX1002519"/>
    <x v="9"/>
    <x v="2"/>
    <d v="1899-12-30T15:27:51"/>
    <n v="4304.66"/>
    <s v="USD"/>
    <s v="M1060"/>
    <x v="3"/>
    <s v="Netherlands"/>
    <s v="C57696"/>
    <n v="18"/>
    <s v="M"/>
    <x v="6"/>
    <x v="3"/>
    <s v="Y"/>
    <s v="Success"/>
    <x v="0"/>
    <x v="0"/>
    <x v="0"/>
  </r>
  <r>
    <s v="TX1000368"/>
    <x v="1"/>
    <x v="1"/>
    <d v="1899-12-30T20:06:32"/>
    <n v="4166.6400000000003"/>
    <s v="USD"/>
    <s v="M1873"/>
    <x v="7"/>
    <s v="United Kingdom"/>
    <s v="C59124"/>
    <n v="28"/>
    <s v="F"/>
    <x v="2"/>
    <x v="2"/>
    <s v="Y"/>
    <s v="Success"/>
    <x v="0"/>
    <x v="0"/>
    <x v="1"/>
  </r>
  <r>
    <s v="TX1000758"/>
    <x v="10"/>
    <x v="4"/>
    <d v="1899-12-30T16:27:53"/>
    <n v="4162.01"/>
    <s v="USD"/>
    <s v="M1433"/>
    <x v="5"/>
    <s v="South Africa"/>
    <s v="C99562"/>
    <n v="46"/>
    <s v="F"/>
    <x v="4"/>
    <x v="1"/>
    <s v="Y"/>
    <s v="Success"/>
    <x v="1"/>
    <x v="1"/>
    <x v="2"/>
  </r>
  <r>
    <s v="TX1002627"/>
    <x v="11"/>
    <x v="3"/>
    <d v="1899-12-30T03:12:48"/>
    <n v="4087.35"/>
    <s v="USD"/>
    <s v="M1483"/>
    <x v="4"/>
    <s v="Australia"/>
    <s v="C84857"/>
    <n v="70"/>
    <s v="Other"/>
    <x v="5"/>
    <x v="1"/>
    <s v="Y"/>
    <s v="Success"/>
    <x v="0"/>
    <x v="0"/>
    <x v="3"/>
  </r>
  <r>
    <s v="TX1000859"/>
    <x v="12"/>
    <x v="4"/>
    <d v="1899-12-30T14:57:25"/>
    <n v="4054.3"/>
    <s v="USD"/>
    <s v="M1334"/>
    <x v="8"/>
    <s v="Canada"/>
    <s v="C85208"/>
    <n v="26"/>
    <s v="Other"/>
    <x v="1"/>
    <x v="4"/>
    <s v="Y"/>
    <s v="Success"/>
    <x v="0"/>
    <x v="0"/>
    <x v="1"/>
  </r>
  <r>
    <s v="TX1000902"/>
    <x v="8"/>
    <x v="4"/>
    <d v="1899-12-30T21:11:40"/>
    <n v="4031.85"/>
    <s v="USD"/>
    <s v="M1057"/>
    <x v="1"/>
    <s v="Netherlands"/>
    <s v="C88768"/>
    <n v="28"/>
    <s v="F"/>
    <x v="2"/>
    <x v="5"/>
    <s v="Y"/>
    <s v="Success"/>
    <x v="0"/>
    <x v="0"/>
    <x v="1"/>
  </r>
  <r>
    <s v="TX1002546"/>
    <x v="13"/>
    <x v="3"/>
    <d v="1899-12-30T05:30:52"/>
    <n v="4005.91"/>
    <s v="USD"/>
    <s v="M1880"/>
    <x v="0"/>
    <s v="Norway"/>
    <s v="C53084"/>
    <n v="50"/>
    <s v="M"/>
    <x v="7"/>
    <x v="0"/>
    <s v="Y"/>
    <s v="Success"/>
    <x v="0"/>
    <x v="0"/>
    <x v="2"/>
  </r>
  <r>
    <s v="TX1002338"/>
    <x v="14"/>
    <x v="2"/>
    <d v="1899-12-30T00:43:47"/>
    <n v="3984.23"/>
    <s v="USD"/>
    <s v="M1354"/>
    <x v="5"/>
    <s v="United Kingdom"/>
    <s v="C88983"/>
    <n v="41"/>
    <s v="F"/>
    <x v="8"/>
    <x v="5"/>
    <s v="Y"/>
    <s v="Success"/>
    <x v="0"/>
    <x v="0"/>
    <x v="2"/>
  </r>
  <r>
    <s v="TX1001847"/>
    <x v="15"/>
    <x v="5"/>
    <d v="1899-12-30T04:37:12"/>
    <n v="3966.74"/>
    <s v="USD"/>
    <s v="M1631"/>
    <x v="2"/>
    <s v="Kenya"/>
    <s v="C97955"/>
    <n v="58"/>
    <s v="M"/>
    <x v="4"/>
    <x v="5"/>
    <s v="Y"/>
    <s v="Success"/>
    <x v="0"/>
    <x v="0"/>
    <x v="2"/>
  </r>
  <r>
    <s v="TX1002547"/>
    <x v="13"/>
    <x v="3"/>
    <d v="1899-12-30T05:52:56"/>
    <n v="3813.6"/>
    <s v="USD"/>
    <s v="M1200"/>
    <x v="5"/>
    <s v="Poland"/>
    <s v="C66988"/>
    <n v="28"/>
    <s v="F"/>
    <x v="9"/>
    <x v="0"/>
    <s v="Y"/>
    <s v="Success"/>
    <x v="0"/>
    <x v="0"/>
    <x v="1"/>
  </r>
  <r>
    <s v="TX1000967"/>
    <x v="16"/>
    <x v="0"/>
    <d v="1899-12-30T13:52:20"/>
    <n v="3808.66"/>
    <s v="USD"/>
    <s v="M1710"/>
    <x v="1"/>
    <s v="Kenya"/>
    <s v="C58806"/>
    <n v="15"/>
    <s v="M"/>
    <x v="7"/>
    <x v="1"/>
    <s v="Y"/>
    <s v="Success"/>
    <x v="0"/>
    <x v="0"/>
    <x v="0"/>
  </r>
  <r>
    <s v="TX1000663"/>
    <x v="17"/>
    <x v="4"/>
    <d v="1899-12-30T07:17:47"/>
    <n v="3785.52"/>
    <s v="USD"/>
    <s v="M1569"/>
    <x v="3"/>
    <s v="Kenya"/>
    <s v="C98424"/>
    <n v="35"/>
    <s v="M"/>
    <x v="5"/>
    <x v="5"/>
    <s v="Y"/>
    <s v="Success"/>
    <x v="0"/>
    <x v="0"/>
    <x v="1"/>
  </r>
  <r>
    <s v="TX1000772"/>
    <x v="18"/>
    <x v="4"/>
    <d v="1899-12-30T08:09:05"/>
    <n v="3766.66"/>
    <s v="USD"/>
    <s v="M1117"/>
    <x v="9"/>
    <s v="Spain"/>
    <s v="C51953"/>
    <n v="53"/>
    <s v="Other"/>
    <x v="10"/>
    <x v="3"/>
    <s v="Y"/>
    <s v="Success"/>
    <x v="0"/>
    <x v="0"/>
    <x v="2"/>
  </r>
  <r>
    <s v="TX1002484"/>
    <x v="19"/>
    <x v="2"/>
    <d v="1899-12-30T17:03:01"/>
    <n v="3744.19"/>
    <s v="USD"/>
    <s v="M1840"/>
    <x v="5"/>
    <s v="South Africa"/>
    <s v="C85060"/>
    <n v="22"/>
    <s v="F"/>
    <x v="11"/>
    <x v="1"/>
    <s v="Y"/>
    <s v="Success"/>
    <x v="0"/>
    <x v="0"/>
    <x v="0"/>
  </r>
  <r>
    <s v="TX1000175"/>
    <x v="6"/>
    <x v="1"/>
    <d v="1899-12-30T14:53:02"/>
    <n v="3743.34"/>
    <s v="USD"/>
    <s v="M1741"/>
    <x v="2"/>
    <s v="Australia"/>
    <s v="C51908"/>
    <n v="61"/>
    <s v="F"/>
    <x v="0"/>
    <x v="2"/>
    <s v="Y"/>
    <s v="Success"/>
    <x v="0"/>
    <x v="0"/>
    <x v="3"/>
  </r>
  <r>
    <s v="TX1000175"/>
    <x v="6"/>
    <x v="1"/>
    <d v="1899-12-30T14:53:02"/>
    <n v="3743.34"/>
    <s v="USD"/>
    <s v="M1741"/>
    <x v="2"/>
    <s v="Australia"/>
    <s v="C51908"/>
    <n v="61"/>
    <s v="F"/>
    <x v="0"/>
    <x v="2"/>
    <s v="Y"/>
    <s v="Success"/>
    <x v="0"/>
    <x v="0"/>
    <x v="3"/>
  </r>
  <r>
    <s v="TX1000356"/>
    <x v="1"/>
    <x v="1"/>
    <d v="1899-12-30T06:04:29"/>
    <n v="3737.75"/>
    <s v="USD"/>
    <s v="M1849"/>
    <x v="5"/>
    <s v="Nigeria"/>
    <s v="C89130"/>
    <n v="49"/>
    <s v="M"/>
    <x v="4"/>
    <x v="2"/>
    <s v="Y"/>
    <s v="Success"/>
    <x v="0"/>
    <x v="0"/>
    <x v="2"/>
  </r>
  <r>
    <s v="TX1002767"/>
    <x v="7"/>
    <x v="3"/>
    <d v="1899-12-30T22:13:07"/>
    <n v="3709.08"/>
    <s v="USD"/>
    <s v="M1018"/>
    <x v="7"/>
    <s v="Nigeria"/>
    <s v="C84999"/>
    <n v="11"/>
    <s v="M"/>
    <x v="0"/>
    <x v="2"/>
    <s v="Y"/>
    <s v="Success"/>
    <x v="0"/>
    <x v="0"/>
    <x v="0"/>
  </r>
  <r>
    <s v="TX1000647"/>
    <x v="20"/>
    <x v="4"/>
    <d v="1899-12-30T12:09:12"/>
    <n v="3658.32"/>
    <s v="USD"/>
    <s v="M1767"/>
    <x v="9"/>
    <s v="France"/>
    <s v="C80374"/>
    <n v="53"/>
    <s v="M"/>
    <x v="7"/>
    <x v="5"/>
    <s v="Y"/>
    <s v="Success"/>
    <x v="0"/>
    <x v="0"/>
    <x v="2"/>
  </r>
  <r>
    <s v="TX1000359"/>
    <x v="1"/>
    <x v="1"/>
    <d v="1899-12-30T14:20:55"/>
    <n v="3641.72"/>
    <s v="USD"/>
    <s v="M1292"/>
    <x v="1"/>
    <s v="Germany"/>
    <s v="C89749"/>
    <n v="41"/>
    <s v="F"/>
    <x v="12"/>
    <x v="4"/>
    <s v="N"/>
    <s v="Success"/>
    <x v="0"/>
    <x v="0"/>
    <x v="2"/>
  </r>
  <r>
    <s v="TX1002120"/>
    <x v="21"/>
    <x v="2"/>
    <d v="1899-12-30T16:51:43"/>
    <n v="3494.99"/>
    <s v="USD"/>
    <s v="M1644"/>
    <x v="4"/>
    <s v="Kenya"/>
    <s v="C87880"/>
    <n v="74"/>
    <s v="F"/>
    <x v="1"/>
    <x v="4"/>
    <s v="N"/>
    <s v="Success"/>
    <x v="0"/>
    <x v="0"/>
    <x v="3"/>
  </r>
  <r>
    <s v="TX1001033"/>
    <x v="22"/>
    <x v="0"/>
    <d v="1899-12-30T11:58:18"/>
    <n v="3483.58"/>
    <s v="USD"/>
    <s v="M1404"/>
    <x v="7"/>
    <s v="Kenya"/>
    <s v="C85586"/>
    <n v="42"/>
    <s v="F"/>
    <x v="5"/>
    <x v="4"/>
    <s v="Y"/>
    <s v="Success"/>
    <x v="0"/>
    <x v="0"/>
    <x v="2"/>
  </r>
  <r>
    <s v="TX1002529"/>
    <x v="23"/>
    <x v="3"/>
    <d v="1899-12-30T05:55:52"/>
    <n v="3427.42"/>
    <s v="USD"/>
    <s v="M1680"/>
    <x v="1"/>
    <s v="Kenya"/>
    <s v="C55463"/>
    <n v="41"/>
    <s v="F"/>
    <x v="13"/>
    <x v="2"/>
    <s v="Y"/>
    <s v="Success"/>
    <x v="0"/>
    <x v="0"/>
    <x v="2"/>
  </r>
  <r>
    <s v="TX1000766"/>
    <x v="10"/>
    <x v="4"/>
    <d v="1899-12-30T22:44:50"/>
    <n v="3171.61"/>
    <s v="USD"/>
    <s v="M1802"/>
    <x v="4"/>
    <s v="United Kingdom"/>
    <s v="C52733"/>
    <n v="42"/>
    <s v="Other"/>
    <x v="4"/>
    <x v="5"/>
    <s v="Y"/>
    <s v="Success"/>
    <x v="0"/>
    <x v="0"/>
    <x v="2"/>
  </r>
  <r>
    <s v="TX1000853"/>
    <x v="12"/>
    <x v="4"/>
    <d v="1899-12-30T10:46:27"/>
    <n v="3158.31"/>
    <s v="USD"/>
    <s v="M1999"/>
    <x v="8"/>
    <s v="Germany"/>
    <s v="C69794"/>
    <n v="50"/>
    <s v="Other"/>
    <x v="10"/>
    <x v="0"/>
    <s v="Y"/>
    <s v="Success"/>
    <x v="0"/>
    <x v="0"/>
    <x v="2"/>
  </r>
  <r>
    <s v="TX1002227"/>
    <x v="24"/>
    <x v="2"/>
    <d v="1899-12-30T22:07:29"/>
    <n v="3149.17"/>
    <s v="USD"/>
    <s v="M1088"/>
    <x v="7"/>
    <s v="Australia"/>
    <s v="C88873"/>
    <n v="64"/>
    <s v="M"/>
    <x v="5"/>
    <x v="5"/>
    <s v="Y"/>
    <s v="Success"/>
    <x v="0"/>
    <x v="0"/>
    <x v="3"/>
  </r>
  <r>
    <s v="TX1000464"/>
    <x v="25"/>
    <x v="1"/>
    <d v="1899-12-30T14:47:06"/>
    <n v="3079.76"/>
    <s v="USD"/>
    <s v="M1202"/>
    <x v="1"/>
    <s v="Norway"/>
    <s v="C57449"/>
    <n v="69"/>
    <s v="Other"/>
    <x v="10"/>
    <x v="5"/>
    <s v="Y"/>
    <s v="Success"/>
    <x v="0"/>
    <x v="0"/>
    <x v="3"/>
  </r>
  <r>
    <s v="TX1001789"/>
    <x v="26"/>
    <x v="5"/>
    <d v="1899-12-30T10:46:22"/>
    <n v="3045.01"/>
    <s v="USD"/>
    <s v="M1271"/>
    <x v="5"/>
    <s v="Canada"/>
    <s v="C95523"/>
    <n v="29"/>
    <s v="F"/>
    <x v="9"/>
    <x v="3"/>
    <s v="Y"/>
    <s v="Success"/>
    <x v="0"/>
    <x v="0"/>
    <x v="1"/>
  </r>
  <r>
    <s v="TX1001693"/>
    <x v="27"/>
    <x v="5"/>
    <d v="1899-12-30T12:55:59"/>
    <n v="2949.31"/>
    <s v="USD"/>
    <s v="M1763"/>
    <x v="7"/>
    <s v="Nigeria"/>
    <s v="C67576"/>
    <n v="40"/>
    <s v="F"/>
    <x v="14"/>
    <x v="5"/>
    <s v="Y"/>
    <s v="Success"/>
    <x v="0"/>
    <x v="0"/>
    <x v="2"/>
  </r>
  <r>
    <s v="TX1002507"/>
    <x v="28"/>
    <x v="2"/>
    <d v="1899-12-30T22:32:53"/>
    <n v="2898.81"/>
    <s v="USD"/>
    <s v="M1981"/>
    <x v="3"/>
    <s v="United States"/>
    <s v="C71306"/>
    <n v="62"/>
    <s v="M"/>
    <x v="11"/>
    <x v="2"/>
    <s v="Y"/>
    <s v="Success"/>
    <x v="0"/>
    <x v="0"/>
    <x v="3"/>
  </r>
  <r>
    <s v="TX1001565"/>
    <x v="29"/>
    <x v="5"/>
    <d v="1899-12-30T18:54:00"/>
    <n v="2877.13"/>
    <s v="USD"/>
    <s v="M1507"/>
    <x v="1"/>
    <s v="France"/>
    <s v="C50401"/>
    <n v="37"/>
    <s v="Other"/>
    <x v="12"/>
    <x v="3"/>
    <s v="Y"/>
    <s v="Success"/>
    <x v="0"/>
    <x v="0"/>
    <x v="1"/>
  </r>
  <r>
    <s v="TX1000133"/>
    <x v="30"/>
    <x v="1"/>
    <d v="1899-12-30T01:16:02"/>
    <n v="2686.08"/>
    <s v="USD"/>
    <s v="M1914"/>
    <x v="0"/>
    <s v="Canada"/>
    <s v="C97222"/>
    <n v="72"/>
    <s v="Other"/>
    <x v="1"/>
    <x v="2"/>
    <s v="Y"/>
    <s v="Success"/>
    <x v="0"/>
    <x v="0"/>
    <x v="3"/>
  </r>
  <r>
    <s v="TX1000222"/>
    <x v="31"/>
    <x v="1"/>
    <d v="1899-12-30T22:20:19"/>
    <n v="2379.6799999999998"/>
    <s v="USD"/>
    <s v="M1456"/>
    <x v="0"/>
    <s v="India"/>
    <s v="C64135"/>
    <n v="69"/>
    <s v="F"/>
    <x v="12"/>
    <x v="5"/>
    <s v="Y"/>
    <s v="Success"/>
    <x v="0"/>
    <x v="0"/>
    <x v="3"/>
  </r>
  <r>
    <s v="TX1000276"/>
    <x v="32"/>
    <x v="1"/>
    <d v="1899-12-30T15:25:11"/>
    <n v="2355.92"/>
    <s v="USD"/>
    <s v="M1763"/>
    <x v="2"/>
    <s v="Australia"/>
    <s v="C96835"/>
    <n v="56"/>
    <s v="M"/>
    <x v="2"/>
    <x v="1"/>
    <s v="Y"/>
    <s v="Success"/>
    <x v="0"/>
    <x v="0"/>
    <x v="2"/>
  </r>
  <r>
    <s v="TX1002061"/>
    <x v="33"/>
    <x v="2"/>
    <d v="1899-12-30T14:37:10"/>
    <n v="2281.67"/>
    <s v="USD"/>
    <s v="M1168"/>
    <x v="6"/>
    <s v="India"/>
    <s v="C87682"/>
    <n v="53"/>
    <s v="F"/>
    <x v="11"/>
    <x v="4"/>
    <s v="Y"/>
    <s v="Success"/>
    <x v="0"/>
    <x v="0"/>
    <x v="2"/>
  </r>
  <r>
    <s v="TX1002671"/>
    <x v="34"/>
    <x v="3"/>
    <d v="1899-12-30T04:02:28"/>
    <n v="2277.85"/>
    <s v="USD"/>
    <s v="M1194"/>
    <x v="7"/>
    <s v="Canada"/>
    <s v="C56986"/>
    <n v="75"/>
    <s v="F"/>
    <x v="1"/>
    <x v="0"/>
    <s v="Y"/>
    <s v="Success"/>
    <x v="0"/>
    <x v="0"/>
    <x v="3"/>
  </r>
  <r>
    <s v="TX1001005"/>
    <x v="35"/>
    <x v="0"/>
    <d v="1899-12-30T14:27:39"/>
    <n v="2245.9299999999998"/>
    <s v="USD"/>
    <s v="M1282"/>
    <x v="9"/>
    <s v="Sweden"/>
    <s v="C66295"/>
    <n v="29"/>
    <s v="M"/>
    <x v="4"/>
    <x v="0"/>
    <s v="N"/>
    <s v="Success"/>
    <x v="0"/>
    <x v="0"/>
    <x v="1"/>
  </r>
  <r>
    <s v="TX1000578"/>
    <x v="36"/>
    <x v="4"/>
    <d v="1899-12-30T15:30:28"/>
    <n v="2232.0300000000002"/>
    <s v="USD"/>
    <s v="M1645"/>
    <x v="8"/>
    <s v="Poland"/>
    <s v="C90532"/>
    <n v="36"/>
    <s v="F"/>
    <x v="8"/>
    <x v="1"/>
    <s v="Y"/>
    <s v="Success"/>
    <x v="0"/>
    <x v="0"/>
    <x v="1"/>
  </r>
  <r>
    <s v="TX1000086"/>
    <x v="37"/>
    <x v="1"/>
    <d v="1899-12-30T00:11:40"/>
    <n v="2094.11"/>
    <s v="USD"/>
    <s v="M1782"/>
    <x v="3"/>
    <s v="South Africa"/>
    <s v="C55769"/>
    <n v="45"/>
    <s v="F"/>
    <x v="13"/>
    <x v="4"/>
    <s v="Y"/>
    <s v="Success"/>
    <x v="0"/>
    <x v="0"/>
    <x v="2"/>
  </r>
  <r>
    <s v="TX1002266"/>
    <x v="38"/>
    <x v="2"/>
    <d v="1899-12-30T06:59:04"/>
    <n v="2084.1"/>
    <s v="USD"/>
    <s v="M1843"/>
    <x v="0"/>
    <s v="Norway"/>
    <s v="C80555"/>
    <n v="45"/>
    <s v="M"/>
    <x v="14"/>
    <x v="5"/>
    <s v="Y"/>
    <s v="Success"/>
    <x v="1"/>
    <x v="1"/>
    <x v="2"/>
  </r>
  <r>
    <s v="TX1001656"/>
    <x v="39"/>
    <x v="5"/>
    <d v="1899-12-30T14:53:06"/>
    <n v="2037.83"/>
    <s v="USD"/>
    <s v="M1560"/>
    <x v="8"/>
    <s v="Nigeria"/>
    <s v="C82072"/>
    <n v="34"/>
    <s v="F"/>
    <x v="10"/>
    <x v="0"/>
    <s v="Y"/>
    <s v="Success"/>
    <x v="0"/>
    <x v="0"/>
    <x v="1"/>
  </r>
  <r>
    <s v="TX1001166"/>
    <x v="40"/>
    <x v="0"/>
    <d v="1899-12-30T13:43:27"/>
    <n v="1940.09"/>
    <s v="USD"/>
    <s v="M1815"/>
    <x v="6"/>
    <s v="United States"/>
    <s v="C52066"/>
    <n v="22"/>
    <s v="Other"/>
    <x v="13"/>
    <x v="0"/>
    <s v="Y"/>
    <s v="Success"/>
    <x v="0"/>
    <x v="0"/>
    <x v="0"/>
  </r>
  <r>
    <s v="TX1002649"/>
    <x v="41"/>
    <x v="3"/>
    <d v="1899-12-30T09:48:22"/>
    <n v="1884.2"/>
    <s v="USD"/>
    <s v="M1271"/>
    <x v="2"/>
    <s v="India"/>
    <s v="C81940"/>
    <n v="13"/>
    <s v="M"/>
    <x v="0"/>
    <x v="5"/>
    <s v="Y"/>
    <s v="Success"/>
    <x v="0"/>
    <x v="0"/>
    <x v="0"/>
  </r>
  <r>
    <s v="TX1000127"/>
    <x v="5"/>
    <x v="1"/>
    <d v="1899-12-30T10:15:42"/>
    <n v="1700.14"/>
    <s v="USD"/>
    <s v="M1515"/>
    <x v="8"/>
    <s v="France"/>
    <s v="C57668"/>
    <n v="70"/>
    <s v="Other"/>
    <x v="12"/>
    <x v="3"/>
    <s v="Y"/>
    <s v="Success"/>
    <x v="0"/>
    <x v="0"/>
    <x v="3"/>
  </r>
  <r>
    <s v="TX1000956"/>
    <x v="16"/>
    <x v="0"/>
    <d v="1899-12-30T01:25:14"/>
    <n v="1671.09"/>
    <s v="USD"/>
    <s v="M1829"/>
    <x v="5"/>
    <s v="Spain"/>
    <s v="C92727"/>
    <n v="25"/>
    <s v="Other"/>
    <x v="0"/>
    <x v="3"/>
    <s v="N"/>
    <s v="Success"/>
    <x v="1"/>
    <x v="1"/>
    <x v="1"/>
  </r>
  <r>
    <s v="TX1002161"/>
    <x v="2"/>
    <x v="2"/>
    <d v="1899-12-30T12:16:36"/>
    <n v="1633.79"/>
    <s v="USD"/>
    <s v="M1498"/>
    <x v="0"/>
    <s v="Spain"/>
    <s v="C72406"/>
    <n v="60"/>
    <s v="M"/>
    <x v="2"/>
    <x v="4"/>
    <s v="Y"/>
    <s v="Success"/>
    <x v="0"/>
    <x v="0"/>
    <x v="3"/>
  </r>
  <r>
    <s v="TX1000152"/>
    <x v="42"/>
    <x v="1"/>
    <d v="1899-12-30T01:18:50"/>
    <n v="1540.34"/>
    <s v="USD"/>
    <s v="M1227"/>
    <x v="6"/>
    <s v="Norway"/>
    <s v="C70637"/>
    <n v="45"/>
    <s v="Other"/>
    <x v="9"/>
    <x v="1"/>
    <s v="N"/>
    <s v="Success"/>
    <x v="0"/>
    <x v="0"/>
    <x v="2"/>
  </r>
  <r>
    <s v="TX1000341"/>
    <x v="43"/>
    <x v="1"/>
    <d v="1899-12-30T12:28:00"/>
    <n v="1466.51"/>
    <s v="USD"/>
    <s v="M1656"/>
    <x v="0"/>
    <s v="United Kingdom"/>
    <s v="C51509"/>
    <n v="62"/>
    <s v="Other"/>
    <x v="6"/>
    <x v="0"/>
    <s v="Y"/>
    <s v="Success"/>
    <x v="0"/>
    <x v="0"/>
    <x v="3"/>
  </r>
  <r>
    <s v="TX1000072"/>
    <x v="44"/>
    <x v="1"/>
    <d v="1899-12-30T03:38:10"/>
    <n v="1350.51"/>
    <s v="USD"/>
    <s v="M1491"/>
    <x v="6"/>
    <s v="India"/>
    <s v="C51686"/>
    <n v="48"/>
    <s v="M"/>
    <x v="12"/>
    <x v="2"/>
    <s v="Y"/>
    <s v="Success"/>
    <x v="0"/>
    <x v="0"/>
    <x v="2"/>
  </r>
  <r>
    <s v="TX1002940"/>
    <x v="45"/>
    <x v="3"/>
    <d v="1899-12-30T14:57:14"/>
    <n v="1307.4000000000001"/>
    <s v="USD"/>
    <s v="M1491"/>
    <x v="0"/>
    <s v="France"/>
    <s v="C53730"/>
    <n v="63"/>
    <s v="M"/>
    <x v="13"/>
    <x v="3"/>
    <s v="Y"/>
    <s v="Success"/>
    <x v="0"/>
    <x v="0"/>
    <x v="3"/>
  </r>
  <r>
    <s v="TX1002483"/>
    <x v="19"/>
    <x v="2"/>
    <d v="1899-12-30T16:56:10"/>
    <n v="1269.26"/>
    <s v="USD"/>
    <s v="M1977"/>
    <x v="3"/>
    <s v="South Africa"/>
    <s v="C81880"/>
    <n v="73"/>
    <s v="F"/>
    <x v="14"/>
    <x v="0"/>
    <s v="Y"/>
    <s v="Success"/>
    <x v="0"/>
    <x v="0"/>
    <x v="3"/>
  </r>
  <r>
    <s v="TX1002420"/>
    <x v="46"/>
    <x v="2"/>
    <d v="1899-12-30T09:50:15"/>
    <n v="1185.7"/>
    <s v="USD"/>
    <s v="M1218"/>
    <x v="9"/>
    <s v="United States"/>
    <s v="C61764"/>
    <n v="39"/>
    <s v="F"/>
    <x v="6"/>
    <x v="5"/>
    <s v="Y"/>
    <s v="Success"/>
    <x v="0"/>
    <x v="0"/>
    <x v="1"/>
  </r>
  <r>
    <s v="TX1001066"/>
    <x v="47"/>
    <x v="0"/>
    <d v="1899-12-30T06:58:12"/>
    <n v="1132.96"/>
    <s v="USD"/>
    <s v="M1055"/>
    <x v="3"/>
    <s v="Canada"/>
    <s v="C78294"/>
    <n v="39"/>
    <s v="Other"/>
    <x v="1"/>
    <x v="3"/>
    <s v="Y"/>
    <s v="Success"/>
    <x v="0"/>
    <x v="0"/>
    <x v="1"/>
  </r>
  <r>
    <s v="TX1001301"/>
    <x v="48"/>
    <x v="0"/>
    <d v="1899-12-30T00:48:11"/>
    <n v="1129.49"/>
    <s v="USD"/>
    <s v="M1854"/>
    <x v="5"/>
    <s v="Nigeria"/>
    <s v="C71710"/>
    <n v="63"/>
    <s v="F"/>
    <x v="10"/>
    <x v="5"/>
    <s v="Y"/>
    <s v="Success"/>
    <x v="0"/>
    <x v="0"/>
    <x v="3"/>
  </r>
  <r>
    <s v="TX1000196"/>
    <x v="49"/>
    <x v="1"/>
    <d v="1899-12-30T19:34:06"/>
    <n v="1033.9000000000001"/>
    <s v="USD"/>
    <s v="M1421"/>
    <x v="7"/>
    <s v="Canada"/>
    <s v="C56809"/>
    <n v="34"/>
    <s v="M"/>
    <x v="1"/>
    <x v="4"/>
    <s v="Y"/>
    <s v="Success"/>
    <x v="0"/>
    <x v="0"/>
    <x v="1"/>
  </r>
  <r>
    <s v="TX1001364"/>
    <x v="50"/>
    <x v="0"/>
    <d v="1899-12-30T18:11:06"/>
    <n v="1014.41"/>
    <s v="USD"/>
    <s v="M1426"/>
    <x v="5"/>
    <s v="South Africa"/>
    <s v="C80677"/>
    <n v="23"/>
    <s v="M"/>
    <x v="0"/>
    <x v="0"/>
    <s v="Y"/>
    <s v="Success"/>
    <x v="0"/>
    <x v="0"/>
    <x v="0"/>
  </r>
  <r>
    <s v="TX1000874"/>
    <x v="51"/>
    <x v="4"/>
    <d v="1899-12-30T09:04:09"/>
    <n v="1002.53"/>
    <s v="USD"/>
    <s v="M1353"/>
    <x v="4"/>
    <s v="Sweden"/>
    <s v="C94487"/>
    <n v="56"/>
    <s v="F"/>
    <x v="14"/>
    <x v="5"/>
    <s v="Y"/>
    <s v="Success"/>
    <x v="0"/>
    <x v="0"/>
    <x v="2"/>
  </r>
  <r>
    <s v="TX1002347"/>
    <x v="14"/>
    <x v="2"/>
    <d v="1899-12-30T08:29:45"/>
    <n v="999.7"/>
    <s v="USD"/>
    <s v="M1928"/>
    <x v="5"/>
    <s v="Kenya"/>
    <s v="C79916"/>
    <n v="42"/>
    <s v="Other"/>
    <x v="14"/>
    <x v="3"/>
    <s v="Y"/>
    <s v="Success"/>
    <x v="0"/>
    <x v="0"/>
    <x v="2"/>
  </r>
  <r>
    <s v="TX1002563"/>
    <x v="52"/>
    <x v="3"/>
    <d v="1899-12-30T08:17:18"/>
    <n v="997.99"/>
    <s v="USD"/>
    <s v="M1269"/>
    <x v="4"/>
    <s v="South Africa"/>
    <s v="C78490"/>
    <n v="34"/>
    <s v="Other"/>
    <x v="5"/>
    <x v="1"/>
    <s v="Y"/>
    <s v="Success"/>
    <x v="0"/>
    <x v="0"/>
    <x v="1"/>
  </r>
  <r>
    <s v="TX1001133"/>
    <x v="3"/>
    <x v="0"/>
    <d v="1899-12-30T10:18:32"/>
    <n v="995.93"/>
    <s v="USD"/>
    <s v="M1673"/>
    <x v="4"/>
    <s v="Nigeria"/>
    <s v="C73911"/>
    <n v="52"/>
    <s v="F"/>
    <x v="12"/>
    <x v="0"/>
    <s v="Y"/>
    <s v="Success"/>
    <x v="1"/>
    <x v="1"/>
    <x v="2"/>
  </r>
  <r>
    <s v="TX1001884"/>
    <x v="53"/>
    <x v="5"/>
    <d v="1899-12-30T09:49:48"/>
    <n v="994.82"/>
    <s v="USD"/>
    <s v="M1880"/>
    <x v="8"/>
    <s v="Nigeria"/>
    <s v="C77852"/>
    <n v="30"/>
    <s v="Other"/>
    <x v="1"/>
    <x v="3"/>
    <s v="Y"/>
    <s v="Success"/>
    <x v="0"/>
    <x v="0"/>
    <x v="1"/>
  </r>
  <r>
    <s v="TX1001370"/>
    <x v="54"/>
    <x v="0"/>
    <d v="1899-12-30T00:07:43"/>
    <n v="991.81"/>
    <s v="USD"/>
    <s v="M1922"/>
    <x v="1"/>
    <s v="France"/>
    <s v="C90918"/>
    <n v="61"/>
    <s v="Other"/>
    <x v="14"/>
    <x v="3"/>
    <s v="Y"/>
    <s v="Success"/>
    <x v="0"/>
    <x v="0"/>
    <x v="3"/>
  </r>
  <r>
    <s v="TX1000211"/>
    <x v="31"/>
    <x v="1"/>
    <d v="1899-12-30T09:27:52"/>
    <n v="984.15"/>
    <s v="USD"/>
    <s v="M1481"/>
    <x v="0"/>
    <s v="Kenya"/>
    <s v="C77898"/>
    <n v="70"/>
    <s v="M"/>
    <x v="10"/>
    <x v="2"/>
    <s v="Y"/>
    <s v="Success"/>
    <x v="0"/>
    <x v="0"/>
    <x v="3"/>
  </r>
  <r>
    <s v="TX1000283"/>
    <x v="55"/>
    <x v="1"/>
    <d v="1899-12-30T05:55:30"/>
    <n v="983.83"/>
    <s v="USD"/>
    <s v="M1187"/>
    <x v="8"/>
    <s v="Sweden"/>
    <s v="C55873"/>
    <n v="21"/>
    <s v="Other"/>
    <x v="2"/>
    <x v="5"/>
    <s v="Y"/>
    <s v="Success"/>
    <x v="0"/>
    <x v="0"/>
    <x v="0"/>
  </r>
  <r>
    <s v="TX1000383"/>
    <x v="56"/>
    <x v="1"/>
    <d v="1899-12-30T23:00:06"/>
    <n v="981.95"/>
    <s v="USD"/>
    <s v="M1809"/>
    <x v="6"/>
    <s v="Netherlands"/>
    <s v="C86752"/>
    <n v="45"/>
    <s v="M"/>
    <x v="12"/>
    <x v="2"/>
    <s v="Y"/>
    <s v="Success"/>
    <x v="0"/>
    <x v="0"/>
    <x v="2"/>
  </r>
  <r>
    <s v="TX1000493"/>
    <x v="57"/>
    <x v="4"/>
    <d v="1899-12-30T05:41:42"/>
    <n v="978.69"/>
    <s v="USD"/>
    <s v="M1240"/>
    <x v="4"/>
    <s v="Spain"/>
    <s v="C85231"/>
    <n v="24"/>
    <s v="F"/>
    <x v="11"/>
    <x v="5"/>
    <s v="Y"/>
    <s v="Success"/>
    <x v="0"/>
    <x v="0"/>
    <x v="0"/>
  </r>
  <r>
    <s v="TX1001523"/>
    <x v="58"/>
    <x v="5"/>
    <d v="1899-12-30T16:41:22"/>
    <n v="976.81"/>
    <s v="USD"/>
    <s v="M1966"/>
    <x v="9"/>
    <s v="Sweden"/>
    <s v="C72303"/>
    <n v="38"/>
    <s v="Other"/>
    <x v="2"/>
    <x v="4"/>
    <s v="Y"/>
    <s v="Success"/>
    <x v="0"/>
    <x v="0"/>
    <x v="1"/>
  </r>
  <r>
    <s v="TX1002639"/>
    <x v="11"/>
    <x v="3"/>
    <d v="1899-12-30T16:55:26"/>
    <n v="974.74"/>
    <s v="USD"/>
    <s v="M1334"/>
    <x v="4"/>
    <s v="United Kingdom"/>
    <s v="C92271"/>
    <n v="55"/>
    <s v="F"/>
    <x v="6"/>
    <x v="5"/>
    <s v="Y"/>
    <s v="Success"/>
    <x v="0"/>
    <x v="0"/>
    <x v="2"/>
  </r>
  <r>
    <s v="TX1001090"/>
    <x v="59"/>
    <x v="0"/>
    <d v="1899-12-30T14:23:13"/>
    <n v="974.73"/>
    <s v="USD"/>
    <s v="M1554"/>
    <x v="2"/>
    <s v="Kenya"/>
    <s v="C94060"/>
    <n v="49"/>
    <s v="M"/>
    <x v="3"/>
    <x v="5"/>
    <s v="Y"/>
    <s v="Success"/>
    <x v="0"/>
    <x v="0"/>
    <x v="2"/>
  </r>
  <r>
    <s v="TX1001400"/>
    <x v="60"/>
    <x v="0"/>
    <d v="1899-12-30T12:48:32"/>
    <n v="973.23"/>
    <s v="USD"/>
    <s v="M1819"/>
    <x v="8"/>
    <s v="Netherlands"/>
    <s v="C97832"/>
    <n v="41"/>
    <s v="F"/>
    <x v="6"/>
    <x v="5"/>
    <s v="Y"/>
    <s v="Success"/>
    <x v="0"/>
    <x v="0"/>
    <x v="2"/>
  </r>
  <r>
    <s v="TX1001461"/>
    <x v="61"/>
    <x v="0"/>
    <d v="1899-12-30T13:44:59"/>
    <n v="972.87"/>
    <s v="USD"/>
    <s v="M1623"/>
    <x v="1"/>
    <s v="Nigeria"/>
    <s v="C55557"/>
    <n v="64"/>
    <s v="Other"/>
    <x v="13"/>
    <x v="2"/>
    <s v="N"/>
    <s v="Success"/>
    <x v="0"/>
    <x v="0"/>
    <x v="3"/>
  </r>
  <r>
    <s v="TX1001375"/>
    <x v="54"/>
    <x v="0"/>
    <d v="1899-12-30T03:42:09"/>
    <n v="970.24"/>
    <s v="USD"/>
    <s v="M1819"/>
    <x v="7"/>
    <s v="Canada"/>
    <s v="C66402"/>
    <n v="53"/>
    <s v="Other"/>
    <x v="8"/>
    <x v="1"/>
    <s v="Y"/>
    <s v="Success"/>
    <x v="0"/>
    <x v="0"/>
    <x v="2"/>
  </r>
  <r>
    <s v="TX1000693"/>
    <x v="62"/>
    <x v="4"/>
    <d v="1899-12-30T03:07:52"/>
    <n v="956.27"/>
    <s v="USD"/>
    <s v="M1663"/>
    <x v="8"/>
    <s v="India"/>
    <s v="C69204"/>
    <n v="21"/>
    <s v="F"/>
    <x v="13"/>
    <x v="5"/>
    <s v="Y"/>
    <s v="Success"/>
    <x v="0"/>
    <x v="0"/>
    <x v="0"/>
  </r>
  <r>
    <s v="TX1002941"/>
    <x v="45"/>
    <x v="3"/>
    <d v="1899-12-30T15:17:58"/>
    <n v="954.5"/>
    <s v="USD"/>
    <s v="M1081"/>
    <x v="3"/>
    <s v="Germany"/>
    <s v="C54153"/>
    <n v="23"/>
    <s v="Other"/>
    <x v="4"/>
    <x v="3"/>
    <s v="Y"/>
    <s v="Success"/>
    <x v="1"/>
    <x v="1"/>
    <x v="0"/>
  </r>
  <r>
    <s v="TX1000510"/>
    <x v="63"/>
    <x v="4"/>
    <d v="1899-12-30T02:17:06"/>
    <n v="951.99"/>
    <s v="USD"/>
    <s v="M1418"/>
    <x v="5"/>
    <s v="Poland"/>
    <s v="C59170"/>
    <n v="63"/>
    <s v="M"/>
    <x v="11"/>
    <x v="3"/>
    <s v="Y"/>
    <s v="Success"/>
    <x v="0"/>
    <x v="0"/>
    <x v="3"/>
  </r>
  <r>
    <s v="TX1002202"/>
    <x v="64"/>
    <x v="2"/>
    <d v="1899-12-30T15:25:23"/>
    <n v="950.34"/>
    <s v="USD"/>
    <s v="M1935"/>
    <x v="5"/>
    <s v="Netherlands"/>
    <s v="C80183"/>
    <n v="65"/>
    <s v="M"/>
    <x v="2"/>
    <x v="1"/>
    <s v="Y"/>
    <s v="Success"/>
    <x v="0"/>
    <x v="0"/>
    <x v="3"/>
  </r>
  <r>
    <s v="TX1000632"/>
    <x v="65"/>
    <x v="4"/>
    <d v="1899-12-30T16:11:12"/>
    <n v="950.08"/>
    <s v="USD"/>
    <s v="M1241"/>
    <x v="1"/>
    <s v="Spain"/>
    <s v="C82234"/>
    <n v="45"/>
    <s v="M"/>
    <x v="12"/>
    <x v="5"/>
    <s v="Y"/>
    <s v="Success"/>
    <x v="0"/>
    <x v="0"/>
    <x v="2"/>
  </r>
  <r>
    <s v="TX1001604"/>
    <x v="66"/>
    <x v="5"/>
    <d v="1899-12-30T07:51:03"/>
    <n v="948.76"/>
    <s v="USD"/>
    <s v="M1444"/>
    <x v="9"/>
    <s v="Spain"/>
    <s v="C89649"/>
    <n v="28"/>
    <s v="Other"/>
    <x v="12"/>
    <x v="4"/>
    <s v="Y"/>
    <s v="Success"/>
    <x v="0"/>
    <x v="0"/>
    <x v="1"/>
  </r>
  <r>
    <s v="TX1002445"/>
    <x v="67"/>
    <x v="2"/>
    <d v="1899-12-30T13:19:28"/>
    <n v="948.51"/>
    <s v="USD"/>
    <s v="M1194"/>
    <x v="3"/>
    <s v="Netherlands"/>
    <s v="C72108"/>
    <n v="53"/>
    <s v="Other"/>
    <x v="2"/>
    <x v="4"/>
    <s v="Y"/>
    <s v="Success"/>
    <x v="0"/>
    <x v="0"/>
    <x v="2"/>
  </r>
  <r>
    <s v="TX1001483"/>
    <x v="0"/>
    <x v="0"/>
    <d v="1899-12-30T11:20:15"/>
    <n v="947.02"/>
    <s v="USD"/>
    <s v="M1256"/>
    <x v="1"/>
    <s v="Netherlands"/>
    <s v="C89688"/>
    <n v="45"/>
    <s v="Other"/>
    <x v="4"/>
    <x v="3"/>
    <s v="Y"/>
    <s v="Success"/>
    <x v="0"/>
    <x v="0"/>
    <x v="2"/>
  </r>
  <r>
    <s v="TX1000905"/>
    <x v="68"/>
    <x v="4"/>
    <d v="1899-12-30T00:17:39"/>
    <n v="943.97"/>
    <s v="USD"/>
    <s v="M1343"/>
    <x v="6"/>
    <s v="Nigeria"/>
    <s v="C77138"/>
    <n v="44"/>
    <s v="Other"/>
    <x v="7"/>
    <x v="4"/>
    <s v="Y"/>
    <s v="Success"/>
    <x v="0"/>
    <x v="0"/>
    <x v="2"/>
  </r>
  <r>
    <s v="TX1002244"/>
    <x v="69"/>
    <x v="2"/>
    <d v="1899-12-30T00:40:24"/>
    <n v="943.4"/>
    <s v="USD"/>
    <s v="M1121"/>
    <x v="0"/>
    <s v="Nigeria"/>
    <s v="C87545"/>
    <n v="60"/>
    <s v="Other"/>
    <x v="3"/>
    <x v="4"/>
    <s v="Y"/>
    <s v="Success"/>
    <x v="0"/>
    <x v="0"/>
    <x v="3"/>
  </r>
  <r>
    <s v="TX1002438"/>
    <x v="67"/>
    <x v="2"/>
    <d v="1899-12-30T05:16:57"/>
    <n v="942.23"/>
    <s v="USD"/>
    <s v="M1188"/>
    <x v="0"/>
    <s v="Sweden"/>
    <s v="C91871"/>
    <n v="31"/>
    <s v="F"/>
    <x v="3"/>
    <x v="3"/>
    <s v="Y"/>
    <s v="Success"/>
    <x v="0"/>
    <x v="0"/>
    <x v="1"/>
  </r>
  <r>
    <s v="TX1001385"/>
    <x v="54"/>
    <x v="0"/>
    <d v="1899-12-30T22:51:27"/>
    <n v="940.26"/>
    <s v="USD"/>
    <s v="M1399"/>
    <x v="2"/>
    <s v="Spain"/>
    <s v="C96841"/>
    <n v="50"/>
    <s v="M"/>
    <x v="8"/>
    <x v="0"/>
    <s v="Y"/>
    <s v="Success"/>
    <x v="1"/>
    <x v="1"/>
    <x v="2"/>
  </r>
  <r>
    <s v="TX1001737"/>
    <x v="70"/>
    <x v="5"/>
    <d v="1899-12-30T19:31:03"/>
    <n v="940"/>
    <s v="USD"/>
    <s v="M1631"/>
    <x v="0"/>
    <s v="France"/>
    <s v="C51571"/>
    <n v="40"/>
    <s v="Other"/>
    <x v="0"/>
    <x v="3"/>
    <s v="Y"/>
    <s v="Success"/>
    <x v="0"/>
    <x v="0"/>
    <x v="2"/>
  </r>
  <r>
    <s v="TX1001994"/>
    <x v="71"/>
    <x v="5"/>
    <d v="1899-12-30T20:45:51"/>
    <n v="937.79"/>
    <s v="USD"/>
    <s v="M1311"/>
    <x v="6"/>
    <s v="Canada"/>
    <s v="C69466"/>
    <n v="48"/>
    <s v="Other"/>
    <x v="10"/>
    <x v="1"/>
    <s v="Y"/>
    <s v="Success"/>
    <x v="0"/>
    <x v="0"/>
    <x v="2"/>
  </r>
  <r>
    <s v="TX1000851"/>
    <x v="12"/>
    <x v="4"/>
    <d v="1899-12-30T09:27:50"/>
    <n v="933.06"/>
    <s v="USD"/>
    <s v="M1875"/>
    <x v="9"/>
    <s v="Norway"/>
    <s v="C81767"/>
    <n v="32"/>
    <s v="Other"/>
    <x v="5"/>
    <x v="1"/>
    <s v="Y"/>
    <s v="Success"/>
    <x v="0"/>
    <x v="0"/>
    <x v="1"/>
  </r>
  <r>
    <s v="TX1001772"/>
    <x v="72"/>
    <x v="5"/>
    <d v="1899-12-30T17:10:30"/>
    <n v="930.07"/>
    <s v="USD"/>
    <s v="M1985"/>
    <x v="1"/>
    <s v="Norway"/>
    <s v="C77657"/>
    <n v="63"/>
    <s v="Other"/>
    <x v="8"/>
    <x v="3"/>
    <s v="Y"/>
    <s v="Success"/>
    <x v="0"/>
    <x v="0"/>
    <x v="3"/>
  </r>
  <r>
    <s v="TX1001942"/>
    <x v="73"/>
    <x v="5"/>
    <d v="1899-12-30T23:24:57"/>
    <n v="928.34"/>
    <s v="USD"/>
    <s v="M1410"/>
    <x v="8"/>
    <s v="Spain"/>
    <s v="C50888"/>
    <n v="44"/>
    <s v="F"/>
    <x v="5"/>
    <x v="4"/>
    <s v="Y"/>
    <s v="Success"/>
    <x v="0"/>
    <x v="0"/>
    <x v="2"/>
  </r>
  <r>
    <s v="TX1001353"/>
    <x v="74"/>
    <x v="0"/>
    <d v="1899-12-30T23:00:59"/>
    <n v="923.35"/>
    <s v="USD"/>
    <s v="M1348"/>
    <x v="3"/>
    <s v="Canada"/>
    <s v="C71825"/>
    <n v="23"/>
    <s v="M"/>
    <x v="0"/>
    <x v="3"/>
    <s v="Y"/>
    <s v="Success"/>
    <x v="0"/>
    <x v="0"/>
    <x v="0"/>
  </r>
  <r>
    <s v="TX1001245"/>
    <x v="75"/>
    <x v="0"/>
    <d v="1899-12-30T08:12:07"/>
    <n v="923.09"/>
    <s v="USD"/>
    <s v="M1767"/>
    <x v="5"/>
    <s v="Australia"/>
    <s v="C65489"/>
    <n v="45"/>
    <s v="F"/>
    <x v="13"/>
    <x v="3"/>
    <s v="Y"/>
    <s v="Success"/>
    <x v="0"/>
    <x v="0"/>
    <x v="2"/>
  </r>
  <r>
    <s v="TX1001612"/>
    <x v="66"/>
    <x v="5"/>
    <d v="1899-12-30T23:14:16"/>
    <n v="921.5"/>
    <s v="USD"/>
    <s v="M1840"/>
    <x v="6"/>
    <s v="Norway"/>
    <s v="C91738"/>
    <n v="50"/>
    <s v="F"/>
    <x v="13"/>
    <x v="3"/>
    <s v="Y"/>
    <s v="Success"/>
    <x v="0"/>
    <x v="0"/>
    <x v="2"/>
  </r>
  <r>
    <s v="TX1000500"/>
    <x v="57"/>
    <x v="4"/>
    <d v="1899-12-30T12:50:01"/>
    <n v="919.36"/>
    <s v="USD"/>
    <s v="M1266"/>
    <x v="5"/>
    <s v="Germany"/>
    <s v="C95167"/>
    <n v="54"/>
    <s v="F"/>
    <x v="7"/>
    <x v="4"/>
    <s v="Y"/>
    <s v="Success"/>
    <x v="0"/>
    <x v="0"/>
    <x v="2"/>
  </r>
  <r>
    <s v="TX1000867"/>
    <x v="12"/>
    <x v="4"/>
    <d v="1899-12-30T22:26:03"/>
    <n v="919.08"/>
    <s v="USD"/>
    <s v="M1669"/>
    <x v="8"/>
    <s v="United Kingdom"/>
    <s v="C54919"/>
    <n v="44"/>
    <s v="M"/>
    <x v="10"/>
    <x v="0"/>
    <s v="Y"/>
    <s v="Success"/>
    <x v="0"/>
    <x v="0"/>
    <x v="2"/>
  </r>
  <r>
    <s v="TX1001004"/>
    <x v="35"/>
    <x v="0"/>
    <d v="1899-12-30T13:50:49"/>
    <n v="916.16"/>
    <s v="USD"/>
    <s v="M1819"/>
    <x v="2"/>
    <s v="Nigeria"/>
    <s v="C93848"/>
    <n v="43"/>
    <s v="M"/>
    <x v="14"/>
    <x v="2"/>
    <s v="Y"/>
    <s v="Success"/>
    <x v="0"/>
    <x v="0"/>
    <x v="2"/>
  </r>
  <r>
    <s v="TX1001249"/>
    <x v="76"/>
    <x v="0"/>
    <d v="1899-12-30T03:33:19"/>
    <n v="909.08"/>
    <s v="USD"/>
    <s v="M1439"/>
    <x v="2"/>
    <s v="India"/>
    <s v="C55797"/>
    <n v="68"/>
    <s v="M"/>
    <x v="6"/>
    <x v="1"/>
    <s v="N"/>
    <s v="Success"/>
    <x v="0"/>
    <x v="0"/>
    <x v="3"/>
  </r>
  <r>
    <s v="TX1002367"/>
    <x v="77"/>
    <x v="2"/>
    <d v="1899-12-30T17:51:52"/>
    <n v="907.55"/>
    <s v="USD"/>
    <s v="M1586"/>
    <x v="1"/>
    <s v="Norway"/>
    <s v="C75790"/>
    <n v="74"/>
    <s v="F"/>
    <x v="7"/>
    <x v="3"/>
    <s v="Y"/>
    <s v="Success"/>
    <x v="0"/>
    <x v="0"/>
    <x v="3"/>
  </r>
  <r>
    <s v="TX1001964"/>
    <x v="78"/>
    <x v="5"/>
    <d v="1899-12-30T21:47:26"/>
    <n v="905.42"/>
    <s v="USD"/>
    <s v="M1266"/>
    <x v="6"/>
    <s v="Canada"/>
    <s v="C82243"/>
    <n v="46"/>
    <s v="Other"/>
    <x v="11"/>
    <x v="3"/>
    <s v="Y"/>
    <s v="Success"/>
    <x v="0"/>
    <x v="0"/>
    <x v="2"/>
  </r>
  <r>
    <s v="TX1002286"/>
    <x v="79"/>
    <x v="2"/>
    <d v="1899-12-30T16:27:28"/>
    <n v="904.57"/>
    <s v="USD"/>
    <s v="M1822"/>
    <x v="9"/>
    <s v="Sweden"/>
    <s v="C69065"/>
    <n v="57"/>
    <s v="Other"/>
    <x v="1"/>
    <x v="4"/>
    <s v="Y"/>
    <s v="Success"/>
    <x v="0"/>
    <x v="0"/>
    <x v="2"/>
  </r>
  <r>
    <s v="TX1002437"/>
    <x v="67"/>
    <x v="2"/>
    <d v="1899-12-30T03:28:57"/>
    <n v="904.41"/>
    <s v="USD"/>
    <s v="M1657"/>
    <x v="8"/>
    <s v="Netherlands"/>
    <s v="C87250"/>
    <n v="58"/>
    <s v="F"/>
    <x v="11"/>
    <x v="3"/>
    <s v="Y"/>
    <s v="Success"/>
    <x v="0"/>
    <x v="0"/>
    <x v="2"/>
  </r>
  <r>
    <s v="TX1000935"/>
    <x v="80"/>
    <x v="4"/>
    <d v="1899-12-30T20:01:08"/>
    <n v="902.65"/>
    <s v="USD"/>
    <s v="M1924"/>
    <x v="9"/>
    <s v="United States"/>
    <s v="C68795"/>
    <n v="41"/>
    <s v="F"/>
    <x v="10"/>
    <x v="0"/>
    <s v="Y"/>
    <s v="Success"/>
    <x v="0"/>
    <x v="0"/>
    <x v="2"/>
  </r>
  <r>
    <s v="TX1001209"/>
    <x v="81"/>
    <x v="0"/>
    <d v="1899-12-30T03:38:59"/>
    <n v="900.54"/>
    <s v="USD"/>
    <s v="M1315"/>
    <x v="1"/>
    <s v="Germany"/>
    <s v="C79561"/>
    <n v="23"/>
    <s v="F"/>
    <x v="10"/>
    <x v="3"/>
    <s v="Y"/>
    <s v="Success"/>
    <x v="0"/>
    <x v="0"/>
    <x v="0"/>
  </r>
  <r>
    <s v="TX1002392"/>
    <x v="82"/>
    <x v="2"/>
    <d v="1899-12-30T15:32:57"/>
    <n v="899.11"/>
    <s v="USD"/>
    <s v="M1438"/>
    <x v="5"/>
    <s v="Germany"/>
    <s v="C80084"/>
    <n v="59"/>
    <s v="M"/>
    <x v="14"/>
    <x v="1"/>
    <s v="Y"/>
    <s v="Success"/>
    <x v="0"/>
    <x v="0"/>
    <x v="2"/>
  </r>
  <r>
    <s v="TX1001538"/>
    <x v="83"/>
    <x v="5"/>
    <d v="1899-12-30T10:54:27"/>
    <n v="897.89"/>
    <s v="USD"/>
    <s v="M1415"/>
    <x v="3"/>
    <s v="Canada"/>
    <s v="C51580"/>
    <n v="62"/>
    <s v="Other"/>
    <x v="10"/>
    <x v="2"/>
    <s v="Y"/>
    <s v="Success"/>
    <x v="0"/>
    <x v="0"/>
    <x v="3"/>
  </r>
  <r>
    <s v="TX1001587"/>
    <x v="84"/>
    <x v="5"/>
    <d v="1899-12-30T00:24:35"/>
    <n v="896.91"/>
    <s v="USD"/>
    <s v="M1691"/>
    <x v="8"/>
    <s v="Germany"/>
    <s v="C60744"/>
    <n v="59"/>
    <s v="M"/>
    <x v="8"/>
    <x v="1"/>
    <s v="Y"/>
    <s v="Success"/>
    <x v="0"/>
    <x v="0"/>
    <x v="2"/>
  </r>
  <r>
    <s v="TX1000055"/>
    <x v="85"/>
    <x v="1"/>
    <d v="1899-12-30T09:19:40"/>
    <n v="886.95"/>
    <s v="USD"/>
    <s v="M1047"/>
    <x v="1"/>
    <s v="France"/>
    <s v="C75098"/>
    <n v="20"/>
    <s v="Other"/>
    <x v="4"/>
    <x v="3"/>
    <s v="Y"/>
    <s v="Success"/>
    <x v="0"/>
    <x v="0"/>
    <x v="0"/>
  </r>
  <r>
    <s v="TX1000130"/>
    <x v="5"/>
    <x v="1"/>
    <d v="1899-12-30T16:16:58"/>
    <n v="885.67"/>
    <s v="USD"/>
    <s v="M1380"/>
    <x v="2"/>
    <s v="France"/>
    <s v="C82266"/>
    <n v="35"/>
    <s v="F"/>
    <x v="5"/>
    <x v="0"/>
    <s v="Y"/>
    <s v="Success"/>
    <x v="0"/>
    <x v="0"/>
    <x v="1"/>
  </r>
  <r>
    <s v="TX1000916"/>
    <x v="68"/>
    <x v="4"/>
    <d v="1899-12-30T11:22:14"/>
    <n v="883.66"/>
    <s v="USD"/>
    <s v="M1264"/>
    <x v="4"/>
    <s v="United Kingdom"/>
    <s v="C52662"/>
    <n v="55"/>
    <s v="Other"/>
    <x v="12"/>
    <x v="3"/>
    <s v="Y"/>
    <s v="Success"/>
    <x v="0"/>
    <x v="0"/>
    <x v="2"/>
  </r>
  <r>
    <s v="TX1002839"/>
    <x v="86"/>
    <x v="3"/>
    <d v="1899-12-30T22:18:15"/>
    <n v="880.89"/>
    <s v="USD"/>
    <s v="M1305"/>
    <x v="8"/>
    <s v="Netherlands"/>
    <s v="C60106"/>
    <n v="54"/>
    <s v="Other"/>
    <x v="13"/>
    <x v="0"/>
    <s v="Y"/>
    <s v="Success"/>
    <x v="0"/>
    <x v="0"/>
    <x v="2"/>
  </r>
  <r>
    <s v="TX1002863"/>
    <x v="87"/>
    <x v="3"/>
    <d v="1899-12-30T08:07:27"/>
    <n v="877.12"/>
    <s v="USD"/>
    <s v="M1758"/>
    <x v="7"/>
    <s v="France"/>
    <s v="C79337"/>
    <n v="25"/>
    <s v="F"/>
    <x v="9"/>
    <x v="2"/>
    <s v="Y"/>
    <s v="Success"/>
    <x v="0"/>
    <x v="0"/>
    <x v="1"/>
  </r>
  <r>
    <s v="TX1000240"/>
    <x v="88"/>
    <x v="1"/>
    <d v="1899-12-30T19:56:24"/>
    <n v="875.35"/>
    <s v="USD"/>
    <s v="M1344"/>
    <x v="8"/>
    <s v="India"/>
    <s v="C87121"/>
    <n v="68"/>
    <s v="M"/>
    <x v="14"/>
    <x v="1"/>
    <s v="Y"/>
    <s v="Success"/>
    <x v="0"/>
    <x v="0"/>
    <x v="3"/>
  </r>
  <r>
    <s v="TX1001366"/>
    <x v="50"/>
    <x v="0"/>
    <d v="1899-12-30T20:30:48"/>
    <n v="871.46"/>
    <s v="USD"/>
    <s v="M1483"/>
    <x v="2"/>
    <s v="Norway"/>
    <s v="C74096"/>
    <n v="30"/>
    <s v="M"/>
    <x v="0"/>
    <x v="5"/>
    <s v="Y"/>
    <s v="Success"/>
    <x v="0"/>
    <x v="0"/>
    <x v="1"/>
  </r>
  <r>
    <s v="TX1002691"/>
    <x v="89"/>
    <x v="3"/>
    <d v="1899-12-30T15:40:26"/>
    <n v="867.6"/>
    <s v="USD"/>
    <s v="M1763"/>
    <x v="0"/>
    <s v="United States"/>
    <s v="C64563"/>
    <n v="69"/>
    <s v="Other"/>
    <x v="3"/>
    <x v="2"/>
    <s v="Y"/>
    <s v="Success"/>
    <x v="0"/>
    <x v="0"/>
    <x v="3"/>
  </r>
  <r>
    <s v="TX1002858"/>
    <x v="87"/>
    <x v="3"/>
    <d v="1899-12-30T00:31:33"/>
    <n v="866.52"/>
    <s v="USD"/>
    <s v="M1774"/>
    <x v="6"/>
    <s v="Norway"/>
    <s v="C60377"/>
    <n v="21"/>
    <s v="Other"/>
    <x v="6"/>
    <x v="1"/>
    <s v="Y"/>
    <s v="Success"/>
    <x v="0"/>
    <x v="0"/>
    <x v="0"/>
  </r>
  <r>
    <s v="TX1002410"/>
    <x v="90"/>
    <x v="2"/>
    <d v="1899-12-30T20:46:10"/>
    <n v="862.22"/>
    <s v="USD"/>
    <s v="M1143"/>
    <x v="1"/>
    <s v="Netherlands"/>
    <s v="C61134"/>
    <n v="56"/>
    <s v="Other"/>
    <x v="1"/>
    <x v="2"/>
    <s v="Y"/>
    <s v="Success"/>
    <x v="0"/>
    <x v="0"/>
    <x v="2"/>
  </r>
  <r>
    <s v="TX1000819"/>
    <x v="91"/>
    <x v="4"/>
    <d v="1899-12-30T16:11:11"/>
    <n v="861.93"/>
    <s v="USD"/>
    <s v="M1365"/>
    <x v="3"/>
    <s v="Norway"/>
    <s v="C78791"/>
    <n v="41"/>
    <s v="F"/>
    <x v="14"/>
    <x v="0"/>
    <s v="Y"/>
    <s v="Success"/>
    <x v="0"/>
    <x v="0"/>
    <x v="2"/>
  </r>
  <r>
    <s v="TX1001594"/>
    <x v="84"/>
    <x v="5"/>
    <d v="1899-12-30T12:40:09"/>
    <n v="860.19"/>
    <s v="USD"/>
    <s v="M1795"/>
    <x v="2"/>
    <s v="Germany"/>
    <s v="C66156"/>
    <n v="34"/>
    <s v="F"/>
    <x v="5"/>
    <x v="2"/>
    <s v="Y"/>
    <s v="Success"/>
    <x v="0"/>
    <x v="0"/>
    <x v="1"/>
  </r>
  <r>
    <s v="TX1001946"/>
    <x v="78"/>
    <x v="5"/>
    <d v="1899-12-30T02:11:53"/>
    <n v="857.54"/>
    <s v="USD"/>
    <s v="M1399"/>
    <x v="9"/>
    <s v="Australia"/>
    <s v="C78438"/>
    <n v="72"/>
    <s v="M"/>
    <x v="1"/>
    <x v="4"/>
    <s v="Y"/>
    <s v="Success"/>
    <x v="0"/>
    <x v="0"/>
    <x v="3"/>
  </r>
  <r>
    <s v="TX1001512"/>
    <x v="58"/>
    <x v="5"/>
    <d v="1899-12-30T00:04:09"/>
    <n v="856.3"/>
    <s v="USD"/>
    <s v="M1308"/>
    <x v="2"/>
    <s v="India"/>
    <s v="C51964"/>
    <n v="30"/>
    <s v="M"/>
    <x v="10"/>
    <x v="4"/>
    <s v="Y"/>
    <s v="Success"/>
    <x v="0"/>
    <x v="0"/>
    <x v="1"/>
  </r>
  <r>
    <s v="TX1001443"/>
    <x v="92"/>
    <x v="0"/>
    <d v="1899-12-30T16:45:17"/>
    <n v="852.87"/>
    <s v="USD"/>
    <s v="M1507"/>
    <x v="7"/>
    <s v="Spain"/>
    <s v="C77186"/>
    <n v="60"/>
    <s v="F"/>
    <x v="14"/>
    <x v="0"/>
    <s v="Y"/>
    <s v="Success"/>
    <x v="0"/>
    <x v="0"/>
    <x v="3"/>
  </r>
  <r>
    <s v="TX1002231"/>
    <x v="93"/>
    <x v="2"/>
    <d v="1899-12-30T06:16:03"/>
    <n v="849.25"/>
    <s v="USD"/>
    <s v="M1630"/>
    <x v="6"/>
    <s v="Netherlands"/>
    <s v="C76815"/>
    <n v="18"/>
    <s v="Other"/>
    <x v="5"/>
    <x v="0"/>
    <s v="Y"/>
    <s v="Success"/>
    <x v="0"/>
    <x v="0"/>
    <x v="0"/>
  </r>
  <r>
    <s v="TX1002616"/>
    <x v="94"/>
    <x v="3"/>
    <d v="1899-12-30T07:23:29"/>
    <n v="847.16"/>
    <s v="USD"/>
    <s v="M1795"/>
    <x v="6"/>
    <s v="Canada"/>
    <s v="C50640"/>
    <n v="70"/>
    <s v="M"/>
    <x v="10"/>
    <x v="3"/>
    <s v="Y"/>
    <s v="Success"/>
    <x v="0"/>
    <x v="0"/>
    <x v="3"/>
  </r>
  <r>
    <s v="TX1000331"/>
    <x v="95"/>
    <x v="1"/>
    <d v="1899-12-30T15:31:06"/>
    <n v="846.05"/>
    <s v="USD"/>
    <s v="M1454"/>
    <x v="6"/>
    <s v="Australia"/>
    <s v="C81754"/>
    <n v="45"/>
    <s v="F"/>
    <x v="14"/>
    <x v="3"/>
    <s v="Y"/>
    <s v="Success"/>
    <x v="0"/>
    <x v="0"/>
    <x v="2"/>
  </r>
  <r>
    <s v="TX1002923"/>
    <x v="96"/>
    <x v="3"/>
    <d v="1899-12-30T18:23:35"/>
    <n v="844.42"/>
    <s v="USD"/>
    <s v="M1899"/>
    <x v="9"/>
    <s v="Norway"/>
    <s v="C50010"/>
    <n v="45"/>
    <s v="Other"/>
    <x v="3"/>
    <x v="3"/>
    <s v="Y"/>
    <s v="Success"/>
    <x v="0"/>
    <x v="0"/>
    <x v="2"/>
  </r>
  <r>
    <s v="TX1002310"/>
    <x v="97"/>
    <x v="2"/>
    <d v="1899-12-30T03:53:00"/>
    <n v="843.68"/>
    <s v="USD"/>
    <s v="M1539"/>
    <x v="5"/>
    <s v="Spain"/>
    <s v="C73087"/>
    <n v="45"/>
    <s v="F"/>
    <x v="2"/>
    <x v="1"/>
    <s v="Y"/>
    <s v="Success"/>
    <x v="0"/>
    <x v="0"/>
    <x v="2"/>
  </r>
  <r>
    <s v="TX1001497"/>
    <x v="98"/>
    <x v="5"/>
    <d v="1899-12-30T05:40:13"/>
    <n v="842.12"/>
    <s v="USD"/>
    <s v="M1121"/>
    <x v="9"/>
    <s v="Norway"/>
    <s v="C78004"/>
    <n v="51"/>
    <s v="M"/>
    <x v="4"/>
    <x v="0"/>
    <s v="Y"/>
    <s v="Success"/>
    <x v="0"/>
    <x v="0"/>
    <x v="2"/>
  </r>
  <r>
    <s v="TX1002998"/>
    <x v="99"/>
    <x v="3"/>
    <d v="1899-12-30T09:53:15"/>
    <n v="839.9"/>
    <s v="USD"/>
    <s v="M1609"/>
    <x v="5"/>
    <s v="Spain"/>
    <s v="C92290"/>
    <n v="33"/>
    <s v="M"/>
    <x v="3"/>
    <x v="3"/>
    <s v="Y"/>
    <s v="Success"/>
    <x v="0"/>
    <x v="0"/>
    <x v="1"/>
  </r>
  <r>
    <s v="TX1002413"/>
    <x v="46"/>
    <x v="2"/>
    <d v="1899-12-30T03:06:46"/>
    <n v="835.04"/>
    <s v="USD"/>
    <s v="M1984"/>
    <x v="2"/>
    <s v="South Africa"/>
    <s v="C62440"/>
    <n v="61"/>
    <s v="Other"/>
    <x v="2"/>
    <x v="0"/>
    <s v="Y"/>
    <s v="Success"/>
    <x v="0"/>
    <x v="0"/>
    <x v="3"/>
  </r>
  <r>
    <s v="TX1000392"/>
    <x v="100"/>
    <x v="1"/>
    <d v="1899-12-30T08:14:11"/>
    <n v="832.41"/>
    <s v="USD"/>
    <s v="M1759"/>
    <x v="2"/>
    <s v="France"/>
    <s v="C71960"/>
    <n v="53"/>
    <s v="F"/>
    <x v="11"/>
    <x v="0"/>
    <s v="Y"/>
    <s v="Success"/>
    <x v="0"/>
    <x v="0"/>
    <x v="2"/>
  </r>
  <r>
    <s v="TX1001242"/>
    <x v="75"/>
    <x v="0"/>
    <d v="1899-12-30T00:54:38"/>
    <n v="829.93"/>
    <s v="USD"/>
    <s v="M1268"/>
    <x v="7"/>
    <s v="Sweden"/>
    <s v="C62675"/>
    <n v="59"/>
    <s v="Other"/>
    <x v="12"/>
    <x v="2"/>
    <s v="Y"/>
    <s v="Success"/>
    <x v="0"/>
    <x v="0"/>
    <x v="2"/>
  </r>
  <r>
    <s v="TX1002834"/>
    <x v="86"/>
    <x v="3"/>
    <d v="1899-12-30T13:38:33"/>
    <n v="828.98"/>
    <s v="USD"/>
    <s v="M1304"/>
    <x v="9"/>
    <s v="Kenya"/>
    <s v="C70370"/>
    <n v="39"/>
    <s v="F"/>
    <x v="1"/>
    <x v="0"/>
    <s v="N"/>
    <s v="Success"/>
    <x v="0"/>
    <x v="0"/>
    <x v="1"/>
  </r>
  <r>
    <s v="TX1002624"/>
    <x v="94"/>
    <x v="3"/>
    <d v="1899-12-30T22:44:13"/>
    <n v="825.68"/>
    <s v="USD"/>
    <s v="M1493"/>
    <x v="1"/>
    <s v="Canada"/>
    <s v="C65496"/>
    <n v="71"/>
    <s v="M"/>
    <x v="8"/>
    <x v="2"/>
    <s v="Y"/>
    <s v="Success"/>
    <x v="0"/>
    <x v="0"/>
    <x v="3"/>
  </r>
  <r>
    <s v="TX1002785"/>
    <x v="101"/>
    <x v="3"/>
    <d v="1899-12-30T09:31:46"/>
    <n v="824.83"/>
    <s v="USD"/>
    <s v="M1571"/>
    <x v="6"/>
    <s v="United Kingdom"/>
    <s v="C74762"/>
    <n v="36"/>
    <s v="Other"/>
    <x v="11"/>
    <x v="1"/>
    <s v="N"/>
    <s v="Success"/>
    <x v="0"/>
    <x v="0"/>
    <x v="1"/>
  </r>
  <r>
    <s v="TX1000975"/>
    <x v="102"/>
    <x v="0"/>
    <d v="1899-12-30T05:49:27"/>
    <n v="824.81"/>
    <s v="USD"/>
    <s v="M1688"/>
    <x v="4"/>
    <s v="Kenya"/>
    <s v="C69970"/>
    <n v="24"/>
    <s v="F"/>
    <x v="11"/>
    <x v="2"/>
    <s v="Y"/>
    <s v="Success"/>
    <x v="0"/>
    <x v="0"/>
    <x v="0"/>
  </r>
  <r>
    <s v="TX1002787"/>
    <x v="101"/>
    <x v="3"/>
    <d v="1899-12-30T10:53:45"/>
    <n v="818.39"/>
    <s v="USD"/>
    <s v="M1557"/>
    <x v="3"/>
    <s v="Poland"/>
    <s v="C90812"/>
    <n v="65"/>
    <s v="Other"/>
    <x v="10"/>
    <x v="5"/>
    <s v="Y"/>
    <s v="Success"/>
    <x v="0"/>
    <x v="0"/>
    <x v="3"/>
  </r>
  <r>
    <s v="TX1002578"/>
    <x v="103"/>
    <x v="3"/>
    <d v="1899-12-30T03:32:27"/>
    <n v="818.36"/>
    <s v="USD"/>
    <s v="M1727"/>
    <x v="4"/>
    <s v="France"/>
    <s v="C80320"/>
    <n v="54"/>
    <s v="F"/>
    <x v="7"/>
    <x v="5"/>
    <s v="Y"/>
    <s v="Success"/>
    <x v="0"/>
    <x v="0"/>
    <x v="2"/>
  </r>
  <r>
    <s v="TX1002119"/>
    <x v="21"/>
    <x v="2"/>
    <d v="1899-12-30T16:12:24"/>
    <n v="816.11"/>
    <s v="USD"/>
    <s v="M1627"/>
    <x v="2"/>
    <s v="Sweden"/>
    <s v="C78754"/>
    <n v="20"/>
    <s v="M"/>
    <x v="9"/>
    <x v="1"/>
    <s v="Y"/>
    <s v="Success"/>
    <x v="0"/>
    <x v="0"/>
    <x v="0"/>
  </r>
  <r>
    <s v="TX1001047"/>
    <x v="104"/>
    <x v="0"/>
    <d v="1899-12-30T07:30:59"/>
    <n v="813.61"/>
    <s v="USD"/>
    <s v="M1847"/>
    <x v="1"/>
    <s v="Kenya"/>
    <s v="C76331"/>
    <n v="20"/>
    <s v="M"/>
    <x v="1"/>
    <x v="2"/>
    <s v="N"/>
    <s v="Success"/>
    <x v="0"/>
    <x v="0"/>
    <x v="0"/>
  </r>
  <r>
    <s v="TX1000544"/>
    <x v="105"/>
    <x v="4"/>
    <d v="1899-12-30T21:19:32"/>
    <n v="803.57"/>
    <s v="USD"/>
    <s v="M1072"/>
    <x v="2"/>
    <s v="India"/>
    <s v="C84719"/>
    <n v="56"/>
    <s v="M"/>
    <x v="9"/>
    <x v="5"/>
    <s v="Y"/>
    <s v="Success"/>
    <x v="0"/>
    <x v="0"/>
    <x v="2"/>
  </r>
  <r>
    <s v="TX1000580"/>
    <x v="36"/>
    <x v="4"/>
    <d v="1899-12-30T18:30:19"/>
    <n v="800.15"/>
    <s v="USD"/>
    <s v="M1502"/>
    <x v="1"/>
    <s v="Australia"/>
    <s v="C97698"/>
    <n v="68"/>
    <s v="F"/>
    <x v="8"/>
    <x v="5"/>
    <s v="Y"/>
    <s v="Success"/>
    <x v="0"/>
    <x v="0"/>
    <x v="3"/>
  </r>
  <r>
    <s v="TX1001780"/>
    <x v="26"/>
    <x v="5"/>
    <d v="1899-12-30T02:09:58"/>
    <n v="794.39"/>
    <s v="USD"/>
    <s v="M1244"/>
    <x v="7"/>
    <s v="Norway"/>
    <s v="C84641"/>
    <n v="47"/>
    <s v="Other"/>
    <x v="14"/>
    <x v="4"/>
    <s v="Y"/>
    <s v="Success"/>
    <x v="0"/>
    <x v="0"/>
    <x v="2"/>
  </r>
  <r>
    <s v="TX1000713"/>
    <x v="106"/>
    <x v="4"/>
    <d v="1899-12-30T05:08:02"/>
    <n v="786"/>
    <s v="USD"/>
    <s v="M1489"/>
    <x v="9"/>
    <s v="Germany"/>
    <s v="C73657"/>
    <n v="72"/>
    <s v="F"/>
    <x v="13"/>
    <x v="5"/>
    <s v="Y"/>
    <s v="Success"/>
    <x v="0"/>
    <x v="0"/>
    <x v="3"/>
  </r>
  <r>
    <s v="TX1002201"/>
    <x v="64"/>
    <x v="2"/>
    <d v="1899-12-30T14:19:27"/>
    <n v="784.1"/>
    <s v="USD"/>
    <s v="M1925"/>
    <x v="8"/>
    <s v="United States"/>
    <s v="C84387"/>
    <n v="27"/>
    <s v="F"/>
    <x v="10"/>
    <x v="2"/>
    <s v="Y"/>
    <s v="Success"/>
    <x v="0"/>
    <x v="0"/>
    <x v="1"/>
  </r>
  <r>
    <s v="TX1001195"/>
    <x v="107"/>
    <x v="0"/>
    <d v="1899-12-30T03:29:29"/>
    <n v="782.38"/>
    <s v="USD"/>
    <s v="M1098"/>
    <x v="4"/>
    <s v="South Africa"/>
    <s v="C93397"/>
    <n v="29"/>
    <s v="M"/>
    <x v="12"/>
    <x v="3"/>
    <s v="Y"/>
    <s v="Success"/>
    <x v="0"/>
    <x v="0"/>
    <x v="1"/>
  </r>
  <r>
    <s v="TX1002492"/>
    <x v="28"/>
    <x v="2"/>
    <d v="1899-12-30T05:39:18"/>
    <n v="782.3"/>
    <s v="USD"/>
    <s v="M1703"/>
    <x v="9"/>
    <s v="Australia"/>
    <s v="C61321"/>
    <n v="70"/>
    <s v="M"/>
    <x v="7"/>
    <x v="0"/>
    <s v="N"/>
    <s v="Success"/>
    <x v="0"/>
    <x v="0"/>
    <x v="3"/>
  </r>
  <r>
    <s v="TX1001326"/>
    <x v="108"/>
    <x v="0"/>
    <d v="1899-12-30T10:08:23"/>
    <n v="781.79"/>
    <s v="USD"/>
    <s v="M1492"/>
    <x v="4"/>
    <s v="India"/>
    <s v="C91816"/>
    <n v="19"/>
    <s v="M"/>
    <x v="11"/>
    <x v="2"/>
    <s v="Y"/>
    <s v="Success"/>
    <x v="0"/>
    <x v="0"/>
    <x v="0"/>
  </r>
  <r>
    <s v="TX1000034"/>
    <x v="109"/>
    <x v="1"/>
    <d v="1899-12-30T14:14:59"/>
    <n v="781.77"/>
    <s v="USD"/>
    <s v="M1816"/>
    <x v="8"/>
    <s v="Norway"/>
    <s v="C95405"/>
    <n v="61"/>
    <s v="F"/>
    <x v="5"/>
    <x v="3"/>
    <s v="Y"/>
    <s v="Success"/>
    <x v="0"/>
    <x v="0"/>
    <x v="3"/>
  </r>
  <r>
    <s v="TX1000773"/>
    <x v="18"/>
    <x v="4"/>
    <d v="1899-12-30T10:04:19"/>
    <n v="779.6"/>
    <s v="USD"/>
    <s v="M1326"/>
    <x v="6"/>
    <s v="Poland"/>
    <s v="C55573"/>
    <n v="35"/>
    <s v="F"/>
    <x v="4"/>
    <x v="0"/>
    <s v="Y"/>
    <s v="Success"/>
    <x v="0"/>
    <x v="0"/>
    <x v="1"/>
  </r>
  <r>
    <s v="TX1000460"/>
    <x v="25"/>
    <x v="1"/>
    <d v="1899-12-30T07:40:53"/>
    <n v="777.69"/>
    <s v="USD"/>
    <s v="M1015"/>
    <x v="0"/>
    <s v="Australia"/>
    <s v="C59951"/>
    <n v="71"/>
    <s v="Other"/>
    <x v="9"/>
    <x v="1"/>
    <s v="Y"/>
    <s v="Success"/>
    <x v="0"/>
    <x v="0"/>
    <x v="3"/>
  </r>
  <r>
    <s v="TX1002282"/>
    <x v="79"/>
    <x v="2"/>
    <d v="1899-12-30T08:26:51"/>
    <n v="769.31"/>
    <s v="USD"/>
    <s v="M1140"/>
    <x v="9"/>
    <s v="Spain"/>
    <s v="C90888"/>
    <n v="63"/>
    <s v="F"/>
    <x v="7"/>
    <x v="4"/>
    <s v="Y"/>
    <s v="Success"/>
    <x v="0"/>
    <x v="0"/>
    <x v="3"/>
  </r>
  <r>
    <s v="TX1000083"/>
    <x v="44"/>
    <x v="1"/>
    <d v="1899-12-30T19:37:52"/>
    <n v="766.46"/>
    <s v="USD"/>
    <s v="M1743"/>
    <x v="6"/>
    <s v="Poland"/>
    <s v="C85037"/>
    <n v="40"/>
    <s v="Other"/>
    <x v="12"/>
    <x v="5"/>
    <s v="Y"/>
    <s v="Success"/>
    <x v="0"/>
    <x v="0"/>
    <x v="2"/>
  </r>
  <r>
    <s v="TX1000394"/>
    <x v="100"/>
    <x v="1"/>
    <d v="1899-12-30T15:20:14"/>
    <n v="766.06"/>
    <s v="USD"/>
    <s v="M1391"/>
    <x v="9"/>
    <s v="Netherlands"/>
    <s v="C98114"/>
    <n v="40"/>
    <s v="M"/>
    <x v="11"/>
    <x v="3"/>
    <s v="Y"/>
    <s v="Success"/>
    <x v="0"/>
    <x v="0"/>
    <x v="2"/>
  </r>
  <r>
    <s v="TX1000780"/>
    <x v="18"/>
    <x v="4"/>
    <d v="1899-12-30T19:31:38"/>
    <n v="765.71"/>
    <s v="USD"/>
    <s v="M1738"/>
    <x v="5"/>
    <s v="Germany"/>
    <s v="C58643"/>
    <n v="41"/>
    <s v="F"/>
    <x v="9"/>
    <x v="4"/>
    <s v="Y"/>
    <s v="Success"/>
    <x v="0"/>
    <x v="0"/>
    <x v="2"/>
  </r>
  <r>
    <s v="TX1001851"/>
    <x v="15"/>
    <x v="5"/>
    <d v="1899-12-30T07:56:12"/>
    <n v="763.62"/>
    <s v="USD"/>
    <s v="M1802"/>
    <x v="4"/>
    <s v="South Africa"/>
    <s v="C56410"/>
    <n v="19"/>
    <s v="M"/>
    <x v="12"/>
    <x v="0"/>
    <s v="Y"/>
    <s v="Success"/>
    <x v="0"/>
    <x v="0"/>
    <x v="0"/>
  </r>
  <r>
    <s v="TX1000790"/>
    <x v="110"/>
    <x v="4"/>
    <d v="1899-12-30T04:50:16"/>
    <n v="762.16"/>
    <s v="USD"/>
    <s v="M1024"/>
    <x v="4"/>
    <s v="Netherlands"/>
    <s v="C90696"/>
    <n v="35"/>
    <s v="Other"/>
    <x v="6"/>
    <x v="3"/>
    <s v="Y"/>
    <s v="Success"/>
    <x v="0"/>
    <x v="0"/>
    <x v="1"/>
  </r>
  <r>
    <s v="TX1000734"/>
    <x v="111"/>
    <x v="4"/>
    <d v="1899-12-30T10:18:46"/>
    <n v="760.96"/>
    <s v="USD"/>
    <s v="M1060"/>
    <x v="7"/>
    <s v="Kenya"/>
    <s v="C90379"/>
    <n v="54"/>
    <s v="Other"/>
    <x v="10"/>
    <x v="1"/>
    <s v="Y"/>
    <s v="Success"/>
    <x v="0"/>
    <x v="0"/>
    <x v="2"/>
  </r>
  <r>
    <s v="TX1001030"/>
    <x v="22"/>
    <x v="0"/>
    <d v="1899-12-30T07:16:11"/>
    <n v="759.84"/>
    <s v="USD"/>
    <s v="M1461"/>
    <x v="4"/>
    <s v="Netherlands"/>
    <s v="C95810"/>
    <n v="30"/>
    <s v="Other"/>
    <x v="3"/>
    <x v="3"/>
    <s v="Y"/>
    <s v="Success"/>
    <x v="0"/>
    <x v="0"/>
    <x v="1"/>
  </r>
  <r>
    <s v="TX1002175"/>
    <x v="112"/>
    <x v="2"/>
    <d v="1899-12-30T06:48:42"/>
    <n v="759.1"/>
    <s v="USD"/>
    <s v="M1741"/>
    <x v="2"/>
    <s v="Netherlands"/>
    <s v="C86567"/>
    <n v="43"/>
    <s v="M"/>
    <x v="0"/>
    <x v="1"/>
    <s v="Y"/>
    <s v="Success"/>
    <x v="0"/>
    <x v="0"/>
    <x v="2"/>
  </r>
  <r>
    <s v="TX1000814"/>
    <x v="91"/>
    <x v="4"/>
    <d v="1899-12-30T06:03:20"/>
    <n v="758.19"/>
    <s v="USD"/>
    <s v="M1340"/>
    <x v="2"/>
    <s v="Spain"/>
    <s v="C70076"/>
    <n v="43"/>
    <s v="Other"/>
    <x v="5"/>
    <x v="1"/>
    <s v="Y"/>
    <s v="Success"/>
    <x v="0"/>
    <x v="0"/>
    <x v="2"/>
  </r>
  <r>
    <s v="TX1000674"/>
    <x v="113"/>
    <x v="4"/>
    <d v="1899-12-30T01:20:23"/>
    <n v="757.32"/>
    <s v="USD"/>
    <s v="M1174"/>
    <x v="0"/>
    <s v="Australia"/>
    <s v="C92282"/>
    <n v="28"/>
    <s v="M"/>
    <x v="11"/>
    <x v="2"/>
    <s v="Y"/>
    <s v="Success"/>
    <x v="0"/>
    <x v="0"/>
    <x v="1"/>
  </r>
  <r>
    <s v="TX1000795"/>
    <x v="110"/>
    <x v="4"/>
    <d v="1899-12-30T12:22:30"/>
    <n v="756.36"/>
    <s v="USD"/>
    <s v="M1490"/>
    <x v="0"/>
    <s v="Germany"/>
    <s v="C95507"/>
    <n v="60"/>
    <s v="M"/>
    <x v="7"/>
    <x v="1"/>
    <s v="Y"/>
    <s v="Success"/>
    <x v="0"/>
    <x v="0"/>
    <x v="3"/>
  </r>
  <r>
    <s v="TX1002803"/>
    <x v="101"/>
    <x v="3"/>
    <d v="1899-12-30T22:33:41"/>
    <n v="755.62"/>
    <s v="USD"/>
    <s v="M1634"/>
    <x v="6"/>
    <s v="Norway"/>
    <s v="C84351"/>
    <n v="19"/>
    <s v="F"/>
    <x v="2"/>
    <x v="3"/>
    <s v="Y"/>
    <s v="Success"/>
    <x v="0"/>
    <x v="0"/>
    <x v="0"/>
  </r>
  <r>
    <s v="TX1000846"/>
    <x v="114"/>
    <x v="4"/>
    <d v="1899-12-30T22:45:09"/>
    <n v="753.81"/>
    <s v="USD"/>
    <s v="M1467"/>
    <x v="5"/>
    <s v="Spain"/>
    <s v="C50701"/>
    <n v="57"/>
    <s v="Other"/>
    <x v="2"/>
    <x v="1"/>
    <s v="Y"/>
    <s v="Success"/>
    <x v="0"/>
    <x v="0"/>
    <x v="2"/>
  </r>
  <r>
    <s v="TX1000677"/>
    <x v="113"/>
    <x v="4"/>
    <d v="1899-12-30T04:11:08"/>
    <n v="749.46"/>
    <s v="USD"/>
    <s v="M1873"/>
    <x v="8"/>
    <s v="United Kingdom"/>
    <s v="C63411"/>
    <n v="40"/>
    <s v="M"/>
    <x v="9"/>
    <x v="0"/>
    <s v="Y"/>
    <s v="Success"/>
    <x v="0"/>
    <x v="0"/>
    <x v="2"/>
  </r>
  <r>
    <s v="TX1000094"/>
    <x v="37"/>
    <x v="1"/>
    <d v="1899-12-30T18:07:32"/>
    <n v="747.57"/>
    <s v="USD"/>
    <s v="M1133"/>
    <x v="1"/>
    <s v="Spain"/>
    <s v="C81989"/>
    <n v="34"/>
    <s v="Other"/>
    <x v="2"/>
    <x v="4"/>
    <s v="Y"/>
    <s v="Success"/>
    <x v="0"/>
    <x v="0"/>
    <x v="1"/>
  </r>
  <r>
    <s v="TX1002019"/>
    <x v="115"/>
    <x v="2"/>
    <d v="1899-12-30T07:51:58"/>
    <n v="744.57"/>
    <s v="USD"/>
    <s v="M1243"/>
    <x v="4"/>
    <s v="Netherlands"/>
    <s v="C65749"/>
    <n v="33"/>
    <s v="Other"/>
    <x v="1"/>
    <x v="4"/>
    <s v="Y"/>
    <s v="Success"/>
    <x v="0"/>
    <x v="0"/>
    <x v="1"/>
  </r>
  <r>
    <s v="TX1002359"/>
    <x v="77"/>
    <x v="2"/>
    <d v="1899-12-30T01:32:52"/>
    <n v="737.01"/>
    <s v="USD"/>
    <s v="M1753"/>
    <x v="6"/>
    <s v="France"/>
    <s v="C98304"/>
    <n v="25"/>
    <s v="F"/>
    <x v="11"/>
    <x v="3"/>
    <s v="Y"/>
    <s v="Success"/>
    <x v="0"/>
    <x v="0"/>
    <x v="1"/>
  </r>
  <r>
    <s v="TX1002989"/>
    <x v="116"/>
    <x v="3"/>
    <d v="1899-12-30T19:26:03"/>
    <n v="733.04"/>
    <s v="USD"/>
    <s v="M1774"/>
    <x v="5"/>
    <s v="Netherlands"/>
    <s v="C76432"/>
    <n v="42"/>
    <s v="Other"/>
    <x v="0"/>
    <x v="2"/>
    <s v="Y"/>
    <s v="Success"/>
    <x v="0"/>
    <x v="0"/>
    <x v="2"/>
  </r>
  <r>
    <s v="TX1001376"/>
    <x v="54"/>
    <x v="0"/>
    <d v="1899-12-30T03:51:02"/>
    <n v="727.26"/>
    <s v="USD"/>
    <s v="M1281"/>
    <x v="0"/>
    <s v="Kenya"/>
    <s v="C99765"/>
    <n v="44"/>
    <s v="F"/>
    <x v="5"/>
    <x v="1"/>
    <s v="Y"/>
    <s v="Success"/>
    <x v="0"/>
    <x v="0"/>
    <x v="2"/>
  </r>
  <r>
    <s v="TX1001870"/>
    <x v="117"/>
    <x v="5"/>
    <d v="1899-12-30T10:57:00"/>
    <n v="724.48"/>
    <s v="USD"/>
    <s v="M1030"/>
    <x v="1"/>
    <s v="France"/>
    <s v="C62302"/>
    <n v="73"/>
    <s v="F"/>
    <x v="13"/>
    <x v="0"/>
    <s v="Y"/>
    <s v="Success"/>
    <x v="0"/>
    <x v="0"/>
    <x v="3"/>
  </r>
  <r>
    <s v="TX1001438"/>
    <x v="92"/>
    <x v="0"/>
    <d v="1899-12-30T08:28:47"/>
    <n v="716.99"/>
    <s v="USD"/>
    <s v="M1304"/>
    <x v="1"/>
    <s v="Nigeria"/>
    <s v="C80869"/>
    <n v="61"/>
    <s v="Other"/>
    <x v="13"/>
    <x v="5"/>
    <s v="N"/>
    <s v="Success"/>
    <x v="0"/>
    <x v="0"/>
    <x v="3"/>
  </r>
  <r>
    <s v="TX1002947"/>
    <x v="118"/>
    <x v="3"/>
    <d v="1899-12-30T01:11:04"/>
    <n v="715.87"/>
    <s v="USD"/>
    <s v="M1432"/>
    <x v="9"/>
    <s v="United States"/>
    <s v="C51171"/>
    <n v="53"/>
    <s v="Other"/>
    <x v="13"/>
    <x v="3"/>
    <s v="Y"/>
    <s v="Success"/>
    <x v="0"/>
    <x v="0"/>
    <x v="2"/>
  </r>
  <r>
    <s v="TX1000403"/>
    <x v="100"/>
    <x v="1"/>
    <d v="1899-12-30T23:33:09"/>
    <n v="715.82"/>
    <s v="USD"/>
    <s v="M1097"/>
    <x v="4"/>
    <s v="Netherlands"/>
    <s v="C69726"/>
    <n v="53"/>
    <s v="F"/>
    <x v="10"/>
    <x v="0"/>
    <s v="Y"/>
    <s v="Success"/>
    <x v="0"/>
    <x v="0"/>
    <x v="2"/>
  </r>
  <r>
    <s v="TX1002332"/>
    <x v="119"/>
    <x v="2"/>
    <d v="1899-12-30T17:51:26"/>
    <n v="715.57"/>
    <s v="USD"/>
    <s v="M1015"/>
    <x v="9"/>
    <s v="United States"/>
    <s v="C80109"/>
    <n v="42"/>
    <s v="F"/>
    <x v="13"/>
    <x v="0"/>
    <s v="Y"/>
    <s v="Success"/>
    <x v="0"/>
    <x v="0"/>
    <x v="2"/>
  </r>
  <r>
    <s v="TX1001188"/>
    <x v="120"/>
    <x v="0"/>
    <d v="1899-12-30T15:53:50"/>
    <n v="706.75"/>
    <s v="USD"/>
    <s v="M1931"/>
    <x v="3"/>
    <s v="Nigeria"/>
    <s v="C54986"/>
    <n v="59"/>
    <s v="M"/>
    <x v="2"/>
    <x v="2"/>
    <s v="Y"/>
    <s v="Success"/>
    <x v="0"/>
    <x v="0"/>
    <x v="2"/>
  </r>
  <r>
    <s v="TX1001979"/>
    <x v="121"/>
    <x v="5"/>
    <d v="1899-12-30T23:18:37"/>
    <n v="698.46"/>
    <s v="USD"/>
    <s v="M1603"/>
    <x v="5"/>
    <s v="Netherlands"/>
    <s v="C81730"/>
    <n v="21"/>
    <s v="M"/>
    <x v="6"/>
    <x v="1"/>
    <s v="Y"/>
    <s v="Success"/>
    <x v="0"/>
    <x v="0"/>
    <x v="0"/>
  </r>
  <r>
    <s v="TX1000937"/>
    <x v="80"/>
    <x v="4"/>
    <d v="1899-12-30T20:34:47"/>
    <n v="695.79"/>
    <s v="USD"/>
    <s v="M1591"/>
    <x v="5"/>
    <s v="Netherlands"/>
    <s v="C99058"/>
    <n v="21"/>
    <s v="Other"/>
    <x v="6"/>
    <x v="2"/>
    <s v="Y"/>
    <s v="Success"/>
    <x v="0"/>
    <x v="0"/>
    <x v="0"/>
  </r>
  <r>
    <s v="TX1002226"/>
    <x v="24"/>
    <x v="2"/>
    <d v="1899-12-30T21:42:19"/>
    <n v="694.36"/>
    <s v="USD"/>
    <s v="M1033"/>
    <x v="5"/>
    <s v="Kenya"/>
    <s v="C63473"/>
    <n v="33"/>
    <s v="F"/>
    <x v="9"/>
    <x v="5"/>
    <s v="Y"/>
    <s v="Success"/>
    <x v="0"/>
    <x v="0"/>
    <x v="1"/>
  </r>
  <r>
    <s v="TX1000546"/>
    <x v="122"/>
    <x v="4"/>
    <d v="1899-12-30T04:15:35"/>
    <n v="684.93"/>
    <s v="USD"/>
    <s v="M1382"/>
    <x v="7"/>
    <s v="United States"/>
    <s v="C50113"/>
    <n v="102"/>
    <s v="F"/>
    <x v="1"/>
    <x v="0"/>
    <s v="Y"/>
    <s v="Success"/>
    <x v="0"/>
    <x v="0"/>
    <x v="3"/>
  </r>
  <r>
    <s v="TX1001279"/>
    <x v="123"/>
    <x v="0"/>
    <d v="1899-12-30T16:31:49"/>
    <n v="681.23"/>
    <s v="USD"/>
    <s v="M1477"/>
    <x v="5"/>
    <s v="Norway"/>
    <s v="C80113"/>
    <n v="37"/>
    <s v="M"/>
    <x v="12"/>
    <x v="0"/>
    <s v="Y"/>
    <s v="Success"/>
    <x v="0"/>
    <x v="0"/>
    <x v="1"/>
  </r>
  <r>
    <s v="TX1002575"/>
    <x v="103"/>
    <x v="3"/>
    <d v="1899-12-30T00:06:36"/>
    <n v="679.47"/>
    <s v="USD"/>
    <s v="M1163"/>
    <x v="7"/>
    <s v="India"/>
    <s v="C54503"/>
    <n v="46"/>
    <s v="M"/>
    <x v="9"/>
    <x v="0"/>
    <s v="Y"/>
    <s v="Success"/>
    <x v="0"/>
    <x v="0"/>
    <x v="2"/>
  </r>
  <r>
    <s v="TX1000483"/>
    <x v="124"/>
    <x v="4"/>
    <d v="1899-12-30T19:46:05"/>
    <n v="679.34"/>
    <s v="USD"/>
    <s v="M1235"/>
    <x v="3"/>
    <s v="South Africa"/>
    <s v="C62318"/>
    <n v="42"/>
    <s v="Other"/>
    <x v="5"/>
    <x v="2"/>
    <s v="Y"/>
    <s v="Success"/>
    <x v="1"/>
    <x v="1"/>
    <x v="2"/>
  </r>
  <r>
    <s v="TX1001544"/>
    <x v="83"/>
    <x v="5"/>
    <d v="1899-12-30T21:17:47"/>
    <n v="678.58"/>
    <s v="USD"/>
    <s v="M1562"/>
    <x v="1"/>
    <s v="Germany"/>
    <s v="C81460"/>
    <n v="43"/>
    <s v="Other"/>
    <x v="9"/>
    <x v="3"/>
    <s v="Y"/>
    <s v="Success"/>
    <x v="0"/>
    <x v="0"/>
    <x v="2"/>
  </r>
  <r>
    <s v="TX1000031"/>
    <x v="109"/>
    <x v="1"/>
    <d v="1899-12-30T09:28:52"/>
    <n v="678.44"/>
    <s v="USD"/>
    <s v="M1394"/>
    <x v="9"/>
    <s v="Germany"/>
    <s v="C77119"/>
    <n v="75"/>
    <s v="M"/>
    <x v="7"/>
    <x v="0"/>
    <s v="Y"/>
    <s v="Success"/>
    <x v="0"/>
    <x v="0"/>
    <x v="3"/>
  </r>
  <r>
    <s v="TX1001291"/>
    <x v="125"/>
    <x v="0"/>
    <d v="1899-12-30T10:47:49"/>
    <n v="670.21"/>
    <s v="USD"/>
    <s v="M1715"/>
    <x v="9"/>
    <s v="Germany"/>
    <s v="C59953"/>
    <n v="37"/>
    <s v="F"/>
    <x v="13"/>
    <x v="1"/>
    <s v="Y"/>
    <s v="Success"/>
    <x v="0"/>
    <x v="0"/>
    <x v="1"/>
  </r>
  <r>
    <s v="TX1002010"/>
    <x v="126"/>
    <x v="2"/>
    <d v="1899-12-30T21:31:12"/>
    <n v="660.8"/>
    <s v="USD"/>
    <s v="M1070"/>
    <x v="1"/>
    <s v="France"/>
    <s v="C67426"/>
    <n v="46"/>
    <s v="Other"/>
    <x v="1"/>
    <x v="1"/>
    <s v="Y"/>
    <s v="Success"/>
    <x v="0"/>
    <x v="0"/>
    <x v="2"/>
  </r>
  <r>
    <s v="TX1001178"/>
    <x v="120"/>
    <x v="0"/>
    <d v="1899-12-30T04:27:52"/>
    <n v="659.17"/>
    <s v="USD"/>
    <s v="M1706"/>
    <x v="2"/>
    <s v="Poland"/>
    <s v="C88060"/>
    <n v="28"/>
    <s v="Other"/>
    <x v="1"/>
    <x v="4"/>
    <s v="Y"/>
    <s v="Success"/>
    <x v="0"/>
    <x v="0"/>
    <x v="1"/>
  </r>
  <r>
    <s v="TX1000658"/>
    <x v="17"/>
    <x v="4"/>
    <d v="1899-12-30T01:47:50"/>
    <n v="653.72"/>
    <s v="USD"/>
    <s v="M1289"/>
    <x v="8"/>
    <s v="Sweden"/>
    <s v="C66010"/>
    <n v="57"/>
    <s v="Other"/>
    <x v="4"/>
    <x v="0"/>
    <s v="N"/>
    <s v="Success"/>
    <x v="0"/>
    <x v="0"/>
    <x v="2"/>
  </r>
  <r>
    <s v="TX1001861"/>
    <x v="15"/>
    <x v="5"/>
    <d v="1899-12-30T22:39:47"/>
    <n v="645.94000000000005"/>
    <s v="USD"/>
    <s v="M1014"/>
    <x v="8"/>
    <s v="India"/>
    <s v="C95580"/>
    <n v="58"/>
    <s v="F"/>
    <x v="10"/>
    <x v="1"/>
    <s v="Y"/>
    <s v="Success"/>
    <x v="0"/>
    <x v="0"/>
    <x v="2"/>
  </r>
  <r>
    <s v="TX1000161"/>
    <x v="42"/>
    <x v="1"/>
    <d v="1899-12-30T15:06:51"/>
    <n v="643.95000000000005"/>
    <s v="USD"/>
    <s v="M1155"/>
    <x v="5"/>
    <s v="Spain"/>
    <s v="C75745"/>
    <n v="61"/>
    <s v="Other"/>
    <x v="9"/>
    <x v="3"/>
    <s v="Y"/>
    <s v="Success"/>
    <x v="0"/>
    <x v="0"/>
    <x v="3"/>
  </r>
  <r>
    <s v="TX1002577"/>
    <x v="103"/>
    <x v="3"/>
    <d v="1899-12-30T01:49:26"/>
    <n v="638.65"/>
    <s v="USD"/>
    <s v="M1702"/>
    <x v="3"/>
    <s v="United States"/>
    <s v="C80105"/>
    <n v="54"/>
    <s v="M"/>
    <x v="8"/>
    <x v="0"/>
    <s v="Y"/>
    <s v="Success"/>
    <x v="0"/>
    <x v="0"/>
    <x v="2"/>
  </r>
  <r>
    <s v="TX1001626"/>
    <x v="127"/>
    <x v="5"/>
    <d v="1899-12-30T18:39:10"/>
    <n v="632.02"/>
    <s v="USD"/>
    <s v="M1937"/>
    <x v="3"/>
    <s v="India"/>
    <s v="C73942"/>
    <n v="75"/>
    <s v="F"/>
    <x v="8"/>
    <x v="2"/>
    <s v="Y"/>
    <s v="Success"/>
    <x v="1"/>
    <x v="1"/>
    <x v="3"/>
  </r>
  <r>
    <s v="TX1001241"/>
    <x v="128"/>
    <x v="0"/>
    <d v="1899-12-30T23:55:32"/>
    <n v="627.16999999999996"/>
    <s v="USD"/>
    <s v="M1219"/>
    <x v="2"/>
    <s v="Poland"/>
    <s v="C70583"/>
    <n v="41"/>
    <s v="F"/>
    <x v="3"/>
    <x v="4"/>
    <s v="Y"/>
    <s v="Success"/>
    <x v="0"/>
    <x v="0"/>
    <x v="2"/>
  </r>
  <r>
    <s v="TX1001103"/>
    <x v="129"/>
    <x v="0"/>
    <d v="1899-12-30T13:19:36"/>
    <n v="625.30999999999995"/>
    <s v="USD"/>
    <s v="M1189"/>
    <x v="3"/>
    <s v="Kenya"/>
    <s v="C77393"/>
    <n v="33"/>
    <s v="Other"/>
    <x v="11"/>
    <x v="5"/>
    <s v="Y"/>
    <s v="Success"/>
    <x v="0"/>
    <x v="0"/>
    <x v="1"/>
  </r>
  <r>
    <s v="TX1002716"/>
    <x v="130"/>
    <x v="3"/>
    <d v="1899-12-30T11:56:27"/>
    <n v="625.11"/>
    <s v="USD"/>
    <s v="M1304"/>
    <x v="1"/>
    <s v="Norway"/>
    <s v="C94183"/>
    <n v="56"/>
    <s v="F"/>
    <x v="6"/>
    <x v="5"/>
    <s v="Y"/>
    <s v="Success"/>
    <x v="0"/>
    <x v="0"/>
    <x v="2"/>
  </r>
  <r>
    <s v="TX1002735"/>
    <x v="131"/>
    <x v="3"/>
    <d v="1899-12-30T23:10:05"/>
    <n v="620.47"/>
    <s v="USD"/>
    <s v="M1161"/>
    <x v="4"/>
    <s v="Netherlands"/>
    <s v="C81301"/>
    <n v="23"/>
    <s v="F"/>
    <x v="13"/>
    <x v="2"/>
    <s v="Y"/>
    <s v="Success"/>
    <x v="0"/>
    <x v="0"/>
    <x v="0"/>
  </r>
  <r>
    <s v="TX1000914"/>
    <x v="68"/>
    <x v="4"/>
    <d v="1899-12-30T11:01:04"/>
    <n v="615.20000000000005"/>
    <s v="USD"/>
    <s v="M1298"/>
    <x v="4"/>
    <s v="South Africa"/>
    <s v="C65680"/>
    <n v="106"/>
    <s v="Other"/>
    <x v="4"/>
    <x v="0"/>
    <s v="Y"/>
    <s v="Success"/>
    <x v="1"/>
    <x v="1"/>
    <x v="3"/>
  </r>
  <r>
    <s v="TX1002590"/>
    <x v="103"/>
    <x v="3"/>
    <d v="1899-12-30T12:48:01"/>
    <n v="612.02"/>
    <s v="USD"/>
    <s v="M1075"/>
    <x v="2"/>
    <s v="Netherlands"/>
    <s v="C67063"/>
    <n v="62"/>
    <s v="F"/>
    <x v="5"/>
    <x v="4"/>
    <s v="Y"/>
    <s v="Success"/>
    <x v="0"/>
    <x v="0"/>
    <x v="3"/>
  </r>
  <r>
    <s v="TX1000178"/>
    <x v="6"/>
    <x v="1"/>
    <d v="1899-12-30T19:19:02"/>
    <n v="604.79999999999995"/>
    <s v="USD"/>
    <s v="M1157"/>
    <x v="6"/>
    <s v="France"/>
    <s v="C81684"/>
    <n v="27"/>
    <s v="M"/>
    <x v="9"/>
    <x v="0"/>
    <s v="Y"/>
    <s v="Success"/>
    <x v="0"/>
    <x v="0"/>
    <x v="1"/>
  </r>
  <r>
    <s v="TX1002667"/>
    <x v="132"/>
    <x v="3"/>
    <d v="1899-12-30T20:44:32"/>
    <n v="602.24"/>
    <s v="USD"/>
    <s v="M1925"/>
    <x v="9"/>
    <s v="Norway"/>
    <s v="C55189"/>
    <n v="59"/>
    <s v="M"/>
    <x v="2"/>
    <x v="2"/>
    <s v="Y"/>
    <s v="Success"/>
    <x v="0"/>
    <x v="0"/>
    <x v="2"/>
  </r>
  <r>
    <s v="TX1002318"/>
    <x v="97"/>
    <x v="2"/>
    <d v="1899-12-30T17:58:32"/>
    <n v="599.70000000000005"/>
    <s v="USD"/>
    <s v="M1941"/>
    <x v="3"/>
    <s v="Sweden"/>
    <s v="C59205"/>
    <n v="53"/>
    <s v="M"/>
    <x v="9"/>
    <x v="0"/>
    <s v="Y"/>
    <s v="Success"/>
    <x v="0"/>
    <x v="0"/>
    <x v="2"/>
  </r>
  <r>
    <s v="TX1002798"/>
    <x v="101"/>
    <x v="3"/>
    <d v="1899-12-30T20:32:59"/>
    <n v="599.66"/>
    <s v="USD"/>
    <s v="M1741"/>
    <x v="4"/>
    <s v="Nigeria"/>
    <s v="C84401"/>
    <n v="60"/>
    <s v="Other"/>
    <x v="0"/>
    <x v="3"/>
    <s v="Y"/>
    <s v="Success"/>
    <x v="0"/>
    <x v="0"/>
    <x v="3"/>
  </r>
  <r>
    <s v="TX1001812"/>
    <x v="133"/>
    <x v="5"/>
    <d v="1899-12-30T20:26:42"/>
    <n v="592.07000000000005"/>
    <s v="USD"/>
    <s v="M1648"/>
    <x v="1"/>
    <s v="Canada"/>
    <s v="C92705"/>
    <n v="48"/>
    <s v="M"/>
    <x v="10"/>
    <x v="2"/>
    <s v="Y"/>
    <s v="Success"/>
    <x v="0"/>
    <x v="0"/>
    <x v="2"/>
  </r>
  <r>
    <s v="TX1002996"/>
    <x v="99"/>
    <x v="3"/>
    <d v="1899-12-30T06:11:51"/>
    <n v="590.86"/>
    <s v="USD"/>
    <s v="M1696"/>
    <x v="1"/>
    <s v="Sweden"/>
    <s v="C60688"/>
    <n v="63"/>
    <s v="F"/>
    <x v="13"/>
    <x v="4"/>
    <s v="Y"/>
    <s v="Success"/>
    <x v="0"/>
    <x v="0"/>
    <x v="3"/>
  </r>
  <r>
    <s v="TX1000457"/>
    <x v="25"/>
    <x v="1"/>
    <d v="1899-12-30T03:34:25"/>
    <n v="588.4"/>
    <s v="USD"/>
    <s v="M1651"/>
    <x v="9"/>
    <s v="Germany"/>
    <s v="C79336"/>
    <n v="31"/>
    <s v="Other"/>
    <x v="6"/>
    <x v="0"/>
    <s v="Y"/>
    <s v="Success"/>
    <x v="0"/>
    <x v="0"/>
    <x v="1"/>
  </r>
  <r>
    <s v="TX1000229"/>
    <x v="88"/>
    <x v="1"/>
    <d v="1899-12-30T03:52:35"/>
    <n v="587.4"/>
    <s v="USD"/>
    <s v="M1033"/>
    <x v="0"/>
    <s v="Australia"/>
    <s v="C53884"/>
    <n v="37"/>
    <s v="Other"/>
    <x v="1"/>
    <x v="4"/>
    <s v="Y"/>
    <s v="Success"/>
    <x v="0"/>
    <x v="0"/>
    <x v="1"/>
  </r>
  <r>
    <s v="TX1001674"/>
    <x v="134"/>
    <x v="5"/>
    <d v="1899-12-30T01:02:55"/>
    <n v="580.54999999999995"/>
    <s v="USD"/>
    <s v="M1722"/>
    <x v="0"/>
    <s v="Spain"/>
    <s v="C77730"/>
    <n v="28"/>
    <s v="Other"/>
    <x v="8"/>
    <x v="1"/>
    <s v="Y"/>
    <s v="Success"/>
    <x v="0"/>
    <x v="0"/>
    <x v="1"/>
  </r>
  <r>
    <s v="TX1001846"/>
    <x v="15"/>
    <x v="5"/>
    <d v="1899-12-30T03:56:07"/>
    <n v="580.44000000000005"/>
    <s v="USD"/>
    <s v="M1177"/>
    <x v="8"/>
    <s v="Sweden"/>
    <s v="C78082"/>
    <n v="51"/>
    <s v="M"/>
    <x v="10"/>
    <x v="1"/>
    <s v="Y"/>
    <s v="Success"/>
    <x v="0"/>
    <x v="0"/>
    <x v="2"/>
  </r>
  <r>
    <s v="TX1001470"/>
    <x v="61"/>
    <x v="0"/>
    <d v="1899-12-30T19:50:28"/>
    <n v="578.11"/>
    <s v="USD"/>
    <s v="M1700"/>
    <x v="6"/>
    <s v="Netherlands"/>
    <s v="C75560"/>
    <n v="67"/>
    <s v="Other"/>
    <x v="5"/>
    <x v="2"/>
    <s v="Y"/>
    <s v="Success"/>
    <x v="0"/>
    <x v="0"/>
    <x v="3"/>
  </r>
  <r>
    <s v="TX1002126"/>
    <x v="135"/>
    <x v="2"/>
    <d v="1899-12-30T00:30:54"/>
    <n v="571.95000000000005"/>
    <s v="USD"/>
    <s v="M1917"/>
    <x v="6"/>
    <s v="Nigeria"/>
    <s v="C53588"/>
    <n v="64"/>
    <s v="F"/>
    <x v="13"/>
    <x v="2"/>
    <s v="N"/>
    <s v="Success"/>
    <x v="0"/>
    <x v="0"/>
    <x v="3"/>
  </r>
  <r>
    <s v="TX1001650"/>
    <x v="39"/>
    <x v="5"/>
    <d v="1899-12-30T04:34:01"/>
    <n v="570.33000000000004"/>
    <s v="USD"/>
    <s v="M1904"/>
    <x v="6"/>
    <s v="Norway"/>
    <s v="C99660"/>
    <n v="33"/>
    <s v="F"/>
    <x v="11"/>
    <x v="0"/>
    <s v="Y"/>
    <s v="Success"/>
    <x v="0"/>
    <x v="0"/>
    <x v="1"/>
  </r>
  <r>
    <s v="TX1001533"/>
    <x v="83"/>
    <x v="5"/>
    <d v="1899-12-30T07:30:40"/>
    <n v="569.94000000000005"/>
    <s v="USD"/>
    <s v="M1451"/>
    <x v="9"/>
    <s v="India"/>
    <s v="C62054"/>
    <n v="53"/>
    <s v="Other"/>
    <x v="9"/>
    <x v="5"/>
    <s v="Y"/>
    <s v="Success"/>
    <x v="0"/>
    <x v="0"/>
    <x v="2"/>
  </r>
  <r>
    <s v="TX1002633"/>
    <x v="11"/>
    <x v="3"/>
    <d v="1899-12-30T06:37:44"/>
    <n v="569.44000000000005"/>
    <s v="USD"/>
    <s v="M1724"/>
    <x v="2"/>
    <s v="Australia"/>
    <s v="C81053"/>
    <n v="48"/>
    <s v="Other"/>
    <x v="14"/>
    <x v="3"/>
    <s v="Y"/>
    <s v="Success"/>
    <x v="0"/>
    <x v="0"/>
    <x v="2"/>
  </r>
  <r>
    <s v="TX1000906"/>
    <x v="68"/>
    <x v="4"/>
    <d v="1899-12-30T02:04:41"/>
    <n v="569.12"/>
    <s v="USD"/>
    <s v="M1770"/>
    <x v="9"/>
    <s v="Poland"/>
    <s v="C79587"/>
    <n v="70"/>
    <s v="F"/>
    <x v="7"/>
    <x v="4"/>
    <s v="Y"/>
    <s v="Success"/>
    <x v="1"/>
    <x v="1"/>
    <x v="3"/>
  </r>
  <r>
    <s v="TX1000143"/>
    <x v="30"/>
    <x v="1"/>
    <d v="1899-12-30T13:13:58"/>
    <n v="568.66999999999996"/>
    <s v="USD"/>
    <s v="M1213"/>
    <x v="1"/>
    <s v="Nigeria"/>
    <s v="C94659"/>
    <n v="64"/>
    <s v="M"/>
    <x v="8"/>
    <x v="0"/>
    <s v="Y"/>
    <s v="Success"/>
    <x v="0"/>
    <x v="0"/>
    <x v="3"/>
  </r>
  <r>
    <s v="TX1001193"/>
    <x v="107"/>
    <x v="0"/>
    <d v="1899-12-30T00:58:13"/>
    <n v="566.33000000000004"/>
    <s v="USD"/>
    <s v="M1004"/>
    <x v="9"/>
    <s v="Sweden"/>
    <s v="C88791"/>
    <n v="50"/>
    <s v="F"/>
    <x v="11"/>
    <x v="1"/>
    <s v="Y"/>
    <s v="Success"/>
    <x v="0"/>
    <x v="0"/>
    <x v="2"/>
  </r>
  <r>
    <s v="TX1001337"/>
    <x v="74"/>
    <x v="0"/>
    <d v="1899-12-30T04:07:35"/>
    <n v="561.44000000000005"/>
    <s v="USD"/>
    <s v="M1329"/>
    <x v="9"/>
    <s v="United States"/>
    <s v="C98878"/>
    <n v="30"/>
    <s v="Other"/>
    <x v="12"/>
    <x v="3"/>
    <s v="Y"/>
    <s v="Success"/>
    <x v="0"/>
    <x v="0"/>
    <x v="1"/>
  </r>
  <r>
    <s v="TX1002730"/>
    <x v="131"/>
    <x v="3"/>
    <d v="1899-12-30T11:32:58"/>
    <n v="560.07000000000005"/>
    <s v="USD"/>
    <s v="M1138"/>
    <x v="3"/>
    <s v="Sweden"/>
    <s v="C93370"/>
    <n v="71"/>
    <s v="F"/>
    <x v="13"/>
    <x v="1"/>
    <s v="Y"/>
    <s v="Success"/>
    <x v="1"/>
    <x v="1"/>
    <x v="3"/>
  </r>
  <r>
    <s v="TX1001343"/>
    <x v="74"/>
    <x v="0"/>
    <d v="1899-12-30T14:13:50"/>
    <n v="556.11"/>
    <s v="USD"/>
    <s v="M1243"/>
    <x v="9"/>
    <s v="Germany"/>
    <s v="C73510"/>
    <n v="18"/>
    <s v="Other"/>
    <x v="4"/>
    <x v="0"/>
    <s v="Y"/>
    <s v="Success"/>
    <x v="0"/>
    <x v="0"/>
    <x v="0"/>
  </r>
  <r>
    <s v="TX1002740"/>
    <x v="136"/>
    <x v="3"/>
    <d v="1899-12-30T12:17:13"/>
    <n v="555.91"/>
    <s v="USD"/>
    <s v="M1403"/>
    <x v="0"/>
    <s v="Spain"/>
    <s v="C75118"/>
    <n v="65"/>
    <s v="F"/>
    <x v="10"/>
    <x v="2"/>
    <s v="Y"/>
    <s v="Success"/>
    <x v="0"/>
    <x v="0"/>
    <x v="3"/>
  </r>
  <r>
    <s v="TX1002894"/>
    <x v="137"/>
    <x v="3"/>
    <d v="1899-12-30T09:44:39"/>
    <n v="554.48"/>
    <s v="USD"/>
    <s v="M1030"/>
    <x v="9"/>
    <s v="South Africa"/>
    <s v="C93462"/>
    <n v="38"/>
    <s v="F"/>
    <x v="3"/>
    <x v="3"/>
    <s v="Y"/>
    <s v="Success"/>
    <x v="0"/>
    <x v="0"/>
    <x v="1"/>
  </r>
  <r>
    <s v="TX1002717"/>
    <x v="130"/>
    <x v="3"/>
    <d v="1899-12-30T14:11:57"/>
    <n v="547.80999999999995"/>
    <s v="USD"/>
    <s v="M1747"/>
    <x v="8"/>
    <s v="Kenya"/>
    <s v="C97772"/>
    <n v="35"/>
    <s v="M"/>
    <x v="1"/>
    <x v="2"/>
    <s v="N"/>
    <s v="Success"/>
    <x v="0"/>
    <x v="0"/>
    <x v="1"/>
  </r>
  <r>
    <s v="TX1002987"/>
    <x v="116"/>
    <x v="3"/>
    <d v="1899-12-30T15:33:32"/>
    <n v="547.41999999999996"/>
    <s v="USD"/>
    <s v="M1518"/>
    <x v="7"/>
    <s v="Kenya"/>
    <s v="C97258"/>
    <n v="28"/>
    <s v="F"/>
    <x v="6"/>
    <x v="5"/>
    <s v="Y"/>
    <s v="Success"/>
    <x v="0"/>
    <x v="0"/>
    <x v="1"/>
  </r>
  <r>
    <s v="TX1002029"/>
    <x v="138"/>
    <x v="2"/>
    <d v="1899-12-30T00:50:57"/>
    <n v="545.45000000000005"/>
    <s v="USD"/>
    <s v="M1799"/>
    <x v="3"/>
    <s v="United Kingdom"/>
    <s v="C53406"/>
    <n v="22"/>
    <s v="Other"/>
    <x v="7"/>
    <x v="1"/>
    <s v="Y"/>
    <s v="Success"/>
    <x v="0"/>
    <x v="0"/>
    <x v="0"/>
  </r>
  <r>
    <s v="TX1000784"/>
    <x v="110"/>
    <x v="4"/>
    <d v="1899-12-30T00:53:13"/>
    <n v="544.15"/>
    <s v="USD"/>
    <s v="M1015"/>
    <x v="9"/>
    <s v="South Africa"/>
    <s v="C66805"/>
    <n v="74"/>
    <s v="Other"/>
    <x v="7"/>
    <x v="1"/>
    <s v="Y"/>
    <s v="Success"/>
    <x v="0"/>
    <x v="0"/>
    <x v="3"/>
  </r>
  <r>
    <s v="TX1001858"/>
    <x v="15"/>
    <x v="5"/>
    <d v="1899-12-30T15:21:38"/>
    <n v="540.34"/>
    <s v="USD"/>
    <s v="M1760"/>
    <x v="7"/>
    <s v="Sweden"/>
    <s v="C55192"/>
    <n v="32"/>
    <s v="Other"/>
    <x v="4"/>
    <x v="0"/>
    <s v="N"/>
    <s v="Success"/>
    <x v="0"/>
    <x v="0"/>
    <x v="1"/>
  </r>
  <r>
    <s v="TX1001254"/>
    <x v="76"/>
    <x v="0"/>
    <d v="1899-12-30T09:17:35"/>
    <n v="536.85"/>
    <s v="USD"/>
    <s v="M1651"/>
    <x v="4"/>
    <s v="United States"/>
    <s v="C56147"/>
    <n v="72"/>
    <s v="Other"/>
    <x v="13"/>
    <x v="0"/>
    <s v="Y"/>
    <s v="Success"/>
    <x v="0"/>
    <x v="0"/>
    <x v="3"/>
  </r>
  <r>
    <s v="TX1001984"/>
    <x v="71"/>
    <x v="5"/>
    <d v="1899-12-30T10:16:27"/>
    <n v="536.25"/>
    <s v="USD"/>
    <s v="M1707"/>
    <x v="5"/>
    <s v="Sweden"/>
    <s v="C71369"/>
    <n v="68"/>
    <s v="Other"/>
    <x v="5"/>
    <x v="0"/>
    <s v="Y"/>
    <s v="Success"/>
    <x v="0"/>
    <x v="0"/>
    <x v="3"/>
  </r>
  <r>
    <s v="TX1001785"/>
    <x v="26"/>
    <x v="5"/>
    <d v="1899-12-30T04:27:14"/>
    <n v="535.75"/>
    <s v="USD"/>
    <s v="M1606"/>
    <x v="8"/>
    <s v="Nigeria"/>
    <s v="C98898"/>
    <n v="68"/>
    <s v="M"/>
    <x v="3"/>
    <x v="0"/>
    <s v="Y"/>
    <s v="Success"/>
    <x v="0"/>
    <x v="0"/>
    <x v="3"/>
  </r>
  <r>
    <s v="TX1000358"/>
    <x v="1"/>
    <x v="1"/>
    <d v="1899-12-30T13:28:18"/>
    <n v="525.84"/>
    <s v="USD"/>
    <s v="M1648"/>
    <x v="6"/>
    <s v="United Kingdom"/>
    <s v="C72031"/>
    <n v="21"/>
    <s v="F"/>
    <x v="6"/>
    <x v="1"/>
    <s v="Y"/>
    <s v="Success"/>
    <x v="0"/>
    <x v="0"/>
    <x v="0"/>
  </r>
  <r>
    <s v="TX1002551"/>
    <x v="13"/>
    <x v="3"/>
    <d v="1899-12-30T14:48:25"/>
    <n v="524.6"/>
    <s v="USD"/>
    <s v="M1500"/>
    <x v="6"/>
    <s v="South Africa"/>
    <s v="C58246"/>
    <n v="67"/>
    <s v="M"/>
    <x v="4"/>
    <x v="4"/>
    <s v="Y"/>
    <s v="Success"/>
    <x v="0"/>
    <x v="0"/>
    <x v="3"/>
  </r>
  <r>
    <s v="TX1001454"/>
    <x v="61"/>
    <x v="0"/>
    <d v="1899-12-30T01:35:39"/>
    <n v="519.54"/>
    <s v="USD"/>
    <s v="M1940"/>
    <x v="3"/>
    <s v="Spain"/>
    <s v="C77165"/>
    <n v="59"/>
    <s v="M"/>
    <x v="0"/>
    <x v="4"/>
    <s v="N"/>
    <s v="Success"/>
    <x v="0"/>
    <x v="0"/>
    <x v="2"/>
  </r>
  <r>
    <s v="TX1000499"/>
    <x v="57"/>
    <x v="4"/>
    <d v="1899-12-30T12:04:48"/>
    <n v="519.54"/>
    <s v="USD"/>
    <s v="M1450"/>
    <x v="4"/>
    <s v="Sweden"/>
    <s v="C58130"/>
    <n v="55"/>
    <s v="M"/>
    <x v="8"/>
    <x v="5"/>
    <s v="Y"/>
    <s v="Success"/>
    <x v="0"/>
    <x v="0"/>
    <x v="2"/>
  </r>
  <r>
    <s v="TX1001838"/>
    <x v="139"/>
    <x v="5"/>
    <d v="1899-12-30T14:03:27"/>
    <n v="518.41"/>
    <s v="USD"/>
    <s v="M1837"/>
    <x v="9"/>
    <s v="United States"/>
    <s v="C66353"/>
    <n v="73"/>
    <s v="Other"/>
    <x v="11"/>
    <x v="0"/>
    <s v="Y"/>
    <s v="Success"/>
    <x v="0"/>
    <x v="0"/>
    <x v="3"/>
  </r>
  <r>
    <s v="TX1002121"/>
    <x v="21"/>
    <x v="2"/>
    <d v="1899-12-30T19:16:13"/>
    <n v="518.17999999999995"/>
    <s v="USD"/>
    <s v="M1604"/>
    <x v="1"/>
    <s v="Norway"/>
    <s v="C99068"/>
    <n v="36"/>
    <s v="M"/>
    <x v="1"/>
    <x v="1"/>
    <s v="Y"/>
    <s v="Success"/>
    <x v="0"/>
    <x v="0"/>
    <x v="1"/>
  </r>
  <r>
    <s v="TX1002071"/>
    <x v="140"/>
    <x v="2"/>
    <d v="1899-12-30T02:05:44"/>
    <n v="514.76"/>
    <s v="USD"/>
    <s v="M1242"/>
    <x v="1"/>
    <s v="Spain"/>
    <s v="C79696"/>
    <n v="34"/>
    <s v="M"/>
    <x v="3"/>
    <x v="4"/>
    <s v="Y"/>
    <s v="Success"/>
    <x v="0"/>
    <x v="0"/>
    <x v="1"/>
  </r>
  <r>
    <s v="TX1002910"/>
    <x v="96"/>
    <x v="3"/>
    <d v="1899-12-30T01:55:19"/>
    <n v="508.78"/>
    <s v="USD"/>
    <s v="M1697"/>
    <x v="1"/>
    <s v="France"/>
    <s v="C82941"/>
    <n v="66"/>
    <s v="M"/>
    <x v="3"/>
    <x v="3"/>
    <s v="Y"/>
    <s v="Success"/>
    <x v="0"/>
    <x v="0"/>
    <x v="3"/>
  </r>
  <r>
    <s v="TX1002264"/>
    <x v="38"/>
    <x v="2"/>
    <d v="1899-12-30T06:44:42"/>
    <n v="506.36"/>
    <s v="USD"/>
    <s v="M1218"/>
    <x v="0"/>
    <s v="United States"/>
    <s v="C79140"/>
    <n v="66"/>
    <s v="F"/>
    <x v="3"/>
    <x v="3"/>
    <s v="Y"/>
    <s v="Success"/>
    <x v="0"/>
    <x v="0"/>
    <x v="3"/>
  </r>
  <r>
    <s v="TX1001771"/>
    <x v="72"/>
    <x v="5"/>
    <d v="1899-12-30T16:49:34"/>
    <n v="501.32"/>
    <s v="USD"/>
    <s v="M1980"/>
    <x v="0"/>
    <s v="Netherlands"/>
    <s v="C93076"/>
    <n v="58"/>
    <s v="M"/>
    <x v="6"/>
    <x v="5"/>
    <s v="Y"/>
    <s v="Success"/>
    <x v="0"/>
    <x v="0"/>
    <x v="2"/>
  </r>
  <r>
    <s v="TX1002800"/>
    <x v="101"/>
    <x v="3"/>
    <d v="1899-12-30T20:49:03"/>
    <n v="500.92"/>
    <s v="USD"/>
    <s v="M1028"/>
    <x v="3"/>
    <s v="India"/>
    <s v="C65572"/>
    <n v="73"/>
    <s v="Other"/>
    <x v="0"/>
    <x v="2"/>
    <s v="Y"/>
    <s v="Success"/>
    <x v="0"/>
    <x v="0"/>
    <x v="3"/>
  </r>
  <r>
    <s v="TX1002272"/>
    <x v="38"/>
    <x v="2"/>
    <d v="1899-12-30T18:33:19"/>
    <n v="499.24"/>
    <s v="USD"/>
    <s v="M1140"/>
    <x v="5"/>
    <s v="Nigeria"/>
    <s v="C82969"/>
    <n v="34"/>
    <s v="F"/>
    <x v="7"/>
    <x v="2"/>
    <s v="Y"/>
    <s v="Success"/>
    <x v="0"/>
    <x v="0"/>
    <x v="1"/>
  </r>
  <r>
    <s v="TX1000848"/>
    <x v="12"/>
    <x v="4"/>
    <d v="1899-12-30T03:16:00"/>
    <n v="498.64"/>
    <s v="USD"/>
    <s v="M1423"/>
    <x v="8"/>
    <s v="Poland"/>
    <s v="C85813"/>
    <n v="48"/>
    <s v="Other"/>
    <x v="14"/>
    <x v="3"/>
    <s v="N"/>
    <s v="Success"/>
    <x v="0"/>
    <x v="0"/>
    <x v="2"/>
  </r>
  <r>
    <s v="TX1002972"/>
    <x v="141"/>
    <x v="3"/>
    <d v="1899-12-30T16:25:29"/>
    <n v="496.8"/>
    <s v="USD"/>
    <s v="M1286"/>
    <x v="7"/>
    <s v="Australia"/>
    <s v="C62346"/>
    <n v="16"/>
    <s v="F"/>
    <x v="6"/>
    <x v="1"/>
    <s v="Y"/>
    <s v="Success"/>
    <x v="0"/>
    <x v="0"/>
    <x v="0"/>
  </r>
  <r>
    <s v="TX1000686"/>
    <x v="113"/>
    <x v="4"/>
    <d v="1899-12-30T15:28:36"/>
    <n v="494.59"/>
    <s v="USD"/>
    <s v="M1822"/>
    <x v="8"/>
    <s v="Germany"/>
    <s v="C87623"/>
    <n v="34"/>
    <s v="Other"/>
    <x v="4"/>
    <x v="5"/>
    <s v="Y"/>
    <s v="Success"/>
    <x v="0"/>
    <x v="0"/>
    <x v="1"/>
  </r>
  <r>
    <s v="TX1002330"/>
    <x v="119"/>
    <x v="2"/>
    <d v="1899-12-30T14:24:01"/>
    <n v="492.34"/>
    <s v="USD"/>
    <s v="M1101"/>
    <x v="8"/>
    <s v="Spain"/>
    <s v="C55842"/>
    <n v="51"/>
    <s v="M"/>
    <x v="14"/>
    <x v="2"/>
    <s v="Y"/>
    <s v="Success"/>
    <x v="0"/>
    <x v="0"/>
    <x v="2"/>
  </r>
  <r>
    <s v="TX1001489"/>
    <x v="0"/>
    <x v="0"/>
    <d v="1899-12-30T19:18:53"/>
    <n v="491.64"/>
    <s v="USD"/>
    <s v="M1662"/>
    <x v="9"/>
    <s v="Canada"/>
    <s v="C97511"/>
    <n v="43"/>
    <s v="F"/>
    <x v="0"/>
    <x v="5"/>
    <s v="Y"/>
    <s v="Success"/>
    <x v="0"/>
    <x v="0"/>
    <x v="2"/>
  </r>
  <r>
    <s v="TX1002589"/>
    <x v="103"/>
    <x v="3"/>
    <d v="1899-12-30T12:02:23"/>
    <n v="491.39"/>
    <s v="USD"/>
    <s v="M1165"/>
    <x v="5"/>
    <s v="United Kingdom"/>
    <s v="C66546"/>
    <n v="42"/>
    <s v="F"/>
    <x v="7"/>
    <x v="5"/>
    <s v="Y"/>
    <s v="Success"/>
    <x v="0"/>
    <x v="0"/>
    <x v="2"/>
  </r>
  <r>
    <s v="TX1001694"/>
    <x v="27"/>
    <x v="5"/>
    <d v="1899-12-30T13:16:43"/>
    <n v="484.05"/>
    <s v="USD"/>
    <s v="M1929"/>
    <x v="4"/>
    <s v="Canada"/>
    <s v="C83298"/>
    <n v="62"/>
    <s v="F"/>
    <x v="2"/>
    <x v="2"/>
    <s v="Y"/>
    <s v="Success"/>
    <x v="0"/>
    <x v="0"/>
    <x v="3"/>
  </r>
  <r>
    <s v="TX1001712"/>
    <x v="142"/>
    <x v="5"/>
    <d v="1899-12-30T15:39:04"/>
    <n v="483.03"/>
    <s v="USD"/>
    <s v="M1127"/>
    <x v="9"/>
    <s v="Norway"/>
    <s v="C60540"/>
    <n v="55"/>
    <s v="M"/>
    <x v="13"/>
    <x v="2"/>
    <s v="Y"/>
    <s v="Success"/>
    <x v="0"/>
    <x v="0"/>
    <x v="2"/>
  </r>
  <r>
    <s v="TX1000833"/>
    <x v="114"/>
    <x v="4"/>
    <d v="1899-12-30T01:52:03"/>
    <n v="479.28"/>
    <s v="USD"/>
    <s v="M1289"/>
    <x v="2"/>
    <s v="Poland"/>
    <s v="C79890"/>
    <n v="91"/>
    <s v="M"/>
    <x v="5"/>
    <x v="2"/>
    <s v="Y"/>
    <s v="Success"/>
    <x v="0"/>
    <x v="0"/>
    <x v="3"/>
  </r>
  <r>
    <s v="TX1001678"/>
    <x v="134"/>
    <x v="5"/>
    <d v="1899-12-30T09:41:23"/>
    <n v="479.23"/>
    <s v="USD"/>
    <s v="M1329"/>
    <x v="4"/>
    <s v="France"/>
    <s v="C65755"/>
    <n v="48"/>
    <s v="F"/>
    <x v="4"/>
    <x v="3"/>
    <s v="Y"/>
    <s v="Success"/>
    <x v="0"/>
    <x v="0"/>
    <x v="2"/>
  </r>
  <r>
    <s v="TX1000131"/>
    <x v="5"/>
    <x v="1"/>
    <d v="1899-12-30T19:13:59"/>
    <n v="477.83"/>
    <s v="USD"/>
    <s v="M1468"/>
    <x v="7"/>
    <s v="Netherlands"/>
    <s v="C83961"/>
    <n v="31"/>
    <s v="F"/>
    <x v="7"/>
    <x v="4"/>
    <s v="Y"/>
    <s v="Success"/>
    <x v="0"/>
    <x v="0"/>
    <x v="1"/>
  </r>
  <r>
    <s v="TX1002559"/>
    <x v="52"/>
    <x v="3"/>
    <d v="1899-12-30T05:39:06"/>
    <n v="477.59"/>
    <s v="USD"/>
    <s v="M1838"/>
    <x v="2"/>
    <s v="Australia"/>
    <s v="C51774"/>
    <n v="25"/>
    <s v="M"/>
    <x v="13"/>
    <x v="2"/>
    <s v="Y"/>
    <s v="Success"/>
    <x v="0"/>
    <x v="0"/>
    <x v="1"/>
  </r>
  <r>
    <s v="TX1001880"/>
    <x v="53"/>
    <x v="5"/>
    <d v="1899-12-30T01:04:22"/>
    <n v="476.47"/>
    <s v="USD"/>
    <s v="M1619"/>
    <x v="9"/>
    <s v="Norway"/>
    <s v="C65345"/>
    <n v="52"/>
    <s v="M"/>
    <x v="7"/>
    <x v="0"/>
    <s v="Y"/>
    <s v="Success"/>
    <x v="0"/>
    <x v="0"/>
    <x v="2"/>
  </r>
  <r>
    <s v="TX1002426"/>
    <x v="46"/>
    <x v="2"/>
    <d v="1899-12-30T15:27:08"/>
    <n v="469.48"/>
    <s v="USD"/>
    <s v="M1532"/>
    <x v="4"/>
    <s v="Spain"/>
    <s v="C64270"/>
    <n v="31"/>
    <s v="M"/>
    <x v="5"/>
    <x v="2"/>
    <s v="Y"/>
    <s v="Success"/>
    <x v="0"/>
    <x v="0"/>
    <x v="1"/>
  </r>
  <r>
    <s v="TX1002756"/>
    <x v="7"/>
    <x v="3"/>
    <d v="1899-12-30T07:47:25"/>
    <n v="462.01"/>
    <s v="USD"/>
    <s v="M1040"/>
    <x v="5"/>
    <s v="Spain"/>
    <s v="C75137"/>
    <n v="27"/>
    <s v="F"/>
    <x v="11"/>
    <x v="1"/>
    <s v="Y"/>
    <s v="Success"/>
    <x v="0"/>
    <x v="0"/>
    <x v="1"/>
  </r>
  <r>
    <s v="TX1001567"/>
    <x v="29"/>
    <x v="5"/>
    <d v="1899-12-30T19:57:37"/>
    <n v="461.92"/>
    <s v="USD"/>
    <s v="M1301"/>
    <x v="7"/>
    <s v="Australia"/>
    <s v="C77097"/>
    <n v="65"/>
    <s v="Other"/>
    <x v="0"/>
    <x v="4"/>
    <s v="Y"/>
    <s v="Success"/>
    <x v="0"/>
    <x v="0"/>
    <x v="3"/>
  </r>
  <r>
    <s v="TX1001643"/>
    <x v="143"/>
    <x v="5"/>
    <d v="1899-12-30T11:16:09"/>
    <n v="461.58"/>
    <s v="USD"/>
    <s v="M1648"/>
    <x v="4"/>
    <s v="United States"/>
    <s v="C87412"/>
    <n v="66"/>
    <s v="M"/>
    <x v="11"/>
    <x v="5"/>
    <s v="Y"/>
    <s v="Success"/>
    <x v="0"/>
    <x v="0"/>
    <x v="3"/>
  </r>
  <r>
    <s v="TX1002887"/>
    <x v="144"/>
    <x v="3"/>
    <d v="1899-12-30T19:37:58"/>
    <n v="456.65"/>
    <s v="USD"/>
    <s v="M1261"/>
    <x v="7"/>
    <s v="Kenya"/>
    <s v="C85581"/>
    <n v="55"/>
    <s v="F"/>
    <x v="1"/>
    <x v="3"/>
    <s v="N"/>
    <s v="Success"/>
    <x v="0"/>
    <x v="0"/>
    <x v="2"/>
  </r>
  <r>
    <s v="TX1000294"/>
    <x v="55"/>
    <x v="1"/>
    <d v="1899-12-30T15:55:14"/>
    <n v="450.62"/>
    <s v="USD"/>
    <s v="M1130"/>
    <x v="9"/>
    <s v="Spain"/>
    <s v="C78961"/>
    <n v="24"/>
    <s v="Other"/>
    <x v="1"/>
    <x v="0"/>
    <s v="Y"/>
    <s v="Success"/>
    <x v="0"/>
    <x v="0"/>
    <x v="0"/>
  </r>
  <r>
    <s v="TX1002000"/>
    <x v="126"/>
    <x v="2"/>
    <d v="1899-12-30T06:08:51"/>
    <n v="449.85"/>
    <s v="USD"/>
    <s v="M1960"/>
    <x v="7"/>
    <s v="South Africa"/>
    <s v="C66007"/>
    <n v="69"/>
    <s v="Other"/>
    <x v="2"/>
    <x v="4"/>
    <s v="Y"/>
    <s v="Success"/>
    <x v="0"/>
    <x v="0"/>
    <x v="3"/>
  </r>
  <r>
    <s v="TX1002215"/>
    <x v="24"/>
    <x v="2"/>
    <d v="1899-12-30T06:40:47"/>
    <n v="447"/>
    <s v="USD"/>
    <s v="M1215"/>
    <x v="9"/>
    <s v="Kenya"/>
    <s v="C54668"/>
    <n v="24"/>
    <s v="M"/>
    <x v="10"/>
    <x v="5"/>
    <s v="Y"/>
    <s v="Success"/>
    <x v="0"/>
    <x v="0"/>
    <x v="0"/>
  </r>
  <r>
    <s v="TX1000203"/>
    <x v="31"/>
    <x v="1"/>
    <d v="1899-12-30T00:13:43"/>
    <n v="445.87"/>
    <s v="USD"/>
    <s v="M1174"/>
    <x v="2"/>
    <s v="India"/>
    <s v="C56968"/>
    <n v="22"/>
    <s v="M"/>
    <x v="13"/>
    <x v="1"/>
    <s v="Y"/>
    <s v="Success"/>
    <x v="0"/>
    <x v="0"/>
    <x v="0"/>
  </r>
  <r>
    <s v="TX1000840"/>
    <x v="114"/>
    <x v="4"/>
    <d v="1899-12-30T09:16:37"/>
    <n v="441.42"/>
    <s v="USD"/>
    <s v="M1390"/>
    <x v="7"/>
    <s v="United States"/>
    <s v="C97417"/>
    <n v="27"/>
    <s v="Other"/>
    <x v="9"/>
    <x v="1"/>
    <s v="Y"/>
    <s v="Success"/>
    <x v="0"/>
    <x v="0"/>
    <x v="1"/>
  </r>
  <r>
    <s v="TX1001546"/>
    <x v="145"/>
    <x v="5"/>
    <d v="1899-12-30T00:10:18"/>
    <n v="440.52"/>
    <s v="USD"/>
    <s v="M1128"/>
    <x v="8"/>
    <s v="United Kingdom"/>
    <s v="C69779"/>
    <n v="62"/>
    <s v="M"/>
    <x v="6"/>
    <x v="3"/>
    <s v="Y"/>
    <s v="Success"/>
    <x v="0"/>
    <x v="0"/>
    <x v="3"/>
  </r>
  <r>
    <s v="TX1000011"/>
    <x v="146"/>
    <x v="1"/>
    <d v="1899-12-30T13:10:37"/>
    <n v="438.71"/>
    <s v="USD"/>
    <s v="M1343"/>
    <x v="8"/>
    <s v="South Africa"/>
    <s v="C92029"/>
    <n v="72"/>
    <s v="Other"/>
    <x v="10"/>
    <x v="1"/>
    <s v="N"/>
    <s v="Success"/>
    <x v="0"/>
    <x v="0"/>
    <x v="3"/>
  </r>
  <r>
    <s v="TX1001172"/>
    <x v="40"/>
    <x v="0"/>
    <d v="1899-12-30T22:58:04"/>
    <n v="438.55"/>
    <s v="USD"/>
    <s v="M1190"/>
    <x v="8"/>
    <s v="Canada"/>
    <s v="C64861"/>
    <n v="44"/>
    <s v="M"/>
    <x v="0"/>
    <x v="2"/>
    <s v="Y"/>
    <s v="Success"/>
    <x v="0"/>
    <x v="0"/>
    <x v="2"/>
  </r>
  <r>
    <s v="TX1001282"/>
    <x v="125"/>
    <x v="0"/>
    <d v="1899-12-30T00:17:49"/>
    <n v="437.46"/>
    <s v="USD"/>
    <s v="M1595"/>
    <x v="4"/>
    <s v="Kenya"/>
    <s v="C91057"/>
    <n v="56"/>
    <s v="M"/>
    <x v="13"/>
    <x v="3"/>
    <s v="Y"/>
    <s v="Success"/>
    <x v="0"/>
    <x v="0"/>
    <x v="2"/>
  </r>
  <r>
    <s v="TX1002030"/>
    <x v="138"/>
    <x v="2"/>
    <d v="1899-12-30T01:51:27"/>
    <n v="435.88"/>
    <s v="USD"/>
    <s v="M1908"/>
    <x v="3"/>
    <s v="Kenya"/>
    <s v="C86820"/>
    <n v="46"/>
    <s v="F"/>
    <x v="3"/>
    <x v="1"/>
    <s v="Y"/>
    <s v="Success"/>
    <x v="0"/>
    <x v="0"/>
    <x v="2"/>
  </r>
  <r>
    <s v="TX1001199"/>
    <x v="107"/>
    <x v="0"/>
    <d v="1899-12-30T09:45:42"/>
    <n v="435.16"/>
    <s v="USD"/>
    <s v="M1150"/>
    <x v="1"/>
    <s v="South Africa"/>
    <s v="C72955"/>
    <n v="31"/>
    <s v="F"/>
    <x v="2"/>
    <x v="2"/>
    <s v="Y"/>
    <s v="Success"/>
    <x v="0"/>
    <x v="0"/>
    <x v="1"/>
  </r>
  <r>
    <s v="TX1000649"/>
    <x v="20"/>
    <x v="4"/>
    <d v="1899-12-30T15:06:47"/>
    <n v="428.12"/>
    <s v="USD"/>
    <s v="M1095"/>
    <x v="3"/>
    <s v="Spain"/>
    <s v="C84403"/>
    <n v="24"/>
    <s v="F"/>
    <x v="4"/>
    <x v="1"/>
    <s v="Y"/>
    <s v="Success"/>
    <x v="0"/>
    <x v="0"/>
    <x v="0"/>
  </r>
  <r>
    <s v="TX1002518"/>
    <x v="9"/>
    <x v="2"/>
    <d v="1899-12-30T14:26:16"/>
    <n v="427.59"/>
    <s v="USD"/>
    <s v="M1987"/>
    <x v="1"/>
    <s v="Norway"/>
    <s v="C64337"/>
    <n v="66"/>
    <s v="F"/>
    <x v="6"/>
    <x v="2"/>
    <s v="Y"/>
    <s v="Success"/>
    <x v="0"/>
    <x v="0"/>
    <x v="3"/>
  </r>
  <r>
    <s v="TX1002931"/>
    <x v="45"/>
    <x v="3"/>
    <d v="1899-12-30T02:22:25"/>
    <n v="422.33"/>
    <s v="USD"/>
    <s v="M1489"/>
    <x v="2"/>
    <s v="France"/>
    <s v="C63776"/>
    <n v="44"/>
    <s v="F"/>
    <x v="9"/>
    <x v="1"/>
    <s v="Y"/>
    <s v="Success"/>
    <x v="1"/>
    <x v="1"/>
    <x v="2"/>
  </r>
  <r>
    <s v="TX1002055"/>
    <x v="33"/>
    <x v="2"/>
    <d v="1899-12-30T09:23:33"/>
    <n v="414.2"/>
    <s v="USD"/>
    <s v="M1986"/>
    <x v="4"/>
    <s v="India"/>
    <s v="C77142"/>
    <n v="74"/>
    <s v="Other"/>
    <x v="9"/>
    <x v="3"/>
    <s v="Y"/>
    <s v="Success"/>
    <x v="1"/>
    <x v="1"/>
    <x v="3"/>
  </r>
  <r>
    <s v="TX1002012"/>
    <x v="126"/>
    <x v="2"/>
    <d v="1899-12-30T22:48:53"/>
    <n v="409.19"/>
    <s v="USD"/>
    <s v="M1079"/>
    <x v="8"/>
    <s v="United Kingdom"/>
    <s v="C87590"/>
    <n v="18"/>
    <s v="Other"/>
    <x v="7"/>
    <x v="5"/>
    <s v="Y"/>
    <s v="Success"/>
    <x v="0"/>
    <x v="0"/>
    <x v="0"/>
  </r>
  <r>
    <s v="TX1000582"/>
    <x v="36"/>
    <x v="4"/>
    <d v="1899-12-30T20:08:23"/>
    <n v="408.79"/>
    <s v="USD"/>
    <s v="M1025"/>
    <x v="9"/>
    <s v="Poland"/>
    <s v="C92204"/>
    <n v="27"/>
    <s v="F"/>
    <x v="14"/>
    <x v="2"/>
    <s v="N"/>
    <s v="Success"/>
    <x v="0"/>
    <x v="0"/>
    <x v="1"/>
  </r>
  <r>
    <s v="TX1000786"/>
    <x v="110"/>
    <x v="4"/>
    <d v="1899-12-30T02:14:48"/>
    <n v="406.25"/>
    <s v="USD"/>
    <s v="M1360"/>
    <x v="0"/>
    <s v="Poland"/>
    <s v="C90027"/>
    <n v="75"/>
    <s v="F"/>
    <x v="11"/>
    <x v="3"/>
    <s v="Y"/>
    <s v="Success"/>
    <x v="0"/>
    <x v="0"/>
    <x v="3"/>
  </r>
  <r>
    <s v="TX1001357"/>
    <x v="50"/>
    <x v="0"/>
    <d v="1899-12-30T06:32:58"/>
    <n v="405.34"/>
    <s v="USD"/>
    <s v="M1348"/>
    <x v="2"/>
    <s v="France"/>
    <s v="C53345"/>
    <n v="45"/>
    <s v="M"/>
    <x v="10"/>
    <x v="2"/>
    <s v="Y"/>
    <s v="Success"/>
    <x v="0"/>
    <x v="0"/>
    <x v="2"/>
  </r>
  <r>
    <s v="TX1001000"/>
    <x v="35"/>
    <x v="0"/>
    <d v="1899-12-30T10:12:32"/>
    <n v="398.33"/>
    <s v="USD"/>
    <s v="M1123"/>
    <x v="3"/>
    <s v="France"/>
    <s v="C64780"/>
    <n v="57"/>
    <s v="F"/>
    <x v="9"/>
    <x v="2"/>
    <s v="Y"/>
    <s v="Success"/>
    <x v="0"/>
    <x v="0"/>
    <x v="2"/>
  </r>
  <r>
    <s v="TX1001621"/>
    <x v="127"/>
    <x v="5"/>
    <d v="1899-12-30T13:08:29"/>
    <n v="397.74"/>
    <s v="USD"/>
    <s v="M1557"/>
    <x v="6"/>
    <s v="Australia"/>
    <s v="C65667"/>
    <n v="25"/>
    <s v="Other"/>
    <x v="12"/>
    <x v="3"/>
    <s v="Y"/>
    <s v="Success"/>
    <x v="0"/>
    <x v="0"/>
    <x v="1"/>
  </r>
  <r>
    <s v="TX1000724"/>
    <x v="106"/>
    <x v="4"/>
    <d v="1899-12-30T23:14:14"/>
    <n v="397.19"/>
    <s v="USD"/>
    <s v="M1539"/>
    <x v="1"/>
    <s v="Netherlands"/>
    <s v="C57373"/>
    <n v="26"/>
    <s v="Other"/>
    <x v="3"/>
    <x v="0"/>
    <s v="Y"/>
    <s v="Success"/>
    <x v="0"/>
    <x v="0"/>
    <x v="1"/>
  </r>
  <r>
    <s v="TX1001902"/>
    <x v="147"/>
    <x v="5"/>
    <d v="1899-12-30T11:07:29"/>
    <n v="394.91"/>
    <s v="USD"/>
    <s v="M1895"/>
    <x v="1"/>
    <s v="South Africa"/>
    <s v="C58954"/>
    <n v="31"/>
    <s v="M"/>
    <x v="13"/>
    <x v="5"/>
    <s v="Y"/>
    <s v="Success"/>
    <x v="0"/>
    <x v="0"/>
    <x v="1"/>
  </r>
  <r>
    <s v="TX1002473"/>
    <x v="19"/>
    <x v="2"/>
    <d v="1899-12-30T04:53:25"/>
    <n v="392.61"/>
    <s v="USD"/>
    <s v="M1808"/>
    <x v="0"/>
    <s v="Norway"/>
    <s v="C70293"/>
    <n v="52"/>
    <s v="Other"/>
    <x v="4"/>
    <x v="4"/>
    <s v="Y"/>
    <s v="Success"/>
    <x v="0"/>
    <x v="0"/>
    <x v="2"/>
  </r>
  <r>
    <s v="TX1000437"/>
    <x v="148"/>
    <x v="1"/>
    <d v="1899-12-30T21:06:36"/>
    <n v="388.08"/>
    <s v="USD"/>
    <s v="M1975"/>
    <x v="7"/>
    <s v="Kenya"/>
    <s v="C82696"/>
    <n v="37"/>
    <s v="M"/>
    <x v="1"/>
    <x v="1"/>
    <s v="N"/>
    <s v="Success"/>
    <x v="0"/>
    <x v="0"/>
    <x v="1"/>
  </r>
  <r>
    <s v="TX1001516"/>
    <x v="58"/>
    <x v="5"/>
    <d v="1899-12-30T09:58:31"/>
    <n v="386.07"/>
    <s v="USD"/>
    <s v="M1301"/>
    <x v="3"/>
    <s v="Netherlands"/>
    <s v="C76526"/>
    <n v="70"/>
    <s v="F"/>
    <x v="12"/>
    <x v="1"/>
    <s v="Y"/>
    <s v="Success"/>
    <x v="0"/>
    <x v="0"/>
    <x v="3"/>
  </r>
  <r>
    <s v="TX1002746"/>
    <x v="136"/>
    <x v="3"/>
    <d v="1899-12-30T18:09:34"/>
    <n v="385.84"/>
    <s v="USD"/>
    <s v="M1047"/>
    <x v="9"/>
    <s v="Spain"/>
    <s v="C55189"/>
    <n v="42"/>
    <s v="Other"/>
    <x v="1"/>
    <x v="4"/>
    <s v="Y"/>
    <s v="Success"/>
    <x v="0"/>
    <x v="0"/>
    <x v="2"/>
  </r>
  <r>
    <s v="TX1001945"/>
    <x v="78"/>
    <x v="5"/>
    <d v="1899-12-30T00:51:23"/>
    <n v="381.32"/>
    <s v="USD"/>
    <s v="M1656"/>
    <x v="0"/>
    <s v="Kenya"/>
    <s v="C86671"/>
    <n v="23"/>
    <s v="Other"/>
    <x v="12"/>
    <x v="0"/>
    <s v="Y"/>
    <s v="Success"/>
    <x v="1"/>
    <x v="1"/>
    <x v="0"/>
  </r>
  <r>
    <s v="TX1001482"/>
    <x v="0"/>
    <x v="0"/>
    <d v="1899-12-30T09:38:46"/>
    <n v="379.16"/>
    <s v="USD"/>
    <s v="M1315"/>
    <x v="0"/>
    <s v="Kenya"/>
    <s v="C70173"/>
    <n v="34"/>
    <s v="F"/>
    <x v="7"/>
    <x v="5"/>
    <s v="Y"/>
    <s v="Success"/>
    <x v="1"/>
    <x v="1"/>
    <x v="1"/>
  </r>
  <r>
    <s v="TX1000016"/>
    <x v="146"/>
    <x v="1"/>
    <d v="1899-12-30T22:12:59"/>
    <n v="374.32"/>
    <s v="USD"/>
    <s v="M1433"/>
    <x v="5"/>
    <s v="Netherlands"/>
    <s v="C54178"/>
    <n v="48"/>
    <s v="M"/>
    <x v="12"/>
    <x v="2"/>
    <s v="Y"/>
    <s v="Success"/>
    <x v="0"/>
    <x v="0"/>
    <x v="2"/>
  </r>
  <r>
    <s v="TX1002242"/>
    <x v="93"/>
    <x v="2"/>
    <d v="1899-12-30T21:41:27"/>
    <n v="374.07"/>
    <s v="USD"/>
    <s v="M1688"/>
    <x v="8"/>
    <s v="United Kingdom"/>
    <s v="C54288"/>
    <n v="58"/>
    <s v="M"/>
    <x v="0"/>
    <x v="2"/>
    <s v="Y"/>
    <s v="Success"/>
    <x v="0"/>
    <x v="0"/>
    <x v="2"/>
  </r>
  <r>
    <s v="TX1001998"/>
    <x v="126"/>
    <x v="2"/>
    <d v="1899-12-30T03:30:59"/>
    <n v="372.26"/>
    <s v="USD"/>
    <s v="M1030"/>
    <x v="2"/>
    <s v="Poland"/>
    <s v="C86701"/>
    <n v="18"/>
    <s v="M"/>
    <x v="9"/>
    <x v="1"/>
    <s v="Y"/>
    <s v="Success"/>
    <x v="0"/>
    <x v="0"/>
    <x v="0"/>
  </r>
  <r>
    <s v="TX1000158"/>
    <x v="42"/>
    <x v="1"/>
    <d v="1899-12-30T10:29:08"/>
    <n v="367.21"/>
    <s v="USD"/>
    <s v="M1535"/>
    <x v="8"/>
    <s v="Canada"/>
    <s v="C81655"/>
    <n v="60"/>
    <s v="M"/>
    <x v="13"/>
    <x v="0"/>
    <s v="Y"/>
    <s v="Success"/>
    <x v="0"/>
    <x v="0"/>
    <x v="3"/>
  </r>
  <r>
    <s v="TX1002444"/>
    <x v="67"/>
    <x v="2"/>
    <d v="1899-12-30T12:38:49"/>
    <n v="367.09"/>
    <s v="USD"/>
    <s v="M1971"/>
    <x v="5"/>
    <s v="Netherlands"/>
    <s v="C59845"/>
    <n v="29"/>
    <s v="M"/>
    <x v="3"/>
    <x v="2"/>
    <s v="Y"/>
    <s v="Success"/>
    <x v="0"/>
    <x v="0"/>
    <x v="1"/>
  </r>
  <r>
    <s v="TX1000548"/>
    <x v="122"/>
    <x v="4"/>
    <d v="1899-12-30T11:31:26"/>
    <n v="354.53"/>
    <s v="USD"/>
    <s v="M1627"/>
    <x v="5"/>
    <s v="South Africa"/>
    <s v="C93154"/>
    <n v="25"/>
    <s v="Other"/>
    <x v="3"/>
    <x v="4"/>
    <s v="Y"/>
    <s v="Success"/>
    <x v="0"/>
    <x v="0"/>
    <x v="1"/>
  </r>
  <r>
    <s v="TX1000467"/>
    <x v="25"/>
    <x v="1"/>
    <d v="1899-12-30T21:20:37"/>
    <n v="354.11"/>
    <s v="USD"/>
    <s v="M1933"/>
    <x v="4"/>
    <s v="Australia"/>
    <s v="C97796"/>
    <n v="34"/>
    <s v="Other"/>
    <x v="3"/>
    <x v="3"/>
    <s v="Y"/>
    <s v="Success"/>
    <x v="0"/>
    <x v="0"/>
    <x v="1"/>
  </r>
  <r>
    <s v="TX1002124"/>
    <x v="21"/>
    <x v="2"/>
    <d v="1899-12-30T22:08:28"/>
    <n v="352.55"/>
    <s v="USD"/>
    <s v="M1175"/>
    <x v="0"/>
    <s v="Poland"/>
    <s v="C94045"/>
    <n v="59"/>
    <s v="Other"/>
    <x v="9"/>
    <x v="2"/>
    <s v="Y"/>
    <s v="Success"/>
    <x v="0"/>
    <x v="0"/>
    <x v="2"/>
  </r>
  <r>
    <s v="TX1000505"/>
    <x v="57"/>
    <x v="4"/>
    <d v="1899-12-30T17:08:40"/>
    <n v="352.01"/>
    <s v="USD"/>
    <s v="M1924"/>
    <x v="3"/>
    <s v="Canada"/>
    <s v="C69841"/>
    <n v="55"/>
    <s v="F"/>
    <x v="10"/>
    <x v="4"/>
    <s v="Y"/>
    <s v="Success"/>
    <x v="0"/>
    <x v="0"/>
    <x v="2"/>
  </r>
  <r>
    <s v="TX1002424"/>
    <x v="46"/>
    <x v="2"/>
    <d v="1899-12-30T14:02:29"/>
    <n v="345.72"/>
    <s v="USD"/>
    <s v="M1439"/>
    <x v="8"/>
    <s v="Kenya"/>
    <s v="C94296"/>
    <n v="57"/>
    <s v="Other"/>
    <x v="13"/>
    <x v="0"/>
    <s v="Y"/>
    <s v="Success"/>
    <x v="0"/>
    <x v="0"/>
    <x v="2"/>
  </r>
  <r>
    <s v="TX1001564"/>
    <x v="29"/>
    <x v="5"/>
    <d v="1899-12-30T15:37:31"/>
    <n v="344.52"/>
    <s v="USD"/>
    <s v="M1936"/>
    <x v="1"/>
    <s v="Sweden"/>
    <s v="C92627"/>
    <n v="55"/>
    <s v="M"/>
    <x v="6"/>
    <x v="4"/>
    <s v="Y"/>
    <s v="Success"/>
    <x v="0"/>
    <x v="0"/>
    <x v="2"/>
  </r>
  <r>
    <s v="TX1000519"/>
    <x v="63"/>
    <x v="4"/>
    <d v="1899-12-30T10:26:03"/>
    <n v="340.08"/>
    <s v="USD"/>
    <s v="M1124"/>
    <x v="3"/>
    <s v="Sweden"/>
    <s v="C63738"/>
    <n v="65"/>
    <s v="F"/>
    <x v="13"/>
    <x v="5"/>
    <s v="Y"/>
    <s v="Success"/>
    <x v="0"/>
    <x v="0"/>
    <x v="3"/>
  </r>
  <r>
    <s v="TX1002139"/>
    <x v="135"/>
    <x v="2"/>
    <d v="1899-12-30T15:21:59"/>
    <n v="335.64"/>
    <s v="USD"/>
    <s v="M1073"/>
    <x v="8"/>
    <s v="Spain"/>
    <s v="C87356"/>
    <n v="31"/>
    <s v="M"/>
    <x v="8"/>
    <x v="2"/>
    <s v="Y"/>
    <s v="Success"/>
    <x v="0"/>
    <x v="0"/>
    <x v="1"/>
  </r>
  <r>
    <s v="TX1000736"/>
    <x v="111"/>
    <x v="4"/>
    <d v="1899-12-30T11:58:50"/>
    <n v="329.5"/>
    <s v="USD"/>
    <s v="M1529"/>
    <x v="7"/>
    <s v="Sweden"/>
    <s v="C97629"/>
    <n v="19"/>
    <s v="Other"/>
    <x v="6"/>
    <x v="1"/>
    <s v="Y"/>
    <s v="Success"/>
    <x v="0"/>
    <x v="0"/>
    <x v="0"/>
  </r>
  <r>
    <s v="TX1001570"/>
    <x v="29"/>
    <x v="5"/>
    <d v="1899-12-30T22:53:29"/>
    <n v="328.99"/>
    <s v="USD"/>
    <s v="M1433"/>
    <x v="6"/>
    <s v="Sweden"/>
    <s v="C82639"/>
    <n v="56"/>
    <s v="M"/>
    <x v="11"/>
    <x v="4"/>
    <s v="Y"/>
    <s v="Success"/>
    <x v="0"/>
    <x v="0"/>
    <x v="2"/>
  </r>
  <r>
    <s v="TX1000862"/>
    <x v="12"/>
    <x v="4"/>
    <d v="1899-12-30T19:52:33"/>
    <n v="328.71"/>
    <s v="USD"/>
    <s v="M1562"/>
    <x v="9"/>
    <s v="Kenya"/>
    <s v="C64374"/>
    <n v="62"/>
    <s v="Other"/>
    <x v="5"/>
    <x v="3"/>
    <s v="Y"/>
    <s v="Success"/>
    <x v="0"/>
    <x v="0"/>
    <x v="3"/>
  </r>
  <r>
    <s v="TX1002447"/>
    <x v="67"/>
    <x v="2"/>
    <d v="1899-12-30T16:58:13"/>
    <n v="321.95999999999998"/>
    <s v="USD"/>
    <s v="M1808"/>
    <x v="6"/>
    <s v="United Kingdom"/>
    <s v="C74359"/>
    <n v="52"/>
    <s v="Other"/>
    <x v="14"/>
    <x v="1"/>
    <s v="Y"/>
    <s v="Success"/>
    <x v="0"/>
    <x v="0"/>
    <x v="2"/>
  </r>
  <r>
    <s v="TX1000420"/>
    <x v="149"/>
    <x v="1"/>
    <d v="1899-12-30T17:28:56"/>
    <n v="312.47000000000003"/>
    <s v="USD"/>
    <s v="M1594"/>
    <x v="0"/>
    <s v="France"/>
    <s v="C58341"/>
    <n v="21"/>
    <s v="F"/>
    <x v="5"/>
    <x v="2"/>
    <s v="Y"/>
    <s v="Success"/>
    <x v="0"/>
    <x v="0"/>
    <x v="0"/>
  </r>
  <r>
    <s v="TX1000374"/>
    <x v="56"/>
    <x v="1"/>
    <d v="1899-12-30T00:56:18"/>
    <n v="310.24"/>
    <s v="USD"/>
    <s v="M1386"/>
    <x v="9"/>
    <s v="Netherlands"/>
    <s v="C77833"/>
    <n v="22"/>
    <s v="F"/>
    <x v="9"/>
    <x v="0"/>
    <s v="Y"/>
    <s v="Success"/>
    <x v="0"/>
    <x v="0"/>
    <x v="0"/>
  </r>
  <r>
    <s v="TX1002670"/>
    <x v="34"/>
    <x v="3"/>
    <d v="1899-12-30T02:34:56"/>
    <n v="310.14"/>
    <s v="USD"/>
    <s v="M1661"/>
    <x v="8"/>
    <s v="Norway"/>
    <s v="C75893"/>
    <n v="51"/>
    <s v="Other"/>
    <x v="13"/>
    <x v="3"/>
    <s v="Y"/>
    <s v="Success"/>
    <x v="0"/>
    <x v="0"/>
    <x v="2"/>
  </r>
  <r>
    <s v="TX1002974"/>
    <x v="141"/>
    <x v="3"/>
    <d v="1899-12-30T21:00:02"/>
    <n v="310"/>
    <s v="USD"/>
    <s v="M1827"/>
    <x v="2"/>
    <s v="India"/>
    <s v="C75727"/>
    <n v="56"/>
    <s v="Other"/>
    <x v="2"/>
    <x v="5"/>
    <s v="Y"/>
    <s v="Success"/>
    <x v="0"/>
    <x v="0"/>
    <x v="2"/>
  </r>
  <r>
    <s v="TX1002804"/>
    <x v="4"/>
    <x v="3"/>
    <d v="1899-12-30T06:13:00"/>
    <n v="303.27"/>
    <s v="USD"/>
    <s v="M1574"/>
    <x v="5"/>
    <s v="Australia"/>
    <s v="C54025"/>
    <n v="23"/>
    <s v="Other"/>
    <x v="10"/>
    <x v="2"/>
    <s v="Y"/>
    <s v="Success"/>
    <x v="0"/>
    <x v="0"/>
    <x v="0"/>
  </r>
  <r>
    <s v="TX1001430"/>
    <x v="150"/>
    <x v="0"/>
    <d v="1899-12-30T17:36:42"/>
    <n v="300.01"/>
    <s v="USD"/>
    <s v="M1925"/>
    <x v="8"/>
    <s v="France"/>
    <s v="C61261"/>
    <n v="33"/>
    <s v="M"/>
    <x v="7"/>
    <x v="3"/>
    <s v="Y"/>
    <s v="Success"/>
    <x v="1"/>
    <x v="1"/>
    <x v="1"/>
  </r>
  <r>
    <s v="TX1002502"/>
    <x v="28"/>
    <x v="2"/>
    <d v="1899-12-30T17:18:19"/>
    <n v="296.58"/>
    <s v="USD"/>
    <s v="M1005"/>
    <x v="9"/>
    <s v="Kenya"/>
    <s v="C52627"/>
    <n v="21"/>
    <s v="F"/>
    <x v="11"/>
    <x v="5"/>
    <s v="Y"/>
    <s v="Success"/>
    <x v="0"/>
    <x v="0"/>
    <x v="0"/>
  </r>
  <r>
    <s v="TX1001982"/>
    <x v="71"/>
    <x v="5"/>
    <d v="1899-12-30T01:51:07"/>
    <n v="296.57"/>
    <s v="USD"/>
    <s v="M1415"/>
    <x v="2"/>
    <s v="Germany"/>
    <s v="C56530"/>
    <n v="31"/>
    <s v="Other"/>
    <x v="3"/>
    <x v="1"/>
    <s v="Y"/>
    <s v="Success"/>
    <x v="1"/>
    <x v="1"/>
    <x v="1"/>
  </r>
  <r>
    <s v="TX1000299"/>
    <x v="55"/>
    <x v="1"/>
    <d v="1899-12-30T21:08:03"/>
    <n v="292.14999999999998"/>
    <s v="USD"/>
    <s v="M1199"/>
    <x v="2"/>
    <s v="Spain"/>
    <s v="C73587"/>
    <n v="29"/>
    <s v="M"/>
    <x v="0"/>
    <x v="1"/>
    <s v="N"/>
    <s v="Success"/>
    <x v="0"/>
    <x v="0"/>
    <x v="1"/>
  </r>
  <r>
    <s v="TX1000729"/>
    <x v="111"/>
    <x v="4"/>
    <d v="1899-12-30T04:50:03"/>
    <n v="290.17"/>
    <s v="USD"/>
    <s v="M1185"/>
    <x v="9"/>
    <s v="India"/>
    <s v="C90469"/>
    <n v="60"/>
    <s v="Other"/>
    <x v="0"/>
    <x v="0"/>
    <s v="Y"/>
    <s v="Success"/>
    <x v="0"/>
    <x v="0"/>
    <x v="3"/>
  </r>
  <r>
    <s v="TX1000439"/>
    <x v="151"/>
    <x v="1"/>
    <d v="1899-12-30T00:52:46"/>
    <n v="287.37"/>
    <s v="USD"/>
    <s v="M1694"/>
    <x v="8"/>
    <s v="Norway"/>
    <s v="C85046"/>
    <n v="51"/>
    <s v="F"/>
    <x v="5"/>
    <x v="2"/>
    <s v="Y"/>
    <s v="Success"/>
    <x v="0"/>
    <x v="0"/>
    <x v="2"/>
  </r>
  <r>
    <s v="TX1000262"/>
    <x v="152"/>
    <x v="1"/>
    <d v="1899-12-30T21:42:25"/>
    <n v="286.11"/>
    <s v="USD"/>
    <s v="M1676"/>
    <x v="2"/>
    <s v="Norway"/>
    <s v="C66605"/>
    <n v="19"/>
    <s v="M"/>
    <x v="8"/>
    <x v="3"/>
    <s v="Y"/>
    <s v="Success"/>
    <x v="0"/>
    <x v="0"/>
    <x v="0"/>
  </r>
  <r>
    <s v="TX1000590"/>
    <x v="153"/>
    <x v="4"/>
    <d v="1899-12-30T19:20:09"/>
    <n v="285.81"/>
    <s v="USD"/>
    <s v="M1031"/>
    <x v="2"/>
    <s v="Kenya"/>
    <s v="C50734"/>
    <n v="42"/>
    <s v="Other"/>
    <x v="7"/>
    <x v="5"/>
    <s v="Y"/>
    <s v="Success"/>
    <x v="0"/>
    <x v="0"/>
    <x v="2"/>
  </r>
  <r>
    <s v="TX1000148"/>
    <x v="30"/>
    <x v="1"/>
    <d v="1899-12-30T17:52:46"/>
    <n v="285.64"/>
    <s v="USD"/>
    <s v="M1032"/>
    <x v="2"/>
    <s v="Poland"/>
    <s v="C75467"/>
    <n v="34"/>
    <s v="M"/>
    <x v="2"/>
    <x v="5"/>
    <s v="Y"/>
    <s v="Success"/>
    <x v="0"/>
    <x v="0"/>
    <x v="1"/>
  </r>
  <r>
    <s v="TX1000910"/>
    <x v="68"/>
    <x v="4"/>
    <d v="1899-12-30T06:34:50"/>
    <n v="284.61"/>
    <s v="USD"/>
    <s v="M1978"/>
    <x v="0"/>
    <s v="Australia"/>
    <s v="C55958"/>
    <n v="66"/>
    <s v="Other"/>
    <x v="12"/>
    <x v="3"/>
    <s v="Y"/>
    <s v="Success"/>
    <x v="0"/>
    <x v="0"/>
    <x v="3"/>
  </r>
  <r>
    <s v="TX1001947"/>
    <x v="78"/>
    <x v="5"/>
    <d v="1899-12-30T04:22:09"/>
    <n v="276.87"/>
    <s v="USD"/>
    <s v="M1874"/>
    <x v="4"/>
    <s v="United States"/>
    <s v="C92894"/>
    <n v="66"/>
    <s v="Other"/>
    <x v="8"/>
    <x v="5"/>
    <s v="Y"/>
    <s v="Success"/>
    <x v="0"/>
    <x v="0"/>
    <x v="3"/>
  </r>
  <r>
    <s v="TX1001232"/>
    <x v="128"/>
    <x v="0"/>
    <d v="1899-12-30T05:51:01"/>
    <n v="266.25"/>
    <s v="USD"/>
    <s v="M1034"/>
    <x v="8"/>
    <s v="Kenya"/>
    <s v="C63368"/>
    <n v="116"/>
    <s v="F"/>
    <x v="9"/>
    <x v="5"/>
    <s v="Y"/>
    <s v="Success"/>
    <x v="0"/>
    <x v="0"/>
    <x v="3"/>
  </r>
  <r>
    <s v="TX1001725"/>
    <x v="70"/>
    <x v="5"/>
    <d v="1899-12-30T06:00:23"/>
    <n v="261.7"/>
    <s v="USD"/>
    <s v="M1739"/>
    <x v="1"/>
    <s v="Norway"/>
    <s v="C84764"/>
    <n v="52"/>
    <s v="Other"/>
    <x v="1"/>
    <x v="3"/>
    <s v="Y"/>
    <s v="Success"/>
    <x v="0"/>
    <x v="0"/>
    <x v="2"/>
  </r>
  <r>
    <s v="TX1001850"/>
    <x v="15"/>
    <x v="5"/>
    <d v="1899-12-30T07:36:58"/>
    <n v="258.88"/>
    <s v="USD"/>
    <s v="M1861"/>
    <x v="5"/>
    <s v="Nigeria"/>
    <s v="C78899"/>
    <n v="69"/>
    <s v="F"/>
    <x v="11"/>
    <x v="1"/>
    <s v="Y"/>
    <s v="Success"/>
    <x v="0"/>
    <x v="0"/>
    <x v="3"/>
  </r>
  <r>
    <s v="TX1002581"/>
    <x v="103"/>
    <x v="3"/>
    <d v="1899-12-30T05:15:31"/>
    <n v="251.37"/>
    <s v="USD"/>
    <s v="M1593"/>
    <x v="7"/>
    <s v="Germany"/>
    <s v="C65355"/>
    <n v="36"/>
    <s v="Other"/>
    <x v="13"/>
    <x v="4"/>
    <s v="Y"/>
    <s v="Success"/>
    <x v="0"/>
    <x v="0"/>
    <x v="1"/>
  </r>
  <r>
    <s v="TX1000739"/>
    <x v="111"/>
    <x v="4"/>
    <d v="1899-12-30T16:11:18"/>
    <n v="246.06"/>
    <s v="USD"/>
    <s v="M1424"/>
    <x v="4"/>
    <s v="India"/>
    <s v="C70355"/>
    <n v="22"/>
    <s v="M"/>
    <x v="1"/>
    <x v="2"/>
    <s v="Y"/>
    <s v="Success"/>
    <x v="0"/>
    <x v="0"/>
    <x v="0"/>
  </r>
  <r>
    <s v="TX1002463"/>
    <x v="154"/>
    <x v="2"/>
    <d v="1899-12-30T18:00:29"/>
    <n v="244.71"/>
    <s v="USD"/>
    <s v="M1843"/>
    <x v="0"/>
    <s v="Spain"/>
    <s v="C74634"/>
    <n v="52"/>
    <s v="F"/>
    <x v="4"/>
    <x v="0"/>
    <s v="Y"/>
    <s v="Success"/>
    <x v="0"/>
    <x v="0"/>
    <x v="2"/>
  </r>
  <r>
    <s v="TX1001923"/>
    <x v="155"/>
    <x v="5"/>
    <d v="1899-12-30T11:36:23"/>
    <n v="240.71"/>
    <s v="USD"/>
    <s v="M1398"/>
    <x v="5"/>
    <s v="Canada"/>
    <s v="C69193"/>
    <n v="33"/>
    <s v="Other"/>
    <x v="4"/>
    <x v="0"/>
    <s v="Y"/>
    <s v="Success"/>
    <x v="0"/>
    <x v="0"/>
    <x v="1"/>
  </r>
  <r>
    <s v="TX1001645"/>
    <x v="143"/>
    <x v="5"/>
    <d v="1899-12-30T15:43:45"/>
    <n v="238.56"/>
    <s v="USD"/>
    <s v="M1172"/>
    <x v="0"/>
    <s v="Norway"/>
    <s v="C85972"/>
    <n v="51"/>
    <s v="F"/>
    <x v="7"/>
    <x v="5"/>
    <s v="Y"/>
    <s v="Success"/>
    <x v="0"/>
    <x v="0"/>
    <x v="2"/>
  </r>
  <r>
    <s v="TX1001907"/>
    <x v="147"/>
    <x v="5"/>
    <d v="1899-12-30T20:03:55"/>
    <n v="237.06"/>
    <s v="USD"/>
    <s v="M1680"/>
    <x v="1"/>
    <s v="Germany"/>
    <s v="C87173"/>
    <n v="44"/>
    <s v="M"/>
    <x v="4"/>
    <x v="2"/>
    <s v="Y"/>
    <s v="Success"/>
    <x v="0"/>
    <x v="0"/>
    <x v="2"/>
  </r>
  <r>
    <s v="TX1001613"/>
    <x v="127"/>
    <x v="5"/>
    <d v="1899-12-30T00:13:38"/>
    <n v="235.18"/>
    <s v="USD"/>
    <s v="M1101"/>
    <x v="8"/>
    <s v="Sweden"/>
    <s v="C65703"/>
    <n v="68"/>
    <s v="F"/>
    <x v="8"/>
    <x v="0"/>
    <s v="Y"/>
    <s v="Success"/>
    <x v="0"/>
    <x v="0"/>
    <x v="3"/>
  </r>
  <r>
    <s v="TX1002305"/>
    <x v="156"/>
    <x v="2"/>
    <d v="1899-12-30T19:21:27"/>
    <n v="229.65"/>
    <s v="USD"/>
    <s v="M1570"/>
    <x v="3"/>
    <s v="Poland"/>
    <s v="C72965"/>
    <n v="38"/>
    <s v="F"/>
    <x v="9"/>
    <x v="2"/>
    <s v="Y"/>
    <s v="Success"/>
    <x v="0"/>
    <x v="0"/>
    <x v="1"/>
  </r>
  <r>
    <s v="TX1001323"/>
    <x v="108"/>
    <x v="0"/>
    <d v="1899-12-30T07:21:25"/>
    <n v="219.08"/>
    <s v="USD"/>
    <s v="M1054"/>
    <x v="9"/>
    <s v="Kenya"/>
    <s v="C93700"/>
    <n v="60"/>
    <s v="Other"/>
    <x v="1"/>
    <x v="4"/>
    <s v="N"/>
    <s v="Success"/>
    <x v="0"/>
    <x v="0"/>
    <x v="3"/>
  </r>
  <r>
    <s v="TX1000459"/>
    <x v="25"/>
    <x v="1"/>
    <d v="1899-12-30T06:32:04"/>
    <n v="216.02"/>
    <s v="USD"/>
    <s v="M1407"/>
    <x v="1"/>
    <s v="Kenya"/>
    <s v="C60285"/>
    <n v="62"/>
    <s v="M"/>
    <x v="1"/>
    <x v="1"/>
    <s v="N"/>
    <s v="Success"/>
    <x v="0"/>
    <x v="0"/>
    <x v="3"/>
  </r>
  <r>
    <s v="TX1001339"/>
    <x v="74"/>
    <x v="0"/>
    <d v="1899-12-30T09:20:21"/>
    <n v="215.09"/>
    <s v="USD"/>
    <s v="M1400"/>
    <x v="8"/>
    <s v="Australia"/>
    <s v="C80428"/>
    <n v="45"/>
    <s v="Other"/>
    <x v="3"/>
    <x v="1"/>
    <s v="Y"/>
    <s v="Success"/>
    <x v="0"/>
    <x v="0"/>
    <x v="2"/>
  </r>
  <r>
    <s v="TX1002157"/>
    <x v="2"/>
    <x v="2"/>
    <d v="1899-12-30T09:21:40"/>
    <n v="214.78"/>
    <s v="USD"/>
    <s v="M1272"/>
    <x v="2"/>
    <s v="Kenya"/>
    <s v="C68395"/>
    <n v="63"/>
    <s v="F"/>
    <x v="8"/>
    <x v="4"/>
    <s v="Y"/>
    <s v="Success"/>
    <x v="0"/>
    <x v="0"/>
    <x v="3"/>
  </r>
  <r>
    <s v="TX1000381"/>
    <x v="56"/>
    <x v="1"/>
    <d v="1899-12-30T19:25:00"/>
    <n v="211.95"/>
    <s v="USD"/>
    <s v="M1888"/>
    <x v="7"/>
    <s v="South Africa"/>
    <s v="C56167"/>
    <n v="22"/>
    <s v="F"/>
    <x v="7"/>
    <x v="1"/>
    <s v="Y"/>
    <s v="Success"/>
    <x v="0"/>
    <x v="0"/>
    <x v="0"/>
  </r>
  <r>
    <s v="TX1000888"/>
    <x v="51"/>
    <x v="4"/>
    <d v="1899-12-30T20:23:17"/>
    <n v="211.51"/>
    <s v="USD"/>
    <s v="M1594"/>
    <x v="0"/>
    <s v="Germany"/>
    <s v="C67215"/>
    <n v="68"/>
    <s v="M"/>
    <x v="13"/>
    <x v="2"/>
    <s v="Y"/>
    <s v="Success"/>
    <x v="0"/>
    <x v="0"/>
    <x v="3"/>
  </r>
  <r>
    <s v="TX1002074"/>
    <x v="140"/>
    <x v="2"/>
    <d v="1899-12-30T04:12:34"/>
    <n v="203.57"/>
    <s v="USD"/>
    <s v="M1219"/>
    <x v="6"/>
    <s v="Germany"/>
    <s v="C63895"/>
    <n v="45"/>
    <s v="Other"/>
    <x v="9"/>
    <x v="0"/>
    <s v="Y"/>
    <s v="Success"/>
    <x v="0"/>
    <x v="0"/>
    <x v="2"/>
  </r>
  <r>
    <s v="TX1000774"/>
    <x v="18"/>
    <x v="4"/>
    <d v="1899-12-30T12:55:31"/>
    <n v="202.92"/>
    <s v="USD"/>
    <s v="M1468"/>
    <x v="4"/>
    <s v="Spain"/>
    <s v="C61952"/>
    <n v="45"/>
    <s v="F"/>
    <x v="2"/>
    <x v="3"/>
    <s v="Y"/>
    <s v="Success"/>
    <x v="0"/>
    <x v="0"/>
    <x v="2"/>
  </r>
  <r>
    <s v="TX1002828"/>
    <x v="86"/>
    <x v="3"/>
    <d v="1899-12-30T09:46:45"/>
    <n v="199.95"/>
    <s v="USD"/>
    <s v="M1873"/>
    <x v="0"/>
    <s v="United States"/>
    <s v="C85033"/>
    <n v="38"/>
    <s v="M"/>
    <x v="1"/>
    <x v="5"/>
    <s v="Y"/>
    <s v="Success"/>
    <x v="0"/>
    <x v="0"/>
    <x v="1"/>
  </r>
  <r>
    <s v="TX1001860"/>
    <x v="15"/>
    <x v="5"/>
    <d v="1899-12-30T21:34:15"/>
    <n v="199.88"/>
    <s v="USD"/>
    <s v="M1657"/>
    <x v="8"/>
    <s v="Poland"/>
    <s v="C77871"/>
    <n v="66"/>
    <s v="Other"/>
    <x v="1"/>
    <x v="2"/>
    <s v="Y"/>
    <s v="Success"/>
    <x v="0"/>
    <x v="0"/>
    <x v="3"/>
  </r>
  <r>
    <s v="TX1000269"/>
    <x v="32"/>
    <x v="1"/>
    <d v="1899-12-30T03:41:40"/>
    <n v="199.85"/>
    <s v="USD"/>
    <s v="M1693"/>
    <x v="3"/>
    <s v="United States"/>
    <s v="C82995"/>
    <n v="57"/>
    <s v="M"/>
    <x v="6"/>
    <x v="0"/>
    <s v="Y"/>
    <s v="Success"/>
    <x v="0"/>
    <x v="0"/>
    <x v="2"/>
  </r>
  <r>
    <s v="TX1001877"/>
    <x v="117"/>
    <x v="5"/>
    <d v="1899-12-30T22:42:43"/>
    <n v="199.78"/>
    <s v="USD"/>
    <s v="M1345"/>
    <x v="6"/>
    <s v="Kenya"/>
    <s v="C88991"/>
    <n v="30"/>
    <s v="F"/>
    <x v="14"/>
    <x v="4"/>
    <s v="Y"/>
    <s v="Success"/>
    <x v="0"/>
    <x v="0"/>
    <x v="1"/>
  </r>
  <r>
    <s v="TX1002294"/>
    <x v="156"/>
    <x v="2"/>
    <d v="1899-12-30T00:51:51"/>
    <n v="199.73"/>
    <s v="USD"/>
    <s v="M1155"/>
    <x v="3"/>
    <s v="Germany"/>
    <s v="C57575"/>
    <n v="68"/>
    <s v="M"/>
    <x v="8"/>
    <x v="5"/>
    <s v="Y"/>
    <s v="Success"/>
    <x v="0"/>
    <x v="0"/>
    <x v="3"/>
  </r>
  <r>
    <s v="TX1000305"/>
    <x v="157"/>
    <x v="1"/>
    <d v="1899-12-30T09:39:08"/>
    <n v="199.6"/>
    <s v="USD"/>
    <s v="M1757"/>
    <x v="0"/>
    <s v="Spain"/>
    <s v="C67113"/>
    <n v="45"/>
    <s v="F"/>
    <x v="12"/>
    <x v="1"/>
    <s v="Y"/>
    <s v="Success"/>
    <x v="1"/>
    <x v="1"/>
    <x v="2"/>
  </r>
  <r>
    <s v="TX1001462"/>
    <x v="61"/>
    <x v="0"/>
    <d v="1899-12-30T14:09:46"/>
    <n v="199.59"/>
    <s v="USD"/>
    <s v="M1047"/>
    <x v="7"/>
    <s v="Nigeria"/>
    <s v="C74220"/>
    <n v="70"/>
    <s v="Other"/>
    <x v="12"/>
    <x v="4"/>
    <s v="Y"/>
    <s v="Success"/>
    <x v="0"/>
    <x v="0"/>
    <x v="3"/>
  </r>
  <r>
    <s v="TX1002125"/>
    <x v="21"/>
    <x v="2"/>
    <d v="1899-12-30T22:09:23"/>
    <n v="199.49"/>
    <s v="USD"/>
    <s v="M1287"/>
    <x v="0"/>
    <s v="Germany"/>
    <s v="C76732"/>
    <n v="75"/>
    <s v="Other"/>
    <x v="4"/>
    <x v="0"/>
    <s v="Y"/>
    <s v="Success"/>
    <x v="0"/>
    <x v="0"/>
    <x v="3"/>
  </r>
  <r>
    <s v="TX1000151"/>
    <x v="42"/>
    <x v="1"/>
    <d v="1899-12-30T01:09:38"/>
    <n v="199.37"/>
    <s v="USD"/>
    <s v="M1648"/>
    <x v="4"/>
    <s v="Norway"/>
    <s v="C97570"/>
    <n v="42"/>
    <s v="Other"/>
    <x v="0"/>
    <x v="3"/>
    <s v="Y"/>
    <s v="Success"/>
    <x v="1"/>
    <x v="1"/>
    <x v="2"/>
  </r>
  <r>
    <s v="TX1001600"/>
    <x v="66"/>
    <x v="5"/>
    <d v="1899-12-30T03:19:54"/>
    <n v="199.34"/>
    <s v="USD"/>
    <s v="M1582"/>
    <x v="4"/>
    <s v="Sweden"/>
    <s v="C72496"/>
    <n v="40"/>
    <s v="F"/>
    <x v="11"/>
    <x v="4"/>
    <s v="Y"/>
    <s v="Success"/>
    <x v="1"/>
    <x v="1"/>
    <x v="2"/>
  </r>
  <r>
    <s v="TX1002179"/>
    <x v="112"/>
    <x v="2"/>
    <d v="1899-12-30T13:51:14"/>
    <n v="199.32"/>
    <s v="USD"/>
    <s v="M1026"/>
    <x v="2"/>
    <s v="United Kingdom"/>
    <s v="C69157"/>
    <n v="34"/>
    <s v="F"/>
    <x v="12"/>
    <x v="5"/>
    <s v="Y"/>
    <s v="Success"/>
    <x v="0"/>
    <x v="0"/>
    <x v="1"/>
  </r>
  <r>
    <s v="TX1000920"/>
    <x v="68"/>
    <x v="4"/>
    <d v="1899-12-30T17:37:34"/>
    <n v="199.15"/>
    <s v="USD"/>
    <s v="M1301"/>
    <x v="7"/>
    <s v="United States"/>
    <s v="C90616"/>
    <n v="53"/>
    <s v="Other"/>
    <x v="2"/>
    <x v="4"/>
    <s v="Y"/>
    <s v="Success"/>
    <x v="0"/>
    <x v="0"/>
    <x v="2"/>
  </r>
  <r>
    <s v="TX1002713"/>
    <x v="130"/>
    <x v="3"/>
    <d v="1899-12-30T09:59:45"/>
    <n v="199.06"/>
    <s v="USD"/>
    <s v="M1389"/>
    <x v="7"/>
    <s v="Germany"/>
    <s v="C64729"/>
    <n v="37"/>
    <s v="Other"/>
    <x v="0"/>
    <x v="4"/>
    <s v="Y"/>
    <s v="Success"/>
    <x v="0"/>
    <x v="0"/>
    <x v="1"/>
  </r>
  <r>
    <s v="TX1001524"/>
    <x v="58"/>
    <x v="5"/>
    <d v="1899-12-30T18:39:20"/>
    <n v="199.03"/>
    <s v="USD"/>
    <s v="M1501"/>
    <x v="2"/>
    <s v="Netherlands"/>
    <s v="C96967"/>
    <n v="53"/>
    <s v="M"/>
    <x v="1"/>
    <x v="2"/>
    <s v="Y"/>
    <s v="Success"/>
    <x v="0"/>
    <x v="0"/>
    <x v="2"/>
  </r>
  <r>
    <s v="TX1002964"/>
    <x v="141"/>
    <x v="3"/>
    <d v="1899-12-30T00:28:53"/>
    <n v="198.72"/>
    <s v="USD"/>
    <s v="M1863"/>
    <x v="9"/>
    <s v="Germany"/>
    <s v="C59827"/>
    <n v="17"/>
    <s v="Other"/>
    <x v="8"/>
    <x v="0"/>
    <s v="Y"/>
    <s v="Success"/>
    <x v="0"/>
    <x v="0"/>
    <x v="0"/>
  </r>
  <r>
    <s v="TX1001350"/>
    <x v="74"/>
    <x v="0"/>
    <d v="1899-12-30T18:43:27"/>
    <n v="198.71"/>
    <s v="USD"/>
    <s v="M1400"/>
    <x v="9"/>
    <s v="Spain"/>
    <s v="C98078"/>
    <n v="50"/>
    <s v="M"/>
    <x v="0"/>
    <x v="0"/>
    <s v="N"/>
    <s v="Success"/>
    <x v="0"/>
    <x v="0"/>
    <x v="2"/>
  </r>
  <r>
    <s v="TX1000716"/>
    <x v="106"/>
    <x v="4"/>
    <d v="1899-12-30T11:27:43"/>
    <n v="198.25"/>
    <s v="USD"/>
    <s v="M1333"/>
    <x v="5"/>
    <s v="India"/>
    <s v="C63654"/>
    <n v="45"/>
    <s v="F"/>
    <x v="10"/>
    <x v="4"/>
    <s v="Y"/>
    <s v="Success"/>
    <x v="0"/>
    <x v="0"/>
    <x v="2"/>
  </r>
  <r>
    <s v="TX1001759"/>
    <x v="72"/>
    <x v="5"/>
    <d v="1899-12-30T06:58:30"/>
    <n v="198.13"/>
    <s v="USD"/>
    <s v="M1723"/>
    <x v="1"/>
    <s v="India"/>
    <s v="C78775"/>
    <n v="44"/>
    <s v="F"/>
    <x v="5"/>
    <x v="3"/>
    <s v="Y"/>
    <s v="Success"/>
    <x v="0"/>
    <x v="0"/>
    <x v="2"/>
  </r>
  <r>
    <s v="TX1001088"/>
    <x v="59"/>
    <x v="0"/>
    <d v="1899-12-30T12:38:17"/>
    <n v="198.09"/>
    <s v="USD"/>
    <s v="M1462"/>
    <x v="5"/>
    <s v="Poland"/>
    <s v="C76338"/>
    <n v="74"/>
    <s v="M"/>
    <x v="9"/>
    <x v="5"/>
    <s v="Y"/>
    <s v="Success"/>
    <x v="0"/>
    <x v="0"/>
    <x v="3"/>
  </r>
  <r>
    <s v="TX1001058"/>
    <x v="104"/>
    <x v="0"/>
    <d v="1899-12-30T23:35:09"/>
    <n v="198"/>
    <s v="USD"/>
    <s v="M1001"/>
    <x v="3"/>
    <s v="France"/>
    <s v="C98929"/>
    <n v="20"/>
    <s v="M"/>
    <x v="4"/>
    <x v="5"/>
    <s v="Y"/>
    <s v="Success"/>
    <x v="0"/>
    <x v="0"/>
    <x v="0"/>
  </r>
  <r>
    <s v="TX1002714"/>
    <x v="130"/>
    <x v="3"/>
    <d v="1899-12-30T10:08:44"/>
    <n v="197.92"/>
    <s v="USD"/>
    <s v="M1836"/>
    <x v="9"/>
    <s v="United Kingdom"/>
    <s v="C52889"/>
    <n v="53"/>
    <s v="M"/>
    <x v="3"/>
    <x v="4"/>
    <s v="Y"/>
    <s v="Success"/>
    <x v="0"/>
    <x v="0"/>
    <x v="2"/>
  </r>
  <r>
    <s v="TX1002236"/>
    <x v="93"/>
    <x v="2"/>
    <d v="1899-12-30T14:58:03"/>
    <n v="197.75"/>
    <s v="USD"/>
    <s v="M1559"/>
    <x v="4"/>
    <s v="United States"/>
    <s v="C69409"/>
    <n v="32"/>
    <s v="M"/>
    <x v="7"/>
    <x v="2"/>
    <s v="Y"/>
    <s v="Success"/>
    <x v="0"/>
    <x v="0"/>
    <x v="1"/>
  </r>
  <r>
    <s v="TX1002016"/>
    <x v="115"/>
    <x v="2"/>
    <d v="1899-12-30T05:48:02"/>
    <n v="197.68"/>
    <s v="USD"/>
    <s v="M1316"/>
    <x v="6"/>
    <s v="Canada"/>
    <s v="C79792"/>
    <n v="37"/>
    <s v="M"/>
    <x v="6"/>
    <x v="3"/>
    <s v="Y"/>
    <s v="Success"/>
    <x v="0"/>
    <x v="0"/>
    <x v="1"/>
  </r>
  <r>
    <s v="TX1002093"/>
    <x v="158"/>
    <x v="2"/>
    <d v="1899-12-30T03:28:46"/>
    <n v="197.52"/>
    <s v="USD"/>
    <s v="M1556"/>
    <x v="9"/>
    <s v="Poland"/>
    <s v="C57872"/>
    <n v="18"/>
    <s v="Other"/>
    <x v="11"/>
    <x v="4"/>
    <s v="Y"/>
    <s v="Success"/>
    <x v="0"/>
    <x v="0"/>
    <x v="0"/>
  </r>
  <r>
    <s v="TX1002287"/>
    <x v="79"/>
    <x v="2"/>
    <d v="1899-12-30T16:53:52"/>
    <n v="196.92"/>
    <s v="USD"/>
    <s v="M1244"/>
    <x v="1"/>
    <s v="South Africa"/>
    <s v="C94300"/>
    <n v="74"/>
    <s v="M"/>
    <x v="9"/>
    <x v="1"/>
    <s v="Y"/>
    <s v="Success"/>
    <x v="0"/>
    <x v="0"/>
    <x v="3"/>
  </r>
  <r>
    <s v="TX1000612"/>
    <x v="159"/>
    <x v="4"/>
    <d v="1899-12-30T04:53:08"/>
    <n v="196.79"/>
    <s v="USD"/>
    <s v="M1193"/>
    <x v="8"/>
    <s v="Spain"/>
    <s v="C82443"/>
    <n v="35"/>
    <s v="Other"/>
    <x v="7"/>
    <x v="2"/>
    <s v="Y"/>
    <s v="Success"/>
    <x v="0"/>
    <x v="0"/>
    <x v="1"/>
  </r>
  <r>
    <s v="TX1000190"/>
    <x v="49"/>
    <x v="1"/>
    <d v="1899-12-30T14:02:05"/>
    <n v="196.73"/>
    <s v="USD"/>
    <s v="M1476"/>
    <x v="0"/>
    <s v="India"/>
    <s v="C84298"/>
    <n v="65"/>
    <s v="Other"/>
    <x v="14"/>
    <x v="4"/>
    <s v="Y"/>
    <s v="Success"/>
    <x v="1"/>
    <x v="1"/>
    <x v="3"/>
  </r>
  <r>
    <s v="TX1000473"/>
    <x v="124"/>
    <x v="4"/>
    <d v="1899-12-30T04:59:21"/>
    <n v="196.7"/>
    <s v="USD"/>
    <s v="M1628"/>
    <x v="9"/>
    <s v="France"/>
    <s v="C94039"/>
    <n v="75"/>
    <s v="Other"/>
    <x v="8"/>
    <x v="1"/>
    <s v="Y"/>
    <s v="Success"/>
    <x v="0"/>
    <x v="0"/>
    <x v="3"/>
  </r>
  <r>
    <s v="TX1002239"/>
    <x v="93"/>
    <x v="2"/>
    <d v="1899-12-30T18:09:02"/>
    <n v="196.7"/>
    <s v="USD"/>
    <s v="M1817"/>
    <x v="5"/>
    <s v="Poland"/>
    <s v="C56824"/>
    <n v="65"/>
    <s v="F"/>
    <x v="11"/>
    <x v="3"/>
    <s v="Y"/>
    <s v="Success"/>
    <x v="0"/>
    <x v="0"/>
    <x v="3"/>
  </r>
  <r>
    <s v="TX1002380"/>
    <x v="160"/>
    <x v="2"/>
    <d v="1899-12-30T17:44:55"/>
    <n v="196.68"/>
    <s v="USD"/>
    <s v="M1667"/>
    <x v="2"/>
    <s v="South Africa"/>
    <s v="C67351"/>
    <n v="75"/>
    <s v="Other"/>
    <x v="11"/>
    <x v="5"/>
    <s v="Y"/>
    <s v="Success"/>
    <x v="0"/>
    <x v="0"/>
    <x v="3"/>
  </r>
  <r>
    <s v="TX1000924"/>
    <x v="80"/>
    <x v="4"/>
    <d v="1899-12-30T02:04:17"/>
    <n v="196.62"/>
    <s v="USD"/>
    <s v="M1865"/>
    <x v="3"/>
    <s v="Germany"/>
    <s v="C65392"/>
    <n v="44"/>
    <s v="Other"/>
    <x v="5"/>
    <x v="5"/>
    <s v="Y"/>
    <s v="Success"/>
    <x v="0"/>
    <x v="0"/>
    <x v="2"/>
  </r>
  <r>
    <s v="TX1001921"/>
    <x v="155"/>
    <x v="5"/>
    <d v="1899-12-30T09:42:36"/>
    <n v="196.53"/>
    <s v="USD"/>
    <s v="M1355"/>
    <x v="0"/>
    <s v="Norway"/>
    <s v="C75989"/>
    <n v="21"/>
    <s v="M"/>
    <x v="4"/>
    <x v="1"/>
    <s v="Y"/>
    <s v="Success"/>
    <x v="0"/>
    <x v="0"/>
    <x v="0"/>
  </r>
  <r>
    <s v="TX1002192"/>
    <x v="64"/>
    <x v="2"/>
    <d v="1899-12-30T02:02:23"/>
    <n v="196.33"/>
    <s v="USD"/>
    <s v="M1414"/>
    <x v="2"/>
    <s v="Netherlands"/>
    <s v="C63783"/>
    <n v="75"/>
    <s v="Other"/>
    <x v="0"/>
    <x v="2"/>
    <s v="Y"/>
    <s v="Success"/>
    <x v="0"/>
    <x v="0"/>
    <x v="3"/>
  </r>
  <r>
    <s v="TX1002293"/>
    <x v="156"/>
    <x v="2"/>
    <d v="1899-12-30T00:14:46"/>
    <n v="196.26"/>
    <s v="USD"/>
    <s v="M1158"/>
    <x v="7"/>
    <s v="United Kingdom"/>
    <s v="C89056"/>
    <n v="57"/>
    <s v="F"/>
    <x v="2"/>
    <x v="1"/>
    <s v="Y"/>
    <s v="Success"/>
    <x v="0"/>
    <x v="0"/>
    <x v="2"/>
  </r>
  <r>
    <s v="TX1002041"/>
    <x v="138"/>
    <x v="2"/>
    <d v="1899-12-30T16:41:04"/>
    <n v="196.24"/>
    <s v="USD"/>
    <s v="M1266"/>
    <x v="5"/>
    <s v="India"/>
    <s v="C59051"/>
    <n v="74"/>
    <s v="M"/>
    <x v="9"/>
    <x v="2"/>
    <s v="Y"/>
    <s v="Success"/>
    <x v="0"/>
    <x v="0"/>
    <x v="3"/>
  </r>
  <r>
    <s v="TX1000787"/>
    <x v="110"/>
    <x v="4"/>
    <d v="1899-12-30T03:30:13"/>
    <n v="195.82"/>
    <s v="USD"/>
    <s v="M1458"/>
    <x v="6"/>
    <s v="Australia"/>
    <s v="C85910"/>
    <n v="37"/>
    <s v="Other"/>
    <x v="3"/>
    <x v="5"/>
    <s v="Y"/>
    <s v="Success"/>
    <x v="0"/>
    <x v="0"/>
    <x v="1"/>
  </r>
  <r>
    <s v="TX1000615"/>
    <x v="159"/>
    <x v="4"/>
    <d v="1899-12-30T15:32:16"/>
    <n v="195.76"/>
    <s v="USD"/>
    <s v="M1497"/>
    <x v="7"/>
    <s v="India"/>
    <s v="C66134"/>
    <n v="28"/>
    <s v="M"/>
    <x v="0"/>
    <x v="5"/>
    <s v="Y"/>
    <s v="Success"/>
    <x v="0"/>
    <x v="0"/>
    <x v="1"/>
  </r>
  <r>
    <s v="TX1002397"/>
    <x v="90"/>
    <x v="2"/>
    <d v="1899-12-30T00:19:34"/>
    <n v="195.67"/>
    <s v="USD"/>
    <s v="M1546"/>
    <x v="9"/>
    <s v="United Kingdom"/>
    <s v="C70230"/>
    <n v="29"/>
    <s v="Other"/>
    <x v="10"/>
    <x v="1"/>
    <s v="Y"/>
    <s v="Success"/>
    <x v="0"/>
    <x v="0"/>
    <x v="1"/>
  </r>
  <r>
    <s v="TX1002659"/>
    <x v="132"/>
    <x v="3"/>
    <d v="1899-12-30T02:49:03"/>
    <n v="195.59"/>
    <s v="USD"/>
    <s v="M1087"/>
    <x v="0"/>
    <s v="France"/>
    <s v="C95556"/>
    <n v="72"/>
    <s v="M"/>
    <x v="9"/>
    <x v="4"/>
    <s v="Y"/>
    <s v="Success"/>
    <x v="1"/>
    <x v="1"/>
    <x v="3"/>
  </r>
  <r>
    <s v="TX1001332"/>
    <x v="108"/>
    <x v="0"/>
    <d v="1899-12-30T23:48:31"/>
    <n v="195.37"/>
    <s v="USD"/>
    <s v="M1354"/>
    <x v="7"/>
    <s v="Australia"/>
    <s v="C92172"/>
    <n v="61"/>
    <s v="M"/>
    <x v="6"/>
    <x v="4"/>
    <s v="Y"/>
    <s v="Success"/>
    <x v="0"/>
    <x v="0"/>
    <x v="3"/>
  </r>
  <r>
    <s v="TX1001406"/>
    <x v="60"/>
    <x v="0"/>
    <d v="1899-12-30T20:33:31"/>
    <n v="195.33"/>
    <s v="USD"/>
    <s v="M1777"/>
    <x v="2"/>
    <s v="Australia"/>
    <s v="C74845"/>
    <n v="73"/>
    <s v="F"/>
    <x v="1"/>
    <x v="4"/>
    <s v="Y"/>
    <s v="Success"/>
    <x v="0"/>
    <x v="0"/>
    <x v="3"/>
  </r>
  <r>
    <s v="TX1001651"/>
    <x v="39"/>
    <x v="5"/>
    <d v="1899-12-30T05:06:06"/>
    <n v="195.3"/>
    <s v="USD"/>
    <s v="M1732"/>
    <x v="0"/>
    <s v="South Africa"/>
    <s v="C50707"/>
    <n v="75"/>
    <s v="M"/>
    <x v="9"/>
    <x v="1"/>
    <s v="Y"/>
    <s v="Success"/>
    <x v="1"/>
    <x v="1"/>
    <x v="3"/>
  </r>
  <r>
    <s v="TX1000232"/>
    <x v="88"/>
    <x v="1"/>
    <d v="1899-12-30T08:39:30"/>
    <n v="195.26"/>
    <s v="USD"/>
    <s v="M1297"/>
    <x v="4"/>
    <s v="United Kingdom"/>
    <s v="C54561"/>
    <n v="41"/>
    <s v="M"/>
    <x v="1"/>
    <x v="3"/>
    <s v="Y"/>
    <s v="Success"/>
    <x v="0"/>
    <x v="0"/>
    <x v="2"/>
  </r>
  <r>
    <s v="TX1002929"/>
    <x v="45"/>
    <x v="3"/>
    <d v="1899-12-30T01:19:01"/>
    <n v="195.19"/>
    <s v="USD"/>
    <s v="M1872"/>
    <x v="4"/>
    <s v="United States"/>
    <s v="C89518"/>
    <n v="67"/>
    <s v="Other"/>
    <x v="5"/>
    <x v="2"/>
    <s v="N"/>
    <s v="Success"/>
    <x v="0"/>
    <x v="0"/>
    <x v="3"/>
  </r>
  <r>
    <s v="TX1001003"/>
    <x v="35"/>
    <x v="0"/>
    <d v="1899-12-30T12:54:27"/>
    <n v="195.02"/>
    <s v="USD"/>
    <s v="M1711"/>
    <x v="6"/>
    <s v="Poland"/>
    <s v="C60909"/>
    <n v="40"/>
    <s v="F"/>
    <x v="11"/>
    <x v="1"/>
    <s v="Y"/>
    <s v="Success"/>
    <x v="0"/>
    <x v="0"/>
    <x v="2"/>
  </r>
  <r>
    <s v="TX1002723"/>
    <x v="130"/>
    <x v="3"/>
    <d v="1899-12-30T19:28:57"/>
    <n v="194.96"/>
    <s v="USD"/>
    <s v="M1623"/>
    <x v="9"/>
    <s v="United Kingdom"/>
    <s v="C51318"/>
    <n v="18"/>
    <s v="M"/>
    <x v="7"/>
    <x v="4"/>
    <s v="Y"/>
    <s v="Success"/>
    <x v="0"/>
    <x v="0"/>
    <x v="0"/>
  </r>
  <r>
    <s v="TX1001577"/>
    <x v="161"/>
    <x v="5"/>
    <d v="1899-12-30T09:38:33"/>
    <n v="194.92"/>
    <s v="USD"/>
    <s v="M1745"/>
    <x v="9"/>
    <s v="United Kingdom"/>
    <s v="C91050"/>
    <n v="69"/>
    <s v="F"/>
    <x v="3"/>
    <x v="1"/>
    <s v="Y"/>
    <s v="Success"/>
    <x v="0"/>
    <x v="0"/>
    <x v="3"/>
  </r>
  <r>
    <s v="TX1002080"/>
    <x v="140"/>
    <x v="2"/>
    <d v="1899-12-30T09:15:49"/>
    <n v="194.86"/>
    <s v="USD"/>
    <s v="M1757"/>
    <x v="9"/>
    <s v="India"/>
    <s v="C67369"/>
    <n v="63"/>
    <s v="Other"/>
    <x v="1"/>
    <x v="3"/>
    <s v="Y"/>
    <s v="Success"/>
    <x v="0"/>
    <x v="0"/>
    <x v="3"/>
  </r>
  <r>
    <s v="TX1001817"/>
    <x v="162"/>
    <x v="5"/>
    <d v="1899-12-30T03:25:37"/>
    <n v="194.78"/>
    <s v="USD"/>
    <s v="M1816"/>
    <x v="6"/>
    <s v="Norway"/>
    <s v="C52978"/>
    <n v="67"/>
    <s v="M"/>
    <x v="3"/>
    <x v="4"/>
    <s v="Y"/>
    <s v="Success"/>
    <x v="0"/>
    <x v="0"/>
    <x v="3"/>
  </r>
  <r>
    <s v="TX1002178"/>
    <x v="112"/>
    <x v="2"/>
    <d v="1899-12-30T12:36:32"/>
    <n v="194.76"/>
    <s v="USD"/>
    <s v="M1505"/>
    <x v="4"/>
    <s v="Poland"/>
    <s v="C86178"/>
    <n v="24"/>
    <s v="F"/>
    <x v="9"/>
    <x v="2"/>
    <s v="Y"/>
    <s v="Success"/>
    <x v="0"/>
    <x v="0"/>
    <x v="0"/>
  </r>
  <r>
    <s v="TX1000923"/>
    <x v="68"/>
    <x v="4"/>
    <d v="1899-12-30T21:53:27"/>
    <n v="194.74"/>
    <s v="USD"/>
    <s v="M1390"/>
    <x v="9"/>
    <s v="Spain"/>
    <s v="C70018"/>
    <n v="44"/>
    <s v="M"/>
    <x v="9"/>
    <x v="3"/>
    <s v="Y"/>
    <s v="Success"/>
    <x v="0"/>
    <x v="0"/>
    <x v="2"/>
  </r>
  <r>
    <s v="TX1001467"/>
    <x v="61"/>
    <x v="0"/>
    <d v="1899-12-30T15:18:39"/>
    <n v="194.71"/>
    <s v="USD"/>
    <s v="M1474"/>
    <x v="0"/>
    <s v="Sweden"/>
    <s v="C90406"/>
    <n v="39"/>
    <s v="F"/>
    <x v="3"/>
    <x v="2"/>
    <s v="Y"/>
    <s v="Success"/>
    <x v="0"/>
    <x v="0"/>
    <x v="1"/>
  </r>
  <r>
    <s v="TX1002922"/>
    <x v="96"/>
    <x v="3"/>
    <d v="1899-12-30T16:20:00"/>
    <n v="194.67"/>
    <s v="USD"/>
    <s v="M1696"/>
    <x v="5"/>
    <s v="India"/>
    <s v="C55669"/>
    <n v="45"/>
    <s v="F"/>
    <x v="2"/>
    <x v="3"/>
    <s v="Y"/>
    <s v="Success"/>
    <x v="0"/>
    <x v="0"/>
    <x v="2"/>
  </r>
  <r>
    <s v="TX1002743"/>
    <x v="136"/>
    <x v="3"/>
    <d v="1899-12-30T16:06:23"/>
    <n v="194.51"/>
    <s v="USD"/>
    <s v="M1715"/>
    <x v="5"/>
    <s v="Canada"/>
    <s v="C78370"/>
    <n v="40"/>
    <s v="F"/>
    <x v="9"/>
    <x v="4"/>
    <s v="Y"/>
    <s v="Success"/>
    <x v="0"/>
    <x v="0"/>
    <x v="2"/>
  </r>
  <r>
    <s v="TX1000502"/>
    <x v="57"/>
    <x v="4"/>
    <d v="1899-12-30T13:47:58"/>
    <n v="194.51"/>
    <s v="USD"/>
    <s v="M1513"/>
    <x v="5"/>
    <s v="Canada"/>
    <s v="C74534"/>
    <n v="73"/>
    <s v="Other"/>
    <x v="10"/>
    <x v="5"/>
    <s v="Y"/>
    <s v="Success"/>
    <x v="0"/>
    <x v="0"/>
    <x v="3"/>
  </r>
  <r>
    <s v="TX1000844"/>
    <x v="114"/>
    <x v="4"/>
    <d v="1899-12-30T15:31:06"/>
    <n v="194.48"/>
    <s v="USD"/>
    <s v="M1476"/>
    <x v="8"/>
    <s v="United Kingdom"/>
    <s v="C52460"/>
    <n v="32"/>
    <s v="Other"/>
    <x v="4"/>
    <x v="1"/>
    <s v="Y"/>
    <s v="Success"/>
    <x v="0"/>
    <x v="0"/>
    <x v="1"/>
  </r>
  <r>
    <s v="TX1002821"/>
    <x v="4"/>
    <x v="3"/>
    <d v="1899-12-30T21:07:42"/>
    <n v="194.48"/>
    <s v="USD"/>
    <s v="M1231"/>
    <x v="7"/>
    <s v="Spain"/>
    <s v="C96894"/>
    <n v="35"/>
    <s v="M"/>
    <x v="5"/>
    <x v="5"/>
    <s v="Y"/>
    <s v="Success"/>
    <x v="0"/>
    <x v="0"/>
    <x v="1"/>
  </r>
  <r>
    <s v="TX1002109"/>
    <x v="158"/>
    <x v="2"/>
    <d v="1899-12-30T23:11:25"/>
    <n v="194.45"/>
    <s v="USD"/>
    <s v="M1618"/>
    <x v="3"/>
    <s v="South Africa"/>
    <s v="C56511"/>
    <n v="67"/>
    <s v="F"/>
    <x v="10"/>
    <x v="1"/>
    <s v="N"/>
    <s v="Success"/>
    <x v="0"/>
    <x v="0"/>
    <x v="3"/>
  </r>
  <r>
    <s v="TX1001329"/>
    <x v="108"/>
    <x v="0"/>
    <d v="1899-12-30T21:29:07"/>
    <n v="194.43"/>
    <s v="USD"/>
    <s v="M1316"/>
    <x v="6"/>
    <s v="United Kingdom"/>
    <s v="C53036"/>
    <n v="19"/>
    <s v="F"/>
    <x v="3"/>
    <x v="2"/>
    <s v="Y"/>
    <s v="Success"/>
    <x v="0"/>
    <x v="0"/>
    <x v="0"/>
  </r>
  <r>
    <s v="TX1001413"/>
    <x v="150"/>
    <x v="0"/>
    <d v="1899-12-30T03:05:22"/>
    <n v="194.3"/>
    <s v="USD"/>
    <s v="M1407"/>
    <x v="0"/>
    <s v="United Kingdom"/>
    <s v="C74888"/>
    <n v="67"/>
    <s v="M"/>
    <x v="10"/>
    <x v="2"/>
    <s v="Y"/>
    <s v="Success"/>
    <x v="0"/>
    <x v="0"/>
    <x v="3"/>
  </r>
  <r>
    <s v="TX1002322"/>
    <x v="97"/>
    <x v="2"/>
    <d v="1899-12-30T23:17:15"/>
    <n v="194.21"/>
    <s v="USD"/>
    <s v="M1901"/>
    <x v="3"/>
    <s v="Germany"/>
    <s v="C59283"/>
    <n v="31"/>
    <s v="M"/>
    <x v="2"/>
    <x v="5"/>
    <s v="Y"/>
    <s v="Success"/>
    <x v="0"/>
    <x v="0"/>
    <x v="1"/>
  </r>
  <r>
    <s v="TX1002876"/>
    <x v="144"/>
    <x v="3"/>
    <d v="1899-12-30T05:04:15"/>
    <n v="194.13"/>
    <s v="USD"/>
    <s v="M1836"/>
    <x v="5"/>
    <s v="Kenya"/>
    <s v="C69842"/>
    <n v="62"/>
    <s v="Other"/>
    <x v="8"/>
    <x v="2"/>
    <s v="Y"/>
    <s v="Success"/>
    <x v="0"/>
    <x v="0"/>
    <x v="3"/>
  </r>
  <r>
    <s v="TX1002068"/>
    <x v="33"/>
    <x v="2"/>
    <d v="1899-12-30T23:48:11"/>
    <n v="194.11"/>
    <s v="USD"/>
    <s v="M1404"/>
    <x v="2"/>
    <s v="Sweden"/>
    <s v="C91300"/>
    <n v="58"/>
    <s v="F"/>
    <x v="13"/>
    <x v="3"/>
    <s v="Y"/>
    <s v="Success"/>
    <x v="0"/>
    <x v="0"/>
    <x v="2"/>
  </r>
  <r>
    <s v="TX1001424"/>
    <x v="150"/>
    <x v="0"/>
    <d v="1899-12-30T13:45:39"/>
    <n v="194.04"/>
    <s v="USD"/>
    <s v="M1508"/>
    <x v="1"/>
    <s v="Germany"/>
    <s v="C86671"/>
    <n v="18"/>
    <s v="M"/>
    <x v="10"/>
    <x v="0"/>
    <s v="Y"/>
    <s v="Success"/>
    <x v="0"/>
    <x v="0"/>
    <x v="0"/>
  </r>
  <r>
    <s v="TX1000340"/>
    <x v="43"/>
    <x v="1"/>
    <d v="1899-12-30T11:50:35"/>
    <n v="193.98"/>
    <s v="USD"/>
    <s v="M1034"/>
    <x v="7"/>
    <s v="United Kingdom"/>
    <s v="C75994"/>
    <n v="59"/>
    <s v="Other"/>
    <x v="13"/>
    <x v="3"/>
    <s v="Y"/>
    <s v="Success"/>
    <x v="0"/>
    <x v="0"/>
    <x v="2"/>
  </r>
  <r>
    <s v="TX1001278"/>
    <x v="123"/>
    <x v="0"/>
    <d v="1899-12-30T16:01:35"/>
    <n v="193.94"/>
    <s v="USD"/>
    <s v="M1275"/>
    <x v="2"/>
    <s v="Poland"/>
    <s v="C62956"/>
    <n v="55"/>
    <s v="M"/>
    <x v="2"/>
    <x v="0"/>
    <s v="Y"/>
    <s v="Success"/>
    <x v="0"/>
    <x v="0"/>
    <x v="2"/>
  </r>
  <r>
    <s v="TX1000029"/>
    <x v="109"/>
    <x v="1"/>
    <d v="1899-12-30T05:34:13"/>
    <n v="193.82"/>
    <s v="USD"/>
    <s v="M1649"/>
    <x v="8"/>
    <s v="Sweden"/>
    <s v="C79527"/>
    <n v="45"/>
    <s v="M"/>
    <x v="14"/>
    <x v="0"/>
    <s v="Y"/>
    <s v="Success"/>
    <x v="0"/>
    <x v="0"/>
    <x v="2"/>
  </r>
  <r>
    <s v="TX1002572"/>
    <x v="52"/>
    <x v="3"/>
    <d v="1899-12-30T18:46:07"/>
    <n v="193.81"/>
    <s v="USD"/>
    <s v="M1137"/>
    <x v="5"/>
    <s v="India"/>
    <s v="C61691"/>
    <n v="62"/>
    <s v="M"/>
    <x v="12"/>
    <x v="4"/>
    <s v="Y"/>
    <s v="Success"/>
    <x v="0"/>
    <x v="0"/>
    <x v="3"/>
  </r>
  <r>
    <s v="TX1000207"/>
    <x v="31"/>
    <x v="1"/>
    <d v="1899-12-30T02:48:22"/>
    <n v="193.75"/>
    <s v="USD"/>
    <s v="M1686"/>
    <x v="9"/>
    <s v="Kenya"/>
    <s v="C92261"/>
    <n v="57"/>
    <s v="F"/>
    <x v="1"/>
    <x v="4"/>
    <s v="N"/>
    <s v="Success"/>
    <x v="0"/>
    <x v="0"/>
    <x v="2"/>
  </r>
  <r>
    <s v="TX1002927"/>
    <x v="96"/>
    <x v="3"/>
    <d v="1899-12-30T22:52:16"/>
    <n v="193.71"/>
    <s v="USD"/>
    <s v="M1774"/>
    <x v="9"/>
    <s v="South Africa"/>
    <s v="C74758"/>
    <n v="60"/>
    <s v="Other"/>
    <x v="0"/>
    <x v="1"/>
    <s v="Y"/>
    <s v="Success"/>
    <x v="0"/>
    <x v="0"/>
    <x v="3"/>
  </r>
  <r>
    <s v="TX1001382"/>
    <x v="54"/>
    <x v="0"/>
    <d v="1899-12-30T17:04:12"/>
    <n v="193.59"/>
    <s v="USD"/>
    <s v="M1035"/>
    <x v="3"/>
    <s v="Netherlands"/>
    <s v="C58554"/>
    <n v="21"/>
    <s v="M"/>
    <x v="9"/>
    <x v="2"/>
    <s v="Y"/>
    <s v="Success"/>
    <x v="0"/>
    <x v="0"/>
    <x v="0"/>
  </r>
  <r>
    <s v="TX1002867"/>
    <x v="87"/>
    <x v="3"/>
    <d v="1899-12-30T13:44:50"/>
    <n v="193.16"/>
    <s v="USD"/>
    <s v="M1626"/>
    <x v="5"/>
    <s v="South Africa"/>
    <s v="C51435"/>
    <n v="40"/>
    <s v="M"/>
    <x v="14"/>
    <x v="5"/>
    <s v="Y"/>
    <s v="Success"/>
    <x v="0"/>
    <x v="0"/>
    <x v="2"/>
  </r>
  <r>
    <s v="TX1002003"/>
    <x v="126"/>
    <x v="2"/>
    <d v="1899-12-30T11:12:44"/>
    <n v="193.05"/>
    <s v="USD"/>
    <s v="M1261"/>
    <x v="5"/>
    <s v="Norway"/>
    <s v="C73642"/>
    <n v="36"/>
    <s v="F"/>
    <x v="9"/>
    <x v="3"/>
    <s v="N"/>
    <s v="Success"/>
    <x v="0"/>
    <x v="0"/>
    <x v="1"/>
  </r>
  <r>
    <s v="TX1000936"/>
    <x v="80"/>
    <x v="4"/>
    <d v="1899-12-30T20:09:48"/>
    <n v="192.84"/>
    <s v="USD"/>
    <s v="M1844"/>
    <x v="7"/>
    <s v="Nigeria"/>
    <s v="C88343"/>
    <n v="66"/>
    <s v="F"/>
    <x v="3"/>
    <x v="1"/>
    <s v="Y"/>
    <s v="Success"/>
    <x v="0"/>
    <x v="0"/>
    <x v="3"/>
  </r>
  <r>
    <s v="TX1002498"/>
    <x v="28"/>
    <x v="2"/>
    <d v="1899-12-30T12:48:45"/>
    <n v="192.79"/>
    <s v="USD"/>
    <s v="M1236"/>
    <x v="7"/>
    <s v="France"/>
    <s v="C99462"/>
    <n v="49"/>
    <s v="M"/>
    <x v="6"/>
    <x v="3"/>
    <s v="Y"/>
    <s v="Success"/>
    <x v="0"/>
    <x v="0"/>
    <x v="2"/>
  </r>
  <r>
    <s v="TX1000976"/>
    <x v="102"/>
    <x v="0"/>
    <d v="1899-12-30T06:16:46"/>
    <n v="192.64"/>
    <s v="USD"/>
    <s v="M1917"/>
    <x v="4"/>
    <s v="Norway"/>
    <s v="C80628"/>
    <n v="43"/>
    <s v="Other"/>
    <x v="0"/>
    <x v="4"/>
    <s v="Y"/>
    <s v="Success"/>
    <x v="0"/>
    <x v="0"/>
    <x v="2"/>
  </r>
  <r>
    <s v="TX1000426"/>
    <x v="149"/>
    <x v="1"/>
    <d v="1899-12-30T23:26:15"/>
    <n v="192.55"/>
    <s v="USD"/>
    <s v="M1725"/>
    <x v="0"/>
    <s v="Sweden"/>
    <s v="C93182"/>
    <n v="55"/>
    <s v="F"/>
    <x v="7"/>
    <x v="0"/>
    <s v="Y"/>
    <s v="Success"/>
    <x v="0"/>
    <x v="0"/>
    <x v="2"/>
  </r>
  <r>
    <s v="TX1002361"/>
    <x v="77"/>
    <x v="2"/>
    <d v="1899-12-30T03:47:57"/>
    <n v="192.42"/>
    <s v="USD"/>
    <s v="M1662"/>
    <x v="2"/>
    <s v="Kenya"/>
    <s v="C74613"/>
    <n v="32"/>
    <s v="Other"/>
    <x v="8"/>
    <x v="0"/>
    <s v="Y"/>
    <s v="Success"/>
    <x v="0"/>
    <x v="0"/>
    <x v="1"/>
  </r>
  <r>
    <s v="TX1002452"/>
    <x v="67"/>
    <x v="2"/>
    <d v="1899-12-30T23:41:10"/>
    <n v="192.35"/>
    <s v="USD"/>
    <s v="M1059"/>
    <x v="0"/>
    <s v="Netherlands"/>
    <s v="C84487"/>
    <n v="75"/>
    <s v="Other"/>
    <x v="14"/>
    <x v="2"/>
    <s v="Y"/>
    <s v="Success"/>
    <x v="1"/>
    <x v="1"/>
    <x v="3"/>
  </r>
  <r>
    <s v="TX1000520"/>
    <x v="63"/>
    <x v="4"/>
    <d v="1899-12-30T10:37:13"/>
    <n v="192.35"/>
    <s v="USD"/>
    <s v="M1369"/>
    <x v="8"/>
    <s v="Norway"/>
    <s v="C54279"/>
    <n v="62"/>
    <s v="M"/>
    <x v="14"/>
    <x v="3"/>
    <s v="Y"/>
    <s v="Success"/>
    <x v="0"/>
    <x v="0"/>
    <x v="3"/>
  </r>
  <r>
    <s v="TX1002165"/>
    <x v="2"/>
    <x v="2"/>
    <d v="1899-12-30T17:24:58"/>
    <n v="192.32"/>
    <s v="USD"/>
    <s v="M1326"/>
    <x v="7"/>
    <s v="United States"/>
    <s v="C89726"/>
    <n v="34"/>
    <s v="F"/>
    <x v="12"/>
    <x v="4"/>
    <s v="Y"/>
    <s v="Success"/>
    <x v="0"/>
    <x v="0"/>
    <x v="1"/>
  </r>
  <r>
    <s v="TX1000595"/>
    <x v="163"/>
    <x v="4"/>
    <d v="1899-12-30T09:16:36"/>
    <n v="192.32"/>
    <s v="USD"/>
    <s v="M1259"/>
    <x v="3"/>
    <s v="France"/>
    <s v="C73505"/>
    <n v="61"/>
    <s v="M"/>
    <x v="0"/>
    <x v="4"/>
    <s v="Y"/>
    <s v="Success"/>
    <x v="0"/>
    <x v="0"/>
    <x v="3"/>
  </r>
  <r>
    <s v="TX1002752"/>
    <x v="7"/>
    <x v="3"/>
    <d v="1899-12-30T02:18:53"/>
    <n v="192.2"/>
    <s v="USD"/>
    <s v="M1656"/>
    <x v="9"/>
    <s v="United Kingdom"/>
    <s v="C87248"/>
    <n v="49"/>
    <s v="M"/>
    <x v="11"/>
    <x v="0"/>
    <s v="N"/>
    <s v="Success"/>
    <x v="0"/>
    <x v="0"/>
    <x v="2"/>
  </r>
  <r>
    <s v="TX1000067"/>
    <x v="44"/>
    <x v="1"/>
    <d v="1899-12-30T00:04:05"/>
    <n v="192.15"/>
    <s v="USD"/>
    <s v="M1405"/>
    <x v="2"/>
    <s v="India"/>
    <s v="C72056"/>
    <n v="45"/>
    <s v="Other"/>
    <x v="10"/>
    <x v="3"/>
    <s v="Y"/>
    <s v="Success"/>
    <x v="0"/>
    <x v="0"/>
    <x v="2"/>
  </r>
  <r>
    <s v="TX1002446"/>
    <x v="67"/>
    <x v="2"/>
    <d v="1899-12-30T15:06:06"/>
    <n v="192.09"/>
    <s v="USD"/>
    <s v="M1050"/>
    <x v="3"/>
    <s v="South Africa"/>
    <s v="C63931"/>
    <n v="45"/>
    <s v="Other"/>
    <x v="5"/>
    <x v="5"/>
    <s v="Y"/>
    <s v="Success"/>
    <x v="0"/>
    <x v="0"/>
    <x v="2"/>
  </r>
  <r>
    <s v="TX1001857"/>
    <x v="15"/>
    <x v="5"/>
    <d v="1899-12-30T13:49:05"/>
    <n v="191.89"/>
    <s v="USD"/>
    <s v="M1431"/>
    <x v="8"/>
    <s v="United Kingdom"/>
    <s v="C67775"/>
    <n v="63"/>
    <s v="M"/>
    <x v="9"/>
    <x v="4"/>
    <s v="Y"/>
    <s v="Success"/>
    <x v="0"/>
    <x v="0"/>
    <x v="3"/>
  </r>
  <r>
    <s v="TX1001036"/>
    <x v="22"/>
    <x v="0"/>
    <d v="1899-12-30T14:14:02"/>
    <n v="191.71"/>
    <s v="USD"/>
    <s v="M1637"/>
    <x v="8"/>
    <s v="Sweden"/>
    <s v="C67549"/>
    <n v="21"/>
    <s v="M"/>
    <x v="1"/>
    <x v="3"/>
    <s v="Y"/>
    <s v="Success"/>
    <x v="0"/>
    <x v="0"/>
    <x v="0"/>
  </r>
  <r>
    <s v="TX1000119"/>
    <x v="5"/>
    <x v="1"/>
    <d v="1899-12-30T00:51:24"/>
    <n v="191.69"/>
    <s v="USD"/>
    <s v="M1019"/>
    <x v="8"/>
    <s v="India"/>
    <s v="C64194"/>
    <n v="28"/>
    <s v="M"/>
    <x v="9"/>
    <x v="2"/>
    <s v="Y"/>
    <s v="Success"/>
    <x v="0"/>
    <x v="0"/>
    <x v="1"/>
  </r>
  <r>
    <s v="TX1002375"/>
    <x v="160"/>
    <x v="2"/>
    <d v="1899-12-30T05:30:04"/>
    <n v="191.49"/>
    <s v="USD"/>
    <s v="M1673"/>
    <x v="8"/>
    <s v="South Africa"/>
    <s v="C78730"/>
    <n v="69"/>
    <s v="Other"/>
    <x v="3"/>
    <x v="4"/>
    <s v="Y"/>
    <s v="Success"/>
    <x v="0"/>
    <x v="0"/>
    <x v="3"/>
  </r>
  <r>
    <s v="TX1001338"/>
    <x v="74"/>
    <x v="0"/>
    <d v="1899-12-30T06:31:23"/>
    <n v="191.38"/>
    <s v="USD"/>
    <s v="M1620"/>
    <x v="7"/>
    <s v="Norway"/>
    <s v="C77233"/>
    <n v="75"/>
    <s v="F"/>
    <x v="7"/>
    <x v="2"/>
    <s v="Y"/>
    <s v="Success"/>
    <x v="1"/>
    <x v="1"/>
    <x v="3"/>
  </r>
  <r>
    <s v="TX1002076"/>
    <x v="140"/>
    <x v="2"/>
    <d v="1899-12-30T07:53:59"/>
    <n v="191.37"/>
    <s v="USD"/>
    <s v="M1557"/>
    <x v="9"/>
    <s v="Sweden"/>
    <s v="C99065"/>
    <n v="70"/>
    <s v="Other"/>
    <x v="14"/>
    <x v="4"/>
    <s v="Y"/>
    <s v="Success"/>
    <x v="0"/>
    <x v="0"/>
    <x v="3"/>
  </r>
  <r>
    <s v="TX1000195"/>
    <x v="49"/>
    <x v="1"/>
    <d v="1899-12-30T18:56:30"/>
    <n v="191.28"/>
    <s v="USD"/>
    <s v="M1878"/>
    <x v="8"/>
    <s v="France"/>
    <s v="C67716"/>
    <n v="43"/>
    <s v="F"/>
    <x v="4"/>
    <x v="3"/>
    <s v="Y"/>
    <s v="Success"/>
    <x v="0"/>
    <x v="0"/>
    <x v="2"/>
  </r>
  <r>
    <s v="TX1002296"/>
    <x v="156"/>
    <x v="2"/>
    <d v="1899-12-30T04:03:01"/>
    <n v="191.25"/>
    <s v="USD"/>
    <s v="M1000"/>
    <x v="0"/>
    <s v="France"/>
    <s v="C84697"/>
    <n v="61"/>
    <s v="Other"/>
    <x v="0"/>
    <x v="5"/>
    <s v="Y"/>
    <s v="Success"/>
    <x v="0"/>
    <x v="0"/>
    <x v="3"/>
  </r>
  <r>
    <s v="TX1001623"/>
    <x v="127"/>
    <x v="5"/>
    <d v="1899-12-30T16:04:53"/>
    <n v="191.09"/>
    <s v="USD"/>
    <s v="M1897"/>
    <x v="6"/>
    <s v="Poland"/>
    <s v="C63325"/>
    <n v="40"/>
    <s v="Other"/>
    <x v="0"/>
    <x v="3"/>
    <s v="Y"/>
    <s v="Success"/>
    <x v="0"/>
    <x v="0"/>
    <x v="2"/>
  </r>
  <r>
    <s v="TX1001519"/>
    <x v="58"/>
    <x v="5"/>
    <d v="1899-12-30T14:02:07"/>
    <n v="191.07"/>
    <s v="USD"/>
    <s v="M1827"/>
    <x v="0"/>
    <s v="India"/>
    <s v="C57978"/>
    <n v="54"/>
    <s v="M"/>
    <x v="11"/>
    <x v="3"/>
    <s v="Y"/>
    <s v="Success"/>
    <x v="0"/>
    <x v="0"/>
    <x v="2"/>
  </r>
  <r>
    <s v="TX1000938"/>
    <x v="80"/>
    <x v="4"/>
    <d v="1899-12-30T22:29:12"/>
    <n v="191.04"/>
    <s v="USD"/>
    <s v="M1914"/>
    <x v="3"/>
    <s v="Germany"/>
    <s v="C63885"/>
    <n v="73"/>
    <s v="M"/>
    <x v="7"/>
    <x v="5"/>
    <s v="Y"/>
    <s v="Success"/>
    <x v="0"/>
    <x v="0"/>
    <x v="3"/>
  </r>
  <r>
    <s v="TX1000455"/>
    <x v="151"/>
    <x v="1"/>
    <d v="1899-12-30T23:48:31"/>
    <n v="190.91"/>
    <s v="USD"/>
    <s v="M1896"/>
    <x v="8"/>
    <s v="Poland"/>
    <s v="C81788"/>
    <n v="52"/>
    <s v="F"/>
    <x v="12"/>
    <x v="4"/>
    <s v="Y"/>
    <s v="Success"/>
    <x v="0"/>
    <x v="0"/>
    <x v="2"/>
  </r>
  <r>
    <s v="TX1002470"/>
    <x v="19"/>
    <x v="2"/>
    <d v="1899-12-30T03:31:49"/>
    <n v="190.76"/>
    <s v="USD"/>
    <s v="M1068"/>
    <x v="1"/>
    <s v="Spain"/>
    <s v="C96489"/>
    <n v="61"/>
    <s v="Other"/>
    <x v="8"/>
    <x v="1"/>
    <s v="Y"/>
    <s v="Success"/>
    <x v="0"/>
    <x v="0"/>
    <x v="3"/>
  </r>
  <r>
    <s v="TX1002350"/>
    <x v="14"/>
    <x v="2"/>
    <d v="1899-12-30T12:03:43"/>
    <n v="190.76"/>
    <s v="USD"/>
    <s v="M1131"/>
    <x v="7"/>
    <s v="Nigeria"/>
    <s v="C71788"/>
    <n v="45"/>
    <s v="Other"/>
    <x v="6"/>
    <x v="2"/>
    <s v="Y"/>
    <s v="Success"/>
    <x v="0"/>
    <x v="0"/>
    <x v="2"/>
  </r>
  <r>
    <s v="TX1000869"/>
    <x v="51"/>
    <x v="4"/>
    <d v="1899-12-30T04:06:39"/>
    <n v="190.53"/>
    <s v="USD"/>
    <s v="M1228"/>
    <x v="2"/>
    <s v="Germany"/>
    <s v="C93985"/>
    <n v="65"/>
    <s v="F"/>
    <x v="0"/>
    <x v="5"/>
    <s v="Y"/>
    <s v="Success"/>
    <x v="0"/>
    <x v="0"/>
    <x v="3"/>
  </r>
  <r>
    <s v="TX1001276"/>
    <x v="123"/>
    <x v="0"/>
    <d v="1899-12-30T10:16:05"/>
    <n v="190.52"/>
    <s v="USD"/>
    <s v="M1243"/>
    <x v="0"/>
    <s v="United Kingdom"/>
    <s v="C76076"/>
    <n v="68"/>
    <s v="M"/>
    <x v="9"/>
    <x v="1"/>
    <s v="Y"/>
    <s v="Success"/>
    <x v="0"/>
    <x v="0"/>
    <x v="3"/>
  </r>
  <r>
    <s v="TX1002306"/>
    <x v="156"/>
    <x v="2"/>
    <d v="1899-12-30T21:00:06"/>
    <n v="190.48"/>
    <s v="USD"/>
    <s v="M1394"/>
    <x v="5"/>
    <s v="United Kingdom"/>
    <s v="C73265"/>
    <n v="28"/>
    <s v="M"/>
    <x v="10"/>
    <x v="5"/>
    <s v="Y"/>
    <s v="Success"/>
    <x v="0"/>
    <x v="0"/>
    <x v="1"/>
  </r>
  <r>
    <s v="TX1000947"/>
    <x v="164"/>
    <x v="4"/>
    <d v="1899-12-30T12:20:25"/>
    <n v="190.36"/>
    <s v="USD"/>
    <s v="M1698"/>
    <x v="5"/>
    <s v="Nigeria"/>
    <s v="C79506"/>
    <n v="47"/>
    <s v="F"/>
    <x v="8"/>
    <x v="1"/>
    <s v="Y"/>
    <s v="Success"/>
    <x v="0"/>
    <x v="0"/>
    <x v="2"/>
  </r>
  <r>
    <s v="TX1001967"/>
    <x v="121"/>
    <x v="5"/>
    <d v="1899-12-30T01:03:23"/>
    <n v="190.3"/>
    <s v="USD"/>
    <s v="M1417"/>
    <x v="4"/>
    <s v="Netherlands"/>
    <s v="C80088"/>
    <n v="64"/>
    <s v="F"/>
    <x v="1"/>
    <x v="3"/>
    <s v="Y"/>
    <s v="Success"/>
    <x v="0"/>
    <x v="0"/>
    <x v="3"/>
  </r>
  <r>
    <s v="TX1001271"/>
    <x v="123"/>
    <x v="0"/>
    <d v="1899-12-30T06:56:10"/>
    <n v="190.29"/>
    <s v="USD"/>
    <s v="M1457"/>
    <x v="0"/>
    <s v="Nigeria"/>
    <s v="C51796"/>
    <n v="26"/>
    <s v="M"/>
    <x v="6"/>
    <x v="5"/>
    <s v="Y"/>
    <s v="Success"/>
    <x v="0"/>
    <x v="0"/>
    <x v="1"/>
  </r>
  <r>
    <s v="TX1000391"/>
    <x v="100"/>
    <x v="1"/>
    <d v="1899-12-30T06:20:37"/>
    <n v="190.16"/>
    <s v="USD"/>
    <s v="M1475"/>
    <x v="4"/>
    <s v="Spain"/>
    <s v="C92261"/>
    <n v="101"/>
    <s v="M"/>
    <x v="3"/>
    <x v="1"/>
    <s v="Y"/>
    <s v="Success"/>
    <x v="1"/>
    <x v="1"/>
    <x v="3"/>
  </r>
  <r>
    <s v="TX1000206"/>
    <x v="31"/>
    <x v="1"/>
    <d v="1899-12-30T02:02:35"/>
    <n v="190.11"/>
    <s v="USD"/>
    <s v="M1356"/>
    <x v="4"/>
    <s v="Kenya"/>
    <s v="C86550"/>
    <n v="24"/>
    <s v="Other"/>
    <x v="2"/>
    <x v="0"/>
    <s v="Y"/>
    <s v="Success"/>
    <x v="0"/>
    <x v="0"/>
    <x v="0"/>
  </r>
  <r>
    <s v="TX1001790"/>
    <x v="26"/>
    <x v="5"/>
    <d v="1899-12-30T10:52:43"/>
    <n v="190.02"/>
    <s v="USD"/>
    <s v="M1467"/>
    <x v="7"/>
    <s v="Australia"/>
    <s v="C80457"/>
    <n v="31"/>
    <s v="F"/>
    <x v="11"/>
    <x v="5"/>
    <s v="Y"/>
    <s v="Success"/>
    <x v="0"/>
    <x v="0"/>
    <x v="1"/>
  </r>
  <r>
    <s v="TX1000308"/>
    <x v="157"/>
    <x v="1"/>
    <d v="1899-12-30T15:28:58"/>
    <n v="189.79"/>
    <s v="USD"/>
    <s v="M1395"/>
    <x v="6"/>
    <s v="South Africa"/>
    <s v="C57119"/>
    <n v="37"/>
    <s v="M"/>
    <x v="5"/>
    <x v="4"/>
    <s v="Y"/>
    <s v="Success"/>
    <x v="0"/>
    <x v="0"/>
    <x v="1"/>
  </r>
  <r>
    <s v="TX1002441"/>
    <x v="67"/>
    <x v="2"/>
    <d v="1899-12-30T08:27:10"/>
    <n v="189.76"/>
    <s v="USD"/>
    <s v="M1950"/>
    <x v="4"/>
    <s v="Spain"/>
    <s v="C69502"/>
    <n v="29"/>
    <s v="F"/>
    <x v="12"/>
    <x v="3"/>
    <s v="Y"/>
    <s v="Success"/>
    <x v="0"/>
    <x v="0"/>
    <x v="1"/>
  </r>
  <r>
    <s v="TX1000355"/>
    <x v="1"/>
    <x v="1"/>
    <d v="1899-12-30T06:02:45"/>
    <n v="189.73"/>
    <s v="USD"/>
    <s v="M1121"/>
    <x v="4"/>
    <s v="South Africa"/>
    <s v="C86052"/>
    <n v="66"/>
    <s v="F"/>
    <x v="3"/>
    <x v="3"/>
    <s v="Y"/>
    <s v="Success"/>
    <x v="0"/>
    <x v="0"/>
    <x v="3"/>
  </r>
  <r>
    <s v="TX1001887"/>
    <x v="53"/>
    <x v="5"/>
    <d v="1899-12-30T13:54:32"/>
    <n v="189.72"/>
    <s v="USD"/>
    <s v="M1184"/>
    <x v="8"/>
    <s v="Poland"/>
    <s v="C70205"/>
    <n v="50"/>
    <s v="M"/>
    <x v="9"/>
    <x v="4"/>
    <s v="Y"/>
    <s v="Success"/>
    <x v="0"/>
    <x v="0"/>
    <x v="2"/>
  </r>
  <r>
    <s v="TX1000088"/>
    <x v="37"/>
    <x v="1"/>
    <d v="1899-12-30T12:00:23"/>
    <n v="189.67"/>
    <s v="USD"/>
    <s v="M1233"/>
    <x v="6"/>
    <s v="Netherlands"/>
    <s v="C58598"/>
    <n v="25"/>
    <s v="F"/>
    <x v="8"/>
    <x v="3"/>
    <s v="N"/>
    <s v="Success"/>
    <x v="0"/>
    <x v="0"/>
    <x v="1"/>
  </r>
  <r>
    <s v="TX1000065"/>
    <x v="85"/>
    <x v="1"/>
    <d v="1899-12-30T19:00:33"/>
    <n v="189.61"/>
    <s v="USD"/>
    <s v="M1397"/>
    <x v="5"/>
    <s v="Spain"/>
    <s v="C61384"/>
    <n v="62"/>
    <s v="F"/>
    <x v="0"/>
    <x v="0"/>
    <s v="N"/>
    <s v="Success"/>
    <x v="0"/>
    <x v="0"/>
    <x v="3"/>
  </r>
  <r>
    <s v="TX1000150"/>
    <x v="30"/>
    <x v="1"/>
    <d v="1899-12-30T22:32:28"/>
    <n v="189.55"/>
    <s v="USD"/>
    <s v="M1764"/>
    <x v="7"/>
    <s v="Sweden"/>
    <s v="C91852"/>
    <n v="45"/>
    <s v="M"/>
    <x v="5"/>
    <x v="5"/>
    <s v="Y"/>
    <s v="Success"/>
    <x v="0"/>
    <x v="0"/>
    <x v="2"/>
  </r>
  <r>
    <s v="TX1001876"/>
    <x v="117"/>
    <x v="5"/>
    <d v="1899-12-30T20:48:53"/>
    <n v="189.5"/>
    <s v="USD"/>
    <s v="M1034"/>
    <x v="1"/>
    <s v="Sweden"/>
    <s v="C51057"/>
    <n v="21"/>
    <s v="Other"/>
    <x v="0"/>
    <x v="3"/>
    <s v="Y"/>
    <s v="Success"/>
    <x v="0"/>
    <x v="0"/>
    <x v="0"/>
  </r>
  <r>
    <s v="TX1002696"/>
    <x v="89"/>
    <x v="3"/>
    <d v="1899-12-30T19:26:15"/>
    <n v="189.32"/>
    <s v="USD"/>
    <s v="M1402"/>
    <x v="0"/>
    <s v="United Kingdom"/>
    <s v="C79453"/>
    <n v="13"/>
    <s v="F"/>
    <x v="6"/>
    <x v="2"/>
    <s v="Y"/>
    <s v="Success"/>
    <x v="0"/>
    <x v="0"/>
    <x v="0"/>
  </r>
  <r>
    <s v="TX1000735"/>
    <x v="111"/>
    <x v="4"/>
    <d v="1899-12-30T11:58:31"/>
    <n v="189.21"/>
    <s v="USD"/>
    <s v="M1861"/>
    <x v="7"/>
    <s v="United States"/>
    <s v="C66456"/>
    <n v="10"/>
    <s v="Other"/>
    <x v="1"/>
    <x v="4"/>
    <s v="Y"/>
    <s v="Success"/>
    <x v="0"/>
    <x v="0"/>
    <x v="0"/>
  </r>
  <r>
    <s v="TX1002499"/>
    <x v="28"/>
    <x v="2"/>
    <d v="1899-12-30T13:11:58"/>
    <n v="189.2"/>
    <s v="USD"/>
    <s v="M1380"/>
    <x v="0"/>
    <s v="United Kingdom"/>
    <s v="C96448"/>
    <n v="30"/>
    <s v="F"/>
    <x v="3"/>
    <x v="3"/>
    <s v="Y"/>
    <s v="Success"/>
    <x v="0"/>
    <x v="0"/>
    <x v="1"/>
  </r>
  <r>
    <s v="TX1000496"/>
    <x v="57"/>
    <x v="4"/>
    <d v="1899-12-30T10:15:43"/>
    <n v="189.15"/>
    <s v="USD"/>
    <s v="M1255"/>
    <x v="3"/>
    <s v="Australia"/>
    <s v="C90992"/>
    <n v="65"/>
    <s v="Other"/>
    <x v="0"/>
    <x v="3"/>
    <s v="Y"/>
    <s v="Success"/>
    <x v="0"/>
    <x v="0"/>
    <x v="3"/>
  </r>
  <r>
    <s v="TX1001317"/>
    <x v="108"/>
    <x v="0"/>
    <d v="1899-12-30T02:12:24"/>
    <n v="189.02"/>
    <s v="USD"/>
    <s v="M1606"/>
    <x v="4"/>
    <s v="South Africa"/>
    <s v="C68305"/>
    <n v="37"/>
    <s v="Other"/>
    <x v="7"/>
    <x v="3"/>
    <s v="Y"/>
    <s v="Success"/>
    <x v="0"/>
    <x v="0"/>
    <x v="1"/>
  </r>
  <r>
    <s v="TX1002788"/>
    <x v="101"/>
    <x v="3"/>
    <d v="1899-12-30T13:15:01"/>
    <n v="189.02"/>
    <s v="USD"/>
    <s v="M1114"/>
    <x v="2"/>
    <s v="Spain"/>
    <s v="C90252"/>
    <n v="43"/>
    <s v="F"/>
    <x v="4"/>
    <x v="5"/>
    <s v="Y"/>
    <s v="Success"/>
    <x v="0"/>
    <x v="0"/>
    <x v="2"/>
  </r>
  <r>
    <s v="TX1001149"/>
    <x v="165"/>
    <x v="0"/>
    <d v="1899-12-30T18:56:45"/>
    <n v="189"/>
    <s v="USD"/>
    <s v="M1852"/>
    <x v="1"/>
    <s v="United Kingdom"/>
    <s v="C78454"/>
    <n v="33"/>
    <s v="M"/>
    <x v="1"/>
    <x v="3"/>
    <s v="Y"/>
    <s v="Success"/>
    <x v="0"/>
    <x v="0"/>
    <x v="1"/>
  </r>
  <r>
    <s v="TX1002874"/>
    <x v="144"/>
    <x v="3"/>
    <d v="1899-12-30T01:22:39"/>
    <n v="188.87"/>
    <s v="USD"/>
    <s v="M1795"/>
    <x v="8"/>
    <s v="United Kingdom"/>
    <s v="C51922"/>
    <n v="68"/>
    <s v="Other"/>
    <x v="14"/>
    <x v="5"/>
    <s v="Y"/>
    <s v="Success"/>
    <x v="0"/>
    <x v="0"/>
    <x v="3"/>
  </r>
  <r>
    <s v="TX1002850"/>
    <x v="166"/>
    <x v="3"/>
    <d v="1899-12-30T09:09:41"/>
    <n v="188.85"/>
    <s v="USD"/>
    <s v="M1380"/>
    <x v="3"/>
    <s v="South Africa"/>
    <s v="C72202"/>
    <n v="55"/>
    <s v="M"/>
    <x v="1"/>
    <x v="1"/>
    <s v="Y"/>
    <s v="Success"/>
    <x v="0"/>
    <x v="0"/>
    <x v="2"/>
  </r>
  <r>
    <s v="TX1002206"/>
    <x v="64"/>
    <x v="2"/>
    <d v="1899-12-30T22:21:10"/>
    <n v="188.54"/>
    <s v="USD"/>
    <s v="M1054"/>
    <x v="8"/>
    <s v="Australia"/>
    <s v="C80564"/>
    <n v="55"/>
    <s v="Other"/>
    <x v="3"/>
    <x v="2"/>
    <s v="Y"/>
    <s v="Success"/>
    <x v="0"/>
    <x v="0"/>
    <x v="2"/>
  </r>
  <r>
    <s v="TX1001682"/>
    <x v="134"/>
    <x v="5"/>
    <d v="1899-12-30T16:26:27"/>
    <n v="188.38"/>
    <s v="USD"/>
    <s v="M1253"/>
    <x v="5"/>
    <s v="United States"/>
    <s v="C90306"/>
    <n v="45"/>
    <s v="Other"/>
    <x v="5"/>
    <x v="4"/>
    <s v="N"/>
    <s v="Success"/>
    <x v="0"/>
    <x v="0"/>
    <x v="2"/>
  </r>
  <r>
    <s v="TX1002145"/>
    <x v="135"/>
    <x v="2"/>
    <d v="1899-12-30T22:02:27"/>
    <n v="188.36"/>
    <s v="USD"/>
    <s v="M1810"/>
    <x v="2"/>
    <s v="United States"/>
    <s v="C93369"/>
    <n v="51"/>
    <s v="F"/>
    <x v="9"/>
    <x v="1"/>
    <s v="Y"/>
    <s v="Success"/>
    <x v="0"/>
    <x v="0"/>
    <x v="2"/>
  </r>
  <r>
    <s v="TX1000050"/>
    <x v="167"/>
    <x v="1"/>
    <d v="1899-12-30T18:57:02"/>
    <n v="188.31"/>
    <s v="USD"/>
    <s v="M1867"/>
    <x v="8"/>
    <s v="United Kingdom"/>
    <s v="C83931"/>
    <n v="59"/>
    <s v="M"/>
    <x v="4"/>
    <x v="5"/>
    <s v="Y"/>
    <s v="Success"/>
    <x v="0"/>
    <x v="0"/>
    <x v="2"/>
  </r>
  <r>
    <s v="TX1001202"/>
    <x v="107"/>
    <x v="0"/>
    <d v="1899-12-30T16:20:47"/>
    <n v="188.25"/>
    <s v="USD"/>
    <s v="M1141"/>
    <x v="2"/>
    <s v="France"/>
    <s v="C62468"/>
    <n v="70"/>
    <s v="M"/>
    <x v="4"/>
    <x v="5"/>
    <s v="Y"/>
    <s v="Success"/>
    <x v="1"/>
    <x v="1"/>
    <x v="3"/>
  </r>
  <r>
    <s v="TX1001083"/>
    <x v="59"/>
    <x v="0"/>
    <d v="1899-12-30T08:14:25"/>
    <n v="187.9"/>
    <s v="USD"/>
    <s v="M1556"/>
    <x v="4"/>
    <s v="Kenya"/>
    <s v="C55232"/>
    <n v="74"/>
    <s v="M"/>
    <x v="4"/>
    <x v="2"/>
    <s v="Y"/>
    <s v="Success"/>
    <x v="0"/>
    <x v="0"/>
    <x v="3"/>
  </r>
  <r>
    <s v="TX1002043"/>
    <x v="138"/>
    <x v="2"/>
    <d v="1899-12-30T19:55:04"/>
    <n v="187.77"/>
    <s v="USD"/>
    <s v="M1656"/>
    <x v="6"/>
    <s v="Nigeria"/>
    <s v="C72836"/>
    <n v="62"/>
    <s v="M"/>
    <x v="14"/>
    <x v="3"/>
    <s v="Y"/>
    <s v="Success"/>
    <x v="0"/>
    <x v="0"/>
    <x v="3"/>
  </r>
  <r>
    <s v="TX1002056"/>
    <x v="33"/>
    <x v="2"/>
    <d v="1899-12-30T09:33:20"/>
    <n v="187.64"/>
    <s v="USD"/>
    <s v="M1684"/>
    <x v="3"/>
    <s v="Poland"/>
    <s v="C76734"/>
    <n v="45"/>
    <s v="F"/>
    <x v="8"/>
    <x v="1"/>
    <s v="Y"/>
    <s v="Success"/>
    <x v="0"/>
    <x v="0"/>
    <x v="2"/>
  </r>
  <r>
    <s v="TX1000702"/>
    <x v="62"/>
    <x v="4"/>
    <d v="1899-12-30T12:28:18"/>
    <n v="187.47"/>
    <s v="USD"/>
    <s v="M1153"/>
    <x v="7"/>
    <s v="Canada"/>
    <s v="C92683"/>
    <n v="26"/>
    <s v="F"/>
    <x v="7"/>
    <x v="2"/>
    <s v="Y"/>
    <s v="Success"/>
    <x v="0"/>
    <x v="0"/>
    <x v="1"/>
  </r>
  <r>
    <s v="TX1001849"/>
    <x v="15"/>
    <x v="5"/>
    <d v="1899-12-30T07:31:32"/>
    <n v="187.44"/>
    <s v="USD"/>
    <s v="M1388"/>
    <x v="7"/>
    <s v="Germany"/>
    <s v="C53439"/>
    <n v="18"/>
    <s v="M"/>
    <x v="10"/>
    <x v="4"/>
    <s v="Y"/>
    <s v="Success"/>
    <x v="0"/>
    <x v="0"/>
    <x v="0"/>
  </r>
  <r>
    <s v="TX1002243"/>
    <x v="69"/>
    <x v="2"/>
    <d v="1899-12-30T00:09:02"/>
    <n v="187.42"/>
    <s v="USD"/>
    <s v="M1170"/>
    <x v="5"/>
    <s v="Germany"/>
    <s v="C57061"/>
    <n v="27"/>
    <s v="Other"/>
    <x v="14"/>
    <x v="5"/>
    <s v="Y"/>
    <s v="Success"/>
    <x v="0"/>
    <x v="0"/>
    <x v="1"/>
  </r>
  <r>
    <s v="TX1001169"/>
    <x v="40"/>
    <x v="0"/>
    <d v="1899-12-30T20:36:34"/>
    <n v="187.01"/>
    <s v="USD"/>
    <s v="M1631"/>
    <x v="4"/>
    <s v="France"/>
    <s v="C72179"/>
    <n v="45"/>
    <s v="F"/>
    <x v="6"/>
    <x v="5"/>
    <s v="Y"/>
    <s v="Success"/>
    <x v="0"/>
    <x v="0"/>
    <x v="2"/>
  </r>
  <r>
    <s v="TX1001956"/>
    <x v="78"/>
    <x v="5"/>
    <d v="1899-12-30T12:11:58"/>
    <n v="186.66"/>
    <s v="USD"/>
    <s v="M1938"/>
    <x v="8"/>
    <s v="Norway"/>
    <s v="C71374"/>
    <n v="62"/>
    <s v="Other"/>
    <x v="9"/>
    <x v="4"/>
    <s v="N"/>
    <s v="Success"/>
    <x v="0"/>
    <x v="0"/>
    <x v="3"/>
  </r>
  <r>
    <s v="TX1001842"/>
    <x v="139"/>
    <x v="5"/>
    <d v="1899-12-30T23:22:26"/>
    <n v="186.62"/>
    <s v="USD"/>
    <s v="M1546"/>
    <x v="6"/>
    <s v="Nigeria"/>
    <s v="C86198"/>
    <n v="61"/>
    <s v="M"/>
    <x v="6"/>
    <x v="1"/>
    <s v="Y"/>
    <s v="Success"/>
    <x v="0"/>
    <x v="0"/>
    <x v="3"/>
  </r>
  <r>
    <s v="TX1000514"/>
    <x v="63"/>
    <x v="4"/>
    <d v="1899-12-30T03:51:29"/>
    <n v="186.6"/>
    <s v="USD"/>
    <s v="M1657"/>
    <x v="4"/>
    <s v="Nigeria"/>
    <s v="C75972"/>
    <n v="21"/>
    <s v="Other"/>
    <x v="2"/>
    <x v="4"/>
    <s v="Y"/>
    <s v="Success"/>
    <x v="0"/>
    <x v="0"/>
    <x v="0"/>
  </r>
  <r>
    <s v="TX1001776"/>
    <x v="72"/>
    <x v="5"/>
    <d v="1899-12-30T22:54:49"/>
    <n v="186.55"/>
    <s v="USD"/>
    <s v="M1557"/>
    <x v="4"/>
    <s v="India"/>
    <s v="C83029"/>
    <n v="30"/>
    <s v="Other"/>
    <x v="11"/>
    <x v="1"/>
    <s v="Y"/>
    <s v="Success"/>
    <x v="0"/>
    <x v="0"/>
    <x v="1"/>
  </r>
  <r>
    <s v="TX1001775"/>
    <x v="72"/>
    <x v="5"/>
    <d v="1899-12-30T19:39:29"/>
    <n v="186.48"/>
    <s v="USD"/>
    <s v="M1908"/>
    <x v="3"/>
    <s v="Sweden"/>
    <s v="C58328"/>
    <n v="35"/>
    <s v="Other"/>
    <x v="3"/>
    <x v="2"/>
    <s v="Y"/>
    <s v="Success"/>
    <x v="0"/>
    <x v="0"/>
    <x v="1"/>
  </r>
  <r>
    <s v="TX1001121"/>
    <x v="168"/>
    <x v="0"/>
    <d v="1899-12-30T19:29:41"/>
    <n v="186.35"/>
    <s v="USD"/>
    <s v="M1498"/>
    <x v="1"/>
    <s v="Canada"/>
    <s v="C67187"/>
    <n v="27"/>
    <s v="F"/>
    <x v="4"/>
    <x v="3"/>
    <s v="Y"/>
    <s v="Success"/>
    <x v="0"/>
    <x v="0"/>
    <x v="1"/>
  </r>
  <r>
    <s v="TX1000753"/>
    <x v="10"/>
    <x v="4"/>
    <d v="1899-12-30T07:03:10"/>
    <n v="186.34"/>
    <s v="USD"/>
    <s v="M1528"/>
    <x v="3"/>
    <s v="Netherlands"/>
    <s v="C66953"/>
    <n v="20"/>
    <s v="Other"/>
    <x v="3"/>
    <x v="3"/>
    <s v="Y"/>
    <s v="Success"/>
    <x v="0"/>
    <x v="0"/>
    <x v="0"/>
  </r>
  <r>
    <s v="TX1002302"/>
    <x v="156"/>
    <x v="2"/>
    <d v="1899-12-30T12:44:29"/>
    <n v="186.31"/>
    <s v="USD"/>
    <s v="M1381"/>
    <x v="8"/>
    <s v="Germany"/>
    <s v="C51365"/>
    <n v="25"/>
    <s v="Other"/>
    <x v="9"/>
    <x v="5"/>
    <s v="Y"/>
    <s v="Success"/>
    <x v="0"/>
    <x v="0"/>
    <x v="1"/>
  </r>
  <r>
    <s v="TX1002645"/>
    <x v="41"/>
    <x v="3"/>
    <d v="1899-12-30T00:54:02"/>
    <n v="186.28"/>
    <s v="USD"/>
    <s v="M1958"/>
    <x v="3"/>
    <s v="Netherlands"/>
    <s v="C50523"/>
    <n v="38"/>
    <s v="M"/>
    <x v="12"/>
    <x v="2"/>
    <s v="Y"/>
    <s v="Success"/>
    <x v="0"/>
    <x v="0"/>
    <x v="1"/>
  </r>
  <r>
    <s v="TX1001432"/>
    <x v="150"/>
    <x v="0"/>
    <d v="1899-12-30T21:08:15"/>
    <n v="186.21"/>
    <s v="USD"/>
    <s v="M1504"/>
    <x v="4"/>
    <s v="United Kingdom"/>
    <s v="C64227"/>
    <n v="40"/>
    <s v="Other"/>
    <x v="13"/>
    <x v="5"/>
    <s v="Y"/>
    <s v="Success"/>
    <x v="0"/>
    <x v="0"/>
    <x v="2"/>
  </r>
  <r>
    <s v="TX1001094"/>
    <x v="59"/>
    <x v="0"/>
    <d v="1899-12-30T18:57:26"/>
    <n v="186.04"/>
    <s v="USD"/>
    <s v="M1480"/>
    <x v="0"/>
    <s v="Nigeria"/>
    <s v="C79762"/>
    <n v="20"/>
    <s v="M"/>
    <x v="6"/>
    <x v="3"/>
    <s v="Y"/>
    <s v="Success"/>
    <x v="0"/>
    <x v="0"/>
    <x v="0"/>
  </r>
  <r>
    <s v="TX1000315"/>
    <x v="157"/>
    <x v="1"/>
    <d v="1899-12-30T22:39:04"/>
    <n v="185.84"/>
    <s v="USD"/>
    <s v="M1093"/>
    <x v="9"/>
    <s v="Nigeria"/>
    <s v="C51831"/>
    <n v="60"/>
    <s v="M"/>
    <x v="11"/>
    <x v="4"/>
    <s v="Y"/>
    <s v="Success"/>
    <x v="0"/>
    <x v="0"/>
    <x v="3"/>
  </r>
  <r>
    <s v="TX1000727"/>
    <x v="111"/>
    <x v="4"/>
    <d v="1899-12-30T02:57:07"/>
    <n v="185.78"/>
    <s v="USD"/>
    <s v="M1797"/>
    <x v="3"/>
    <s v="Poland"/>
    <s v="C87826"/>
    <n v="65"/>
    <s v="F"/>
    <x v="14"/>
    <x v="4"/>
    <s v="N"/>
    <s v="Success"/>
    <x v="0"/>
    <x v="0"/>
    <x v="3"/>
  </r>
  <r>
    <s v="TX1002771"/>
    <x v="169"/>
    <x v="3"/>
    <d v="1899-12-30T03:09:47"/>
    <n v="185.68"/>
    <s v="USD"/>
    <s v="M1802"/>
    <x v="3"/>
    <s v="South Africa"/>
    <s v="C95708"/>
    <n v="69"/>
    <s v="F"/>
    <x v="10"/>
    <x v="0"/>
    <s v="N"/>
    <s v="Success"/>
    <x v="0"/>
    <x v="0"/>
    <x v="3"/>
  </r>
  <r>
    <s v="TX1000248"/>
    <x v="152"/>
    <x v="1"/>
    <d v="1899-12-30T03:00:04"/>
    <n v="185.37"/>
    <s v="USD"/>
    <s v="M1432"/>
    <x v="7"/>
    <s v="Norway"/>
    <s v="C60508"/>
    <n v="56"/>
    <s v="Other"/>
    <x v="9"/>
    <x v="0"/>
    <s v="N"/>
    <s v="Success"/>
    <x v="0"/>
    <x v="0"/>
    <x v="2"/>
  </r>
  <r>
    <s v="TX1001552"/>
    <x v="145"/>
    <x v="5"/>
    <d v="1899-12-30T11:40:28"/>
    <n v="185.31"/>
    <s v="USD"/>
    <s v="M1677"/>
    <x v="9"/>
    <s v="Nigeria"/>
    <s v="C53324"/>
    <n v="72"/>
    <s v="M"/>
    <x v="1"/>
    <x v="2"/>
    <s v="Y"/>
    <s v="Success"/>
    <x v="0"/>
    <x v="0"/>
    <x v="3"/>
  </r>
  <r>
    <s v="TX1001218"/>
    <x v="81"/>
    <x v="0"/>
    <d v="1899-12-30T12:24:44"/>
    <n v="185.09"/>
    <s v="USD"/>
    <s v="M1085"/>
    <x v="1"/>
    <s v="France"/>
    <s v="C91814"/>
    <n v="57"/>
    <s v="Other"/>
    <x v="4"/>
    <x v="2"/>
    <s v="Y"/>
    <s v="Success"/>
    <x v="0"/>
    <x v="0"/>
    <x v="2"/>
  </r>
  <r>
    <s v="TX1001853"/>
    <x v="15"/>
    <x v="5"/>
    <d v="1899-12-30T10:02:44"/>
    <n v="184.98"/>
    <s v="USD"/>
    <s v="M1410"/>
    <x v="0"/>
    <s v="Norway"/>
    <s v="C66336"/>
    <n v="25"/>
    <s v="M"/>
    <x v="6"/>
    <x v="1"/>
    <s v="Y"/>
    <s v="Success"/>
    <x v="0"/>
    <x v="0"/>
    <x v="1"/>
  </r>
  <r>
    <s v="TX1002548"/>
    <x v="13"/>
    <x v="3"/>
    <d v="1899-12-30T06:52:35"/>
    <n v="184.97"/>
    <s v="USD"/>
    <s v="M1369"/>
    <x v="1"/>
    <s v="Australia"/>
    <s v="C87396"/>
    <n v="68"/>
    <s v="Other"/>
    <x v="8"/>
    <x v="3"/>
    <s v="Y"/>
    <s v="Success"/>
    <x v="0"/>
    <x v="0"/>
    <x v="3"/>
  </r>
  <r>
    <s v="TX1002725"/>
    <x v="130"/>
    <x v="3"/>
    <d v="1899-12-30T20:52:32"/>
    <n v="184.92"/>
    <s v="USD"/>
    <s v="M1970"/>
    <x v="1"/>
    <s v="Poland"/>
    <s v="C55586"/>
    <n v="72"/>
    <s v="M"/>
    <x v="10"/>
    <x v="5"/>
    <s v="Y"/>
    <s v="Success"/>
    <x v="0"/>
    <x v="0"/>
    <x v="3"/>
  </r>
  <r>
    <s v="TX1001756"/>
    <x v="72"/>
    <x v="5"/>
    <d v="1899-12-30T00:13:51"/>
    <n v="184.86"/>
    <s v="USD"/>
    <s v="M1602"/>
    <x v="1"/>
    <s v="Australia"/>
    <s v="C98552"/>
    <n v="69"/>
    <s v="Other"/>
    <x v="0"/>
    <x v="0"/>
    <s v="Y"/>
    <s v="Success"/>
    <x v="0"/>
    <x v="0"/>
    <x v="3"/>
  </r>
  <r>
    <s v="TX1000969"/>
    <x v="16"/>
    <x v="0"/>
    <d v="1899-12-30T15:08:47"/>
    <n v="184.77"/>
    <s v="USD"/>
    <s v="M1056"/>
    <x v="1"/>
    <s v="Nigeria"/>
    <s v="C58506"/>
    <n v="40"/>
    <s v="M"/>
    <x v="1"/>
    <x v="0"/>
    <s v="Y"/>
    <s v="Success"/>
    <x v="0"/>
    <x v="0"/>
    <x v="2"/>
  </r>
  <r>
    <s v="TX1000609"/>
    <x v="163"/>
    <x v="4"/>
    <d v="1899-12-30T22:12:45"/>
    <n v="184.77"/>
    <s v="USD"/>
    <s v="M1587"/>
    <x v="3"/>
    <s v="South Africa"/>
    <s v="C72090"/>
    <n v="51"/>
    <s v="Other"/>
    <x v="14"/>
    <x v="4"/>
    <s v="Y"/>
    <s v="Success"/>
    <x v="0"/>
    <x v="0"/>
    <x v="2"/>
  </r>
  <r>
    <s v="TX1002144"/>
    <x v="135"/>
    <x v="2"/>
    <d v="1899-12-30T21:27:23"/>
    <n v="184.63"/>
    <s v="USD"/>
    <s v="M1588"/>
    <x v="6"/>
    <s v="Sweden"/>
    <s v="C54874"/>
    <n v="67"/>
    <s v="Other"/>
    <x v="9"/>
    <x v="1"/>
    <s v="Y"/>
    <s v="Success"/>
    <x v="0"/>
    <x v="0"/>
    <x v="3"/>
  </r>
  <r>
    <s v="TX1002366"/>
    <x v="77"/>
    <x v="2"/>
    <d v="1899-12-30T17:08:57"/>
    <n v="184.6"/>
    <s v="USD"/>
    <s v="M1995"/>
    <x v="9"/>
    <s v="Norway"/>
    <s v="C61493"/>
    <n v="31"/>
    <s v="F"/>
    <x v="8"/>
    <x v="1"/>
    <s v="Y"/>
    <s v="Success"/>
    <x v="0"/>
    <x v="0"/>
    <x v="1"/>
  </r>
  <r>
    <s v="TX1002895"/>
    <x v="137"/>
    <x v="3"/>
    <d v="1899-12-30T14:36:41"/>
    <n v="184.58"/>
    <s v="USD"/>
    <s v="M1831"/>
    <x v="6"/>
    <s v="Kenya"/>
    <s v="C96035"/>
    <n v="54"/>
    <s v="F"/>
    <x v="14"/>
    <x v="3"/>
    <s v="Y"/>
    <s v="Success"/>
    <x v="0"/>
    <x v="0"/>
    <x v="2"/>
  </r>
  <r>
    <s v="TX1000220"/>
    <x v="31"/>
    <x v="1"/>
    <d v="1899-12-30T21:48:44"/>
    <n v="184.54"/>
    <s v="USD"/>
    <s v="M1115"/>
    <x v="1"/>
    <s v="Spain"/>
    <s v="C52626"/>
    <n v="43"/>
    <s v="Other"/>
    <x v="9"/>
    <x v="5"/>
    <s v="Y"/>
    <s v="Success"/>
    <x v="0"/>
    <x v="0"/>
    <x v="2"/>
  </r>
  <r>
    <s v="TX1002357"/>
    <x v="14"/>
    <x v="2"/>
    <d v="1899-12-30T19:32:13"/>
    <n v="184.51"/>
    <s v="USD"/>
    <s v="M1884"/>
    <x v="7"/>
    <s v="Kenya"/>
    <s v="C77782"/>
    <n v="57"/>
    <s v="Other"/>
    <x v="8"/>
    <x v="0"/>
    <s v="Y"/>
    <s v="Success"/>
    <x v="0"/>
    <x v="0"/>
    <x v="2"/>
  </r>
  <r>
    <s v="TX1001127"/>
    <x v="168"/>
    <x v="0"/>
    <d v="1899-12-30T23:45:00"/>
    <n v="184.39"/>
    <s v="USD"/>
    <s v="M1798"/>
    <x v="2"/>
    <s v="Kenya"/>
    <s v="C50564"/>
    <n v="70"/>
    <s v="M"/>
    <x v="8"/>
    <x v="1"/>
    <s v="Y"/>
    <s v="Success"/>
    <x v="0"/>
    <x v="0"/>
    <x v="3"/>
  </r>
  <r>
    <s v="TX1002170"/>
    <x v="112"/>
    <x v="2"/>
    <d v="1899-12-30T03:50:32"/>
    <n v="184.24"/>
    <s v="USD"/>
    <s v="M1255"/>
    <x v="0"/>
    <s v="South Africa"/>
    <s v="C81298"/>
    <n v="97"/>
    <s v="F"/>
    <x v="10"/>
    <x v="4"/>
    <s v="N"/>
    <s v="Success"/>
    <x v="0"/>
    <x v="0"/>
    <x v="3"/>
  </r>
  <r>
    <s v="TX1001618"/>
    <x v="127"/>
    <x v="5"/>
    <d v="1899-12-30T04:25:11"/>
    <n v="184.2"/>
    <s v="USD"/>
    <s v="M1769"/>
    <x v="4"/>
    <s v="Spain"/>
    <s v="C74408"/>
    <n v="73"/>
    <s v="F"/>
    <x v="10"/>
    <x v="2"/>
    <s v="Y"/>
    <s v="Success"/>
    <x v="0"/>
    <x v="0"/>
    <x v="3"/>
  </r>
  <r>
    <s v="TX1001824"/>
    <x v="162"/>
    <x v="5"/>
    <d v="1899-12-30T15:57:19"/>
    <n v="184.14"/>
    <s v="USD"/>
    <s v="M1671"/>
    <x v="4"/>
    <s v="United Kingdom"/>
    <s v="C86858"/>
    <n v="28"/>
    <s v="F"/>
    <x v="2"/>
    <x v="1"/>
    <s v="Y"/>
    <s v="Success"/>
    <x v="0"/>
    <x v="0"/>
    <x v="1"/>
  </r>
  <r>
    <s v="TX1000810"/>
    <x v="170"/>
    <x v="4"/>
    <d v="1899-12-30T20:37:29"/>
    <n v="184.01"/>
    <s v="USD"/>
    <s v="M1568"/>
    <x v="5"/>
    <s v="Germany"/>
    <s v="C94138"/>
    <n v="58"/>
    <s v="M"/>
    <x v="3"/>
    <x v="3"/>
    <s v="Y"/>
    <s v="Success"/>
    <x v="0"/>
    <x v="0"/>
    <x v="2"/>
  </r>
  <r>
    <s v="TX1002842"/>
    <x v="86"/>
    <x v="3"/>
    <d v="1899-12-30T23:52:24"/>
    <n v="183.85"/>
    <s v="USD"/>
    <s v="M1246"/>
    <x v="6"/>
    <s v="Nigeria"/>
    <s v="C87737"/>
    <n v="27"/>
    <s v="M"/>
    <x v="6"/>
    <x v="4"/>
    <s v="Y"/>
    <s v="Success"/>
    <x v="0"/>
    <x v="0"/>
    <x v="1"/>
  </r>
  <r>
    <s v="TX1001303"/>
    <x v="48"/>
    <x v="0"/>
    <d v="1899-12-30T07:03:19"/>
    <n v="183.76"/>
    <s v="USD"/>
    <s v="M1507"/>
    <x v="4"/>
    <s v="Poland"/>
    <s v="C80031"/>
    <n v="42"/>
    <s v="M"/>
    <x v="13"/>
    <x v="5"/>
    <s v="Y"/>
    <s v="Success"/>
    <x v="0"/>
    <x v="0"/>
    <x v="2"/>
  </r>
  <r>
    <s v="TX1002298"/>
    <x v="156"/>
    <x v="2"/>
    <d v="1899-12-30T05:45:31"/>
    <n v="183.73"/>
    <s v="USD"/>
    <s v="M1326"/>
    <x v="5"/>
    <s v="United Kingdom"/>
    <s v="C70230"/>
    <n v="63"/>
    <s v="M"/>
    <x v="4"/>
    <x v="0"/>
    <s v="Y"/>
    <s v="Success"/>
    <x v="0"/>
    <x v="0"/>
    <x v="3"/>
  </r>
  <r>
    <s v="TX1002036"/>
    <x v="138"/>
    <x v="2"/>
    <d v="1899-12-30T11:03:21"/>
    <n v="183.67"/>
    <s v="USD"/>
    <s v="M1507"/>
    <x v="0"/>
    <s v="United Kingdom"/>
    <s v="C90936"/>
    <n v="57"/>
    <s v="F"/>
    <x v="1"/>
    <x v="5"/>
    <s v="Y"/>
    <s v="Success"/>
    <x v="0"/>
    <x v="0"/>
    <x v="2"/>
  </r>
  <r>
    <s v="TX1002654"/>
    <x v="41"/>
    <x v="3"/>
    <d v="1899-12-30T18:54:37"/>
    <n v="183.63"/>
    <s v="USD"/>
    <s v="M1293"/>
    <x v="4"/>
    <s v="Canada"/>
    <s v="C81793"/>
    <n v="75"/>
    <s v="M"/>
    <x v="3"/>
    <x v="1"/>
    <s v="N"/>
    <s v="Success"/>
    <x v="0"/>
    <x v="0"/>
    <x v="3"/>
  </r>
  <r>
    <s v="TX1000451"/>
    <x v="151"/>
    <x v="1"/>
    <d v="1899-12-30T15:25:45"/>
    <n v="183.62"/>
    <s v="USD"/>
    <s v="M1946"/>
    <x v="6"/>
    <s v="Poland"/>
    <s v="C68260"/>
    <n v="66"/>
    <s v="M"/>
    <x v="1"/>
    <x v="0"/>
    <s v="Y"/>
    <s v="Success"/>
    <x v="1"/>
    <x v="1"/>
    <x v="3"/>
  </r>
  <r>
    <s v="TX1000325"/>
    <x v="95"/>
    <x v="1"/>
    <d v="1899-12-30T10:48:27"/>
    <n v="183.46"/>
    <s v="USD"/>
    <s v="M1922"/>
    <x v="7"/>
    <s v="Canada"/>
    <s v="C62374"/>
    <n v="62"/>
    <s v="F"/>
    <x v="3"/>
    <x v="0"/>
    <s v="N"/>
    <s v="Success"/>
    <x v="0"/>
    <x v="0"/>
    <x v="3"/>
  </r>
  <r>
    <s v="TX1001698"/>
    <x v="27"/>
    <x v="5"/>
    <d v="1899-12-30T15:55:54"/>
    <n v="183.43"/>
    <s v="USD"/>
    <s v="M1399"/>
    <x v="6"/>
    <s v="India"/>
    <s v="C99358"/>
    <n v="45"/>
    <s v="M"/>
    <x v="10"/>
    <x v="3"/>
    <s v="Y"/>
    <s v="Success"/>
    <x v="0"/>
    <x v="0"/>
    <x v="2"/>
  </r>
  <r>
    <s v="TX1002260"/>
    <x v="38"/>
    <x v="2"/>
    <d v="1899-12-30T00:56:31"/>
    <n v="183.4"/>
    <s v="USD"/>
    <s v="M1837"/>
    <x v="3"/>
    <s v="Norway"/>
    <s v="C56545"/>
    <n v="42"/>
    <s v="Other"/>
    <x v="1"/>
    <x v="2"/>
    <s v="Y"/>
    <s v="Success"/>
    <x v="0"/>
    <x v="0"/>
    <x v="2"/>
  </r>
  <r>
    <s v="TX1000620"/>
    <x v="65"/>
    <x v="4"/>
    <d v="1899-12-30T03:21:19"/>
    <n v="183.28"/>
    <s v="USD"/>
    <s v="M1319"/>
    <x v="3"/>
    <s v="Canada"/>
    <s v="C54376"/>
    <n v="59"/>
    <s v="Other"/>
    <x v="5"/>
    <x v="1"/>
    <s v="Y"/>
    <s v="Success"/>
    <x v="0"/>
    <x v="0"/>
    <x v="2"/>
  </r>
  <r>
    <s v="TX1000629"/>
    <x v="65"/>
    <x v="4"/>
    <d v="1899-12-30T12:28:34"/>
    <n v="183.11"/>
    <s v="USD"/>
    <s v="M1688"/>
    <x v="1"/>
    <s v="India"/>
    <s v="C55240"/>
    <n v="64"/>
    <s v="F"/>
    <x v="9"/>
    <x v="2"/>
    <s v="Y"/>
    <s v="Success"/>
    <x v="0"/>
    <x v="0"/>
    <x v="3"/>
  </r>
  <r>
    <s v="TX1000788"/>
    <x v="110"/>
    <x v="4"/>
    <d v="1899-12-30T04:36:36"/>
    <n v="183.09"/>
    <s v="USD"/>
    <s v="M1054"/>
    <x v="1"/>
    <s v="Norway"/>
    <s v="C79119"/>
    <n v="46"/>
    <s v="Other"/>
    <x v="2"/>
    <x v="1"/>
    <s v="Y"/>
    <s v="Success"/>
    <x v="0"/>
    <x v="0"/>
    <x v="2"/>
  </r>
  <r>
    <s v="TX1000022"/>
    <x v="171"/>
    <x v="1"/>
    <d v="1899-12-30T08:29:59"/>
    <n v="182.97"/>
    <s v="USD"/>
    <s v="M1406"/>
    <x v="6"/>
    <s v="Canada"/>
    <s v="C71077"/>
    <n v="40"/>
    <s v="F"/>
    <x v="12"/>
    <x v="1"/>
    <s v="Y"/>
    <s v="Success"/>
    <x v="0"/>
    <x v="0"/>
    <x v="2"/>
  </r>
  <r>
    <s v="TX1001248"/>
    <x v="76"/>
    <x v="0"/>
    <d v="1899-12-30T00:58:19"/>
    <n v="182.92"/>
    <s v="USD"/>
    <s v="M1372"/>
    <x v="4"/>
    <s v="Norway"/>
    <s v="C73904"/>
    <n v="50"/>
    <s v="M"/>
    <x v="9"/>
    <x v="1"/>
    <s v="N"/>
    <s v="Success"/>
    <x v="0"/>
    <x v="0"/>
    <x v="2"/>
  </r>
  <r>
    <s v="TX1002295"/>
    <x v="156"/>
    <x v="2"/>
    <d v="1899-12-30T03:26:18"/>
    <n v="182.84"/>
    <s v="USD"/>
    <s v="M1304"/>
    <x v="7"/>
    <s v="Australia"/>
    <s v="C81654"/>
    <n v="61"/>
    <s v="M"/>
    <x v="9"/>
    <x v="2"/>
    <s v="Y"/>
    <s v="Success"/>
    <x v="0"/>
    <x v="0"/>
    <x v="3"/>
  </r>
  <r>
    <s v="TX1001953"/>
    <x v="78"/>
    <x v="5"/>
    <d v="1899-12-30T09:49:57"/>
    <n v="182.79"/>
    <s v="USD"/>
    <s v="M1808"/>
    <x v="0"/>
    <s v="United Kingdom"/>
    <s v="C93351"/>
    <n v="44"/>
    <s v="F"/>
    <x v="14"/>
    <x v="3"/>
    <s v="Y"/>
    <s v="Success"/>
    <x v="0"/>
    <x v="0"/>
    <x v="2"/>
  </r>
  <r>
    <s v="TX1000458"/>
    <x v="25"/>
    <x v="1"/>
    <d v="1899-12-30T06:06:18"/>
    <n v="182.53"/>
    <s v="USD"/>
    <s v="M1670"/>
    <x v="9"/>
    <s v="Canada"/>
    <s v="C63792"/>
    <n v="52"/>
    <s v="F"/>
    <x v="9"/>
    <x v="3"/>
    <s v="Y"/>
    <s v="Success"/>
    <x v="0"/>
    <x v="0"/>
    <x v="2"/>
  </r>
  <r>
    <s v="TX1001485"/>
    <x v="0"/>
    <x v="0"/>
    <d v="1899-12-30T15:06:33"/>
    <n v="182.32"/>
    <s v="USD"/>
    <s v="M1680"/>
    <x v="5"/>
    <s v="France"/>
    <s v="C94697"/>
    <n v="49"/>
    <s v="F"/>
    <x v="1"/>
    <x v="4"/>
    <s v="Y"/>
    <s v="Success"/>
    <x v="0"/>
    <x v="0"/>
    <x v="2"/>
  </r>
  <r>
    <s v="TX1000895"/>
    <x v="8"/>
    <x v="4"/>
    <d v="1899-12-30T12:43:44"/>
    <n v="182.29"/>
    <s v="USD"/>
    <s v="M1028"/>
    <x v="3"/>
    <s v="Canada"/>
    <s v="C88961"/>
    <n v="18"/>
    <s v="F"/>
    <x v="0"/>
    <x v="5"/>
    <s v="Y"/>
    <s v="Success"/>
    <x v="0"/>
    <x v="0"/>
    <x v="0"/>
  </r>
  <r>
    <s v="TX1001062"/>
    <x v="47"/>
    <x v="0"/>
    <d v="1899-12-30T02:21:13"/>
    <n v="182.21"/>
    <s v="USD"/>
    <s v="M1000"/>
    <x v="8"/>
    <s v="South Africa"/>
    <s v="C99481"/>
    <n v="41"/>
    <s v="F"/>
    <x v="13"/>
    <x v="3"/>
    <s v="Y"/>
    <s v="Success"/>
    <x v="0"/>
    <x v="0"/>
    <x v="2"/>
  </r>
  <r>
    <s v="TX1000565"/>
    <x v="172"/>
    <x v="4"/>
    <d v="1899-12-30T15:30:06"/>
    <n v="182.14"/>
    <s v="USD"/>
    <s v="M1643"/>
    <x v="1"/>
    <s v="Netherlands"/>
    <s v="C68430"/>
    <n v="60"/>
    <s v="M"/>
    <x v="0"/>
    <x v="2"/>
    <s v="Y"/>
    <s v="Success"/>
    <x v="0"/>
    <x v="0"/>
    <x v="3"/>
  </r>
  <r>
    <s v="TX1000752"/>
    <x v="10"/>
    <x v="4"/>
    <d v="1899-12-30T05:48:55"/>
    <n v="182.09"/>
    <s v="USD"/>
    <s v="M1768"/>
    <x v="8"/>
    <s v="South Africa"/>
    <s v="C59479"/>
    <n v="59"/>
    <s v="M"/>
    <x v="9"/>
    <x v="5"/>
    <s v="Y"/>
    <s v="Success"/>
    <x v="0"/>
    <x v="0"/>
    <x v="2"/>
  </r>
  <r>
    <s v="TX1002734"/>
    <x v="131"/>
    <x v="3"/>
    <d v="1899-12-30T21:56:21"/>
    <n v="182.05"/>
    <s v="USD"/>
    <s v="M1400"/>
    <x v="8"/>
    <s v="South Africa"/>
    <s v="C89284"/>
    <n v="69"/>
    <s v="F"/>
    <x v="9"/>
    <x v="2"/>
    <s v="Y"/>
    <s v="Success"/>
    <x v="0"/>
    <x v="0"/>
    <x v="3"/>
  </r>
  <r>
    <s v="TX1000549"/>
    <x v="122"/>
    <x v="4"/>
    <d v="1899-12-30T12:53:09"/>
    <n v="182.02"/>
    <s v="USD"/>
    <s v="M1101"/>
    <x v="0"/>
    <s v="India"/>
    <s v="C93483"/>
    <n v="62"/>
    <s v="Other"/>
    <x v="3"/>
    <x v="2"/>
    <s v="Y"/>
    <s v="Success"/>
    <x v="0"/>
    <x v="0"/>
    <x v="3"/>
  </r>
  <r>
    <s v="TX1001503"/>
    <x v="98"/>
    <x v="5"/>
    <d v="1899-12-30T17:39:50"/>
    <n v="182"/>
    <s v="USD"/>
    <s v="M1543"/>
    <x v="8"/>
    <s v="Netherlands"/>
    <s v="C79378"/>
    <n v="70"/>
    <s v="F"/>
    <x v="7"/>
    <x v="2"/>
    <s v="Y"/>
    <s v="Success"/>
    <x v="0"/>
    <x v="0"/>
    <x v="3"/>
  </r>
  <r>
    <s v="TX1001839"/>
    <x v="139"/>
    <x v="5"/>
    <d v="1899-12-30T15:03:26"/>
    <n v="181.91"/>
    <s v="USD"/>
    <s v="M1828"/>
    <x v="7"/>
    <s v="Norway"/>
    <s v="C70809"/>
    <n v="67"/>
    <s v="F"/>
    <x v="1"/>
    <x v="0"/>
    <s v="Y"/>
    <s v="Success"/>
    <x v="0"/>
    <x v="0"/>
    <x v="3"/>
  </r>
  <r>
    <s v="TX1002319"/>
    <x v="97"/>
    <x v="2"/>
    <d v="1899-12-30T18:07:50"/>
    <n v="181.82"/>
    <s v="USD"/>
    <s v="M1808"/>
    <x v="8"/>
    <s v="Netherlands"/>
    <s v="C88536"/>
    <n v="45"/>
    <s v="Other"/>
    <x v="3"/>
    <x v="2"/>
    <s v="Y"/>
    <s v="Success"/>
    <x v="0"/>
    <x v="0"/>
    <x v="2"/>
  </r>
  <r>
    <s v="TX1002604"/>
    <x v="173"/>
    <x v="3"/>
    <d v="1899-12-30T15:39:45"/>
    <n v="181.73"/>
    <s v="USD"/>
    <s v="M1701"/>
    <x v="8"/>
    <s v="Sweden"/>
    <s v="C80002"/>
    <n v="23"/>
    <s v="F"/>
    <x v="11"/>
    <x v="2"/>
    <s v="Y"/>
    <s v="Success"/>
    <x v="0"/>
    <x v="0"/>
    <x v="0"/>
  </r>
  <r>
    <s v="TX1002754"/>
    <x v="7"/>
    <x v="3"/>
    <d v="1899-12-30T04:49:32"/>
    <n v="181.7"/>
    <s v="USD"/>
    <s v="M1228"/>
    <x v="8"/>
    <s v="Canada"/>
    <s v="C81840"/>
    <n v="28"/>
    <s v="M"/>
    <x v="6"/>
    <x v="1"/>
    <s v="Y"/>
    <s v="Success"/>
    <x v="0"/>
    <x v="0"/>
    <x v="1"/>
  </r>
  <r>
    <s v="TX1000010"/>
    <x v="146"/>
    <x v="1"/>
    <d v="1899-12-30T05:13:43"/>
    <n v="181.68"/>
    <s v="USD"/>
    <s v="M1587"/>
    <x v="6"/>
    <s v="Canada"/>
    <s v="C98410"/>
    <n v="29"/>
    <s v="F"/>
    <x v="0"/>
    <x v="5"/>
    <s v="Y"/>
    <s v="Success"/>
    <x v="0"/>
    <x v="0"/>
    <x v="1"/>
  </r>
  <r>
    <s v="TX1000117"/>
    <x v="5"/>
    <x v="1"/>
    <d v="1899-12-30T00:06:57"/>
    <n v="181.54"/>
    <s v="USD"/>
    <s v="M1888"/>
    <x v="5"/>
    <s v="South Africa"/>
    <s v="C81595"/>
    <n v="12"/>
    <s v="F"/>
    <x v="5"/>
    <x v="5"/>
    <s v="Y"/>
    <s v="Success"/>
    <x v="0"/>
    <x v="0"/>
    <x v="0"/>
  </r>
  <r>
    <s v="TX1002698"/>
    <x v="89"/>
    <x v="3"/>
    <d v="1899-12-30T20:11:30"/>
    <n v="181.16"/>
    <s v="USD"/>
    <s v="M1058"/>
    <x v="6"/>
    <s v="South Africa"/>
    <s v="C88959"/>
    <n v="29"/>
    <s v="M"/>
    <x v="12"/>
    <x v="3"/>
    <s v="Y"/>
    <s v="Success"/>
    <x v="0"/>
    <x v="0"/>
    <x v="1"/>
  </r>
  <r>
    <s v="TX1001048"/>
    <x v="104"/>
    <x v="0"/>
    <d v="1899-12-30T07:54:11"/>
    <n v="181.15"/>
    <s v="USD"/>
    <s v="M1447"/>
    <x v="8"/>
    <s v="Australia"/>
    <s v="C79761"/>
    <n v="44"/>
    <s v="F"/>
    <x v="2"/>
    <x v="2"/>
    <s v="Y"/>
    <s v="Success"/>
    <x v="0"/>
    <x v="0"/>
    <x v="2"/>
  </r>
  <r>
    <s v="TX1000562"/>
    <x v="172"/>
    <x v="4"/>
    <d v="1899-12-30T12:40:45"/>
    <n v="181.03"/>
    <s v="USD"/>
    <s v="M1422"/>
    <x v="9"/>
    <s v="United Kingdom"/>
    <s v="C64232"/>
    <n v="51"/>
    <s v="F"/>
    <x v="5"/>
    <x v="2"/>
    <s v="Y"/>
    <s v="Success"/>
    <x v="0"/>
    <x v="0"/>
    <x v="2"/>
  </r>
  <r>
    <s v="TX1001607"/>
    <x v="66"/>
    <x v="5"/>
    <d v="1899-12-30T14:04:39"/>
    <n v="180.95"/>
    <s v="USD"/>
    <s v="M1802"/>
    <x v="4"/>
    <s v="South Africa"/>
    <s v="C66804"/>
    <n v="53"/>
    <s v="Other"/>
    <x v="0"/>
    <x v="3"/>
    <s v="Y"/>
    <s v="Success"/>
    <x v="0"/>
    <x v="0"/>
    <x v="2"/>
  </r>
  <r>
    <s v="TX1001614"/>
    <x v="127"/>
    <x v="5"/>
    <d v="1899-12-30T01:33:04"/>
    <n v="180.74"/>
    <s v="USD"/>
    <s v="M1932"/>
    <x v="1"/>
    <s v="Nigeria"/>
    <s v="C62219"/>
    <n v="63"/>
    <s v="F"/>
    <x v="4"/>
    <x v="1"/>
    <s v="Y"/>
    <s v="Success"/>
    <x v="0"/>
    <x v="0"/>
    <x v="3"/>
  </r>
  <r>
    <s v="TX1000806"/>
    <x v="170"/>
    <x v="4"/>
    <d v="1899-12-30T05:36:11"/>
    <n v="180.72"/>
    <s v="USD"/>
    <s v="M1550"/>
    <x v="6"/>
    <s v="United States"/>
    <s v="C54655"/>
    <n v="23"/>
    <s v="F"/>
    <x v="14"/>
    <x v="3"/>
    <s v="Y"/>
    <s v="Success"/>
    <x v="1"/>
    <x v="1"/>
    <x v="0"/>
  </r>
  <r>
    <s v="TX1002257"/>
    <x v="69"/>
    <x v="2"/>
    <d v="1899-12-30T17:05:22"/>
    <n v="180.67"/>
    <s v="USD"/>
    <s v="M1631"/>
    <x v="2"/>
    <s v="Kenya"/>
    <s v="C96418"/>
    <n v="48"/>
    <s v="Other"/>
    <x v="11"/>
    <x v="3"/>
    <s v="Y"/>
    <s v="Success"/>
    <x v="0"/>
    <x v="0"/>
    <x v="2"/>
  </r>
  <r>
    <s v="TX1000255"/>
    <x v="152"/>
    <x v="1"/>
    <d v="1899-12-30T08:54:07"/>
    <n v="180.66"/>
    <s v="USD"/>
    <s v="M1849"/>
    <x v="8"/>
    <s v="Canada"/>
    <s v="C70513"/>
    <n v="49"/>
    <s v="M"/>
    <x v="3"/>
    <x v="3"/>
    <s v="N"/>
    <s v="Success"/>
    <x v="0"/>
    <x v="0"/>
    <x v="2"/>
  </r>
  <r>
    <s v="TX1000789"/>
    <x v="110"/>
    <x v="4"/>
    <d v="1899-12-30T04:42:36"/>
    <n v="180.56"/>
    <s v="USD"/>
    <s v="M1043"/>
    <x v="1"/>
    <s v="Poland"/>
    <s v="C95864"/>
    <n v="24"/>
    <s v="M"/>
    <x v="6"/>
    <x v="4"/>
    <s v="Y"/>
    <s v="Success"/>
    <x v="0"/>
    <x v="0"/>
    <x v="0"/>
  </r>
  <r>
    <s v="TX1001757"/>
    <x v="72"/>
    <x v="5"/>
    <d v="1899-12-30T02:19:04"/>
    <n v="180.37"/>
    <s v="USD"/>
    <s v="M1962"/>
    <x v="6"/>
    <s v="Poland"/>
    <s v="C81740"/>
    <n v="38"/>
    <s v="M"/>
    <x v="7"/>
    <x v="3"/>
    <s v="Y"/>
    <s v="Success"/>
    <x v="0"/>
    <x v="0"/>
    <x v="1"/>
  </r>
  <r>
    <s v="TX1000837"/>
    <x v="114"/>
    <x v="4"/>
    <d v="1899-12-30T08:06:34"/>
    <n v="180.32"/>
    <s v="USD"/>
    <s v="M1314"/>
    <x v="8"/>
    <s v="Sweden"/>
    <s v="C54783"/>
    <n v="54"/>
    <s v="Other"/>
    <x v="7"/>
    <x v="5"/>
    <s v="Y"/>
    <s v="Success"/>
    <x v="0"/>
    <x v="0"/>
    <x v="2"/>
  </r>
  <r>
    <s v="TX1002854"/>
    <x v="166"/>
    <x v="3"/>
    <d v="1899-12-30T17:18:25"/>
    <n v="180.24"/>
    <s v="USD"/>
    <s v="M1156"/>
    <x v="4"/>
    <s v="Norway"/>
    <s v="C65435"/>
    <n v="74"/>
    <s v="Other"/>
    <x v="12"/>
    <x v="4"/>
    <s v="Y"/>
    <s v="Success"/>
    <x v="0"/>
    <x v="0"/>
    <x v="3"/>
  </r>
  <r>
    <s v="TX1001672"/>
    <x v="134"/>
    <x v="5"/>
    <d v="1899-12-30T00:04:09"/>
    <n v="180.18"/>
    <s v="USD"/>
    <s v="M1142"/>
    <x v="6"/>
    <s v="India"/>
    <s v="C77218"/>
    <n v="29"/>
    <s v="F"/>
    <x v="5"/>
    <x v="0"/>
    <s v="Y"/>
    <s v="Success"/>
    <x v="0"/>
    <x v="0"/>
    <x v="1"/>
  </r>
  <r>
    <s v="TX1000090"/>
    <x v="37"/>
    <x v="1"/>
    <d v="1899-12-30T15:22:11"/>
    <n v="179.83"/>
    <s v="USD"/>
    <s v="M1289"/>
    <x v="7"/>
    <s v="Sweden"/>
    <s v="C56964"/>
    <n v="71"/>
    <s v="Other"/>
    <x v="11"/>
    <x v="1"/>
    <s v="Y"/>
    <s v="Success"/>
    <x v="0"/>
    <x v="0"/>
    <x v="3"/>
  </r>
  <r>
    <s v="TX1000777"/>
    <x v="18"/>
    <x v="4"/>
    <d v="1899-12-30T16:01:43"/>
    <n v="179.64"/>
    <s v="USD"/>
    <s v="M1698"/>
    <x v="1"/>
    <s v="Sweden"/>
    <s v="C90263"/>
    <n v="45"/>
    <s v="M"/>
    <x v="2"/>
    <x v="2"/>
    <s v="Y"/>
    <s v="Success"/>
    <x v="0"/>
    <x v="0"/>
    <x v="2"/>
  </r>
  <r>
    <s v="TX1001938"/>
    <x v="73"/>
    <x v="5"/>
    <d v="1899-12-30T16:03:55"/>
    <n v="179.58"/>
    <s v="USD"/>
    <s v="M1426"/>
    <x v="5"/>
    <s v="Canada"/>
    <s v="C74716"/>
    <n v="26"/>
    <s v="F"/>
    <x v="1"/>
    <x v="5"/>
    <s v="Y"/>
    <s v="Success"/>
    <x v="0"/>
    <x v="0"/>
    <x v="1"/>
  </r>
  <r>
    <s v="TX1000077"/>
    <x v="44"/>
    <x v="1"/>
    <d v="1899-12-30T13:18:53"/>
    <n v="179.51"/>
    <s v="USD"/>
    <s v="M1837"/>
    <x v="8"/>
    <s v="Germany"/>
    <s v="C68372"/>
    <n v="73"/>
    <s v="M"/>
    <x v="5"/>
    <x v="1"/>
    <s v="Y"/>
    <s v="Success"/>
    <x v="0"/>
    <x v="0"/>
    <x v="3"/>
  </r>
  <r>
    <s v="TX1000199"/>
    <x v="49"/>
    <x v="1"/>
    <d v="1899-12-30T20:29:22"/>
    <n v="179.41"/>
    <s v="USD"/>
    <s v="M1655"/>
    <x v="9"/>
    <s v="Spain"/>
    <s v="C52479"/>
    <n v="75"/>
    <s v="F"/>
    <x v="7"/>
    <x v="4"/>
    <s v="Y"/>
    <s v="Success"/>
    <x v="0"/>
    <x v="0"/>
    <x v="3"/>
  </r>
  <r>
    <s v="TX1001022"/>
    <x v="174"/>
    <x v="0"/>
    <d v="1899-12-30T23:07:40"/>
    <n v="179.26"/>
    <s v="USD"/>
    <s v="M1607"/>
    <x v="3"/>
    <s v="Germany"/>
    <s v="C60835"/>
    <n v="63"/>
    <s v="M"/>
    <x v="11"/>
    <x v="3"/>
    <s v="Y"/>
    <s v="Success"/>
    <x v="0"/>
    <x v="0"/>
    <x v="3"/>
  </r>
  <r>
    <s v="TX1000694"/>
    <x v="62"/>
    <x v="4"/>
    <d v="1899-12-30T03:36:21"/>
    <n v="179.25"/>
    <s v="USD"/>
    <s v="M1400"/>
    <x v="3"/>
    <s v="Kenya"/>
    <s v="C96813"/>
    <n v="66"/>
    <s v="F"/>
    <x v="14"/>
    <x v="5"/>
    <s v="Y"/>
    <s v="Success"/>
    <x v="0"/>
    <x v="0"/>
    <x v="3"/>
  </r>
  <r>
    <s v="TX1002866"/>
    <x v="87"/>
    <x v="3"/>
    <d v="1899-12-30T12:51:44"/>
    <n v="179.18"/>
    <s v="USD"/>
    <s v="M1469"/>
    <x v="7"/>
    <s v="Netherlands"/>
    <s v="C74945"/>
    <n v="24"/>
    <s v="M"/>
    <x v="4"/>
    <x v="3"/>
    <s v="Y"/>
    <s v="Success"/>
    <x v="0"/>
    <x v="0"/>
    <x v="0"/>
  </r>
  <r>
    <s v="TX1001602"/>
    <x v="66"/>
    <x v="5"/>
    <d v="1899-12-30T05:43:49"/>
    <n v="179.13"/>
    <s v="USD"/>
    <s v="M1152"/>
    <x v="4"/>
    <s v="Canada"/>
    <s v="C96935"/>
    <n v="45"/>
    <s v="Other"/>
    <x v="1"/>
    <x v="2"/>
    <s v="Y"/>
    <s v="Success"/>
    <x v="0"/>
    <x v="0"/>
    <x v="2"/>
  </r>
  <r>
    <s v="TX1002555"/>
    <x v="13"/>
    <x v="3"/>
    <d v="1899-12-30T20:08:05"/>
    <n v="179"/>
    <s v="USD"/>
    <s v="M1395"/>
    <x v="5"/>
    <s v="Poland"/>
    <s v="C88054"/>
    <n v="59"/>
    <s v="F"/>
    <x v="13"/>
    <x v="1"/>
    <s v="Y"/>
    <s v="Success"/>
    <x v="0"/>
    <x v="0"/>
    <x v="2"/>
  </r>
  <r>
    <s v="TX1000988"/>
    <x v="102"/>
    <x v="0"/>
    <d v="1899-12-30T18:41:20"/>
    <n v="178.97"/>
    <s v="USD"/>
    <s v="M1483"/>
    <x v="4"/>
    <s v="Nigeria"/>
    <s v="C58679"/>
    <n v="45"/>
    <s v="M"/>
    <x v="3"/>
    <x v="5"/>
    <s v="Y"/>
    <s v="Success"/>
    <x v="0"/>
    <x v="0"/>
    <x v="2"/>
  </r>
  <r>
    <s v="TX1001120"/>
    <x v="168"/>
    <x v="0"/>
    <d v="1899-12-30T19:01:56"/>
    <n v="178.83"/>
    <s v="USD"/>
    <s v="M1703"/>
    <x v="6"/>
    <s v="Norway"/>
    <s v="C71638"/>
    <n v="50"/>
    <s v="Other"/>
    <x v="11"/>
    <x v="2"/>
    <s v="Y"/>
    <s v="Success"/>
    <x v="1"/>
    <x v="1"/>
    <x v="2"/>
  </r>
  <r>
    <s v="TX1000436"/>
    <x v="148"/>
    <x v="1"/>
    <d v="1899-12-30T20:56:42"/>
    <n v="178.7"/>
    <s v="USD"/>
    <s v="M1554"/>
    <x v="0"/>
    <s v="India"/>
    <s v="C53538"/>
    <n v="49"/>
    <s v="F"/>
    <x v="6"/>
    <x v="5"/>
    <s v="N"/>
    <s v="Success"/>
    <x v="0"/>
    <x v="0"/>
    <x v="2"/>
  </r>
  <r>
    <s v="TX1002694"/>
    <x v="89"/>
    <x v="3"/>
    <d v="1899-12-30T18:34:22"/>
    <n v="178.6"/>
    <s v="USD"/>
    <s v="M1125"/>
    <x v="4"/>
    <s v="Sweden"/>
    <s v="C77703"/>
    <n v="47"/>
    <s v="F"/>
    <x v="3"/>
    <x v="0"/>
    <s v="Y"/>
    <s v="Success"/>
    <x v="0"/>
    <x v="0"/>
    <x v="2"/>
  </r>
  <r>
    <s v="TX1001289"/>
    <x v="125"/>
    <x v="0"/>
    <d v="1899-12-30T10:33:38"/>
    <n v="178.5"/>
    <s v="USD"/>
    <s v="M1956"/>
    <x v="1"/>
    <s v="United Kingdom"/>
    <s v="C68168"/>
    <n v="31"/>
    <s v="M"/>
    <x v="5"/>
    <x v="5"/>
    <s v="Y"/>
    <s v="Success"/>
    <x v="0"/>
    <x v="0"/>
    <x v="1"/>
  </r>
  <r>
    <s v="TX1001056"/>
    <x v="104"/>
    <x v="0"/>
    <d v="1899-12-30T18:43:25"/>
    <n v="178.36"/>
    <s v="USD"/>
    <s v="M1806"/>
    <x v="8"/>
    <s v="Norway"/>
    <s v="C67921"/>
    <n v="63"/>
    <s v="Other"/>
    <x v="12"/>
    <x v="0"/>
    <s v="Y"/>
    <s v="Success"/>
    <x v="0"/>
    <x v="0"/>
    <x v="3"/>
  </r>
  <r>
    <s v="TX1000688"/>
    <x v="113"/>
    <x v="4"/>
    <d v="1899-12-30T19:36:13"/>
    <n v="178.22"/>
    <s v="USD"/>
    <s v="M1859"/>
    <x v="6"/>
    <s v="Germany"/>
    <s v="C59259"/>
    <n v="21"/>
    <s v="F"/>
    <x v="7"/>
    <x v="3"/>
    <s v="Y"/>
    <s v="Success"/>
    <x v="0"/>
    <x v="0"/>
    <x v="0"/>
  </r>
  <r>
    <s v="TX1002603"/>
    <x v="173"/>
    <x v="3"/>
    <d v="1899-12-30T14:02:55"/>
    <n v="177.99"/>
    <s v="USD"/>
    <s v="M1669"/>
    <x v="9"/>
    <s v="Netherlands"/>
    <s v="C63181"/>
    <n v="62"/>
    <s v="Other"/>
    <x v="3"/>
    <x v="4"/>
    <s v="Y"/>
    <s v="Success"/>
    <x v="0"/>
    <x v="0"/>
    <x v="3"/>
  </r>
  <r>
    <s v="TX1002431"/>
    <x v="46"/>
    <x v="2"/>
    <d v="1899-12-30T19:15:52"/>
    <n v="177.91"/>
    <s v="USD"/>
    <s v="M1421"/>
    <x v="8"/>
    <s v="South Africa"/>
    <s v="C58890"/>
    <n v="54"/>
    <s v="Other"/>
    <x v="9"/>
    <x v="5"/>
    <s v="Y"/>
    <s v="Success"/>
    <x v="0"/>
    <x v="0"/>
    <x v="2"/>
  </r>
  <r>
    <s v="TX1002643"/>
    <x v="11"/>
    <x v="3"/>
    <d v="1899-12-30T23:10:29"/>
    <n v="177.66"/>
    <s v="USD"/>
    <s v="M1552"/>
    <x v="9"/>
    <s v="Norway"/>
    <s v="C74081"/>
    <n v="19"/>
    <s v="M"/>
    <x v="3"/>
    <x v="1"/>
    <s v="Y"/>
    <s v="Success"/>
    <x v="0"/>
    <x v="0"/>
    <x v="0"/>
  </r>
  <r>
    <s v="TX1000274"/>
    <x v="32"/>
    <x v="1"/>
    <d v="1899-12-30T13:50:21"/>
    <n v="177.63"/>
    <s v="USD"/>
    <s v="M1452"/>
    <x v="5"/>
    <s v="Spain"/>
    <s v="C92516"/>
    <n v="20"/>
    <s v="Other"/>
    <x v="2"/>
    <x v="2"/>
    <s v="Y"/>
    <s v="Success"/>
    <x v="0"/>
    <x v="0"/>
    <x v="0"/>
  </r>
  <r>
    <s v="TX1001500"/>
    <x v="98"/>
    <x v="5"/>
    <d v="1899-12-30T09:05:50"/>
    <n v="177.61"/>
    <s v="USD"/>
    <s v="M1844"/>
    <x v="5"/>
    <s v="United States"/>
    <s v="C77743"/>
    <n v="41"/>
    <s v="M"/>
    <x v="11"/>
    <x v="3"/>
    <s v="Y"/>
    <s v="Success"/>
    <x v="0"/>
    <x v="0"/>
    <x v="2"/>
  </r>
  <r>
    <s v="TX1002841"/>
    <x v="86"/>
    <x v="3"/>
    <d v="1899-12-30T23:13:07"/>
    <n v="177.43"/>
    <s v="USD"/>
    <s v="M1880"/>
    <x v="4"/>
    <s v="Canada"/>
    <s v="C65428"/>
    <n v="51"/>
    <s v="M"/>
    <x v="12"/>
    <x v="1"/>
    <s v="Y"/>
    <s v="Success"/>
    <x v="0"/>
    <x v="0"/>
    <x v="2"/>
  </r>
  <r>
    <s v="TX1001216"/>
    <x v="81"/>
    <x v="0"/>
    <d v="1899-12-30T09:24:31"/>
    <n v="177.38"/>
    <s v="USD"/>
    <s v="M1571"/>
    <x v="3"/>
    <s v="Australia"/>
    <s v="C88732"/>
    <n v="75"/>
    <s v="Other"/>
    <x v="12"/>
    <x v="1"/>
    <s v="Y"/>
    <s v="Success"/>
    <x v="0"/>
    <x v="0"/>
    <x v="3"/>
  </r>
  <r>
    <s v="TX1000244"/>
    <x v="88"/>
    <x v="1"/>
    <d v="1899-12-30T21:55:24"/>
    <n v="177.26"/>
    <s v="USD"/>
    <s v="M1862"/>
    <x v="3"/>
    <s v="United Kingdom"/>
    <s v="C57335"/>
    <n v="60"/>
    <s v="Other"/>
    <x v="4"/>
    <x v="0"/>
    <s v="Y"/>
    <s v="Success"/>
    <x v="0"/>
    <x v="0"/>
    <x v="3"/>
  </r>
  <r>
    <s v="TX1002967"/>
    <x v="141"/>
    <x v="3"/>
    <d v="1899-12-30T08:50:44"/>
    <n v="177.15"/>
    <s v="USD"/>
    <s v="M1148"/>
    <x v="5"/>
    <s v="Kenya"/>
    <s v="C73951"/>
    <n v="73"/>
    <s v="Other"/>
    <x v="9"/>
    <x v="3"/>
    <s v="Y"/>
    <s v="Success"/>
    <x v="0"/>
    <x v="0"/>
    <x v="3"/>
  </r>
  <r>
    <s v="TX1000842"/>
    <x v="114"/>
    <x v="4"/>
    <d v="1899-12-30T11:06:05"/>
    <n v="177.12"/>
    <s v="USD"/>
    <s v="M1187"/>
    <x v="6"/>
    <s v="Norway"/>
    <s v="C76699"/>
    <n v="72"/>
    <s v="M"/>
    <x v="11"/>
    <x v="1"/>
    <s v="Y"/>
    <s v="Success"/>
    <x v="0"/>
    <x v="0"/>
    <x v="3"/>
  </r>
  <r>
    <s v="TX1001153"/>
    <x v="165"/>
    <x v="0"/>
    <d v="1899-12-30T20:26:55"/>
    <n v="177.06"/>
    <s v="USD"/>
    <s v="M1475"/>
    <x v="2"/>
    <s v="Germany"/>
    <s v="C94812"/>
    <n v="66"/>
    <s v="F"/>
    <x v="7"/>
    <x v="1"/>
    <s v="Y"/>
    <s v="Success"/>
    <x v="0"/>
    <x v="0"/>
    <x v="3"/>
  </r>
  <r>
    <s v="TX1001377"/>
    <x v="54"/>
    <x v="0"/>
    <d v="1899-12-30T05:32:55"/>
    <n v="176.99"/>
    <s v="USD"/>
    <s v="M1885"/>
    <x v="7"/>
    <s v="Netherlands"/>
    <s v="C89961"/>
    <n v="36"/>
    <s v="F"/>
    <x v="14"/>
    <x v="1"/>
    <s v="Y"/>
    <s v="Success"/>
    <x v="0"/>
    <x v="0"/>
    <x v="1"/>
  </r>
  <r>
    <s v="TX1000932"/>
    <x v="80"/>
    <x v="4"/>
    <d v="1899-12-30T13:45:19"/>
    <n v="176.94"/>
    <s v="USD"/>
    <s v="M1962"/>
    <x v="5"/>
    <s v="Poland"/>
    <s v="C96877"/>
    <n v="50"/>
    <s v="F"/>
    <x v="6"/>
    <x v="0"/>
    <s v="Y"/>
    <s v="Success"/>
    <x v="0"/>
    <x v="0"/>
    <x v="2"/>
  </r>
  <r>
    <s v="TX1000555"/>
    <x v="172"/>
    <x v="4"/>
    <d v="1899-12-30T05:16:07"/>
    <n v="176.92"/>
    <s v="USD"/>
    <s v="M1509"/>
    <x v="6"/>
    <s v="United States"/>
    <s v="C83962"/>
    <n v="32"/>
    <s v="M"/>
    <x v="9"/>
    <x v="2"/>
    <s v="Y"/>
    <s v="Success"/>
    <x v="0"/>
    <x v="0"/>
    <x v="1"/>
  </r>
  <r>
    <s v="TX1000292"/>
    <x v="55"/>
    <x v="1"/>
    <d v="1899-12-30T15:11:18"/>
    <n v="176.88"/>
    <s v="USD"/>
    <s v="M1284"/>
    <x v="4"/>
    <s v="Canada"/>
    <s v="C79416"/>
    <n v="74"/>
    <s v="Other"/>
    <x v="4"/>
    <x v="4"/>
    <s v="Y"/>
    <s v="Success"/>
    <x v="0"/>
    <x v="0"/>
    <x v="3"/>
  </r>
  <r>
    <s v="TX1001150"/>
    <x v="165"/>
    <x v="0"/>
    <d v="1899-12-30T19:03:37"/>
    <n v="176.88"/>
    <s v="USD"/>
    <s v="M1574"/>
    <x v="6"/>
    <s v="Poland"/>
    <s v="C92521"/>
    <n v="45"/>
    <s v="Other"/>
    <x v="8"/>
    <x v="1"/>
    <s v="Y"/>
    <s v="Success"/>
    <x v="0"/>
    <x v="0"/>
    <x v="2"/>
  </r>
  <r>
    <s v="TX1002489"/>
    <x v="28"/>
    <x v="2"/>
    <d v="1899-12-30T00:44:47"/>
    <n v="176.81"/>
    <s v="USD"/>
    <s v="M1130"/>
    <x v="7"/>
    <s v="Canada"/>
    <s v="C91587"/>
    <n v="34"/>
    <s v="Other"/>
    <x v="3"/>
    <x v="5"/>
    <s v="N"/>
    <s v="Success"/>
    <x v="0"/>
    <x v="0"/>
    <x v="1"/>
  </r>
  <r>
    <s v="TX1002700"/>
    <x v="89"/>
    <x v="3"/>
    <d v="1899-12-30T21:57:37"/>
    <n v="176.59"/>
    <s v="USD"/>
    <s v="M1910"/>
    <x v="5"/>
    <s v="Kenya"/>
    <s v="C97454"/>
    <n v="23"/>
    <s v="M"/>
    <x v="11"/>
    <x v="0"/>
    <s v="Y"/>
    <s v="Success"/>
    <x v="0"/>
    <x v="0"/>
    <x v="0"/>
  </r>
  <r>
    <s v="TX1001951"/>
    <x v="78"/>
    <x v="5"/>
    <d v="1899-12-30T07:38:14"/>
    <n v="176.44"/>
    <s v="USD"/>
    <s v="M1808"/>
    <x v="0"/>
    <s v="Netherlands"/>
    <s v="C60793"/>
    <n v="43"/>
    <s v="F"/>
    <x v="8"/>
    <x v="5"/>
    <s v="N"/>
    <s v="Success"/>
    <x v="0"/>
    <x v="0"/>
    <x v="2"/>
  </r>
  <r>
    <s v="TX1000778"/>
    <x v="18"/>
    <x v="4"/>
    <d v="1899-12-30T17:14:52"/>
    <n v="176.35"/>
    <s v="USD"/>
    <s v="M1869"/>
    <x v="0"/>
    <s v="Australia"/>
    <s v="C86639"/>
    <n v="23"/>
    <s v="Other"/>
    <x v="9"/>
    <x v="4"/>
    <s v="Y"/>
    <s v="Success"/>
    <x v="0"/>
    <x v="0"/>
    <x v="0"/>
  </r>
  <r>
    <s v="TX1001539"/>
    <x v="83"/>
    <x v="5"/>
    <d v="1899-12-30T11:39:33"/>
    <n v="176.31"/>
    <s v="USD"/>
    <s v="M1576"/>
    <x v="5"/>
    <s v="Nigeria"/>
    <s v="C92433"/>
    <n v="37"/>
    <s v="F"/>
    <x v="1"/>
    <x v="2"/>
    <s v="Y"/>
    <s v="Success"/>
    <x v="0"/>
    <x v="0"/>
    <x v="1"/>
  </r>
  <r>
    <s v="TX1000351"/>
    <x v="1"/>
    <x v="1"/>
    <d v="1899-12-30T01:29:18"/>
    <n v="176.19"/>
    <s v="USD"/>
    <s v="M1621"/>
    <x v="1"/>
    <s v="United States"/>
    <s v="C94205"/>
    <n v="29"/>
    <s v="M"/>
    <x v="2"/>
    <x v="5"/>
    <s v="Y"/>
    <s v="Success"/>
    <x v="0"/>
    <x v="0"/>
    <x v="1"/>
  </r>
  <r>
    <s v="TX1000532"/>
    <x v="105"/>
    <x v="4"/>
    <d v="1899-12-30T02:43:39"/>
    <n v="176.17"/>
    <s v="USD"/>
    <s v="M1896"/>
    <x v="8"/>
    <s v="Kenya"/>
    <s v="C75002"/>
    <n v="45"/>
    <s v="Other"/>
    <x v="5"/>
    <x v="3"/>
    <s v="Y"/>
    <s v="Success"/>
    <x v="0"/>
    <x v="0"/>
    <x v="2"/>
  </r>
  <r>
    <s v="TX1000154"/>
    <x v="42"/>
    <x v="1"/>
    <d v="1899-12-30T04:00:25"/>
    <n v="176.08"/>
    <s v="USD"/>
    <s v="M1123"/>
    <x v="6"/>
    <s v="Netherlands"/>
    <s v="C92780"/>
    <n v="58"/>
    <s v="F"/>
    <x v="1"/>
    <x v="1"/>
    <s v="Y"/>
    <s v="Success"/>
    <x v="0"/>
    <x v="0"/>
    <x v="2"/>
  </r>
  <r>
    <s v="TX1000961"/>
    <x v="16"/>
    <x v="0"/>
    <d v="1899-12-30T05:22:25"/>
    <n v="175.99"/>
    <s v="USD"/>
    <s v="M1140"/>
    <x v="8"/>
    <s v="Kenya"/>
    <s v="C62520"/>
    <n v="32"/>
    <s v="F"/>
    <x v="2"/>
    <x v="4"/>
    <s v="Y"/>
    <s v="Success"/>
    <x v="0"/>
    <x v="0"/>
    <x v="1"/>
  </r>
  <r>
    <s v="TX1002613"/>
    <x v="94"/>
    <x v="3"/>
    <d v="1899-12-30T03:08:11"/>
    <n v="175.98"/>
    <s v="USD"/>
    <s v="M1163"/>
    <x v="8"/>
    <s v="Poland"/>
    <s v="C58705"/>
    <n v="46"/>
    <s v="Other"/>
    <x v="11"/>
    <x v="2"/>
    <s v="Y"/>
    <s v="Success"/>
    <x v="0"/>
    <x v="0"/>
    <x v="2"/>
  </r>
  <r>
    <s v="TX1001878"/>
    <x v="117"/>
    <x v="5"/>
    <d v="1899-12-30T23:10:10"/>
    <n v="175.94"/>
    <s v="USD"/>
    <s v="M1941"/>
    <x v="5"/>
    <s v="Canada"/>
    <s v="C58492"/>
    <n v="29"/>
    <s v="F"/>
    <x v="10"/>
    <x v="3"/>
    <s v="Y"/>
    <s v="Success"/>
    <x v="0"/>
    <x v="0"/>
    <x v="1"/>
  </r>
  <r>
    <s v="TX1000927"/>
    <x v="80"/>
    <x v="4"/>
    <d v="1899-12-30T06:09:36"/>
    <n v="175.86"/>
    <s v="USD"/>
    <s v="M1970"/>
    <x v="7"/>
    <s v="United States"/>
    <s v="C55693"/>
    <n v="56"/>
    <s v="Other"/>
    <x v="4"/>
    <x v="1"/>
    <s v="Y"/>
    <s v="Success"/>
    <x v="0"/>
    <x v="0"/>
    <x v="2"/>
  </r>
  <r>
    <s v="TX1001045"/>
    <x v="104"/>
    <x v="0"/>
    <d v="1899-12-30T05:51:56"/>
    <n v="175.83"/>
    <s v="USD"/>
    <s v="M1040"/>
    <x v="1"/>
    <s v="Netherlands"/>
    <s v="C63771"/>
    <n v="38"/>
    <s v="F"/>
    <x v="7"/>
    <x v="4"/>
    <s v="Y"/>
    <s v="Success"/>
    <x v="0"/>
    <x v="0"/>
    <x v="1"/>
  </r>
  <r>
    <s v="TX1001893"/>
    <x v="53"/>
    <x v="5"/>
    <d v="1899-12-30T20:57:29"/>
    <n v="175.73"/>
    <s v="USD"/>
    <s v="M1831"/>
    <x v="5"/>
    <s v="United States"/>
    <s v="C74261"/>
    <n v="35"/>
    <s v="Other"/>
    <x v="3"/>
    <x v="1"/>
    <s v="Y"/>
    <s v="Success"/>
    <x v="0"/>
    <x v="0"/>
    <x v="1"/>
  </r>
  <r>
    <s v="TX1001818"/>
    <x v="162"/>
    <x v="5"/>
    <d v="1899-12-30T03:49:43"/>
    <n v="175.61"/>
    <s v="USD"/>
    <s v="M1295"/>
    <x v="2"/>
    <s v="United States"/>
    <s v="C70327"/>
    <n v="18"/>
    <s v="F"/>
    <x v="8"/>
    <x v="5"/>
    <s v="Y"/>
    <s v="Success"/>
    <x v="0"/>
    <x v="0"/>
    <x v="0"/>
  </r>
  <r>
    <s v="TX1001932"/>
    <x v="73"/>
    <x v="5"/>
    <d v="1899-12-30T02:49:32"/>
    <n v="175.6"/>
    <s v="USD"/>
    <s v="M1689"/>
    <x v="9"/>
    <s v="United States"/>
    <s v="C63007"/>
    <n v="45"/>
    <s v="M"/>
    <x v="4"/>
    <x v="5"/>
    <s v="Y"/>
    <s v="Success"/>
    <x v="1"/>
    <x v="1"/>
    <x v="2"/>
  </r>
  <r>
    <s v="TX1001111"/>
    <x v="168"/>
    <x v="0"/>
    <d v="1899-12-30T08:54:41"/>
    <n v="175.49"/>
    <s v="USD"/>
    <s v="M1824"/>
    <x v="3"/>
    <s v="South Africa"/>
    <s v="C61998"/>
    <n v="69"/>
    <s v="M"/>
    <x v="10"/>
    <x v="1"/>
    <s v="N"/>
    <s v="Success"/>
    <x v="0"/>
    <x v="0"/>
    <x v="3"/>
  </r>
  <r>
    <s v="TX1001997"/>
    <x v="126"/>
    <x v="2"/>
    <d v="1899-12-30T02:54:06"/>
    <n v="175.49"/>
    <s v="USD"/>
    <s v="M1909"/>
    <x v="2"/>
    <s v="India"/>
    <s v="C50634"/>
    <n v="19"/>
    <s v="M"/>
    <x v="10"/>
    <x v="0"/>
    <s v="Y"/>
    <s v="Success"/>
    <x v="0"/>
    <x v="0"/>
    <x v="0"/>
  </r>
  <r>
    <s v="TX1000539"/>
    <x v="105"/>
    <x v="4"/>
    <d v="1899-12-30T14:15:07"/>
    <n v="175.42"/>
    <s v="USD"/>
    <s v="M1994"/>
    <x v="7"/>
    <s v="France"/>
    <s v="C64734"/>
    <n v="60"/>
    <s v="F"/>
    <x v="1"/>
    <x v="2"/>
    <s v="Y"/>
    <s v="Success"/>
    <x v="0"/>
    <x v="0"/>
    <x v="3"/>
  </r>
  <r>
    <s v="TX1002331"/>
    <x v="119"/>
    <x v="2"/>
    <d v="1899-12-30T16:19:05"/>
    <n v="175.19"/>
    <s v="USD"/>
    <s v="M1590"/>
    <x v="7"/>
    <s v="Nigeria"/>
    <s v="C63237"/>
    <n v="19"/>
    <s v="F"/>
    <x v="0"/>
    <x v="2"/>
    <s v="Y"/>
    <s v="Success"/>
    <x v="0"/>
    <x v="0"/>
    <x v="0"/>
  </r>
  <r>
    <s v="TX1000017"/>
    <x v="171"/>
    <x v="1"/>
    <d v="1899-12-30T00:31:44"/>
    <n v="175.04"/>
    <s v="USD"/>
    <s v="M1880"/>
    <x v="5"/>
    <s v="India"/>
    <s v="C61696"/>
    <n v="32"/>
    <s v="M"/>
    <x v="4"/>
    <x v="4"/>
    <s v="Y"/>
    <s v="Success"/>
    <x v="0"/>
    <x v="0"/>
    <x v="1"/>
  </r>
  <r>
    <s v="TX1001089"/>
    <x v="59"/>
    <x v="0"/>
    <d v="1899-12-30T14:02:14"/>
    <n v="174.92"/>
    <s v="USD"/>
    <s v="M1084"/>
    <x v="8"/>
    <s v="Norway"/>
    <s v="C92854"/>
    <n v="70"/>
    <s v="F"/>
    <x v="3"/>
    <x v="3"/>
    <s v="Y"/>
    <s v="Success"/>
    <x v="0"/>
    <x v="0"/>
    <x v="3"/>
  </r>
  <r>
    <s v="TX1000430"/>
    <x v="148"/>
    <x v="1"/>
    <d v="1899-12-30T05:19:21"/>
    <n v="174.92"/>
    <s v="USD"/>
    <s v="M1529"/>
    <x v="8"/>
    <s v="India"/>
    <s v="C57728"/>
    <n v="19"/>
    <s v="M"/>
    <x v="9"/>
    <x v="1"/>
    <s v="Y"/>
    <s v="Success"/>
    <x v="0"/>
    <x v="0"/>
    <x v="0"/>
  </r>
  <r>
    <s v="TX1001311"/>
    <x v="48"/>
    <x v="0"/>
    <d v="1899-12-30T14:08:09"/>
    <n v="174.9"/>
    <s v="USD"/>
    <s v="M1461"/>
    <x v="9"/>
    <s v="Canada"/>
    <s v="C73668"/>
    <n v="21"/>
    <s v="F"/>
    <x v="10"/>
    <x v="4"/>
    <s v="Y"/>
    <s v="Success"/>
    <x v="0"/>
    <x v="0"/>
    <x v="0"/>
  </r>
  <r>
    <s v="TX1000270"/>
    <x v="32"/>
    <x v="1"/>
    <d v="1899-12-30T03:52:43"/>
    <n v="174.87"/>
    <s v="USD"/>
    <s v="M1051"/>
    <x v="1"/>
    <s v="Sweden"/>
    <s v="C79958"/>
    <n v="68"/>
    <s v="Other"/>
    <x v="7"/>
    <x v="4"/>
    <s v="Y"/>
    <s v="Success"/>
    <x v="0"/>
    <x v="0"/>
    <x v="3"/>
  </r>
  <r>
    <s v="TX1000901"/>
    <x v="8"/>
    <x v="4"/>
    <d v="1899-12-30T20:50:32"/>
    <n v="174.8"/>
    <s v="USD"/>
    <s v="M1130"/>
    <x v="4"/>
    <s v="United States"/>
    <s v="C72851"/>
    <n v="34"/>
    <s v="M"/>
    <x v="14"/>
    <x v="5"/>
    <s v="Y"/>
    <s v="Success"/>
    <x v="0"/>
    <x v="0"/>
    <x v="1"/>
  </r>
  <r>
    <s v="TX1000644"/>
    <x v="20"/>
    <x v="4"/>
    <d v="1899-12-30T10:18:36"/>
    <n v="174.77"/>
    <s v="USD"/>
    <s v="M1245"/>
    <x v="7"/>
    <s v="Sweden"/>
    <s v="C99705"/>
    <n v="46"/>
    <s v="F"/>
    <x v="6"/>
    <x v="0"/>
    <s v="Y"/>
    <s v="Success"/>
    <x v="0"/>
    <x v="0"/>
    <x v="2"/>
  </r>
  <r>
    <s v="TX1000188"/>
    <x v="49"/>
    <x v="1"/>
    <d v="1899-12-30T09:09:57"/>
    <n v="174.67"/>
    <s v="USD"/>
    <s v="M1011"/>
    <x v="7"/>
    <s v="Poland"/>
    <s v="C51029"/>
    <n v="26"/>
    <s v="M"/>
    <x v="5"/>
    <x v="3"/>
    <s v="Y"/>
    <s v="Success"/>
    <x v="0"/>
    <x v="0"/>
    <x v="1"/>
  </r>
  <r>
    <s v="TX1002769"/>
    <x v="169"/>
    <x v="3"/>
    <d v="1899-12-30T02:40:02"/>
    <n v="174.6"/>
    <s v="USD"/>
    <s v="M1204"/>
    <x v="4"/>
    <s v="India"/>
    <s v="C67949"/>
    <n v="56"/>
    <s v="M"/>
    <x v="12"/>
    <x v="5"/>
    <s v="Y"/>
    <s v="Success"/>
    <x v="0"/>
    <x v="0"/>
    <x v="2"/>
  </r>
  <r>
    <s v="TX1002233"/>
    <x v="93"/>
    <x v="2"/>
    <d v="1899-12-30T10:14:16"/>
    <n v="174.56"/>
    <s v="USD"/>
    <s v="M1316"/>
    <x v="9"/>
    <s v="Poland"/>
    <s v="C80889"/>
    <n v="57"/>
    <s v="F"/>
    <x v="7"/>
    <x v="0"/>
    <s v="Y"/>
    <s v="Success"/>
    <x v="0"/>
    <x v="0"/>
    <x v="2"/>
  </r>
  <r>
    <s v="TX1000547"/>
    <x v="122"/>
    <x v="4"/>
    <d v="1899-12-30T06:36:17"/>
    <n v="174.55"/>
    <s v="USD"/>
    <s v="M1587"/>
    <x v="3"/>
    <s v="Spain"/>
    <s v="C78881"/>
    <n v="27"/>
    <s v="F"/>
    <x v="1"/>
    <x v="0"/>
    <s v="Y"/>
    <s v="Success"/>
    <x v="0"/>
    <x v="0"/>
    <x v="1"/>
  </r>
  <r>
    <s v="TX1002335"/>
    <x v="119"/>
    <x v="2"/>
    <d v="1899-12-30T22:25:39"/>
    <n v="174.54"/>
    <s v="USD"/>
    <s v="M1485"/>
    <x v="8"/>
    <s v="United Kingdom"/>
    <s v="C86545"/>
    <n v="26"/>
    <s v="Other"/>
    <x v="7"/>
    <x v="2"/>
    <s v="Y"/>
    <s v="Success"/>
    <x v="0"/>
    <x v="0"/>
    <x v="1"/>
  </r>
  <r>
    <s v="TX1002818"/>
    <x v="4"/>
    <x v="3"/>
    <d v="1899-12-30T18:38:40"/>
    <n v="174.48"/>
    <s v="USD"/>
    <s v="M1691"/>
    <x v="7"/>
    <s v="Nigeria"/>
    <s v="C68839"/>
    <n v="21"/>
    <s v="Other"/>
    <x v="12"/>
    <x v="1"/>
    <s v="Y"/>
    <s v="Success"/>
    <x v="0"/>
    <x v="0"/>
    <x v="0"/>
  </r>
  <r>
    <s v="TX1000280"/>
    <x v="55"/>
    <x v="1"/>
    <d v="1899-12-30T01:54:10"/>
    <n v="174.21"/>
    <s v="USD"/>
    <s v="M1579"/>
    <x v="1"/>
    <s v="Spain"/>
    <s v="C72139"/>
    <n v="56"/>
    <s v="M"/>
    <x v="4"/>
    <x v="5"/>
    <s v="Y"/>
    <s v="Success"/>
    <x v="0"/>
    <x v="0"/>
    <x v="2"/>
  </r>
  <r>
    <s v="TX1000576"/>
    <x v="36"/>
    <x v="4"/>
    <d v="1899-12-30T13:30:16"/>
    <n v="174.18"/>
    <s v="USD"/>
    <s v="M1374"/>
    <x v="9"/>
    <s v="Nigeria"/>
    <s v="C93369"/>
    <n v="31"/>
    <s v="M"/>
    <x v="1"/>
    <x v="2"/>
    <s v="Y"/>
    <s v="Success"/>
    <x v="0"/>
    <x v="0"/>
    <x v="1"/>
  </r>
  <r>
    <s v="TX1002064"/>
    <x v="33"/>
    <x v="2"/>
    <d v="1899-12-30T16:57:27"/>
    <n v="173.94"/>
    <s v="USD"/>
    <s v="M1530"/>
    <x v="6"/>
    <s v="Kenya"/>
    <s v="C94703"/>
    <n v="70"/>
    <s v="F"/>
    <x v="14"/>
    <x v="3"/>
    <s v="Y"/>
    <s v="Success"/>
    <x v="1"/>
    <x v="1"/>
    <x v="3"/>
  </r>
  <r>
    <s v="TX1001767"/>
    <x v="72"/>
    <x v="5"/>
    <d v="1899-12-30T13:57:53"/>
    <n v="173.79"/>
    <s v="USD"/>
    <s v="M1661"/>
    <x v="9"/>
    <s v="Poland"/>
    <s v="C54334"/>
    <n v="25"/>
    <s v="M"/>
    <x v="12"/>
    <x v="2"/>
    <s v="Y"/>
    <s v="Success"/>
    <x v="0"/>
    <x v="0"/>
    <x v="1"/>
  </r>
  <r>
    <s v="TX1001719"/>
    <x v="70"/>
    <x v="5"/>
    <d v="1899-12-30T00:46:20"/>
    <n v="173.56"/>
    <s v="USD"/>
    <s v="M1481"/>
    <x v="0"/>
    <s v="Nigeria"/>
    <s v="C53701"/>
    <n v="46"/>
    <s v="F"/>
    <x v="6"/>
    <x v="0"/>
    <s v="Y"/>
    <s v="Success"/>
    <x v="0"/>
    <x v="0"/>
    <x v="2"/>
  </r>
  <r>
    <s v="TX1002843"/>
    <x v="166"/>
    <x v="3"/>
    <d v="1899-12-30T01:11:18"/>
    <n v="173.51"/>
    <s v="USD"/>
    <s v="M1617"/>
    <x v="7"/>
    <s v="Nigeria"/>
    <s v="C74638"/>
    <n v="46"/>
    <s v="M"/>
    <x v="9"/>
    <x v="3"/>
    <s v="Y"/>
    <s v="Success"/>
    <x v="0"/>
    <x v="0"/>
    <x v="2"/>
  </r>
  <r>
    <s v="TX1002434"/>
    <x v="46"/>
    <x v="2"/>
    <d v="1899-12-30T23:21:06"/>
    <n v="173.49"/>
    <s v="USD"/>
    <s v="M1850"/>
    <x v="5"/>
    <s v="Australia"/>
    <s v="C55073"/>
    <n v="25"/>
    <s v="F"/>
    <x v="1"/>
    <x v="5"/>
    <s v="Y"/>
    <s v="Success"/>
    <x v="1"/>
    <x v="1"/>
    <x v="1"/>
  </r>
  <r>
    <s v="TX1002969"/>
    <x v="141"/>
    <x v="3"/>
    <d v="1899-12-30T11:48:21"/>
    <n v="173.44"/>
    <s v="USD"/>
    <s v="M1813"/>
    <x v="2"/>
    <s v="Nigeria"/>
    <s v="C89775"/>
    <n v="61"/>
    <s v="F"/>
    <x v="11"/>
    <x v="3"/>
    <s v="Y"/>
    <s v="Success"/>
    <x v="0"/>
    <x v="0"/>
    <x v="3"/>
  </r>
  <r>
    <s v="TX1000306"/>
    <x v="157"/>
    <x v="1"/>
    <d v="1899-12-30T12:59:32"/>
    <n v="173.23"/>
    <s v="USD"/>
    <s v="M1740"/>
    <x v="6"/>
    <s v="South Africa"/>
    <s v="C65317"/>
    <n v="64"/>
    <s v="F"/>
    <x v="2"/>
    <x v="4"/>
    <s v="Y"/>
    <s v="Success"/>
    <x v="1"/>
    <x v="1"/>
    <x v="3"/>
  </r>
  <r>
    <s v="TX1000785"/>
    <x v="110"/>
    <x v="4"/>
    <d v="1899-12-30T01:48:14"/>
    <n v="173.18"/>
    <s v="USD"/>
    <s v="M1263"/>
    <x v="8"/>
    <s v="South Africa"/>
    <s v="C57573"/>
    <n v="68"/>
    <s v="Other"/>
    <x v="3"/>
    <x v="5"/>
    <s v="Y"/>
    <s v="Success"/>
    <x v="0"/>
    <x v="0"/>
    <x v="3"/>
  </r>
  <r>
    <s v="TX1001138"/>
    <x v="165"/>
    <x v="0"/>
    <d v="1899-12-30T02:14:05"/>
    <n v="172.77"/>
    <s v="USD"/>
    <s v="M1357"/>
    <x v="0"/>
    <s v="United Kingdom"/>
    <s v="C94193"/>
    <n v="45"/>
    <s v="F"/>
    <x v="0"/>
    <x v="5"/>
    <s v="Y"/>
    <s v="Success"/>
    <x v="0"/>
    <x v="0"/>
    <x v="2"/>
  </r>
  <r>
    <s v="TX1001972"/>
    <x v="121"/>
    <x v="5"/>
    <d v="1899-12-30T08:35:26"/>
    <n v="172.74"/>
    <s v="USD"/>
    <s v="M1883"/>
    <x v="0"/>
    <s v="United Kingdom"/>
    <s v="C51205"/>
    <n v="37"/>
    <s v="Other"/>
    <x v="10"/>
    <x v="2"/>
    <s v="Y"/>
    <s v="Success"/>
    <x v="0"/>
    <x v="0"/>
    <x v="1"/>
  </r>
  <r>
    <s v="TX1000725"/>
    <x v="111"/>
    <x v="4"/>
    <d v="1899-12-30T01:31:26"/>
    <n v="172.73"/>
    <s v="USD"/>
    <s v="M1904"/>
    <x v="9"/>
    <s v="Germany"/>
    <s v="C99872"/>
    <n v="74"/>
    <s v="F"/>
    <x v="3"/>
    <x v="0"/>
    <s v="Y"/>
    <s v="Success"/>
    <x v="0"/>
    <x v="0"/>
    <x v="3"/>
  </r>
  <r>
    <s v="TX1002975"/>
    <x v="141"/>
    <x v="3"/>
    <d v="1899-12-30T21:11:40"/>
    <n v="172.69"/>
    <s v="USD"/>
    <s v="M1817"/>
    <x v="8"/>
    <s v="Spain"/>
    <s v="C92792"/>
    <n v="63"/>
    <s v="Other"/>
    <x v="7"/>
    <x v="3"/>
    <s v="Y"/>
    <s v="Success"/>
    <x v="0"/>
    <x v="0"/>
    <x v="3"/>
  </r>
  <r>
    <s v="TX1000770"/>
    <x v="18"/>
    <x v="4"/>
    <d v="1899-12-30T01:59:00"/>
    <n v="172.51"/>
    <s v="USD"/>
    <s v="M1986"/>
    <x v="4"/>
    <s v="Netherlands"/>
    <s v="C66556"/>
    <n v="53"/>
    <s v="Other"/>
    <x v="11"/>
    <x v="0"/>
    <s v="Y"/>
    <s v="Success"/>
    <x v="0"/>
    <x v="0"/>
    <x v="2"/>
  </r>
  <r>
    <s v="TX1002371"/>
    <x v="77"/>
    <x v="2"/>
    <d v="1899-12-30T23:58:14"/>
    <n v="172.5"/>
    <s v="USD"/>
    <s v="M1313"/>
    <x v="5"/>
    <s v="United States"/>
    <s v="C78996"/>
    <n v="18"/>
    <s v="Other"/>
    <x v="1"/>
    <x v="5"/>
    <s v="Y"/>
    <s v="Success"/>
    <x v="0"/>
    <x v="0"/>
    <x v="0"/>
  </r>
  <r>
    <s v="TX1001177"/>
    <x v="120"/>
    <x v="0"/>
    <d v="1899-12-30T03:57:19"/>
    <n v="172.45"/>
    <s v="USD"/>
    <s v="M1417"/>
    <x v="6"/>
    <s v="Norway"/>
    <s v="C56168"/>
    <n v="71"/>
    <s v="F"/>
    <x v="10"/>
    <x v="5"/>
    <s v="Y"/>
    <s v="Success"/>
    <x v="0"/>
    <x v="0"/>
    <x v="3"/>
  </r>
  <r>
    <s v="TX1001046"/>
    <x v="104"/>
    <x v="0"/>
    <d v="1899-12-30T06:30:58"/>
    <n v="172.39"/>
    <s v="USD"/>
    <s v="M1408"/>
    <x v="7"/>
    <s v="United States"/>
    <s v="C65584"/>
    <n v="58"/>
    <s v="Other"/>
    <x v="7"/>
    <x v="4"/>
    <s v="Y"/>
    <s v="Success"/>
    <x v="0"/>
    <x v="0"/>
    <x v="2"/>
  </r>
  <r>
    <s v="TX1001899"/>
    <x v="147"/>
    <x v="5"/>
    <d v="1899-12-30T04:35:57"/>
    <n v="172.23"/>
    <s v="USD"/>
    <s v="M1798"/>
    <x v="8"/>
    <s v="Australia"/>
    <s v="C68442"/>
    <n v="16"/>
    <s v="Other"/>
    <x v="7"/>
    <x v="3"/>
    <s v="N"/>
    <s v="Success"/>
    <x v="0"/>
    <x v="0"/>
    <x v="0"/>
  </r>
  <r>
    <s v="TX1002303"/>
    <x v="156"/>
    <x v="2"/>
    <d v="1899-12-30T13:21:12"/>
    <n v="172.19"/>
    <s v="USD"/>
    <s v="M1881"/>
    <x v="8"/>
    <s v="United Kingdom"/>
    <s v="C88376"/>
    <n v="33"/>
    <s v="Other"/>
    <x v="12"/>
    <x v="2"/>
    <s v="Y"/>
    <s v="Success"/>
    <x v="0"/>
    <x v="0"/>
    <x v="1"/>
  </r>
  <r>
    <s v="TX1002348"/>
    <x v="14"/>
    <x v="2"/>
    <d v="1899-12-30T11:05:48"/>
    <n v="172.04"/>
    <s v="USD"/>
    <s v="M1781"/>
    <x v="8"/>
    <s v="South Africa"/>
    <s v="C67769"/>
    <n v="29"/>
    <s v="Other"/>
    <x v="12"/>
    <x v="4"/>
    <s v="Y"/>
    <s v="Success"/>
    <x v="0"/>
    <x v="0"/>
    <x v="1"/>
  </r>
  <r>
    <s v="TX1002455"/>
    <x v="154"/>
    <x v="2"/>
    <d v="1899-12-30T02:59:41"/>
    <n v="171.96"/>
    <s v="USD"/>
    <s v="M1701"/>
    <x v="7"/>
    <s v="Norway"/>
    <s v="C56451"/>
    <n v="70"/>
    <s v="M"/>
    <x v="6"/>
    <x v="1"/>
    <s v="Y"/>
    <s v="Success"/>
    <x v="0"/>
    <x v="0"/>
    <x v="3"/>
  </r>
  <r>
    <s v="TX1001293"/>
    <x v="125"/>
    <x v="0"/>
    <d v="1899-12-30T16:15:19"/>
    <n v="171.81"/>
    <s v="USD"/>
    <s v="M1508"/>
    <x v="7"/>
    <s v="Spain"/>
    <s v="C75711"/>
    <n v="58"/>
    <s v="Other"/>
    <x v="5"/>
    <x v="1"/>
    <s v="Y"/>
    <s v="Success"/>
    <x v="0"/>
    <x v="0"/>
    <x v="2"/>
  </r>
  <r>
    <s v="TX1000481"/>
    <x v="124"/>
    <x v="4"/>
    <d v="1899-12-30T17:29:42"/>
    <n v="171.69"/>
    <s v="USD"/>
    <s v="M1157"/>
    <x v="0"/>
    <s v="Norway"/>
    <s v="C74527"/>
    <n v="45"/>
    <s v="M"/>
    <x v="2"/>
    <x v="4"/>
    <s v="Y"/>
    <s v="Success"/>
    <x v="0"/>
    <x v="0"/>
    <x v="2"/>
  </r>
  <r>
    <s v="TX1000540"/>
    <x v="105"/>
    <x v="4"/>
    <d v="1899-12-30T16:10:23"/>
    <n v="171.65"/>
    <s v="USD"/>
    <s v="M1569"/>
    <x v="0"/>
    <s v="Australia"/>
    <s v="C62598"/>
    <n v="58"/>
    <s v="Other"/>
    <x v="0"/>
    <x v="2"/>
    <s v="Y"/>
    <s v="Success"/>
    <x v="0"/>
    <x v="0"/>
    <x v="2"/>
  </r>
  <r>
    <s v="TX1000999"/>
    <x v="35"/>
    <x v="0"/>
    <d v="1899-12-30T07:40:22"/>
    <n v="171.6"/>
    <s v="USD"/>
    <s v="M1004"/>
    <x v="7"/>
    <s v="South Africa"/>
    <s v="C93180"/>
    <n v="109"/>
    <s v="F"/>
    <x v="13"/>
    <x v="4"/>
    <s v="Y"/>
    <s v="Success"/>
    <x v="0"/>
    <x v="0"/>
    <x v="3"/>
  </r>
  <r>
    <s v="TX1000425"/>
    <x v="149"/>
    <x v="1"/>
    <d v="1899-12-30T23:16:14"/>
    <n v="171.31"/>
    <s v="USD"/>
    <s v="M1723"/>
    <x v="0"/>
    <s v="Nigeria"/>
    <s v="C83622"/>
    <n v="64"/>
    <s v="Other"/>
    <x v="2"/>
    <x v="2"/>
    <s v="Y"/>
    <s v="Success"/>
    <x v="0"/>
    <x v="0"/>
    <x v="3"/>
  </r>
  <r>
    <s v="TX1001892"/>
    <x v="53"/>
    <x v="5"/>
    <d v="1899-12-30T19:25:50"/>
    <n v="171.29"/>
    <s v="USD"/>
    <s v="M1492"/>
    <x v="7"/>
    <s v="Germany"/>
    <s v="C52231"/>
    <n v="21"/>
    <s v="M"/>
    <x v="2"/>
    <x v="3"/>
    <s v="Y"/>
    <s v="Success"/>
    <x v="0"/>
    <x v="0"/>
    <x v="0"/>
  </r>
  <r>
    <s v="TX1002549"/>
    <x v="13"/>
    <x v="3"/>
    <d v="1899-12-30T10:53:24"/>
    <n v="171.28"/>
    <s v="USD"/>
    <s v="M1012"/>
    <x v="6"/>
    <s v="South Africa"/>
    <s v="C85006"/>
    <n v="75"/>
    <s v="F"/>
    <x v="3"/>
    <x v="1"/>
    <s v="Y"/>
    <s v="Success"/>
    <x v="0"/>
    <x v="0"/>
    <x v="3"/>
  </r>
  <r>
    <s v="TX1002355"/>
    <x v="14"/>
    <x v="2"/>
    <d v="1899-12-30T15:35:08"/>
    <n v="171.15"/>
    <s v="USD"/>
    <s v="M1571"/>
    <x v="3"/>
    <s v="India"/>
    <s v="C99685"/>
    <n v="52"/>
    <s v="F"/>
    <x v="10"/>
    <x v="1"/>
    <s v="Y"/>
    <s v="Success"/>
    <x v="0"/>
    <x v="0"/>
    <x v="2"/>
  </r>
  <r>
    <s v="TX1001890"/>
    <x v="53"/>
    <x v="5"/>
    <d v="1899-12-30T18:25:19"/>
    <n v="171.15"/>
    <s v="USD"/>
    <s v="M1867"/>
    <x v="0"/>
    <s v="Australia"/>
    <s v="C79253"/>
    <n v="45"/>
    <s v="Other"/>
    <x v="13"/>
    <x v="4"/>
    <s v="Y"/>
    <s v="Success"/>
    <x v="0"/>
    <x v="0"/>
    <x v="2"/>
  </r>
  <r>
    <s v="TX1002207"/>
    <x v="24"/>
    <x v="2"/>
    <d v="1899-12-30T01:14:06"/>
    <n v="170.96"/>
    <s v="USD"/>
    <s v="M1632"/>
    <x v="2"/>
    <s v="Nigeria"/>
    <s v="C79602"/>
    <n v="31"/>
    <s v="Other"/>
    <x v="13"/>
    <x v="0"/>
    <s v="N"/>
    <s v="Success"/>
    <x v="0"/>
    <x v="0"/>
    <x v="1"/>
  </r>
  <r>
    <s v="TX1000431"/>
    <x v="148"/>
    <x v="1"/>
    <d v="1899-12-30T05:59:49"/>
    <n v="170.79"/>
    <s v="USD"/>
    <s v="M1408"/>
    <x v="2"/>
    <s v="Kenya"/>
    <s v="C85778"/>
    <n v="34"/>
    <s v="Other"/>
    <x v="1"/>
    <x v="4"/>
    <s v="N"/>
    <s v="Success"/>
    <x v="0"/>
    <x v="0"/>
    <x v="1"/>
  </r>
  <r>
    <s v="TX1001480"/>
    <x v="0"/>
    <x v="0"/>
    <d v="1899-12-30T07:00:30"/>
    <n v="170.78"/>
    <s v="USD"/>
    <s v="M1705"/>
    <x v="4"/>
    <s v="France"/>
    <s v="C87761"/>
    <n v="51"/>
    <s v="F"/>
    <x v="10"/>
    <x v="2"/>
    <s v="Y"/>
    <s v="Success"/>
    <x v="0"/>
    <x v="0"/>
    <x v="2"/>
  </r>
  <r>
    <s v="TX1001192"/>
    <x v="107"/>
    <x v="0"/>
    <d v="1899-12-30T00:25:11"/>
    <n v="170.66"/>
    <s v="USD"/>
    <s v="M1826"/>
    <x v="2"/>
    <s v="France"/>
    <s v="C89896"/>
    <n v="58"/>
    <s v="M"/>
    <x v="11"/>
    <x v="0"/>
    <s v="Y"/>
    <s v="Success"/>
    <x v="0"/>
    <x v="0"/>
    <x v="2"/>
  </r>
  <r>
    <s v="TX1002784"/>
    <x v="101"/>
    <x v="3"/>
    <d v="1899-12-30T06:02:21"/>
    <n v="170.58"/>
    <s v="USD"/>
    <s v="M1518"/>
    <x v="2"/>
    <s v="Nigeria"/>
    <s v="C72928"/>
    <n v="72"/>
    <s v="M"/>
    <x v="9"/>
    <x v="3"/>
    <s v="Y"/>
    <s v="Success"/>
    <x v="0"/>
    <x v="0"/>
    <x v="3"/>
  </r>
  <r>
    <s v="TX1001185"/>
    <x v="120"/>
    <x v="0"/>
    <d v="1899-12-30T13:31:28"/>
    <n v="170.35"/>
    <s v="USD"/>
    <s v="M1704"/>
    <x v="2"/>
    <s v="Canada"/>
    <s v="C97306"/>
    <n v="33"/>
    <s v="M"/>
    <x v="8"/>
    <x v="5"/>
    <s v="Y"/>
    <s v="Success"/>
    <x v="0"/>
    <x v="0"/>
    <x v="1"/>
  </r>
  <r>
    <s v="TX1001061"/>
    <x v="47"/>
    <x v="0"/>
    <d v="1899-12-30T01:59:13"/>
    <n v="170.31"/>
    <s v="USD"/>
    <s v="M1094"/>
    <x v="8"/>
    <s v="Australia"/>
    <s v="C52947"/>
    <n v="45"/>
    <s v="Other"/>
    <x v="2"/>
    <x v="4"/>
    <s v="Y"/>
    <s v="Success"/>
    <x v="0"/>
    <x v="0"/>
    <x v="2"/>
  </r>
  <r>
    <s v="TX1001372"/>
    <x v="54"/>
    <x v="0"/>
    <d v="1899-12-30T00:58:33"/>
    <n v="170.31"/>
    <s v="USD"/>
    <s v="M1919"/>
    <x v="6"/>
    <s v="United Kingdom"/>
    <s v="C80053"/>
    <n v="73"/>
    <s v="F"/>
    <x v="4"/>
    <x v="2"/>
    <s v="Y"/>
    <s v="Success"/>
    <x v="0"/>
    <x v="0"/>
    <x v="3"/>
  </r>
  <r>
    <s v="TX1002155"/>
    <x v="2"/>
    <x v="2"/>
    <d v="1899-12-30T08:18:51"/>
    <n v="170.21"/>
    <s v="USD"/>
    <s v="M1376"/>
    <x v="6"/>
    <s v="Sweden"/>
    <s v="C71298"/>
    <n v="60"/>
    <s v="Other"/>
    <x v="10"/>
    <x v="1"/>
    <s v="Y"/>
    <s v="Success"/>
    <x v="0"/>
    <x v="0"/>
    <x v="3"/>
  </r>
  <r>
    <s v="TX1002819"/>
    <x v="4"/>
    <x v="3"/>
    <d v="1899-12-30T18:48:40"/>
    <n v="170.18"/>
    <s v="USD"/>
    <s v="M1490"/>
    <x v="8"/>
    <s v="Sweden"/>
    <s v="C83921"/>
    <n v="38"/>
    <s v="M"/>
    <x v="12"/>
    <x v="2"/>
    <s v="Y"/>
    <s v="Success"/>
    <x v="0"/>
    <x v="0"/>
    <x v="1"/>
  </r>
  <r>
    <s v="TX1002707"/>
    <x v="130"/>
    <x v="3"/>
    <d v="1899-12-30T02:13:35"/>
    <n v="170.17"/>
    <s v="USD"/>
    <s v="M1047"/>
    <x v="5"/>
    <s v="Australia"/>
    <s v="C95014"/>
    <n v="66"/>
    <s v="M"/>
    <x v="13"/>
    <x v="0"/>
    <s v="Y"/>
    <s v="Success"/>
    <x v="0"/>
    <x v="0"/>
    <x v="3"/>
  </r>
  <r>
    <s v="TX1001501"/>
    <x v="98"/>
    <x v="5"/>
    <d v="1899-12-30T14:52:57"/>
    <n v="170.09"/>
    <s v="USD"/>
    <s v="M1003"/>
    <x v="6"/>
    <s v="Kenya"/>
    <s v="C78846"/>
    <n v="35"/>
    <s v="M"/>
    <x v="4"/>
    <x v="5"/>
    <s v="Y"/>
    <s v="Success"/>
    <x v="0"/>
    <x v="0"/>
    <x v="1"/>
  </r>
  <r>
    <s v="TX1001748"/>
    <x v="175"/>
    <x v="5"/>
    <d v="1899-12-30T10:47:58"/>
    <n v="170"/>
    <s v="USD"/>
    <s v="M1669"/>
    <x v="0"/>
    <s v="France"/>
    <s v="C62334"/>
    <n v="74"/>
    <s v="M"/>
    <x v="12"/>
    <x v="3"/>
    <s v="Y"/>
    <s v="Success"/>
    <x v="0"/>
    <x v="0"/>
    <x v="3"/>
  </r>
  <r>
    <s v="TX1001128"/>
    <x v="3"/>
    <x v="0"/>
    <d v="1899-12-30T00:56:47"/>
    <n v="169.9"/>
    <s v="USD"/>
    <s v="M1480"/>
    <x v="7"/>
    <s v="Sweden"/>
    <s v="C90569"/>
    <n v="25"/>
    <s v="Other"/>
    <x v="7"/>
    <x v="0"/>
    <s v="Y"/>
    <s v="Success"/>
    <x v="0"/>
    <x v="0"/>
    <x v="1"/>
  </r>
  <r>
    <s v="TX1000337"/>
    <x v="43"/>
    <x v="1"/>
    <d v="1899-12-30T05:26:15"/>
    <n v="169.77"/>
    <s v="USD"/>
    <s v="M1753"/>
    <x v="9"/>
    <s v="Spain"/>
    <s v="C61732"/>
    <n v="70"/>
    <s v="Other"/>
    <x v="0"/>
    <x v="5"/>
    <s v="N"/>
    <s v="Success"/>
    <x v="0"/>
    <x v="0"/>
    <x v="3"/>
  </r>
  <r>
    <s v="TX1000747"/>
    <x v="111"/>
    <x v="4"/>
    <d v="1899-12-30T23:40:16"/>
    <n v="169.74"/>
    <s v="USD"/>
    <s v="M1044"/>
    <x v="2"/>
    <s v="France"/>
    <s v="C65029"/>
    <n v="68"/>
    <s v="Other"/>
    <x v="13"/>
    <x v="4"/>
    <s v="Y"/>
    <s v="Success"/>
    <x v="0"/>
    <x v="0"/>
    <x v="3"/>
  </r>
  <r>
    <s v="TX1001414"/>
    <x v="150"/>
    <x v="0"/>
    <d v="1899-12-30T07:18:52"/>
    <n v="169.67"/>
    <s v="USD"/>
    <s v="M1434"/>
    <x v="9"/>
    <s v="Kenya"/>
    <s v="C65130"/>
    <n v="44"/>
    <s v="Other"/>
    <x v="5"/>
    <x v="5"/>
    <s v="Y"/>
    <s v="Success"/>
    <x v="0"/>
    <x v="0"/>
    <x v="2"/>
  </r>
  <r>
    <s v="TX1002094"/>
    <x v="158"/>
    <x v="2"/>
    <d v="1899-12-30T05:21:58"/>
    <n v="169.56"/>
    <s v="USD"/>
    <s v="M1930"/>
    <x v="6"/>
    <s v="Kenya"/>
    <s v="C79773"/>
    <n v="75"/>
    <s v="F"/>
    <x v="7"/>
    <x v="3"/>
    <s v="Y"/>
    <s v="Success"/>
    <x v="0"/>
    <x v="0"/>
    <x v="3"/>
  </r>
  <r>
    <s v="TX1001603"/>
    <x v="66"/>
    <x v="5"/>
    <d v="1899-12-30T07:18:10"/>
    <n v="169.21"/>
    <s v="USD"/>
    <s v="M1251"/>
    <x v="2"/>
    <s v="Poland"/>
    <s v="C95853"/>
    <n v="33"/>
    <s v="M"/>
    <x v="6"/>
    <x v="1"/>
    <s v="Y"/>
    <s v="Success"/>
    <x v="0"/>
    <x v="0"/>
    <x v="1"/>
  </r>
  <r>
    <s v="TX1002097"/>
    <x v="158"/>
    <x v="2"/>
    <d v="1899-12-30T06:59:00"/>
    <n v="169.2"/>
    <s v="USD"/>
    <s v="M1527"/>
    <x v="6"/>
    <s v="Germany"/>
    <s v="C76214"/>
    <n v="24"/>
    <s v="F"/>
    <x v="6"/>
    <x v="3"/>
    <s v="Y"/>
    <s v="Success"/>
    <x v="0"/>
    <x v="0"/>
    <x v="0"/>
  </r>
  <r>
    <s v="TX1000948"/>
    <x v="164"/>
    <x v="4"/>
    <d v="1899-12-30T14:51:52"/>
    <n v="169.17"/>
    <s v="USD"/>
    <s v="M1767"/>
    <x v="3"/>
    <s v="South Africa"/>
    <s v="C97752"/>
    <n v="59"/>
    <s v="M"/>
    <x v="10"/>
    <x v="4"/>
    <s v="N"/>
    <s v="Success"/>
    <x v="0"/>
    <x v="0"/>
    <x v="2"/>
  </r>
  <r>
    <s v="TX1001255"/>
    <x v="76"/>
    <x v="0"/>
    <d v="1899-12-30T12:18:50"/>
    <n v="169.15"/>
    <s v="USD"/>
    <s v="M1262"/>
    <x v="2"/>
    <s v="Nigeria"/>
    <s v="C80622"/>
    <n v="20"/>
    <s v="F"/>
    <x v="8"/>
    <x v="3"/>
    <s v="Y"/>
    <s v="Success"/>
    <x v="0"/>
    <x v="0"/>
    <x v="0"/>
  </r>
  <r>
    <s v="TX1000875"/>
    <x v="51"/>
    <x v="4"/>
    <d v="1899-12-30T11:40:44"/>
    <n v="169.09"/>
    <s v="USD"/>
    <s v="M1583"/>
    <x v="9"/>
    <s v="Canada"/>
    <s v="C99884"/>
    <n v="25"/>
    <s v="Other"/>
    <x v="10"/>
    <x v="5"/>
    <s v="Y"/>
    <s v="Success"/>
    <x v="0"/>
    <x v="0"/>
    <x v="1"/>
  </r>
  <r>
    <s v="TX1000980"/>
    <x v="102"/>
    <x v="0"/>
    <d v="1899-12-30T12:26:10"/>
    <n v="168.92"/>
    <s v="USD"/>
    <s v="M1142"/>
    <x v="7"/>
    <s v="Netherlands"/>
    <s v="C79845"/>
    <n v="66"/>
    <s v="Other"/>
    <x v="4"/>
    <x v="4"/>
    <s v="Y"/>
    <s v="Success"/>
    <x v="0"/>
    <x v="0"/>
    <x v="3"/>
  </r>
  <r>
    <s v="TX1001911"/>
    <x v="155"/>
    <x v="5"/>
    <d v="1899-12-30T01:47:52"/>
    <n v="168.69"/>
    <s v="USD"/>
    <s v="M1153"/>
    <x v="5"/>
    <s v="South Africa"/>
    <s v="C72933"/>
    <n v="45"/>
    <s v="F"/>
    <x v="5"/>
    <x v="5"/>
    <s v="Y"/>
    <s v="Success"/>
    <x v="0"/>
    <x v="0"/>
    <x v="2"/>
  </r>
  <r>
    <s v="TX1002351"/>
    <x v="14"/>
    <x v="2"/>
    <d v="1899-12-30T12:28:28"/>
    <n v="168.6"/>
    <s v="USD"/>
    <s v="M1134"/>
    <x v="8"/>
    <s v="Australia"/>
    <s v="C55669"/>
    <n v="28"/>
    <s v="Other"/>
    <x v="6"/>
    <x v="2"/>
    <s v="Y"/>
    <s v="Success"/>
    <x v="0"/>
    <x v="0"/>
    <x v="1"/>
  </r>
  <r>
    <s v="TX1001262"/>
    <x v="76"/>
    <x v="0"/>
    <d v="1899-12-30T20:15:52"/>
    <n v="168.56"/>
    <s v="USD"/>
    <s v="M1483"/>
    <x v="6"/>
    <s v="Kenya"/>
    <s v="C64919"/>
    <n v="65"/>
    <s v="Other"/>
    <x v="8"/>
    <x v="2"/>
    <s v="Y"/>
    <s v="Success"/>
    <x v="1"/>
    <x v="1"/>
    <x v="3"/>
  </r>
  <r>
    <s v="TX1000423"/>
    <x v="149"/>
    <x v="1"/>
    <d v="1899-12-30T22:22:06"/>
    <n v="168.5"/>
    <s v="USD"/>
    <s v="M1697"/>
    <x v="1"/>
    <s v="Norway"/>
    <s v="C93133"/>
    <n v="29"/>
    <s v="M"/>
    <x v="9"/>
    <x v="3"/>
    <s v="N"/>
    <s v="Success"/>
    <x v="0"/>
    <x v="0"/>
    <x v="1"/>
  </r>
  <r>
    <s v="TX1000808"/>
    <x v="170"/>
    <x v="4"/>
    <d v="1899-12-30T10:16:19"/>
    <n v="168.45"/>
    <s v="USD"/>
    <s v="M1771"/>
    <x v="9"/>
    <s v="Nigeria"/>
    <s v="C65326"/>
    <n v="50"/>
    <s v="F"/>
    <x v="2"/>
    <x v="1"/>
    <s v="Y"/>
    <s v="Success"/>
    <x v="1"/>
    <x v="1"/>
    <x v="2"/>
  </r>
  <r>
    <s v="TX1001601"/>
    <x v="66"/>
    <x v="5"/>
    <d v="1899-12-30T04:00:07"/>
    <n v="168.42"/>
    <s v="USD"/>
    <s v="M1926"/>
    <x v="6"/>
    <s v="India"/>
    <s v="C58531"/>
    <n v="35"/>
    <s v="M"/>
    <x v="8"/>
    <x v="1"/>
    <s v="Y"/>
    <s v="Success"/>
    <x v="0"/>
    <x v="0"/>
    <x v="1"/>
  </r>
  <r>
    <s v="TX1001514"/>
    <x v="58"/>
    <x v="5"/>
    <d v="1899-12-30T06:54:02"/>
    <n v="168.4"/>
    <s v="USD"/>
    <s v="M1165"/>
    <x v="4"/>
    <s v="Germany"/>
    <s v="C53177"/>
    <n v="64"/>
    <s v="M"/>
    <x v="8"/>
    <x v="5"/>
    <s v="Y"/>
    <s v="Success"/>
    <x v="0"/>
    <x v="0"/>
    <x v="3"/>
  </r>
  <r>
    <s v="TX1002680"/>
    <x v="34"/>
    <x v="3"/>
    <d v="1899-12-30T17:08:38"/>
    <n v="168.08"/>
    <s v="USD"/>
    <s v="M1300"/>
    <x v="5"/>
    <s v="Netherlands"/>
    <s v="C71020"/>
    <n v="49"/>
    <s v="M"/>
    <x v="10"/>
    <x v="1"/>
    <s v="Y"/>
    <s v="Success"/>
    <x v="0"/>
    <x v="0"/>
    <x v="2"/>
  </r>
  <r>
    <s v="TX1002138"/>
    <x v="135"/>
    <x v="2"/>
    <d v="1899-12-30T12:42:48"/>
    <n v="168.02"/>
    <s v="USD"/>
    <s v="M1789"/>
    <x v="9"/>
    <s v="France"/>
    <s v="C75672"/>
    <n v="25"/>
    <s v="Other"/>
    <x v="3"/>
    <x v="2"/>
    <s v="Y"/>
    <s v="Success"/>
    <x v="0"/>
    <x v="0"/>
    <x v="1"/>
  </r>
  <r>
    <s v="TX1001525"/>
    <x v="58"/>
    <x v="5"/>
    <d v="1899-12-30T19:06:42"/>
    <n v="167.88"/>
    <s v="USD"/>
    <s v="M1594"/>
    <x v="4"/>
    <s v="France"/>
    <s v="C90510"/>
    <n v="19"/>
    <s v="Other"/>
    <x v="5"/>
    <x v="1"/>
    <s v="Y"/>
    <s v="Success"/>
    <x v="0"/>
    <x v="0"/>
    <x v="0"/>
  </r>
  <r>
    <s v="TX1000489"/>
    <x v="57"/>
    <x v="4"/>
    <d v="1899-12-30T04:49:43"/>
    <n v="167.53"/>
    <s v="USD"/>
    <s v="M1196"/>
    <x v="2"/>
    <s v="Germany"/>
    <s v="C69870"/>
    <n v="62"/>
    <s v="M"/>
    <x v="2"/>
    <x v="0"/>
    <s v="Y"/>
    <s v="Success"/>
    <x v="0"/>
    <x v="0"/>
    <x v="3"/>
  </r>
  <r>
    <s v="TX1002626"/>
    <x v="11"/>
    <x v="3"/>
    <d v="1899-12-30T01:52:11"/>
    <n v="167.45"/>
    <s v="USD"/>
    <s v="M1816"/>
    <x v="1"/>
    <s v="Norway"/>
    <s v="C94353"/>
    <n v="47"/>
    <s v="F"/>
    <x v="1"/>
    <x v="2"/>
    <s v="Y"/>
    <s v="Success"/>
    <x v="0"/>
    <x v="0"/>
    <x v="2"/>
  </r>
  <r>
    <s v="TX1002582"/>
    <x v="103"/>
    <x v="3"/>
    <d v="1899-12-30T06:07:00"/>
    <n v="167.36"/>
    <s v="USD"/>
    <s v="M1010"/>
    <x v="4"/>
    <s v="Sweden"/>
    <s v="C80709"/>
    <n v="57"/>
    <s v="Other"/>
    <x v="10"/>
    <x v="0"/>
    <s v="Y"/>
    <s v="Success"/>
    <x v="0"/>
    <x v="0"/>
    <x v="2"/>
  </r>
  <r>
    <s v="TX1001145"/>
    <x v="165"/>
    <x v="0"/>
    <d v="1899-12-30T14:36:15"/>
    <n v="167.29"/>
    <s v="USD"/>
    <s v="M1281"/>
    <x v="3"/>
    <s v="Australia"/>
    <s v="C99429"/>
    <n v="40"/>
    <s v="M"/>
    <x v="5"/>
    <x v="5"/>
    <s v="Y"/>
    <s v="Success"/>
    <x v="0"/>
    <x v="0"/>
    <x v="2"/>
  </r>
  <r>
    <s v="TX1000476"/>
    <x v="124"/>
    <x v="4"/>
    <d v="1899-12-30T09:12:34"/>
    <n v="167.22"/>
    <s v="USD"/>
    <s v="M1204"/>
    <x v="3"/>
    <s v="Germany"/>
    <s v="C66997"/>
    <n v="55"/>
    <s v="F"/>
    <x v="2"/>
    <x v="3"/>
    <s v="Y"/>
    <s v="Success"/>
    <x v="0"/>
    <x v="0"/>
    <x v="2"/>
  </r>
  <r>
    <s v="TX1002686"/>
    <x v="89"/>
    <x v="3"/>
    <d v="1899-12-30T11:56:00"/>
    <n v="166.92"/>
    <s v="USD"/>
    <s v="M1003"/>
    <x v="1"/>
    <s v="India"/>
    <s v="C84858"/>
    <n v="34"/>
    <s v="M"/>
    <x v="14"/>
    <x v="0"/>
    <s v="Y"/>
    <s v="Success"/>
    <x v="0"/>
    <x v="0"/>
    <x v="1"/>
  </r>
  <r>
    <s v="TX1001649"/>
    <x v="39"/>
    <x v="5"/>
    <d v="1899-12-30T03:51:31"/>
    <n v="166.92"/>
    <s v="USD"/>
    <s v="M1356"/>
    <x v="2"/>
    <s v="Kenya"/>
    <s v="C66048"/>
    <n v="38"/>
    <s v="F"/>
    <x v="0"/>
    <x v="0"/>
    <s v="Y"/>
    <s v="Success"/>
    <x v="0"/>
    <x v="0"/>
    <x v="1"/>
  </r>
  <r>
    <s v="TX1002699"/>
    <x v="89"/>
    <x v="3"/>
    <d v="1899-12-30T21:39:47"/>
    <n v="166.87"/>
    <s v="USD"/>
    <s v="M1222"/>
    <x v="1"/>
    <s v="Poland"/>
    <s v="C80877"/>
    <n v="95"/>
    <s v="Other"/>
    <x v="5"/>
    <x v="0"/>
    <s v="Y"/>
    <s v="Success"/>
    <x v="0"/>
    <x v="0"/>
    <x v="3"/>
  </r>
  <r>
    <s v="TX1000890"/>
    <x v="8"/>
    <x v="4"/>
    <d v="1899-12-30T05:51:22"/>
    <n v="166.85"/>
    <s v="USD"/>
    <s v="M1379"/>
    <x v="5"/>
    <s v="United States"/>
    <s v="C86718"/>
    <n v="32"/>
    <s v="F"/>
    <x v="6"/>
    <x v="3"/>
    <s v="Y"/>
    <s v="Success"/>
    <x v="0"/>
    <x v="0"/>
    <x v="1"/>
  </r>
  <r>
    <s v="TX1001283"/>
    <x v="125"/>
    <x v="0"/>
    <d v="1899-12-30T00:57:25"/>
    <n v="166.82"/>
    <s v="USD"/>
    <s v="M1267"/>
    <x v="2"/>
    <s v="United States"/>
    <s v="C52166"/>
    <n v="56"/>
    <s v="M"/>
    <x v="8"/>
    <x v="1"/>
    <s v="Y"/>
    <s v="Success"/>
    <x v="0"/>
    <x v="0"/>
    <x v="2"/>
  </r>
  <r>
    <s v="TX1002006"/>
    <x v="126"/>
    <x v="2"/>
    <d v="1899-12-30T18:14:06"/>
    <n v="166.49"/>
    <s v="USD"/>
    <s v="M1168"/>
    <x v="9"/>
    <s v="United States"/>
    <s v="C50229"/>
    <n v="49"/>
    <s v="M"/>
    <x v="0"/>
    <x v="4"/>
    <s v="Y"/>
    <s v="Success"/>
    <x v="0"/>
    <x v="0"/>
    <x v="2"/>
  </r>
  <r>
    <s v="TX1001371"/>
    <x v="54"/>
    <x v="0"/>
    <d v="1899-12-30T00:14:50"/>
    <n v="166.45"/>
    <s v="USD"/>
    <s v="M1154"/>
    <x v="4"/>
    <s v="Poland"/>
    <s v="C94446"/>
    <n v="59"/>
    <s v="M"/>
    <x v="1"/>
    <x v="1"/>
    <s v="Y"/>
    <s v="Success"/>
    <x v="0"/>
    <x v="0"/>
    <x v="2"/>
  </r>
  <r>
    <s v="TX1001077"/>
    <x v="59"/>
    <x v="0"/>
    <d v="1899-12-30T02:07:33"/>
    <n v="166.44"/>
    <s v="USD"/>
    <s v="M1862"/>
    <x v="8"/>
    <s v="France"/>
    <s v="C99194"/>
    <n v="24"/>
    <s v="F"/>
    <x v="5"/>
    <x v="3"/>
    <s v="Y"/>
    <s v="Success"/>
    <x v="0"/>
    <x v="0"/>
    <x v="0"/>
  </r>
  <r>
    <s v="TX1002859"/>
    <x v="87"/>
    <x v="3"/>
    <d v="1899-12-30T01:04:22"/>
    <n v="166.37"/>
    <s v="USD"/>
    <s v="M1961"/>
    <x v="1"/>
    <s v="Sweden"/>
    <s v="C65191"/>
    <n v="39"/>
    <s v="Other"/>
    <x v="12"/>
    <x v="0"/>
    <s v="Y"/>
    <s v="Success"/>
    <x v="0"/>
    <x v="0"/>
    <x v="1"/>
  </r>
  <r>
    <s v="TX1001657"/>
    <x v="39"/>
    <x v="5"/>
    <d v="1899-12-30T17:01:00"/>
    <n v="166.32"/>
    <s v="USD"/>
    <s v="M1522"/>
    <x v="6"/>
    <s v="France"/>
    <s v="C71474"/>
    <n v="17"/>
    <s v="M"/>
    <x v="10"/>
    <x v="5"/>
    <s v="Y"/>
    <s v="Success"/>
    <x v="0"/>
    <x v="0"/>
    <x v="0"/>
  </r>
  <r>
    <s v="TX1001571"/>
    <x v="161"/>
    <x v="5"/>
    <d v="1899-12-30T00:34:39"/>
    <n v="166.27"/>
    <s v="USD"/>
    <s v="M1833"/>
    <x v="0"/>
    <s v="India"/>
    <s v="C83386"/>
    <n v="53"/>
    <s v="F"/>
    <x v="8"/>
    <x v="4"/>
    <s v="Y"/>
    <s v="Success"/>
    <x v="0"/>
    <x v="0"/>
    <x v="2"/>
  </r>
  <r>
    <s v="TX1001665"/>
    <x v="176"/>
    <x v="5"/>
    <d v="1899-12-30T06:56:37"/>
    <n v="166.26"/>
    <s v="USD"/>
    <s v="M1961"/>
    <x v="4"/>
    <s v="Poland"/>
    <s v="C60357"/>
    <n v="33"/>
    <s v="F"/>
    <x v="4"/>
    <x v="4"/>
    <s v="Y"/>
    <s v="Success"/>
    <x v="0"/>
    <x v="0"/>
    <x v="1"/>
  </r>
  <r>
    <s v="TX1001071"/>
    <x v="47"/>
    <x v="0"/>
    <d v="1899-12-30T17:52:03"/>
    <n v="166.25"/>
    <s v="USD"/>
    <s v="M1094"/>
    <x v="5"/>
    <s v="Netherlands"/>
    <s v="C61636"/>
    <n v="70"/>
    <s v="F"/>
    <x v="7"/>
    <x v="4"/>
    <s v="Y"/>
    <s v="Success"/>
    <x v="0"/>
    <x v="0"/>
    <x v="3"/>
  </r>
  <r>
    <s v="TX1001109"/>
    <x v="168"/>
    <x v="0"/>
    <d v="1899-12-30T02:19:14"/>
    <n v="166.21"/>
    <s v="USD"/>
    <s v="M1770"/>
    <x v="0"/>
    <s v="Australia"/>
    <s v="C95671"/>
    <n v="31"/>
    <s v="M"/>
    <x v="12"/>
    <x v="2"/>
    <s v="Y"/>
    <s v="Success"/>
    <x v="0"/>
    <x v="0"/>
    <x v="1"/>
  </r>
  <r>
    <s v="TX1001340"/>
    <x v="74"/>
    <x v="0"/>
    <d v="1899-12-30T10:48:56"/>
    <n v="166.2"/>
    <s v="USD"/>
    <s v="M1003"/>
    <x v="2"/>
    <s v="United States"/>
    <s v="C69380"/>
    <n v="19"/>
    <s v="Other"/>
    <x v="7"/>
    <x v="2"/>
    <s v="Y"/>
    <s v="Success"/>
    <x v="0"/>
    <x v="0"/>
    <x v="0"/>
  </r>
  <r>
    <s v="TX1000926"/>
    <x v="80"/>
    <x v="4"/>
    <d v="1899-12-30T04:52:41"/>
    <n v="166.14"/>
    <s v="USD"/>
    <s v="M1654"/>
    <x v="6"/>
    <s v="France"/>
    <s v="C50985"/>
    <n v="50"/>
    <s v="F"/>
    <x v="3"/>
    <x v="0"/>
    <s v="Y"/>
    <s v="Success"/>
    <x v="0"/>
    <x v="0"/>
    <x v="2"/>
  </r>
  <r>
    <s v="TX1002560"/>
    <x v="52"/>
    <x v="3"/>
    <d v="1899-12-30T05:43:32"/>
    <n v="166.1"/>
    <s v="USD"/>
    <s v="M1391"/>
    <x v="5"/>
    <s v="United Kingdom"/>
    <s v="C97469"/>
    <n v="40"/>
    <s v="Other"/>
    <x v="3"/>
    <x v="5"/>
    <s v="Y"/>
    <s v="Success"/>
    <x v="0"/>
    <x v="0"/>
    <x v="2"/>
  </r>
  <r>
    <s v="TX1000376"/>
    <x v="56"/>
    <x v="1"/>
    <d v="1899-12-30T04:27:14"/>
    <n v="166.07"/>
    <s v="USD"/>
    <s v="M1726"/>
    <x v="6"/>
    <s v="Nigeria"/>
    <s v="C60276"/>
    <n v="26"/>
    <s v="Other"/>
    <x v="11"/>
    <x v="2"/>
    <s v="Y"/>
    <s v="Success"/>
    <x v="0"/>
    <x v="0"/>
    <x v="1"/>
  </r>
  <r>
    <s v="TX1000021"/>
    <x v="171"/>
    <x v="1"/>
    <d v="1899-12-30T08:07:04"/>
    <n v="166.05"/>
    <s v="USD"/>
    <s v="M1386"/>
    <x v="2"/>
    <s v="Australia"/>
    <s v="C52591"/>
    <n v="64"/>
    <s v="Other"/>
    <x v="3"/>
    <x v="5"/>
    <s v="Y"/>
    <s v="Success"/>
    <x v="0"/>
    <x v="0"/>
    <x v="3"/>
  </r>
  <r>
    <s v="TX1000466"/>
    <x v="25"/>
    <x v="1"/>
    <d v="1899-12-30T19:06:32"/>
    <n v="166.05"/>
    <s v="USD"/>
    <s v="M1426"/>
    <x v="3"/>
    <s v="United States"/>
    <s v="C80834"/>
    <n v="30"/>
    <s v="M"/>
    <x v="8"/>
    <x v="4"/>
    <s v="Y"/>
    <s v="Success"/>
    <x v="0"/>
    <x v="0"/>
    <x v="1"/>
  </r>
  <r>
    <s v="TX1002225"/>
    <x v="24"/>
    <x v="2"/>
    <d v="1899-12-30T19:01:00"/>
    <n v="166.02"/>
    <s v="USD"/>
    <s v="M1685"/>
    <x v="4"/>
    <s v="India"/>
    <s v="C53306"/>
    <n v="66"/>
    <s v="Other"/>
    <x v="14"/>
    <x v="1"/>
    <s v="Y"/>
    <s v="Success"/>
    <x v="0"/>
    <x v="0"/>
    <x v="3"/>
  </r>
  <r>
    <s v="TX1000443"/>
    <x v="151"/>
    <x v="1"/>
    <d v="1899-12-30T05:57:55"/>
    <n v="166"/>
    <s v="USD"/>
    <s v="M1436"/>
    <x v="8"/>
    <s v="United States"/>
    <s v="C51618"/>
    <n v="44"/>
    <s v="Other"/>
    <x v="2"/>
    <x v="2"/>
    <s v="Y"/>
    <s v="Success"/>
    <x v="0"/>
    <x v="0"/>
    <x v="2"/>
  </r>
  <r>
    <s v="TX1000587"/>
    <x v="153"/>
    <x v="4"/>
    <d v="1899-12-30T11:33:55"/>
    <n v="165.98"/>
    <s v="USD"/>
    <s v="M1007"/>
    <x v="2"/>
    <s v="Germany"/>
    <s v="C67409"/>
    <n v="30"/>
    <s v="Other"/>
    <x v="12"/>
    <x v="1"/>
    <s v="N"/>
    <s v="Success"/>
    <x v="0"/>
    <x v="0"/>
    <x v="1"/>
  </r>
  <r>
    <s v="TX1002988"/>
    <x v="116"/>
    <x v="3"/>
    <d v="1899-12-30T18:07:36"/>
    <n v="165.93"/>
    <s v="USD"/>
    <s v="M1912"/>
    <x v="4"/>
    <s v="Norway"/>
    <s v="C64587"/>
    <n v="45"/>
    <s v="Other"/>
    <x v="12"/>
    <x v="3"/>
    <s v="Y"/>
    <s v="Success"/>
    <x v="1"/>
    <x v="1"/>
    <x v="2"/>
  </r>
  <r>
    <s v="TX1002950"/>
    <x v="118"/>
    <x v="3"/>
    <d v="1899-12-30T04:13:04"/>
    <n v="165.84"/>
    <s v="USD"/>
    <s v="M1918"/>
    <x v="8"/>
    <s v="Canada"/>
    <s v="C88197"/>
    <n v="52"/>
    <s v="Other"/>
    <x v="3"/>
    <x v="5"/>
    <s v="N"/>
    <s v="Success"/>
    <x v="0"/>
    <x v="0"/>
    <x v="2"/>
  </r>
  <r>
    <s v="TX1000827"/>
    <x v="91"/>
    <x v="4"/>
    <d v="1899-12-30T23:08:08"/>
    <n v="165.71"/>
    <s v="USD"/>
    <s v="M1685"/>
    <x v="5"/>
    <s v="United Kingdom"/>
    <s v="C86627"/>
    <n v="38"/>
    <s v="M"/>
    <x v="1"/>
    <x v="3"/>
    <s v="Y"/>
    <s v="Success"/>
    <x v="0"/>
    <x v="0"/>
    <x v="1"/>
  </r>
  <r>
    <s v="TX1001988"/>
    <x v="71"/>
    <x v="5"/>
    <d v="1899-12-30T13:22:38"/>
    <n v="165.7"/>
    <s v="USD"/>
    <s v="M1865"/>
    <x v="6"/>
    <s v="Sweden"/>
    <s v="C92281"/>
    <n v="36"/>
    <s v="F"/>
    <x v="6"/>
    <x v="5"/>
    <s v="Y"/>
    <s v="Success"/>
    <x v="0"/>
    <x v="0"/>
    <x v="1"/>
  </r>
  <r>
    <s v="TX1002091"/>
    <x v="158"/>
    <x v="2"/>
    <d v="1899-12-30T00:07:14"/>
    <n v="165.69"/>
    <s v="USD"/>
    <s v="M1098"/>
    <x v="1"/>
    <s v="Germany"/>
    <s v="C67787"/>
    <n v="51"/>
    <s v="M"/>
    <x v="14"/>
    <x v="5"/>
    <s v="Y"/>
    <s v="Success"/>
    <x v="0"/>
    <x v="0"/>
    <x v="2"/>
  </r>
  <r>
    <s v="TX1000699"/>
    <x v="62"/>
    <x v="4"/>
    <d v="1899-12-30T08:08:43"/>
    <n v="165.64"/>
    <s v="USD"/>
    <s v="M1198"/>
    <x v="8"/>
    <s v="Canada"/>
    <s v="C77516"/>
    <n v="49"/>
    <s v="Other"/>
    <x v="14"/>
    <x v="0"/>
    <s v="Y"/>
    <s v="Success"/>
    <x v="0"/>
    <x v="0"/>
    <x v="2"/>
  </r>
  <r>
    <s v="TX1002897"/>
    <x v="137"/>
    <x v="3"/>
    <d v="1899-12-30T15:44:43"/>
    <n v="165.5"/>
    <s v="USD"/>
    <s v="M1545"/>
    <x v="0"/>
    <s v="India"/>
    <s v="C73017"/>
    <n v="69"/>
    <s v="F"/>
    <x v="1"/>
    <x v="1"/>
    <s v="Y"/>
    <s v="Success"/>
    <x v="0"/>
    <x v="0"/>
    <x v="3"/>
  </r>
  <r>
    <s v="TX1002890"/>
    <x v="137"/>
    <x v="3"/>
    <d v="1899-12-30T03:43:49"/>
    <n v="165.48"/>
    <s v="USD"/>
    <s v="M1593"/>
    <x v="3"/>
    <s v="Norway"/>
    <s v="C54626"/>
    <n v="72"/>
    <s v="Other"/>
    <x v="6"/>
    <x v="4"/>
    <s v="Y"/>
    <s v="Success"/>
    <x v="0"/>
    <x v="0"/>
    <x v="3"/>
  </r>
  <r>
    <s v="TX1001716"/>
    <x v="142"/>
    <x v="5"/>
    <d v="1899-12-30T19:10:04"/>
    <n v="165.31"/>
    <s v="USD"/>
    <s v="M1459"/>
    <x v="2"/>
    <s v="Australia"/>
    <s v="C98387"/>
    <n v="66"/>
    <s v="M"/>
    <x v="11"/>
    <x v="0"/>
    <s v="Y"/>
    <s v="Success"/>
    <x v="0"/>
    <x v="0"/>
    <x v="3"/>
  </r>
  <r>
    <s v="TX1001569"/>
    <x v="29"/>
    <x v="5"/>
    <d v="1899-12-30T21:35:03"/>
    <n v="165.28"/>
    <s v="USD"/>
    <s v="M1528"/>
    <x v="7"/>
    <s v="South Africa"/>
    <s v="C54137"/>
    <n v="59"/>
    <s v="Other"/>
    <x v="7"/>
    <x v="5"/>
    <s v="Y"/>
    <s v="Success"/>
    <x v="0"/>
    <x v="0"/>
    <x v="2"/>
  </r>
  <r>
    <s v="TX1002212"/>
    <x v="24"/>
    <x v="2"/>
    <d v="1899-12-30T05:25:45"/>
    <n v="165.23"/>
    <s v="USD"/>
    <s v="M1174"/>
    <x v="8"/>
    <s v="Germany"/>
    <s v="C65142"/>
    <n v="45"/>
    <s v="M"/>
    <x v="12"/>
    <x v="1"/>
    <s v="N"/>
    <s v="Success"/>
    <x v="0"/>
    <x v="0"/>
    <x v="2"/>
  </r>
  <r>
    <s v="TX1000046"/>
    <x v="167"/>
    <x v="1"/>
    <d v="1899-12-30T13:23:07"/>
    <n v="165.14"/>
    <s v="USD"/>
    <s v="M1290"/>
    <x v="5"/>
    <s v="Canada"/>
    <s v="C87875"/>
    <n v="75"/>
    <s v="Other"/>
    <x v="4"/>
    <x v="4"/>
    <s v="Y"/>
    <s v="Success"/>
    <x v="1"/>
    <x v="1"/>
    <x v="3"/>
  </r>
  <r>
    <s v="TX1002835"/>
    <x v="86"/>
    <x v="3"/>
    <d v="1899-12-30T15:06:41"/>
    <n v="165.08"/>
    <s v="USD"/>
    <s v="M1438"/>
    <x v="7"/>
    <s v="United States"/>
    <s v="C66116"/>
    <n v="62"/>
    <s v="F"/>
    <x v="5"/>
    <x v="5"/>
    <s v="N"/>
    <s v="Success"/>
    <x v="1"/>
    <x v="1"/>
    <x v="3"/>
  </r>
  <r>
    <s v="TX1000824"/>
    <x v="91"/>
    <x v="4"/>
    <d v="1899-12-30T21:37:07"/>
    <n v="164.9"/>
    <s v="USD"/>
    <s v="M1571"/>
    <x v="0"/>
    <s v="Poland"/>
    <s v="C61985"/>
    <n v="68"/>
    <s v="Other"/>
    <x v="13"/>
    <x v="3"/>
    <s v="Y"/>
    <s v="Success"/>
    <x v="0"/>
    <x v="0"/>
    <x v="3"/>
  </r>
  <r>
    <s v="TX1000864"/>
    <x v="12"/>
    <x v="4"/>
    <d v="1899-12-30T20:25:17"/>
    <n v="164.7"/>
    <s v="USD"/>
    <s v="M1878"/>
    <x v="6"/>
    <s v="United States"/>
    <s v="C86425"/>
    <n v="57"/>
    <s v="F"/>
    <x v="14"/>
    <x v="5"/>
    <s v="Y"/>
    <s v="Success"/>
    <x v="0"/>
    <x v="0"/>
    <x v="2"/>
  </r>
  <r>
    <s v="TX1001363"/>
    <x v="50"/>
    <x v="0"/>
    <d v="1899-12-30T17:21:03"/>
    <n v="164.56"/>
    <s v="USD"/>
    <s v="M1973"/>
    <x v="8"/>
    <s v="South Africa"/>
    <s v="C60199"/>
    <n v="39"/>
    <s v="M"/>
    <x v="2"/>
    <x v="2"/>
    <s v="Y"/>
    <s v="Success"/>
    <x v="0"/>
    <x v="0"/>
    <x v="1"/>
  </r>
  <r>
    <s v="TX1001158"/>
    <x v="40"/>
    <x v="0"/>
    <d v="1899-12-30T01:51:26"/>
    <n v="164.48"/>
    <s v="USD"/>
    <s v="M1128"/>
    <x v="4"/>
    <s v="South Africa"/>
    <s v="C64913"/>
    <n v="66"/>
    <s v="M"/>
    <x v="12"/>
    <x v="5"/>
    <s v="Y"/>
    <s v="Success"/>
    <x v="0"/>
    <x v="0"/>
    <x v="3"/>
  </r>
  <r>
    <s v="TX1001925"/>
    <x v="155"/>
    <x v="5"/>
    <d v="1899-12-30T12:45:09"/>
    <n v="164.47"/>
    <s v="USD"/>
    <s v="M1481"/>
    <x v="9"/>
    <s v="United States"/>
    <s v="C82019"/>
    <n v="47"/>
    <s v="F"/>
    <x v="12"/>
    <x v="1"/>
    <s v="Y"/>
    <s v="Success"/>
    <x v="0"/>
    <x v="0"/>
    <x v="2"/>
  </r>
  <r>
    <s v="TX1000594"/>
    <x v="163"/>
    <x v="4"/>
    <d v="1899-12-30T03:53:18"/>
    <n v="164.32"/>
    <s v="USD"/>
    <s v="M1923"/>
    <x v="5"/>
    <s v="Netherlands"/>
    <s v="C86111"/>
    <n v="44"/>
    <s v="M"/>
    <x v="7"/>
    <x v="2"/>
    <s v="Y"/>
    <s v="Success"/>
    <x v="0"/>
    <x v="0"/>
    <x v="2"/>
  </r>
  <r>
    <s v="TX1000488"/>
    <x v="57"/>
    <x v="4"/>
    <d v="1899-12-30T04:03:13"/>
    <n v="164.28"/>
    <s v="USD"/>
    <s v="M1334"/>
    <x v="5"/>
    <s v="Kenya"/>
    <s v="C59617"/>
    <n v="24"/>
    <s v="F"/>
    <x v="3"/>
    <x v="3"/>
    <s v="Y"/>
    <s v="Success"/>
    <x v="0"/>
    <x v="0"/>
    <x v="0"/>
  </r>
  <r>
    <s v="TX1000516"/>
    <x v="63"/>
    <x v="4"/>
    <d v="1899-12-30T05:46:23"/>
    <n v="164.22"/>
    <s v="USD"/>
    <s v="M1588"/>
    <x v="8"/>
    <s v="Kenya"/>
    <s v="C90874"/>
    <n v="45"/>
    <s v="M"/>
    <x v="12"/>
    <x v="5"/>
    <s v="Y"/>
    <s v="Success"/>
    <x v="0"/>
    <x v="0"/>
    <x v="2"/>
  </r>
  <r>
    <s v="TX1002660"/>
    <x v="132"/>
    <x v="3"/>
    <d v="1899-12-30T03:41:37"/>
    <n v="164.17"/>
    <s v="USD"/>
    <s v="M1593"/>
    <x v="4"/>
    <s v="Netherlands"/>
    <s v="C51293"/>
    <n v="43"/>
    <s v="Other"/>
    <x v="12"/>
    <x v="3"/>
    <s v="Y"/>
    <s v="Success"/>
    <x v="0"/>
    <x v="0"/>
    <x v="2"/>
  </r>
  <r>
    <s v="TX1001284"/>
    <x v="125"/>
    <x v="0"/>
    <d v="1899-12-30T01:21:02"/>
    <n v="164.1"/>
    <s v="USD"/>
    <s v="M1264"/>
    <x v="1"/>
    <s v="Norway"/>
    <s v="C71512"/>
    <n v="18"/>
    <s v="Other"/>
    <x v="6"/>
    <x v="0"/>
    <s v="Y"/>
    <s v="Success"/>
    <x v="0"/>
    <x v="0"/>
    <x v="0"/>
  </r>
  <r>
    <s v="TX1002525"/>
    <x v="23"/>
    <x v="3"/>
    <d v="1899-12-30T03:00:14"/>
    <n v="164"/>
    <s v="USD"/>
    <s v="M1860"/>
    <x v="4"/>
    <s v="Kenya"/>
    <s v="C98750"/>
    <n v="47"/>
    <s v="M"/>
    <x v="5"/>
    <x v="4"/>
    <s v="Y"/>
    <s v="Success"/>
    <x v="0"/>
    <x v="0"/>
    <x v="2"/>
  </r>
  <r>
    <s v="TX1000384"/>
    <x v="100"/>
    <x v="1"/>
    <d v="1899-12-30T00:37:30"/>
    <n v="163.84"/>
    <s v="USD"/>
    <s v="M1184"/>
    <x v="7"/>
    <s v="Spain"/>
    <s v="C76014"/>
    <n v="38"/>
    <s v="F"/>
    <x v="7"/>
    <x v="2"/>
    <s v="Y"/>
    <s v="Success"/>
    <x v="0"/>
    <x v="0"/>
    <x v="1"/>
  </r>
  <r>
    <s v="TX1002358"/>
    <x v="14"/>
    <x v="2"/>
    <d v="1899-12-30T23:46:19"/>
    <n v="163.78"/>
    <s v="USD"/>
    <s v="M1913"/>
    <x v="2"/>
    <s v="United Kingdom"/>
    <s v="C64024"/>
    <n v="47"/>
    <s v="F"/>
    <x v="12"/>
    <x v="4"/>
    <s v="Y"/>
    <s v="Success"/>
    <x v="0"/>
    <x v="0"/>
    <x v="2"/>
  </r>
  <r>
    <s v="TX1000513"/>
    <x v="63"/>
    <x v="4"/>
    <d v="1899-12-30T02:43:56"/>
    <n v="163.63999999999999"/>
    <s v="USD"/>
    <s v="M1788"/>
    <x v="7"/>
    <s v="Norway"/>
    <s v="C95826"/>
    <n v="75"/>
    <s v="F"/>
    <x v="8"/>
    <x v="5"/>
    <s v="Y"/>
    <s v="Success"/>
    <x v="0"/>
    <x v="0"/>
    <x v="3"/>
  </r>
  <r>
    <s v="TX1002942"/>
    <x v="45"/>
    <x v="3"/>
    <d v="1899-12-30T20:24:47"/>
    <n v="163.54"/>
    <s v="USD"/>
    <s v="M1616"/>
    <x v="5"/>
    <s v="South Africa"/>
    <s v="C64888"/>
    <n v="65"/>
    <s v="Other"/>
    <x v="8"/>
    <x v="3"/>
    <s v="Y"/>
    <s v="Success"/>
    <x v="0"/>
    <x v="0"/>
    <x v="3"/>
  </r>
  <r>
    <s v="TX1000043"/>
    <x v="167"/>
    <x v="1"/>
    <d v="1899-12-30T07:43:48"/>
    <n v="163.53"/>
    <s v="USD"/>
    <s v="M1794"/>
    <x v="6"/>
    <s v="United Kingdom"/>
    <s v="C98340"/>
    <n v="58"/>
    <s v="F"/>
    <x v="5"/>
    <x v="0"/>
    <s v="Y"/>
    <s v="Success"/>
    <x v="0"/>
    <x v="0"/>
    <x v="2"/>
  </r>
  <r>
    <s v="TX1001419"/>
    <x v="150"/>
    <x v="0"/>
    <d v="1899-12-30T09:19:07"/>
    <n v="163.41"/>
    <s v="USD"/>
    <s v="M1843"/>
    <x v="3"/>
    <s v="Nigeria"/>
    <s v="C68251"/>
    <n v="23"/>
    <s v="Other"/>
    <x v="14"/>
    <x v="4"/>
    <s v="Y"/>
    <s v="Success"/>
    <x v="0"/>
    <x v="0"/>
    <x v="0"/>
  </r>
  <r>
    <s v="TX1001872"/>
    <x v="117"/>
    <x v="5"/>
    <d v="1899-12-30T15:23:45"/>
    <n v="163.34"/>
    <s v="USD"/>
    <s v="M1384"/>
    <x v="9"/>
    <s v="Canada"/>
    <s v="C50427"/>
    <n v="22"/>
    <s v="F"/>
    <x v="6"/>
    <x v="0"/>
    <s v="Y"/>
    <s v="Success"/>
    <x v="0"/>
    <x v="0"/>
    <x v="0"/>
  </r>
  <r>
    <s v="TX1000765"/>
    <x v="10"/>
    <x v="4"/>
    <d v="1899-12-30T21:45:16"/>
    <n v="163.30000000000001"/>
    <s v="USD"/>
    <s v="M1448"/>
    <x v="4"/>
    <s v="Sweden"/>
    <s v="C63518"/>
    <n v="65"/>
    <s v="M"/>
    <x v="10"/>
    <x v="5"/>
    <s v="Y"/>
    <s v="Success"/>
    <x v="0"/>
    <x v="0"/>
    <x v="3"/>
  </r>
  <r>
    <s v="TX1002326"/>
    <x v="119"/>
    <x v="2"/>
    <d v="1899-12-30T07:28:04"/>
    <n v="163.22999999999999"/>
    <s v="USD"/>
    <s v="M1202"/>
    <x v="8"/>
    <s v="United States"/>
    <s v="C80512"/>
    <n v="29"/>
    <s v="Other"/>
    <x v="0"/>
    <x v="2"/>
    <s v="Y"/>
    <s v="Success"/>
    <x v="0"/>
    <x v="0"/>
    <x v="1"/>
  </r>
  <r>
    <s v="TX1002005"/>
    <x v="126"/>
    <x v="2"/>
    <d v="1899-12-30T13:18:14"/>
    <n v="163.13999999999999"/>
    <s v="USD"/>
    <s v="M1821"/>
    <x v="9"/>
    <s v="Germany"/>
    <s v="C76295"/>
    <n v="27"/>
    <s v="Other"/>
    <x v="14"/>
    <x v="0"/>
    <s v="Y"/>
    <s v="Success"/>
    <x v="0"/>
    <x v="0"/>
    <x v="1"/>
  </r>
  <r>
    <s v="TX1000822"/>
    <x v="91"/>
    <x v="4"/>
    <d v="1899-12-30T21:12:18"/>
    <n v="163.12"/>
    <s v="USD"/>
    <s v="M1630"/>
    <x v="6"/>
    <s v="Spain"/>
    <s v="C84223"/>
    <n v="72"/>
    <s v="F"/>
    <x v="8"/>
    <x v="3"/>
    <s v="Y"/>
    <s v="Success"/>
    <x v="0"/>
    <x v="0"/>
    <x v="3"/>
  </r>
  <r>
    <s v="TX1001386"/>
    <x v="54"/>
    <x v="0"/>
    <d v="1899-12-30T23:40:27"/>
    <n v="163.08000000000001"/>
    <s v="USD"/>
    <s v="M1471"/>
    <x v="7"/>
    <s v="Sweden"/>
    <s v="C98076"/>
    <n v="19"/>
    <s v="M"/>
    <x v="9"/>
    <x v="2"/>
    <s v="Y"/>
    <s v="Success"/>
    <x v="0"/>
    <x v="0"/>
    <x v="0"/>
  </r>
  <r>
    <s v="TX1000939"/>
    <x v="80"/>
    <x v="4"/>
    <d v="1899-12-30T22:33:28"/>
    <n v="163"/>
    <s v="USD"/>
    <s v="M1234"/>
    <x v="9"/>
    <s v="United States"/>
    <s v="C56614"/>
    <n v="41"/>
    <s v="Other"/>
    <x v="3"/>
    <x v="2"/>
    <s v="Y"/>
    <s v="Success"/>
    <x v="0"/>
    <x v="0"/>
    <x v="2"/>
  </r>
  <r>
    <s v="TX1002230"/>
    <x v="93"/>
    <x v="2"/>
    <d v="1899-12-30T04:20:33"/>
    <n v="162.91"/>
    <s v="USD"/>
    <s v="M1523"/>
    <x v="6"/>
    <s v="Nigeria"/>
    <s v="C91648"/>
    <n v="72"/>
    <s v="F"/>
    <x v="13"/>
    <x v="0"/>
    <s v="N"/>
    <s v="Success"/>
    <x v="0"/>
    <x v="0"/>
    <x v="3"/>
  </r>
  <r>
    <s v="TX1001704"/>
    <x v="142"/>
    <x v="5"/>
    <d v="1899-12-30T02:53:33"/>
    <n v="162.85"/>
    <s v="USD"/>
    <s v="M1055"/>
    <x v="5"/>
    <s v="Nigeria"/>
    <s v="C82854"/>
    <n v="26"/>
    <s v="Other"/>
    <x v="9"/>
    <x v="2"/>
    <s v="Y"/>
    <s v="Success"/>
    <x v="0"/>
    <x v="0"/>
    <x v="1"/>
  </r>
  <r>
    <s v="TX1002171"/>
    <x v="112"/>
    <x v="2"/>
    <d v="1899-12-30T05:03:49"/>
    <n v="162.80000000000001"/>
    <s v="USD"/>
    <s v="M1185"/>
    <x v="2"/>
    <s v="United Kingdom"/>
    <s v="C93753"/>
    <n v="41"/>
    <s v="F"/>
    <x v="2"/>
    <x v="3"/>
    <s v="Y"/>
    <s v="Success"/>
    <x v="0"/>
    <x v="0"/>
    <x v="2"/>
  </r>
  <r>
    <s v="TX1000198"/>
    <x v="49"/>
    <x v="1"/>
    <d v="1899-12-30T20:27:04"/>
    <n v="162.75"/>
    <s v="USD"/>
    <s v="M1071"/>
    <x v="1"/>
    <s v="Spain"/>
    <s v="C63151"/>
    <n v="27"/>
    <s v="Other"/>
    <x v="4"/>
    <x v="2"/>
    <s v="Y"/>
    <s v="Success"/>
    <x v="0"/>
    <x v="0"/>
    <x v="1"/>
  </r>
  <r>
    <s v="TX1002655"/>
    <x v="41"/>
    <x v="3"/>
    <d v="1899-12-30T19:03:08"/>
    <n v="162.74"/>
    <s v="USD"/>
    <s v="M1632"/>
    <x v="9"/>
    <s v="Netherlands"/>
    <s v="C92162"/>
    <n v="47"/>
    <s v="M"/>
    <x v="1"/>
    <x v="1"/>
    <s v="Y"/>
    <s v="Success"/>
    <x v="0"/>
    <x v="0"/>
    <x v="2"/>
  </r>
  <r>
    <s v="TX1000865"/>
    <x v="12"/>
    <x v="4"/>
    <d v="1899-12-30T20:46:36"/>
    <n v="162.44999999999999"/>
    <s v="USD"/>
    <s v="M1407"/>
    <x v="1"/>
    <s v="India"/>
    <s v="C66241"/>
    <n v="18"/>
    <s v="M"/>
    <x v="11"/>
    <x v="5"/>
    <s v="Y"/>
    <s v="Success"/>
    <x v="0"/>
    <x v="0"/>
    <x v="0"/>
  </r>
  <r>
    <s v="TX1002873"/>
    <x v="144"/>
    <x v="3"/>
    <d v="1899-12-30T00:16:43"/>
    <n v="162.44"/>
    <s v="USD"/>
    <s v="M1916"/>
    <x v="6"/>
    <s v="Nigeria"/>
    <s v="C80916"/>
    <n v="55"/>
    <s v="M"/>
    <x v="8"/>
    <x v="1"/>
    <s v="Y"/>
    <s v="Success"/>
    <x v="0"/>
    <x v="0"/>
    <x v="2"/>
  </r>
  <r>
    <s v="TX1001125"/>
    <x v="168"/>
    <x v="0"/>
    <d v="1899-12-30T22:32:14"/>
    <n v="162.41"/>
    <s v="USD"/>
    <s v="M1324"/>
    <x v="7"/>
    <s v="Poland"/>
    <s v="C74312"/>
    <n v="26"/>
    <s v="Other"/>
    <x v="2"/>
    <x v="1"/>
    <s v="Y"/>
    <s v="Success"/>
    <x v="0"/>
    <x v="0"/>
    <x v="1"/>
  </r>
  <r>
    <s v="TX1000153"/>
    <x v="42"/>
    <x v="1"/>
    <d v="1899-12-30T02:48:51"/>
    <n v="162.4"/>
    <s v="USD"/>
    <s v="M1409"/>
    <x v="2"/>
    <s v="Spain"/>
    <s v="C64249"/>
    <n v="29"/>
    <s v="F"/>
    <x v="9"/>
    <x v="3"/>
    <s v="Y"/>
    <s v="Success"/>
    <x v="0"/>
    <x v="0"/>
    <x v="1"/>
  </r>
  <r>
    <s v="TX1000477"/>
    <x v="124"/>
    <x v="4"/>
    <d v="1899-12-30T11:02:44"/>
    <n v="162.37"/>
    <s v="USD"/>
    <s v="M1716"/>
    <x v="0"/>
    <s v="Canada"/>
    <s v="C98701"/>
    <n v="34"/>
    <s v="M"/>
    <x v="10"/>
    <x v="1"/>
    <s v="Y"/>
    <s v="Success"/>
    <x v="0"/>
    <x v="0"/>
    <x v="1"/>
  </r>
  <r>
    <s v="TX1001722"/>
    <x v="70"/>
    <x v="5"/>
    <d v="1899-12-30T02:40:19"/>
    <n v="162.36000000000001"/>
    <s v="USD"/>
    <s v="M1876"/>
    <x v="5"/>
    <s v="United States"/>
    <s v="C97205"/>
    <n v="21"/>
    <s v="Other"/>
    <x v="6"/>
    <x v="0"/>
    <s v="Y"/>
    <s v="Success"/>
    <x v="0"/>
    <x v="0"/>
    <x v="0"/>
  </r>
  <r>
    <s v="TX1001434"/>
    <x v="92"/>
    <x v="0"/>
    <d v="1899-12-30T02:48:45"/>
    <n v="162.33000000000001"/>
    <s v="USD"/>
    <s v="M1287"/>
    <x v="5"/>
    <s v="Nigeria"/>
    <s v="C91590"/>
    <n v="49"/>
    <s v="Other"/>
    <x v="14"/>
    <x v="4"/>
    <s v="Y"/>
    <s v="Success"/>
    <x v="0"/>
    <x v="0"/>
    <x v="2"/>
  </r>
  <r>
    <s v="TX1001702"/>
    <x v="27"/>
    <x v="5"/>
    <d v="1899-12-30T23:17:43"/>
    <n v="162.1"/>
    <s v="USD"/>
    <s v="M1400"/>
    <x v="4"/>
    <s v="Nigeria"/>
    <s v="C75771"/>
    <n v="37"/>
    <s v="F"/>
    <x v="5"/>
    <x v="0"/>
    <s v="Y"/>
    <s v="Success"/>
    <x v="0"/>
    <x v="0"/>
    <x v="1"/>
  </r>
  <r>
    <s v="TX1000018"/>
    <x v="171"/>
    <x v="1"/>
    <d v="1899-12-30T00:43:43"/>
    <n v="162.09"/>
    <s v="USD"/>
    <s v="M1904"/>
    <x v="9"/>
    <s v="United Kingdom"/>
    <s v="C63505"/>
    <n v="61"/>
    <s v="Other"/>
    <x v="9"/>
    <x v="4"/>
    <s v="Y"/>
    <s v="Success"/>
    <x v="0"/>
    <x v="0"/>
    <x v="3"/>
  </r>
  <r>
    <s v="TX1002014"/>
    <x v="126"/>
    <x v="2"/>
    <d v="1899-12-30T23:48:57"/>
    <n v="162.05000000000001"/>
    <s v="USD"/>
    <s v="M1870"/>
    <x v="5"/>
    <s v="United Kingdom"/>
    <s v="C50990"/>
    <n v="64"/>
    <s v="Other"/>
    <x v="3"/>
    <x v="5"/>
    <s v="Y"/>
    <s v="Success"/>
    <x v="0"/>
    <x v="0"/>
    <x v="3"/>
  </r>
  <r>
    <s v="TX1002770"/>
    <x v="169"/>
    <x v="3"/>
    <d v="1899-12-30T03:00:24"/>
    <n v="162.01"/>
    <s v="USD"/>
    <s v="M1391"/>
    <x v="6"/>
    <s v="United Kingdom"/>
    <s v="C59876"/>
    <n v="44"/>
    <s v="Other"/>
    <x v="9"/>
    <x v="1"/>
    <s v="Y"/>
    <s v="Success"/>
    <x v="0"/>
    <x v="0"/>
    <x v="2"/>
  </r>
  <r>
    <s v="TX1001225"/>
    <x v="81"/>
    <x v="0"/>
    <d v="1899-12-30T20:56:07"/>
    <n v="161.97"/>
    <s v="USD"/>
    <s v="M1238"/>
    <x v="8"/>
    <s v="South Africa"/>
    <s v="C58398"/>
    <n v="65"/>
    <s v="F"/>
    <x v="10"/>
    <x v="5"/>
    <s v="N"/>
    <s v="Success"/>
    <x v="0"/>
    <x v="0"/>
    <x v="3"/>
  </r>
  <r>
    <s v="TX1000062"/>
    <x v="85"/>
    <x v="1"/>
    <d v="1899-12-30T16:22:16"/>
    <n v="161.97"/>
    <s v="USD"/>
    <s v="M1964"/>
    <x v="1"/>
    <s v="Kenya"/>
    <s v="C61009"/>
    <n v="49"/>
    <s v="M"/>
    <x v="13"/>
    <x v="3"/>
    <s v="Y"/>
    <s v="Success"/>
    <x v="0"/>
    <x v="0"/>
    <x v="2"/>
  </r>
  <r>
    <s v="TX1000957"/>
    <x v="16"/>
    <x v="0"/>
    <d v="1899-12-30T02:10:54"/>
    <n v="161.9"/>
    <s v="USD"/>
    <s v="M1802"/>
    <x v="6"/>
    <s v="Australia"/>
    <s v="C62690"/>
    <n v="36"/>
    <s v="M"/>
    <x v="13"/>
    <x v="5"/>
    <s v="Y"/>
    <s v="Success"/>
    <x v="0"/>
    <x v="0"/>
    <x v="1"/>
  </r>
  <r>
    <s v="TX1000444"/>
    <x v="151"/>
    <x v="1"/>
    <d v="1899-12-30T06:24:37"/>
    <n v="161.80000000000001"/>
    <s v="USD"/>
    <s v="M1520"/>
    <x v="2"/>
    <s v="Netherlands"/>
    <s v="C72547"/>
    <n v="60"/>
    <s v="Other"/>
    <x v="5"/>
    <x v="2"/>
    <s v="Y"/>
    <s v="Success"/>
    <x v="0"/>
    <x v="0"/>
    <x v="3"/>
  </r>
  <r>
    <s v="TX1000757"/>
    <x v="10"/>
    <x v="4"/>
    <d v="1899-12-30T12:13:05"/>
    <n v="161.59"/>
    <s v="USD"/>
    <s v="M1994"/>
    <x v="2"/>
    <s v="Germany"/>
    <s v="C61726"/>
    <n v="61"/>
    <s v="F"/>
    <x v="4"/>
    <x v="3"/>
    <s v="Y"/>
    <s v="Success"/>
    <x v="0"/>
    <x v="0"/>
    <x v="3"/>
  </r>
  <r>
    <s v="TX1002089"/>
    <x v="140"/>
    <x v="2"/>
    <d v="1899-12-30T23:23:54"/>
    <n v="161.58000000000001"/>
    <s v="USD"/>
    <s v="M1498"/>
    <x v="4"/>
    <s v="Netherlands"/>
    <s v="C73124"/>
    <n v="24"/>
    <s v="Other"/>
    <x v="4"/>
    <x v="0"/>
    <s v="Y"/>
    <s v="Success"/>
    <x v="0"/>
    <x v="0"/>
    <x v="0"/>
  </r>
  <r>
    <s v="TX1000645"/>
    <x v="20"/>
    <x v="4"/>
    <d v="1899-12-30T11:08:34"/>
    <n v="161.51"/>
    <s v="USD"/>
    <s v="M1018"/>
    <x v="2"/>
    <s v="Sweden"/>
    <s v="C55663"/>
    <n v="51"/>
    <s v="Other"/>
    <x v="3"/>
    <x v="5"/>
    <s v="Y"/>
    <s v="Success"/>
    <x v="0"/>
    <x v="0"/>
    <x v="2"/>
  </r>
  <r>
    <s v="TX1001686"/>
    <x v="134"/>
    <x v="5"/>
    <d v="1899-12-30T22:50:43"/>
    <n v="161.38"/>
    <s v="USD"/>
    <s v="M1790"/>
    <x v="7"/>
    <s v="India"/>
    <s v="C53311"/>
    <n v="41"/>
    <s v="M"/>
    <x v="11"/>
    <x v="4"/>
    <s v="Y"/>
    <s v="Success"/>
    <x v="0"/>
    <x v="0"/>
    <x v="2"/>
  </r>
  <r>
    <s v="TX1000943"/>
    <x v="164"/>
    <x v="4"/>
    <d v="1899-12-30T03:27:48"/>
    <n v="161.30000000000001"/>
    <s v="USD"/>
    <s v="M1656"/>
    <x v="6"/>
    <s v="South Africa"/>
    <s v="C93553"/>
    <n v="37"/>
    <s v="M"/>
    <x v="3"/>
    <x v="4"/>
    <s v="Y"/>
    <s v="Success"/>
    <x v="0"/>
    <x v="0"/>
    <x v="1"/>
  </r>
  <r>
    <s v="TX1000000"/>
    <x v="177"/>
    <x v="1"/>
    <d v="1899-12-30T14:35:47"/>
    <n v="161.13"/>
    <s v="USD"/>
    <s v="M1074"/>
    <x v="9"/>
    <s v="United States"/>
    <s v="C78809"/>
    <n v="27"/>
    <s v="F"/>
    <x v="9"/>
    <x v="3"/>
    <s v="Y"/>
    <s v="Success"/>
    <x v="0"/>
    <x v="0"/>
    <x v="1"/>
  </r>
  <r>
    <s v="TX1002594"/>
    <x v="103"/>
    <x v="3"/>
    <d v="1899-12-30T23:17:00"/>
    <n v="160.97999999999999"/>
    <s v="USD"/>
    <s v="M1967"/>
    <x v="1"/>
    <s v="Australia"/>
    <s v="C90223"/>
    <n v="64"/>
    <s v="Other"/>
    <x v="3"/>
    <x v="4"/>
    <s v="Y"/>
    <s v="Success"/>
    <x v="1"/>
    <x v="1"/>
    <x v="3"/>
  </r>
  <r>
    <s v="TX1002313"/>
    <x v="97"/>
    <x v="2"/>
    <d v="1899-12-30T07:12:34"/>
    <n v="160.88999999999999"/>
    <s v="USD"/>
    <s v="M1731"/>
    <x v="2"/>
    <s v="Australia"/>
    <s v="C88889"/>
    <n v="75"/>
    <s v="M"/>
    <x v="1"/>
    <x v="4"/>
    <s v="Y"/>
    <s v="Success"/>
    <x v="0"/>
    <x v="0"/>
    <x v="3"/>
  </r>
  <r>
    <s v="TX1002031"/>
    <x v="138"/>
    <x v="2"/>
    <d v="1899-12-30T02:07:41"/>
    <n v="160.79"/>
    <s v="USD"/>
    <s v="M1462"/>
    <x v="1"/>
    <s v="Nigeria"/>
    <s v="C51660"/>
    <n v="74"/>
    <s v="Other"/>
    <x v="14"/>
    <x v="1"/>
    <s v="Y"/>
    <s v="Success"/>
    <x v="0"/>
    <x v="0"/>
    <x v="3"/>
  </r>
  <r>
    <s v="TX1002954"/>
    <x v="118"/>
    <x v="3"/>
    <d v="1899-12-30T08:55:53"/>
    <n v="160.72999999999999"/>
    <s v="USD"/>
    <s v="M1308"/>
    <x v="8"/>
    <s v="United Kingdom"/>
    <s v="C78502"/>
    <n v="45"/>
    <s v="Other"/>
    <x v="12"/>
    <x v="0"/>
    <s v="Y"/>
    <s v="Success"/>
    <x v="0"/>
    <x v="0"/>
    <x v="2"/>
  </r>
  <r>
    <s v="TX1002530"/>
    <x v="23"/>
    <x v="3"/>
    <d v="1899-12-30T06:00:50"/>
    <n v="160.62"/>
    <s v="USD"/>
    <s v="M1911"/>
    <x v="9"/>
    <s v="South Africa"/>
    <s v="C55145"/>
    <n v="60"/>
    <s v="M"/>
    <x v="5"/>
    <x v="5"/>
    <s v="Y"/>
    <s v="Success"/>
    <x v="1"/>
    <x v="1"/>
    <x v="3"/>
  </r>
  <r>
    <s v="TX1002388"/>
    <x v="82"/>
    <x v="2"/>
    <d v="1899-12-30T09:29:18"/>
    <n v="160.54"/>
    <s v="USD"/>
    <s v="M1087"/>
    <x v="1"/>
    <s v="Nigeria"/>
    <s v="C86962"/>
    <n v="53"/>
    <s v="M"/>
    <x v="2"/>
    <x v="2"/>
    <s v="Y"/>
    <s v="Success"/>
    <x v="0"/>
    <x v="0"/>
    <x v="2"/>
  </r>
  <r>
    <s v="TX1002183"/>
    <x v="112"/>
    <x v="2"/>
    <d v="1899-12-30T15:45:11"/>
    <n v="160.52000000000001"/>
    <s v="USD"/>
    <s v="M1313"/>
    <x v="5"/>
    <s v="Nigeria"/>
    <s v="C62646"/>
    <n v="50"/>
    <s v="Other"/>
    <x v="4"/>
    <x v="5"/>
    <s v="Y"/>
    <s v="Success"/>
    <x v="0"/>
    <x v="0"/>
    <x v="2"/>
  </r>
  <r>
    <s v="TX1001197"/>
    <x v="107"/>
    <x v="0"/>
    <d v="1899-12-30T07:35:26"/>
    <n v="160.51"/>
    <s v="USD"/>
    <s v="M1981"/>
    <x v="9"/>
    <s v="Norway"/>
    <s v="C58523"/>
    <n v="33"/>
    <s v="Other"/>
    <x v="2"/>
    <x v="3"/>
    <s v="Y"/>
    <s v="Success"/>
    <x v="0"/>
    <x v="0"/>
    <x v="1"/>
  </r>
  <r>
    <s v="TX1000627"/>
    <x v="65"/>
    <x v="4"/>
    <d v="1899-12-30T07:21:48"/>
    <n v="160.44"/>
    <s v="USD"/>
    <s v="M1776"/>
    <x v="1"/>
    <s v="Nigeria"/>
    <s v="C83683"/>
    <n v="54"/>
    <s v="Other"/>
    <x v="6"/>
    <x v="5"/>
    <s v="Y"/>
    <s v="Success"/>
    <x v="0"/>
    <x v="0"/>
    <x v="2"/>
  </r>
  <r>
    <s v="TX1001889"/>
    <x v="53"/>
    <x v="5"/>
    <d v="1899-12-30T15:59:09"/>
    <n v="160.31"/>
    <s v="USD"/>
    <s v="M1980"/>
    <x v="1"/>
    <s v="Sweden"/>
    <s v="C65984"/>
    <n v="48"/>
    <s v="F"/>
    <x v="4"/>
    <x v="1"/>
    <s v="N"/>
    <s v="Success"/>
    <x v="0"/>
    <x v="0"/>
    <x v="2"/>
  </r>
  <r>
    <s v="TX1000343"/>
    <x v="43"/>
    <x v="1"/>
    <d v="1899-12-30T13:02:20"/>
    <n v="160.30000000000001"/>
    <s v="USD"/>
    <s v="M1131"/>
    <x v="2"/>
    <s v="United Kingdom"/>
    <s v="C92771"/>
    <n v="20"/>
    <s v="M"/>
    <x v="6"/>
    <x v="0"/>
    <s v="Y"/>
    <s v="Success"/>
    <x v="0"/>
    <x v="0"/>
    <x v="0"/>
  </r>
  <r>
    <s v="TX1001906"/>
    <x v="147"/>
    <x v="5"/>
    <d v="1899-12-30T19:23:20"/>
    <n v="160.27000000000001"/>
    <s v="USD"/>
    <s v="M1080"/>
    <x v="2"/>
    <s v="United Kingdom"/>
    <s v="C74250"/>
    <n v="74"/>
    <s v="M"/>
    <x v="8"/>
    <x v="1"/>
    <s v="Y"/>
    <s v="Success"/>
    <x v="0"/>
    <x v="0"/>
    <x v="3"/>
  </r>
  <r>
    <s v="TX1001408"/>
    <x v="60"/>
    <x v="0"/>
    <d v="1899-12-30T22:08:52"/>
    <n v="160.02000000000001"/>
    <s v="USD"/>
    <s v="M1796"/>
    <x v="1"/>
    <s v="Germany"/>
    <s v="C68698"/>
    <n v="30"/>
    <s v="Other"/>
    <x v="0"/>
    <x v="3"/>
    <s v="Y"/>
    <s v="Success"/>
    <x v="0"/>
    <x v="0"/>
    <x v="1"/>
  </r>
  <r>
    <s v="TX1001122"/>
    <x v="168"/>
    <x v="0"/>
    <d v="1899-12-30T20:01:10"/>
    <n v="159.97"/>
    <s v="USD"/>
    <s v="M1582"/>
    <x v="2"/>
    <s v="South Africa"/>
    <s v="C75256"/>
    <n v="30"/>
    <s v="Other"/>
    <x v="11"/>
    <x v="5"/>
    <s v="Y"/>
    <s v="Success"/>
    <x v="0"/>
    <x v="0"/>
    <x v="1"/>
  </r>
  <r>
    <s v="TX1001305"/>
    <x v="48"/>
    <x v="0"/>
    <d v="1899-12-30T07:12:42"/>
    <n v="159.88999999999999"/>
    <s v="USD"/>
    <s v="M1344"/>
    <x v="3"/>
    <s v="South Africa"/>
    <s v="C71450"/>
    <n v="33"/>
    <s v="M"/>
    <x v="5"/>
    <x v="5"/>
    <s v="Y"/>
    <s v="Success"/>
    <x v="0"/>
    <x v="0"/>
    <x v="1"/>
  </r>
  <r>
    <s v="TX1002048"/>
    <x v="138"/>
    <x v="2"/>
    <d v="1899-12-30T23:08:43"/>
    <n v="159.77000000000001"/>
    <s v="USD"/>
    <s v="M1559"/>
    <x v="3"/>
    <s v="Canada"/>
    <s v="C52030"/>
    <n v="56"/>
    <s v="Other"/>
    <x v="6"/>
    <x v="3"/>
    <s v="Y"/>
    <s v="Success"/>
    <x v="1"/>
    <x v="1"/>
    <x v="2"/>
  </r>
  <r>
    <s v="TX1002336"/>
    <x v="14"/>
    <x v="2"/>
    <d v="1899-12-30T00:26:21"/>
    <n v="159.72"/>
    <s v="USD"/>
    <s v="M1708"/>
    <x v="8"/>
    <s v="Kenya"/>
    <s v="C97715"/>
    <n v="18"/>
    <s v="M"/>
    <x v="12"/>
    <x v="3"/>
    <s v="Y"/>
    <s v="Success"/>
    <x v="0"/>
    <x v="0"/>
    <x v="0"/>
  </r>
  <r>
    <s v="TX1000326"/>
    <x v="95"/>
    <x v="1"/>
    <d v="1899-12-30T10:50:44"/>
    <n v="159.71"/>
    <s v="USD"/>
    <s v="M1214"/>
    <x v="4"/>
    <s v="Netherlands"/>
    <s v="C70191"/>
    <n v="45"/>
    <s v="M"/>
    <x v="9"/>
    <x v="2"/>
    <s v="Y"/>
    <s v="Success"/>
    <x v="0"/>
    <x v="0"/>
    <x v="2"/>
  </r>
  <r>
    <s v="TX1000511"/>
    <x v="63"/>
    <x v="4"/>
    <d v="1899-12-30T02:17:16"/>
    <n v="159.69999999999999"/>
    <s v="USD"/>
    <s v="M1280"/>
    <x v="7"/>
    <s v="India"/>
    <s v="C65934"/>
    <n v="55"/>
    <s v="F"/>
    <x v="1"/>
    <x v="3"/>
    <s v="Y"/>
    <s v="Success"/>
    <x v="0"/>
    <x v="0"/>
    <x v="2"/>
  </r>
  <r>
    <s v="TX1001251"/>
    <x v="76"/>
    <x v="0"/>
    <d v="1899-12-30T08:28:58"/>
    <n v="159.66"/>
    <s v="USD"/>
    <s v="M1782"/>
    <x v="5"/>
    <s v="India"/>
    <s v="C64013"/>
    <n v="19"/>
    <s v="Other"/>
    <x v="2"/>
    <x v="5"/>
    <s v="Y"/>
    <s v="Success"/>
    <x v="0"/>
    <x v="0"/>
    <x v="0"/>
  </r>
  <r>
    <s v="TX1002580"/>
    <x v="103"/>
    <x v="3"/>
    <d v="1899-12-30T04:48:20"/>
    <n v="159.51"/>
    <s v="USD"/>
    <s v="M1804"/>
    <x v="4"/>
    <s v="Sweden"/>
    <s v="C90585"/>
    <n v="39"/>
    <s v="M"/>
    <x v="8"/>
    <x v="1"/>
    <s v="Y"/>
    <s v="Success"/>
    <x v="0"/>
    <x v="0"/>
    <x v="1"/>
  </r>
  <r>
    <s v="TX1000973"/>
    <x v="102"/>
    <x v="0"/>
    <d v="1899-12-30T01:04:44"/>
    <n v="159.43"/>
    <s v="USD"/>
    <s v="M1261"/>
    <x v="1"/>
    <s v="Australia"/>
    <s v="C99863"/>
    <n v="67"/>
    <s v="Other"/>
    <x v="2"/>
    <x v="3"/>
    <s v="Y"/>
    <s v="Success"/>
    <x v="0"/>
    <x v="0"/>
    <x v="3"/>
  </r>
  <r>
    <s v="TX1002448"/>
    <x v="67"/>
    <x v="2"/>
    <d v="1899-12-30T19:17:41"/>
    <n v="159.27000000000001"/>
    <s v="USD"/>
    <s v="M1616"/>
    <x v="3"/>
    <s v="South Africa"/>
    <s v="C86129"/>
    <n v="52"/>
    <s v="M"/>
    <x v="11"/>
    <x v="2"/>
    <s v="Y"/>
    <s v="Success"/>
    <x v="0"/>
    <x v="0"/>
    <x v="2"/>
  </r>
  <r>
    <s v="TX1002861"/>
    <x v="87"/>
    <x v="3"/>
    <d v="1899-12-30T06:24:03"/>
    <n v="159.21"/>
    <s v="USD"/>
    <s v="M1968"/>
    <x v="7"/>
    <s v="Australia"/>
    <s v="C76571"/>
    <n v="68"/>
    <s v="F"/>
    <x v="0"/>
    <x v="4"/>
    <s v="Y"/>
    <s v="Success"/>
    <x v="0"/>
    <x v="0"/>
    <x v="3"/>
  </r>
  <r>
    <s v="TX1001080"/>
    <x v="59"/>
    <x v="0"/>
    <d v="1899-12-30T06:26:57"/>
    <n v="159.12"/>
    <s v="USD"/>
    <s v="M1845"/>
    <x v="2"/>
    <s v="Canada"/>
    <s v="C95308"/>
    <n v="73"/>
    <s v="F"/>
    <x v="10"/>
    <x v="0"/>
    <s v="Y"/>
    <s v="Success"/>
    <x v="0"/>
    <x v="0"/>
    <x v="3"/>
  </r>
  <r>
    <s v="TX1000885"/>
    <x v="51"/>
    <x v="4"/>
    <d v="1899-12-30T16:36:16"/>
    <n v="158.97999999999999"/>
    <s v="USD"/>
    <s v="M1927"/>
    <x v="5"/>
    <s v="Kenya"/>
    <s v="C89950"/>
    <n v="20"/>
    <s v="M"/>
    <x v="1"/>
    <x v="0"/>
    <s v="N"/>
    <s v="Success"/>
    <x v="0"/>
    <x v="0"/>
    <x v="0"/>
  </r>
  <r>
    <s v="TX1002877"/>
    <x v="144"/>
    <x v="3"/>
    <d v="1899-12-30T05:32:15"/>
    <n v="158.94"/>
    <s v="USD"/>
    <s v="M1026"/>
    <x v="7"/>
    <s v="India"/>
    <s v="C78374"/>
    <n v="58"/>
    <s v="F"/>
    <x v="8"/>
    <x v="4"/>
    <s v="Y"/>
    <s v="Success"/>
    <x v="0"/>
    <x v="0"/>
    <x v="2"/>
  </r>
  <r>
    <s v="TX1002592"/>
    <x v="103"/>
    <x v="3"/>
    <d v="1899-12-30T15:46:47"/>
    <n v="158.87"/>
    <s v="USD"/>
    <s v="M1572"/>
    <x v="4"/>
    <s v="Spain"/>
    <s v="C75437"/>
    <n v="43"/>
    <s v="Other"/>
    <x v="14"/>
    <x v="1"/>
    <s v="Y"/>
    <s v="Success"/>
    <x v="1"/>
    <x v="1"/>
    <x v="2"/>
  </r>
  <r>
    <s v="TX1001920"/>
    <x v="155"/>
    <x v="5"/>
    <d v="1899-12-30T08:55:41"/>
    <n v="158.63"/>
    <s v="USD"/>
    <s v="M1172"/>
    <x v="9"/>
    <s v="Netherlands"/>
    <s v="C92845"/>
    <n v="75"/>
    <s v="F"/>
    <x v="0"/>
    <x v="1"/>
    <s v="Y"/>
    <s v="Success"/>
    <x v="0"/>
    <x v="0"/>
    <x v="3"/>
  </r>
  <r>
    <s v="TX1001627"/>
    <x v="127"/>
    <x v="5"/>
    <d v="1899-12-30T23:48:43"/>
    <n v="158.61000000000001"/>
    <s v="USD"/>
    <s v="M1361"/>
    <x v="9"/>
    <s v="Canada"/>
    <s v="C60201"/>
    <n v="38"/>
    <s v="M"/>
    <x v="14"/>
    <x v="0"/>
    <s v="Y"/>
    <s v="Success"/>
    <x v="0"/>
    <x v="0"/>
    <x v="1"/>
  </r>
  <r>
    <s v="TX1001367"/>
    <x v="50"/>
    <x v="0"/>
    <d v="1899-12-30T21:06:10"/>
    <n v="158.57"/>
    <s v="USD"/>
    <s v="M1618"/>
    <x v="7"/>
    <s v="Australia"/>
    <s v="C86462"/>
    <n v="18"/>
    <s v="Other"/>
    <x v="6"/>
    <x v="2"/>
    <s v="Y"/>
    <s v="Success"/>
    <x v="1"/>
    <x v="1"/>
    <x v="0"/>
  </r>
  <r>
    <s v="TX1001784"/>
    <x v="26"/>
    <x v="5"/>
    <d v="1899-12-30T04:00:22"/>
    <n v="158.53"/>
    <s v="USD"/>
    <s v="M1770"/>
    <x v="1"/>
    <s v="Kenya"/>
    <s v="C75121"/>
    <n v="61"/>
    <s v="Other"/>
    <x v="5"/>
    <x v="0"/>
    <s v="Y"/>
    <s v="Success"/>
    <x v="0"/>
    <x v="0"/>
    <x v="3"/>
  </r>
  <r>
    <s v="TX1002346"/>
    <x v="14"/>
    <x v="2"/>
    <d v="1899-12-30T07:00:09"/>
    <n v="158.5"/>
    <s v="USD"/>
    <s v="M1099"/>
    <x v="4"/>
    <s v="United Kingdom"/>
    <s v="C63149"/>
    <n v="68"/>
    <s v="M"/>
    <x v="8"/>
    <x v="2"/>
    <s v="Y"/>
    <s v="Success"/>
    <x v="0"/>
    <x v="0"/>
    <x v="3"/>
  </r>
  <r>
    <s v="TX1000142"/>
    <x v="30"/>
    <x v="1"/>
    <d v="1899-12-30T12:27:38"/>
    <n v="158.49"/>
    <s v="USD"/>
    <s v="M1863"/>
    <x v="3"/>
    <s v="Kenya"/>
    <s v="C67465"/>
    <n v="30"/>
    <s v="F"/>
    <x v="9"/>
    <x v="2"/>
    <s v="Y"/>
    <s v="Success"/>
    <x v="0"/>
    <x v="0"/>
    <x v="1"/>
  </r>
  <r>
    <s v="TX1001867"/>
    <x v="117"/>
    <x v="5"/>
    <d v="1899-12-30T05:14:08"/>
    <n v="158.44"/>
    <s v="USD"/>
    <s v="M1193"/>
    <x v="3"/>
    <s v="United Kingdom"/>
    <s v="C70679"/>
    <n v="34"/>
    <s v="M"/>
    <x v="0"/>
    <x v="4"/>
    <s v="Y"/>
    <s v="Success"/>
    <x v="0"/>
    <x v="0"/>
    <x v="1"/>
  </r>
  <r>
    <s v="TX1002462"/>
    <x v="154"/>
    <x v="2"/>
    <d v="1899-12-30T11:05:02"/>
    <n v="158.38999999999999"/>
    <s v="USD"/>
    <s v="M1200"/>
    <x v="4"/>
    <s v="United States"/>
    <s v="C51677"/>
    <n v="60"/>
    <s v="F"/>
    <x v="7"/>
    <x v="3"/>
    <s v="Y"/>
    <s v="Success"/>
    <x v="0"/>
    <x v="0"/>
    <x v="3"/>
  </r>
  <r>
    <s v="TX1000503"/>
    <x v="57"/>
    <x v="4"/>
    <d v="1899-12-30T14:06:36"/>
    <n v="158.07"/>
    <s v="USD"/>
    <s v="M1470"/>
    <x v="2"/>
    <s v="Spain"/>
    <s v="C91853"/>
    <n v="68"/>
    <s v="Other"/>
    <x v="0"/>
    <x v="5"/>
    <s v="N"/>
    <s v="Success"/>
    <x v="0"/>
    <x v="0"/>
    <x v="3"/>
  </r>
  <r>
    <s v="TX1000797"/>
    <x v="110"/>
    <x v="4"/>
    <d v="1899-12-30T13:20:21"/>
    <n v="158.07"/>
    <s v="USD"/>
    <s v="M1876"/>
    <x v="7"/>
    <s v="India"/>
    <s v="C50998"/>
    <n v="75"/>
    <s v="F"/>
    <x v="9"/>
    <x v="3"/>
    <s v="Y"/>
    <s v="Success"/>
    <x v="0"/>
    <x v="0"/>
    <x v="3"/>
  </r>
  <r>
    <s v="TX1000346"/>
    <x v="43"/>
    <x v="1"/>
    <d v="1899-12-30T16:55:59"/>
    <n v="157.77000000000001"/>
    <s v="USD"/>
    <s v="M1253"/>
    <x v="7"/>
    <s v="Germany"/>
    <s v="C58167"/>
    <n v="39"/>
    <s v="Other"/>
    <x v="6"/>
    <x v="1"/>
    <s v="Y"/>
    <s v="Success"/>
    <x v="0"/>
    <x v="0"/>
    <x v="1"/>
  </r>
  <r>
    <s v="TX1000878"/>
    <x v="51"/>
    <x v="4"/>
    <d v="1899-12-30T13:10:02"/>
    <n v="157.31"/>
    <s v="USD"/>
    <s v="M1447"/>
    <x v="5"/>
    <s v="United States"/>
    <s v="C56316"/>
    <n v="38"/>
    <s v="M"/>
    <x v="10"/>
    <x v="4"/>
    <s v="Y"/>
    <s v="Success"/>
    <x v="0"/>
    <x v="0"/>
    <x v="1"/>
  </r>
  <r>
    <s v="TX1000030"/>
    <x v="109"/>
    <x v="1"/>
    <d v="1899-12-30T06:38:27"/>
    <n v="156.99"/>
    <s v="USD"/>
    <s v="M1398"/>
    <x v="5"/>
    <s v="France"/>
    <s v="C56982"/>
    <n v="66"/>
    <s v="F"/>
    <x v="6"/>
    <x v="5"/>
    <s v="Y"/>
    <s v="Success"/>
    <x v="0"/>
    <x v="0"/>
    <x v="3"/>
  </r>
  <r>
    <s v="TX1001157"/>
    <x v="40"/>
    <x v="0"/>
    <d v="1899-12-30T00:19:03"/>
    <n v="156.91999999999999"/>
    <s v="USD"/>
    <s v="M1603"/>
    <x v="2"/>
    <s v="Spain"/>
    <s v="C53880"/>
    <n v="45"/>
    <s v="M"/>
    <x v="1"/>
    <x v="5"/>
    <s v="Y"/>
    <s v="Success"/>
    <x v="1"/>
    <x v="1"/>
    <x v="2"/>
  </r>
  <r>
    <s v="TX1000703"/>
    <x v="62"/>
    <x v="4"/>
    <d v="1899-12-30T16:51:11"/>
    <n v="156.88999999999999"/>
    <s v="USD"/>
    <s v="M1129"/>
    <x v="9"/>
    <s v="Norway"/>
    <s v="C71684"/>
    <n v="32"/>
    <s v="Other"/>
    <x v="9"/>
    <x v="0"/>
    <s v="N"/>
    <s v="Success"/>
    <x v="0"/>
    <x v="0"/>
    <x v="1"/>
  </r>
  <r>
    <s v="TX1001072"/>
    <x v="47"/>
    <x v="0"/>
    <d v="1899-12-30T19:10:54"/>
    <n v="156.77000000000001"/>
    <s v="USD"/>
    <s v="M1869"/>
    <x v="2"/>
    <s v="Netherlands"/>
    <s v="C74305"/>
    <n v="35"/>
    <s v="F"/>
    <x v="13"/>
    <x v="3"/>
    <s v="Y"/>
    <s v="Success"/>
    <x v="0"/>
    <x v="0"/>
    <x v="1"/>
  </r>
  <r>
    <s v="TX1000347"/>
    <x v="43"/>
    <x v="1"/>
    <d v="1899-12-30T17:56:07"/>
    <n v="156.76"/>
    <s v="USD"/>
    <s v="M1539"/>
    <x v="8"/>
    <s v="Australia"/>
    <s v="C82087"/>
    <n v="36"/>
    <s v="Other"/>
    <x v="12"/>
    <x v="0"/>
    <s v="Y"/>
    <s v="Success"/>
    <x v="0"/>
    <x v="0"/>
    <x v="1"/>
  </r>
  <r>
    <s v="TX1001063"/>
    <x v="47"/>
    <x v="0"/>
    <d v="1899-12-30T04:55:01"/>
    <n v="156.55000000000001"/>
    <s v="USD"/>
    <s v="M1603"/>
    <x v="5"/>
    <s v="United Kingdom"/>
    <s v="C54163"/>
    <n v="55"/>
    <s v="F"/>
    <x v="12"/>
    <x v="5"/>
    <s v="Y"/>
    <s v="Success"/>
    <x v="0"/>
    <x v="0"/>
    <x v="2"/>
  </r>
  <r>
    <s v="TX1000656"/>
    <x v="17"/>
    <x v="4"/>
    <d v="1899-12-30T00:37:31"/>
    <n v="156.5"/>
    <s v="USD"/>
    <s v="M1536"/>
    <x v="8"/>
    <s v="United Kingdom"/>
    <s v="C77092"/>
    <n v="29"/>
    <s v="F"/>
    <x v="4"/>
    <x v="4"/>
    <s v="Y"/>
    <s v="Success"/>
    <x v="0"/>
    <x v="0"/>
    <x v="1"/>
  </r>
  <r>
    <s v="TX1000515"/>
    <x v="63"/>
    <x v="4"/>
    <d v="1899-12-30T04:55:28"/>
    <n v="156.34"/>
    <s v="USD"/>
    <s v="M1866"/>
    <x v="7"/>
    <s v="Australia"/>
    <s v="C80700"/>
    <n v="67"/>
    <s v="Other"/>
    <x v="13"/>
    <x v="1"/>
    <s v="Y"/>
    <s v="Success"/>
    <x v="0"/>
    <x v="0"/>
    <x v="3"/>
  </r>
  <r>
    <s v="TX1000685"/>
    <x v="113"/>
    <x v="4"/>
    <d v="1899-12-30T13:25:07"/>
    <n v="156.27000000000001"/>
    <s v="USD"/>
    <s v="M1243"/>
    <x v="1"/>
    <s v="Norway"/>
    <s v="C93719"/>
    <n v="44"/>
    <s v="M"/>
    <x v="11"/>
    <x v="5"/>
    <s v="Y"/>
    <s v="Success"/>
    <x v="0"/>
    <x v="0"/>
    <x v="2"/>
  </r>
  <r>
    <s v="TX1001105"/>
    <x v="129"/>
    <x v="0"/>
    <d v="1899-12-30T15:43:24"/>
    <n v="156.15"/>
    <s v="USD"/>
    <s v="M1139"/>
    <x v="6"/>
    <s v="India"/>
    <s v="C75235"/>
    <n v="52"/>
    <s v="M"/>
    <x v="12"/>
    <x v="1"/>
    <s v="Y"/>
    <s v="Success"/>
    <x v="0"/>
    <x v="0"/>
    <x v="2"/>
  </r>
  <r>
    <s v="TX1000057"/>
    <x v="85"/>
    <x v="1"/>
    <d v="1899-12-30T12:50:56"/>
    <n v="155.4"/>
    <s v="USD"/>
    <s v="M1815"/>
    <x v="6"/>
    <s v="United States"/>
    <s v="C50417"/>
    <n v="58"/>
    <s v="Other"/>
    <x v="0"/>
    <x v="4"/>
    <s v="Y"/>
    <s v="Success"/>
    <x v="0"/>
    <x v="0"/>
    <x v="2"/>
  </r>
  <r>
    <s v="TX1002526"/>
    <x v="23"/>
    <x v="3"/>
    <d v="1899-12-30T03:41:55"/>
    <n v="155.37"/>
    <s v="USD"/>
    <s v="M1836"/>
    <x v="5"/>
    <s v="France"/>
    <s v="C99272"/>
    <n v="31"/>
    <s v="M"/>
    <x v="3"/>
    <x v="0"/>
    <s v="Y"/>
    <s v="Success"/>
    <x v="0"/>
    <x v="0"/>
    <x v="1"/>
  </r>
  <r>
    <s v="TX1000821"/>
    <x v="91"/>
    <x v="4"/>
    <d v="1899-12-30T21:10:15"/>
    <n v="155.34"/>
    <s v="USD"/>
    <s v="M1738"/>
    <x v="9"/>
    <s v="Australia"/>
    <s v="C92262"/>
    <n v="68"/>
    <s v="M"/>
    <x v="2"/>
    <x v="5"/>
    <s v="Y"/>
    <s v="Success"/>
    <x v="0"/>
    <x v="0"/>
    <x v="3"/>
  </r>
  <r>
    <s v="TX1000993"/>
    <x v="35"/>
    <x v="0"/>
    <d v="1899-12-30T01:02:24"/>
    <n v="155.32"/>
    <s v="USD"/>
    <s v="M1599"/>
    <x v="7"/>
    <s v="United States"/>
    <s v="C74433"/>
    <n v="72"/>
    <s v="Other"/>
    <x v="0"/>
    <x v="5"/>
    <s v="Y"/>
    <s v="Success"/>
    <x v="0"/>
    <x v="0"/>
    <x v="3"/>
  </r>
  <r>
    <s v="TX1002690"/>
    <x v="89"/>
    <x v="3"/>
    <d v="1899-12-30T14:16:19"/>
    <n v="155.16"/>
    <s v="USD"/>
    <s v="M1667"/>
    <x v="5"/>
    <s v="Kenya"/>
    <s v="C83553"/>
    <n v="71"/>
    <s v="M"/>
    <x v="12"/>
    <x v="3"/>
    <s v="Y"/>
    <s v="Success"/>
    <x v="1"/>
    <x v="1"/>
    <x v="3"/>
  </r>
  <r>
    <s v="TX1001359"/>
    <x v="50"/>
    <x v="0"/>
    <d v="1899-12-30T09:27:38"/>
    <n v="154.88"/>
    <s v="USD"/>
    <s v="M1658"/>
    <x v="1"/>
    <s v="Kenya"/>
    <s v="C97271"/>
    <n v="20"/>
    <s v="M"/>
    <x v="11"/>
    <x v="0"/>
    <s v="Y"/>
    <s v="Success"/>
    <x v="0"/>
    <x v="0"/>
    <x v="0"/>
  </r>
  <r>
    <s v="TX1001490"/>
    <x v="0"/>
    <x v="0"/>
    <d v="1899-12-30T20:54:42"/>
    <n v="154.80000000000001"/>
    <s v="USD"/>
    <s v="M1235"/>
    <x v="0"/>
    <s v="United Kingdom"/>
    <s v="C63023"/>
    <n v="30"/>
    <s v="M"/>
    <x v="8"/>
    <x v="0"/>
    <s v="Y"/>
    <s v="Success"/>
    <x v="0"/>
    <x v="0"/>
    <x v="1"/>
  </r>
  <r>
    <s v="TX1000406"/>
    <x v="149"/>
    <x v="1"/>
    <d v="1899-12-30T00:58:45"/>
    <n v="154.76"/>
    <s v="USD"/>
    <s v="M1784"/>
    <x v="8"/>
    <s v="Netherlands"/>
    <s v="C55426"/>
    <n v="59"/>
    <s v="Other"/>
    <x v="9"/>
    <x v="5"/>
    <s v="Y"/>
    <s v="Success"/>
    <x v="1"/>
    <x v="1"/>
    <x v="2"/>
  </r>
  <r>
    <s v="TX1000776"/>
    <x v="18"/>
    <x v="4"/>
    <d v="1899-12-30T15:16:26"/>
    <n v="154.71"/>
    <s v="USD"/>
    <s v="M1015"/>
    <x v="5"/>
    <s v="Sweden"/>
    <s v="C86811"/>
    <n v="36"/>
    <s v="Other"/>
    <x v="5"/>
    <x v="2"/>
    <s v="Y"/>
    <s v="Success"/>
    <x v="1"/>
    <x v="1"/>
    <x v="1"/>
  </r>
  <r>
    <s v="TX1002160"/>
    <x v="2"/>
    <x v="2"/>
    <d v="1899-12-30T10:58:57"/>
    <n v="154.46"/>
    <s v="USD"/>
    <s v="M1865"/>
    <x v="9"/>
    <s v="Canada"/>
    <s v="C71580"/>
    <n v="56"/>
    <s v="F"/>
    <x v="10"/>
    <x v="2"/>
    <s v="Y"/>
    <s v="Success"/>
    <x v="0"/>
    <x v="0"/>
    <x v="2"/>
  </r>
  <r>
    <s v="TX1002259"/>
    <x v="69"/>
    <x v="2"/>
    <d v="1899-12-30T21:58:39"/>
    <n v="154.41999999999999"/>
    <s v="USD"/>
    <s v="M1878"/>
    <x v="8"/>
    <s v="Sweden"/>
    <s v="C88119"/>
    <n v="33"/>
    <s v="F"/>
    <x v="0"/>
    <x v="4"/>
    <s v="Y"/>
    <s v="Success"/>
    <x v="0"/>
    <x v="0"/>
    <x v="1"/>
  </r>
  <r>
    <s v="TX1000588"/>
    <x v="153"/>
    <x v="4"/>
    <d v="1899-12-30T14:42:42"/>
    <n v="154.22999999999999"/>
    <s v="USD"/>
    <s v="M1115"/>
    <x v="9"/>
    <s v="Nigeria"/>
    <s v="C56994"/>
    <n v="54"/>
    <s v="Other"/>
    <x v="8"/>
    <x v="1"/>
    <s v="Y"/>
    <s v="Success"/>
    <x v="0"/>
    <x v="0"/>
    <x v="2"/>
  </r>
  <r>
    <s v="TX1001498"/>
    <x v="98"/>
    <x v="5"/>
    <d v="1899-12-30T06:59:36"/>
    <n v="153.99"/>
    <s v="USD"/>
    <s v="M1886"/>
    <x v="5"/>
    <s v="Poland"/>
    <s v="C68661"/>
    <n v="14"/>
    <s v="F"/>
    <x v="7"/>
    <x v="5"/>
    <s v="Y"/>
    <s v="Success"/>
    <x v="0"/>
    <x v="0"/>
    <x v="0"/>
  </r>
  <r>
    <s v="TX1002668"/>
    <x v="132"/>
    <x v="3"/>
    <d v="1899-12-30T21:39:55"/>
    <n v="153.88"/>
    <s v="USD"/>
    <s v="M1351"/>
    <x v="8"/>
    <s v="United Kingdom"/>
    <s v="C71869"/>
    <n v="68"/>
    <s v="M"/>
    <x v="8"/>
    <x v="4"/>
    <s v="Y"/>
    <s v="Success"/>
    <x v="0"/>
    <x v="0"/>
    <x v="3"/>
  </r>
  <r>
    <s v="TX1002520"/>
    <x v="9"/>
    <x v="2"/>
    <d v="1899-12-30T16:40:05"/>
    <n v="153.80000000000001"/>
    <s v="USD"/>
    <s v="M1255"/>
    <x v="1"/>
    <s v="Netherlands"/>
    <s v="C77558"/>
    <n v="64"/>
    <s v="Other"/>
    <x v="0"/>
    <x v="1"/>
    <s v="Y"/>
    <s v="Success"/>
    <x v="0"/>
    <x v="0"/>
    <x v="3"/>
  </r>
  <r>
    <s v="TX1001606"/>
    <x v="66"/>
    <x v="5"/>
    <d v="1899-12-30T11:17:27"/>
    <n v="153.66999999999999"/>
    <s v="USD"/>
    <s v="M1315"/>
    <x v="6"/>
    <s v="Poland"/>
    <s v="C86270"/>
    <n v="61"/>
    <s v="Other"/>
    <x v="12"/>
    <x v="2"/>
    <s v="Y"/>
    <s v="Success"/>
    <x v="0"/>
    <x v="0"/>
    <x v="3"/>
  </r>
  <r>
    <s v="TX1000052"/>
    <x v="85"/>
    <x v="1"/>
    <d v="1899-12-30T06:32:07"/>
    <n v="153.65"/>
    <s v="USD"/>
    <s v="M1655"/>
    <x v="0"/>
    <s v="Canada"/>
    <s v="C90373"/>
    <n v="31"/>
    <s v="M"/>
    <x v="3"/>
    <x v="1"/>
    <s v="N"/>
    <s v="Success"/>
    <x v="0"/>
    <x v="0"/>
    <x v="1"/>
  </r>
  <r>
    <s v="TX1000042"/>
    <x v="167"/>
    <x v="1"/>
    <d v="1899-12-30T07:28:22"/>
    <n v="153.41999999999999"/>
    <s v="USD"/>
    <s v="M1116"/>
    <x v="8"/>
    <s v="Sweden"/>
    <s v="C85593"/>
    <n v="20"/>
    <s v="Other"/>
    <x v="10"/>
    <x v="0"/>
    <s v="Y"/>
    <s v="Success"/>
    <x v="0"/>
    <x v="0"/>
    <x v="0"/>
  </r>
  <r>
    <s v="TX1001073"/>
    <x v="47"/>
    <x v="0"/>
    <d v="1899-12-30T20:25:35"/>
    <n v="153.41"/>
    <s v="USD"/>
    <s v="M1255"/>
    <x v="3"/>
    <s v="Germany"/>
    <s v="C63274"/>
    <n v="49"/>
    <s v="Other"/>
    <x v="5"/>
    <x v="1"/>
    <s v="Y"/>
    <s v="Success"/>
    <x v="0"/>
    <x v="0"/>
    <x v="2"/>
  </r>
  <r>
    <s v="TX1001407"/>
    <x v="60"/>
    <x v="0"/>
    <d v="1899-12-30T22:01:33"/>
    <n v="153.41"/>
    <s v="USD"/>
    <s v="M1472"/>
    <x v="9"/>
    <s v="Kenya"/>
    <s v="C82319"/>
    <n v="18"/>
    <s v="M"/>
    <x v="7"/>
    <x v="2"/>
    <s v="Y"/>
    <s v="Success"/>
    <x v="0"/>
    <x v="0"/>
    <x v="0"/>
  </r>
  <r>
    <s v="TX1000375"/>
    <x v="56"/>
    <x v="1"/>
    <d v="1899-12-30T01:51:55"/>
    <n v="153.32"/>
    <s v="USD"/>
    <s v="M1540"/>
    <x v="8"/>
    <s v="South Africa"/>
    <s v="C76969"/>
    <n v="18"/>
    <s v="F"/>
    <x v="6"/>
    <x v="5"/>
    <s v="Y"/>
    <s v="Success"/>
    <x v="0"/>
    <x v="0"/>
    <x v="0"/>
  </r>
  <r>
    <s v="TX1002634"/>
    <x v="11"/>
    <x v="3"/>
    <d v="1899-12-30T07:54:48"/>
    <n v="153.29"/>
    <s v="USD"/>
    <s v="M1275"/>
    <x v="8"/>
    <s v="Poland"/>
    <s v="C87362"/>
    <n v="33"/>
    <s v="Other"/>
    <x v="1"/>
    <x v="2"/>
    <s v="Y"/>
    <s v="Success"/>
    <x v="0"/>
    <x v="0"/>
    <x v="1"/>
  </r>
  <r>
    <s v="TX1001675"/>
    <x v="134"/>
    <x v="5"/>
    <d v="1899-12-30T04:19:10"/>
    <n v="153.21"/>
    <s v="USD"/>
    <s v="M1029"/>
    <x v="5"/>
    <s v="France"/>
    <s v="C82696"/>
    <n v="59"/>
    <s v="Other"/>
    <x v="9"/>
    <x v="5"/>
    <s v="Y"/>
    <s v="Success"/>
    <x v="0"/>
    <x v="0"/>
    <x v="2"/>
  </r>
  <r>
    <s v="TX1000857"/>
    <x v="12"/>
    <x v="4"/>
    <d v="1899-12-30T13:59:11"/>
    <n v="153.03"/>
    <s v="USD"/>
    <s v="M1441"/>
    <x v="4"/>
    <s v="India"/>
    <s v="C71969"/>
    <n v="60"/>
    <s v="Other"/>
    <x v="2"/>
    <x v="4"/>
    <s v="Y"/>
    <s v="Success"/>
    <x v="1"/>
    <x v="1"/>
    <x v="3"/>
  </r>
  <r>
    <s v="TX1002038"/>
    <x v="138"/>
    <x v="2"/>
    <d v="1899-12-30T11:44:44"/>
    <n v="152.86000000000001"/>
    <s v="USD"/>
    <s v="M1585"/>
    <x v="4"/>
    <s v="Kenya"/>
    <s v="C51879"/>
    <n v="44"/>
    <s v="Other"/>
    <x v="9"/>
    <x v="4"/>
    <s v="Y"/>
    <s v="Success"/>
    <x v="0"/>
    <x v="0"/>
    <x v="2"/>
  </r>
  <r>
    <s v="TX1000482"/>
    <x v="124"/>
    <x v="4"/>
    <d v="1899-12-30T19:37:35"/>
    <n v="152.85"/>
    <s v="USD"/>
    <s v="M1791"/>
    <x v="5"/>
    <s v="Spain"/>
    <s v="C68559"/>
    <n v="43"/>
    <s v="Other"/>
    <x v="6"/>
    <x v="1"/>
    <s v="Y"/>
    <s v="Success"/>
    <x v="0"/>
    <x v="0"/>
    <x v="2"/>
  </r>
  <r>
    <s v="TX1001958"/>
    <x v="78"/>
    <x v="5"/>
    <d v="1899-12-30T18:15:08"/>
    <n v="152.83000000000001"/>
    <s v="USD"/>
    <s v="M1342"/>
    <x v="1"/>
    <s v="United States"/>
    <s v="C50217"/>
    <n v="34"/>
    <s v="Other"/>
    <x v="10"/>
    <x v="4"/>
    <s v="Y"/>
    <s v="Success"/>
    <x v="0"/>
    <x v="0"/>
    <x v="1"/>
  </r>
  <r>
    <s v="TX1001044"/>
    <x v="104"/>
    <x v="0"/>
    <d v="1899-12-30T05:19:29"/>
    <n v="152.82"/>
    <s v="USD"/>
    <s v="M1893"/>
    <x v="0"/>
    <s v="Poland"/>
    <s v="C91796"/>
    <n v="69"/>
    <s v="F"/>
    <x v="10"/>
    <x v="0"/>
    <s v="Y"/>
    <s v="Success"/>
    <x v="0"/>
    <x v="0"/>
    <x v="3"/>
  </r>
  <r>
    <s v="TX1000145"/>
    <x v="30"/>
    <x v="1"/>
    <d v="1899-12-30T15:52:48"/>
    <n v="152.15"/>
    <s v="USD"/>
    <s v="M1364"/>
    <x v="3"/>
    <s v="Netherlands"/>
    <s v="C85150"/>
    <n v="53"/>
    <s v="Other"/>
    <x v="4"/>
    <x v="1"/>
    <s v="Y"/>
    <s v="Success"/>
    <x v="0"/>
    <x v="0"/>
    <x v="2"/>
  </r>
  <r>
    <s v="TX1001548"/>
    <x v="145"/>
    <x v="5"/>
    <d v="1899-12-30T03:35:29"/>
    <n v="152.04"/>
    <s v="USD"/>
    <s v="M1944"/>
    <x v="2"/>
    <s v="Poland"/>
    <s v="C67864"/>
    <n v="22"/>
    <s v="M"/>
    <x v="12"/>
    <x v="5"/>
    <s v="Y"/>
    <s v="Success"/>
    <x v="0"/>
    <x v="0"/>
    <x v="0"/>
  </r>
  <r>
    <s v="TX1001345"/>
    <x v="74"/>
    <x v="0"/>
    <d v="1899-12-30T16:03:44"/>
    <n v="151.96"/>
    <s v="USD"/>
    <s v="M1452"/>
    <x v="8"/>
    <s v="France"/>
    <s v="C94749"/>
    <n v="108"/>
    <s v="F"/>
    <x v="3"/>
    <x v="0"/>
    <s v="Y"/>
    <s v="Success"/>
    <x v="0"/>
    <x v="0"/>
    <x v="3"/>
  </r>
  <r>
    <s v="TX1000745"/>
    <x v="111"/>
    <x v="4"/>
    <d v="1899-12-30T21:37:09"/>
    <n v="151.81"/>
    <s v="USD"/>
    <s v="M1364"/>
    <x v="0"/>
    <s v="Canada"/>
    <s v="C98329"/>
    <n v="50"/>
    <s v="F"/>
    <x v="10"/>
    <x v="4"/>
    <s v="Y"/>
    <s v="Success"/>
    <x v="0"/>
    <x v="0"/>
    <x v="2"/>
  </r>
  <r>
    <s v="TX1000893"/>
    <x v="8"/>
    <x v="4"/>
    <d v="1899-12-30T11:05:03"/>
    <n v="151.75"/>
    <s v="USD"/>
    <s v="M1450"/>
    <x v="7"/>
    <s v="United Kingdom"/>
    <s v="C95233"/>
    <n v="33"/>
    <s v="M"/>
    <x v="2"/>
    <x v="5"/>
    <s v="Y"/>
    <s v="Success"/>
    <x v="0"/>
    <x v="0"/>
    <x v="1"/>
  </r>
  <r>
    <s v="TX1000263"/>
    <x v="152"/>
    <x v="1"/>
    <d v="1899-12-30T23:31:26"/>
    <n v="151.71"/>
    <s v="USD"/>
    <s v="M1349"/>
    <x v="3"/>
    <s v="United Kingdom"/>
    <s v="C62129"/>
    <n v="61"/>
    <s v="M"/>
    <x v="13"/>
    <x v="0"/>
    <s v="Y"/>
    <s v="Success"/>
    <x v="0"/>
    <x v="0"/>
    <x v="3"/>
  </r>
  <r>
    <s v="TX1002801"/>
    <x v="101"/>
    <x v="3"/>
    <d v="1899-12-30T21:04:23"/>
    <n v="151.68"/>
    <s v="USD"/>
    <s v="M1266"/>
    <x v="1"/>
    <s v="Germany"/>
    <s v="C51015"/>
    <n v="37"/>
    <s v="M"/>
    <x v="12"/>
    <x v="1"/>
    <s v="N"/>
    <s v="Success"/>
    <x v="0"/>
    <x v="0"/>
    <x v="1"/>
  </r>
  <r>
    <s v="TX1001106"/>
    <x v="129"/>
    <x v="0"/>
    <d v="1899-12-30T17:17:20"/>
    <n v="151.63"/>
    <s v="USD"/>
    <s v="M1629"/>
    <x v="7"/>
    <s v="Spain"/>
    <s v="C55261"/>
    <n v="44"/>
    <s v="Other"/>
    <x v="13"/>
    <x v="1"/>
    <s v="Y"/>
    <s v="Success"/>
    <x v="0"/>
    <x v="0"/>
    <x v="2"/>
  </r>
  <r>
    <s v="TX1000898"/>
    <x v="8"/>
    <x v="4"/>
    <d v="1899-12-30T16:55:32"/>
    <n v="151.47999999999999"/>
    <s v="USD"/>
    <s v="M1641"/>
    <x v="9"/>
    <s v="Australia"/>
    <s v="C61383"/>
    <n v="57"/>
    <s v="Other"/>
    <x v="10"/>
    <x v="1"/>
    <s v="Y"/>
    <s v="Success"/>
    <x v="0"/>
    <x v="0"/>
    <x v="2"/>
  </r>
  <r>
    <s v="TX1001198"/>
    <x v="107"/>
    <x v="0"/>
    <d v="1899-12-30T07:55:27"/>
    <n v="151.41999999999999"/>
    <s v="USD"/>
    <s v="M1250"/>
    <x v="4"/>
    <s v="Norway"/>
    <s v="C86653"/>
    <n v="50"/>
    <s v="F"/>
    <x v="11"/>
    <x v="4"/>
    <s v="Y"/>
    <s v="Success"/>
    <x v="0"/>
    <x v="0"/>
    <x v="2"/>
  </r>
  <r>
    <s v="TX1000751"/>
    <x v="10"/>
    <x v="4"/>
    <d v="1899-12-30T04:41:43"/>
    <n v="151.34"/>
    <s v="USD"/>
    <s v="M1840"/>
    <x v="6"/>
    <s v="Netherlands"/>
    <s v="C76698"/>
    <n v="75"/>
    <s v="M"/>
    <x v="2"/>
    <x v="5"/>
    <s v="Y"/>
    <s v="Success"/>
    <x v="0"/>
    <x v="0"/>
    <x v="3"/>
  </r>
  <r>
    <s v="TX1000650"/>
    <x v="20"/>
    <x v="4"/>
    <d v="1899-12-30T15:45:21"/>
    <n v="151.21"/>
    <s v="USD"/>
    <s v="M1729"/>
    <x v="0"/>
    <s v="Spain"/>
    <s v="C87837"/>
    <n v="60"/>
    <s v="F"/>
    <x v="6"/>
    <x v="2"/>
    <s v="Y"/>
    <s v="Success"/>
    <x v="0"/>
    <x v="0"/>
    <x v="3"/>
  </r>
  <r>
    <s v="TX1000714"/>
    <x v="106"/>
    <x v="4"/>
    <d v="1899-12-30T07:05:23"/>
    <n v="151.1"/>
    <s v="USD"/>
    <s v="M1883"/>
    <x v="3"/>
    <s v="United States"/>
    <s v="C82290"/>
    <n v="75"/>
    <s v="Other"/>
    <x v="12"/>
    <x v="0"/>
    <s v="Y"/>
    <s v="Success"/>
    <x v="0"/>
    <x v="0"/>
    <x v="3"/>
  </r>
  <r>
    <s v="TX1000991"/>
    <x v="102"/>
    <x v="0"/>
    <d v="1899-12-30T20:54:19"/>
    <n v="151.09"/>
    <s v="USD"/>
    <s v="M1325"/>
    <x v="3"/>
    <s v="Norway"/>
    <s v="C95200"/>
    <n v="66"/>
    <s v="F"/>
    <x v="12"/>
    <x v="0"/>
    <s v="Y"/>
    <s v="Success"/>
    <x v="0"/>
    <x v="0"/>
    <x v="3"/>
  </r>
  <r>
    <s v="TX1001224"/>
    <x v="81"/>
    <x v="0"/>
    <d v="1899-12-30T19:29:25"/>
    <n v="150.97999999999999"/>
    <s v="USD"/>
    <s v="M1017"/>
    <x v="6"/>
    <s v="France"/>
    <s v="C57946"/>
    <n v="51"/>
    <s v="Other"/>
    <x v="4"/>
    <x v="1"/>
    <s v="Y"/>
    <s v="Success"/>
    <x v="0"/>
    <x v="0"/>
    <x v="2"/>
  </r>
  <r>
    <s v="TX1000272"/>
    <x v="32"/>
    <x v="1"/>
    <d v="1899-12-30T08:34:59"/>
    <n v="150.94999999999999"/>
    <s v="USD"/>
    <s v="M1821"/>
    <x v="4"/>
    <s v="Nigeria"/>
    <s v="C76824"/>
    <n v="61"/>
    <s v="F"/>
    <x v="1"/>
    <x v="2"/>
    <s v="Y"/>
    <s v="Success"/>
    <x v="0"/>
    <x v="0"/>
    <x v="3"/>
  </r>
  <r>
    <s v="TX1000915"/>
    <x v="68"/>
    <x v="4"/>
    <d v="1899-12-30T11:21:19"/>
    <n v="150.84"/>
    <s v="USD"/>
    <s v="M1142"/>
    <x v="1"/>
    <s v="United Kingdom"/>
    <s v="C79933"/>
    <n v="67"/>
    <s v="Other"/>
    <x v="8"/>
    <x v="2"/>
    <s v="Y"/>
    <s v="Success"/>
    <x v="0"/>
    <x v="0"/>
    <x v="3"/>
  </r>
  <r>
    <s v="TX1000944"/>
    <x v="164"/>
    <x v="4"/>
    <d v="1899-12-30T06:28:14"/>
    <n v="150.6"/>
    <s v="USD"/>
    <s v="M1151"/>
    <x v="1"/>
    <s v="United States"/>
    <s v="C86372"/>
    <n v="44"/>
    <s v="F"/>
    <x v="12"/>
    <x v="5"/>
    <s v="Y"/>
    <s v="Success"/>
    <x v="0"/>
    <x v="0"/>
    <x v="2"/>
  </r>
  <r>
    <s v="TX1001113"/>
    <x v="168"/>
    <x v="0"/>
    <d v="1899-12-30T10:13:51"/>
    <n v="150.38999999999999"/>
    <s v="USD"/>
    <s v="M1183"/>
    <x v="2"/>
    <s v="United Kingdom"/>
    <s v="C98476"/>
    <n v="67"/>
    <s v="M"/>
    <x v="12"/>
    <x v="3"/>
    <s v="Y"/>
    <s v="Success"/>
    <x v="0"/>
    <x v="0"/>
    <x v="3"/>
  </r>
  <r>
    <s v="TX1001690"/>
    <x v="27"/>
    <x v="5"/>
    <d v="1899-12-30T06:33:22"/>
    <n v="150.08000000000001"/>
    <s v="USD"/>
    <s v="M1856"/>
    <x v="4"/>
    <s v="Poland"/>
    <s v="C69215"/>
    <n v="27"/>
    <s v="M"/>
    <x v="9"/>
    <x v="0"/>
    <s v="Y"/>
    <s v="Success"/>
    <x v="0"/>
    <x v="0"/>
    <x v="1"/>
  </r>
  <r>
    <s v="TX1000954"/>
    <x v="164"/>
    <x v="4"/>
    <d v="1899-12-30T23:13:58"/>
    <n v="150.03"/>
    <s v="USD"/>
    <s v="M1740"/>
    <x v="9"/>
    <s v="Canada"/>
    <s v="C85791"/>
    <n v="49"/>
    <s v="F"/>
    <x v="4"/>
    <x v="2"/>
    <s v="Y"/>
    <s v="Success"/>
    <x v="0"/>
    <x v="0"/>
    <x v="2"/>
  </r>
  <r>
    <s v="TX1002933"/>
    <x v="45"/>
    <x v="3"/>
    <d v="1899-12-30T06:59:41"/>
    <n v="149.96"/>
    <s v="USD"/>
    <s v="M1822"/>
    <x v="4"/>
    <s v="Kenya"/>
    <s v="C74569"/>
    <n v="71"/>
    <s v="Other"/>
    <x v="4"/>
    <x v="1"/>
    <s v="Y"/>
    <s v="Success"/>
    <x v="0"/>
    <x v="0"/>
    <x v="3"/>
  </r>
  <r>
    <s v="TX1001985"/>
    <x v="71"/>
    <x v="5"/>
    <d v="1899-12-30T12:02:21"/>
    <n v="149.94999999999999"/>
    <s v="USD"/>
    <s v="M1767"/>
    <x v="1"/>
    <s v="Kenya"/>
    <s v="C78034"/>
    <n v="73"/>
    <s v="Other"/>
    <x v="10"/>
    <x v="3"/>
    <s v="Y"/>
    <s v="Success"/>
    <x v="0"/>
    <x v="0"/>
    <x v="3"/>
  </r>
  <r>
    <s v="TX1000245"/>
    <x v="152"/>
    <x v="1"/>
    <d v="1899-12-30T00:33:44"/>
    <n v="149.93"/>
    <s v="USD"/>
    <s v="M1433"/>
    <x v="6"/>
    <s v="United States"/>
    <s v="C57000"/>
    <n v="34"/>
    <s v="Other"/>
    <x v="1"/>
    <x v="2"/>
    <s v="Y"/>
    <s v="Success"/>
    <x v="0"/>
    <x v="0"/>
    <x v="1"/>
  </r>
  <r>
    <s v="TX1002960"/>
    <x v="118"/>
    <x v="3"/>
    <d v="1899-12-30T20:13:38"/>
    <n v="149.9"/>
    <s v="USD"/>
    <s v="M1198"/>
    <x v="7"/>
    <s v="Australia"/>
    <s v="C67735"/>
    <n v="26"/>
    <s v="F"/>
    <x v="13"/>
    <x v="3"/>
    <s v="Y"/>
    <s v="Success"/>
    <x v="0"/>
    <x v="0"/>
    <x v="1"/>
  </r>
  <r>
    <s v="TX1002398"/>
    <x v="90"/>
    <x v="2"/>
    <d v="1899-12-30T05:46:15"/>
    <n v="149.84"/>
    <s v="USD"/>
    <s v="M1041"/>
    <x v="9"/>
    <s v="Kenya"/>
    <s v="C96892"/>
    <n v="74"/>
    <s v="Other"/>
    <x v="4"/>
    <x v="5"/>
    <s v="Y"/>
    <s v="Success"/>
    <x v="0"/>
    <x v="0"/>
    <x v="3"/>
  </r>
  <r>
    <s v="TX1000136"/>
    <x v="30"/>
    <x v="1"/>
    <d v="1899-12-30T06:44:21"/>
    <n v="149.83000000000001"/>
    <s v="USD"/>
    <s v="M1171"/>
    <x v="3"/>
    <s v="Norway"/>
    <s v="C51513"/>
    <n v="65"/>
    <s v="Other"/>
    <x v="8"/>
    <x v="4"/>
    <s v="Y"/>
    <s v="Success"/>
    <x v="1"/>
    <x v="1"/>
    <x v="3"/>
  </r>
  <r>
    <s v="TX1001442"/>
    <x v="92"/>
    <x v="0"/>
    <d v="1899-12-30T15:23:43"/>
    <n v="149.81"/>
    <s v="USD"/>
    <s v="M1879"/>
    <x v="3"/>
    <s v="Nigeria"/>
    <s v="C70286"/>
    <n v="53"/>
    <s v="Other"/>
    <x v="14"/>
    <x v="3"/>
    <s v="Y"/>
    <s v="Success"/>
    <x v="0"/>
    <x v="0"/>
    <x v="2"/>
  </r>
  <r>
    <s v="TX1001995"/>
    <x v="126"/>
    <x v="2"/>
    <d v="1899-12-30T01:11:49"/>
    <n v="149.63"/>
    <s v="USD"/>
    <s v="M1170"/>
    <x v="2"/>
    <s v="India"/>
    <s v="C96753"/>
    <n v="28"/>
    <s v="F"/>
    <x v="2"/>
    <x v="0"/>
    <s v="Y"/>
    <s v="Success"/>
    <x v="0"/>
    <x v="0"/>
    <x v="1"/>
  </r>
  <r>
    <s v="TX1001687"/>
    <x v="134"/>
    <x v="5"/>
    <d v="1899-12-30T23:50:34"/>
    <n v="149.6"/>
    <s v="USD"/>
    <s v="M1023"/>
    <x v="3"/>
    <s v="Nigeria"/>
    <s v="C66410"/>
    <n v="45"/>
    <s v="M"/>
    <x v="4"/>
    <x v="2"/>
    <s v="Y"/>
    <s v="Success"/>
    <x v="0"/>
    <x v="0"/>
    <x v="2"/>
  </r>
  <r>
    <s v="TX1000662"/>
    <x v="17"/>
    <x v="4"/>
    <d v="1899-12-30T06:47:05"/>
    <n v="149.54"/>
    <s v="USD"/>
    <s v="M1487"/>
    <x v="8"/>
    <s v="Canada"/>
    <s v="C60946"/>
    <n v="116"/>
    <s v="F"/>
    <x v="9"/>
    <x v="5"/>
    <s v="Y"/>
    <s v="Success"/>
    <x v="0"/>
    <x v="0"/>
    <x v="3"/>
  </r>
  <r>
    <s v="TX1002007"/>
    <x v="126"/>
    <x v="2"/>
    <d v="1899-12-30T18:59:19"/>
    <n v="149.5"/>
    <s v="USD"/>
    <s v="M1928"/>
    <x v="2"/>
    <s v="Spain"/>
    <s v="C78694"/>
    <n v="36"/>
    <s v="F"/>
    <x v="7"/>
    <x v="1"/>
    <s v="Y"/>
    <s v="Success"/>
    <x v="0"/>
    <x v="0"/>
    <x v="1"/>
  </r>
  <r>
    <s v="TX1000575"/>
    <x v="36"/>
    <x v="4"/>
    <d v="1899-12-30T12:47:26"/>
    <n v="149.25"/>
    <s v="USD"/>
    <s v="M1174"/>
    <x v="9"/>
    <s v="Netherlands"/>
    <s v="C73127"/>
    <n v="68"/>
    <s v="F"/>
    <x v="10"/>
    <x v="2"/>
    <s v="Y"/>
    <s v="Success"/>
    <x v="0"/>
    <x v="0"/>
    <x v="3"/>
  </r>
  <r>
    <s v="TX1002831"/>
    <x v="86"/>
    <x v="3"/>
    <d v="1899-12-30T11:22:18"/>
    <n v="149.22999999999999"/>
    <s v="USD"/>
    <s v="M1930"/>
    <x v="3"/>
    <s v="Poland"/>
    <s v="C84492"/>
    <n v="18"/>
    <s v="M"/>
    <x v="6"/>
    <x v="4"/>
    <s v="Y"/>
    <s v="Success"/>
    <x v="0"/>
    <x v="0"/>
    <x v="0"/>
  </r>
  <r>
    <s v="TX1000535"/>
    <x v="105"/>
    <x v="4"/>
    <d v="1899-12-30T11:32:14"/>
    <n v="149.12"/>
    <s v="USD"/>
    <s v="M1807"/>
    <x v="1"/>
    <s v="Norway"/>
    <s v="C80195"/>
    <n v="70"/>
    <s v="Other"/>
    <x v="8"/>
    <x v="2"/>
    <s v="Y"/>
    <s v="Success"/>
    <x v="0"/>
    <x v="0"/>
    <x v="3"/>
  </r>
  <r>
    <s v="TX1001099"/>
    <x v="129"/>
    <x v="0"/>
    <d v="1899-12-30T07:39:16"/>
    <n v="149.05000000000001"/>
    <s v="USD"/>
    <s v="M1308"/>
    <x v="0"/>
    <s v="Kenya"/>
    <s v="C52091"/>
    <n v="25"/>
    <s v="Other"/>
    <x v="2"/>
    <x v="1"/>
    <s v="Y"/>
    <s v="Success"/>
    <x v="0"/>
    <x v="0"/>
    <x v="1"/>
  </r>
  <r>
    <s v="TX1002113"/>
    <x v="21"/>
    <x v="2"/>
    <d v="1899-12-30T03:20:00"/>
    <n v="148.97"/>
    <s v="USD"/>
    <s v="M1596"/>
    <x v="3"/>
    <s v="United Kingdom"/>
    <s v="C61563"/>
    <n v="65"/>
    <s v="M"/>
    <x v="12"/>
    <x v="1"/>
    <s v="Y"/>
    <s v="Success"/>
    <x v="0"/>
    <x v="0"/>
    <x v="3"/>
  </r>
  <r>
    <s v="TX1000907"/>
    <x v="68"/>
    <x v="4"/>
    <d v="1899-12-30T02:27:58"/>
    <n v="148.94999999999999"/>
    <s v="USD"/>
    <s v="M1113"/>
    <x v="2"/>
    <s v="United States"/>
    <s v="C85858"/>
    <n v="18"/>
    <s v="F"/>
    <x v="12"/>
    <x v="1"/>
    <s v="Y"/>
    <s v="Success"/>
    <x v="0"/>
    <x v="0"/>
    <x v="0"/>
  </r>
  <r>
    <s v="TX1001692"/>
    <x v="27"/>
    <x v="5"/>
    <d v="1899-12-30T12:19:55"/>
    <n v="148.84"/>
    <s v="USD"/>
    <s v="M1058"/>
    <x v="8"/>
    <s v="Poland"/>
    <s v="C55027"/>
    <n v="58"/>
    <s v="F"/>
    <x v="11"/>
    <x v="1"/>
    <s v="Y"/>
    <s v="Success"/>
    <x v="0"/>
    <x v="0"/>
    <x v="2"/>
  </r>
  <r>
    <s v="TX1000485"/>
    <x v="124"/>
    <x v="4"/>
    <d v="1899-12-30T23:48:13"/>
    <n v="148.66999999999999"/>
    <s v="USD"/>
    <s v="M1826"/>
    <x v="1"/>
    <s v="Canada"/>
    <s v="C74433"/>
    <n v="41"/>
    <s v="M"/>
    <x v="4"/>
    <x v="5"/>
    <s v="Y"/>
    <s v="Success"/>
    <x v="1"/>
    <x v="1"/>
    <x v="2"/>
  </r>
  <r>
    <s v="TX1001448"/>
    <x v="92"/>
    <x v="0"/>
    <d v="1899-12-30T21:29:45"/>
    <n v="148.59"/>
    <s v="USD"/>
    <s v="M1083"/>
    <x v="3"/>
    <s v="United States"/>
    <s v="C57588"/>
    <n v="64"/>
    <s v="Other"/>
    <x v="9"/>
    <x v="3"/>
    <s v="Y"/>
    <s v="Success"/>
    <x v="0"/>
    <x v="0"/>
    <x v="3"/>
  </r>
  <r>
    <s v="TX1000078"/>
    <x v="44"/>
    <x v="1"/>
    <d v="1899-12-30T13:49:49"/>
    <n v="148.44999999999999"/>
    <s v="USD"/>
    <s v="M1840"/>
    <x v="9"/>
    <s v="Canada"/>
    <s v="C60418"/>
    <n v="67"/>
    <s v="Other"/>
    <x v="0"/>
    <x v="0"/>
    <s v="Y"/>
    <s v="Success"/>
    <x v="0"/>
    <x v="0"/>
    <x v="3"/>
  </r>
  <r>
    <s v="TX1002211"/>
    <x v="24"/>
    <x v="2"/>
    <d v="1899-12-30T04:49:40"/>
    <n v="148.41"/>
    <s v="USD"/>
    <s v="M1831"/>
    <x v="8"/>
    <s v="South Africa"/>
    <s v="C92398"/>
    <n v="60"/>
    <s v="M"/>
    <x v="2"/>
    <x v="3"/>
    <s v="Y"/>
    <s v="Success"/>
    <x v="0"/>
    <x v="0"/>
    <x v="3"/>
  </r>
  <r>
    <s v="TX1001855"/>
    <x v="15"/>
    <x v="5"/>
    <d v="1899-12-30T11:47:59"/>
    <n v="148.32"/>
    <s v="USD"/>
    <s v="M1260"/>
    <x v="9"/>
    <s v="Spain"/>
    <s v="C58011"/>
    <n v="43"/>
    <s v="M"/>
    <x v="10"/>
    <x v="4"/>
    <s v="Y"/>
    <s v="Success"/>
    <x v="0"/>
    <x v="0"/>
    <x v="2"/>
  </r>
  <r>
    <s v="TX1000224"/>
    <x v="88"/>
    <x v="1"/>
    <d v="1899-12-30T01:25:46"/>
    <n v="148.22999999999999"/>
    <s v="USD"/>
    <s v="M1810"/>
    <x v="9"/>
    <s v="United States"/>
    <s v="C67214"/>
    <n v="25"/>
    <s v="Other"/>
    <x v="14"/>
    <x v="1"/>
    <s v="Y"/>
    <s v="Success"/>
    <x v="1"/>
    <x v="1"/>
    <x v="1"/>
  </r>
  <r>
    <s v="TX1000024"/>
    <x v="171"/>
    <x v="1"/>
    <d v="1899-12-30T12:00:44"/>
    <n v="148.18"/>
    <s v="USD"/>
    <s v="M1360"/>
    <x v="3"/>
    <s v="United States"/>
    <s v="C97206"/>
    <n v="59"/>
    <s v="M"/>
    <x v="3"/>
    <x v="4"/>
    <s v="Y"/>
    <s v="Success"/>
    <x v="0"/>
    <x v="0"/>
    <x v="2"/>
  </r>
  <r>
    <s v="TX1001697"/>
    <x v="27"/>
    <x v="5"/>
    <d v="1899-12-30T14:58:48"/>
    <n v="148.16999999999999"/>
    <s v="USD"/>
    <s v="M1435"/>
    <x v="6"/>
    <s v="Kenya"/>
    <s v="C72774"/>
    <n v="31"/>
    <s v="F"/>
    <x v="7"/>
    <x v="5"/>
    <s v="Y"/>
    <s v="Success"/>
    <x v="1"/>
    <x v="1"/>
    <x v="1"/>
  </r>
  <r>
    <s v="TX1000551"/>
    <x v="122"/>
    <x v="4"/>
    <d v="1899-12-30T18:33:26"/>
    <n v="148.11000000000001"/>
    <s v="USD"/>
    <s v="M1310"/>
    <x v="4"/>
    <s v="United Kingdom"/>
    <s v="C73053"/>
    <n v="73"/>
    <s v="F"/>
    <x v="8"/>
    <x v="0"/>
    <s v="Y"/>
    <s v="Success"/>
    <x v="0"/>
    <x v="0"/>
    <x v="3"/>
  </r>
  <r>
    <s v="TX1002570"/>
    <x v="52"/>
    <x v="3"/>
    <d v="1899-12-30T15:53:45"/>
    <n v="147.94"/>
    <s v="USD"/>
    <s v="M1702"/>
    <x v="7"/>
    <s v="Sweden"/>
    <s v="C83361"/>
    <n v="33"/>
    <s v="F"/>
    <x v="12"/>
    <x v="0"/>
    <s v="Y"/>
    <s v="Success"/>
    <x v="0"/>
    <x v="0"/>
    <x v="1"/>
  </r>
  <r>
    <s v="TX1001420"/>
    <x v="150"/>
    <x v="0"/>
    <d v="1899-12-30T09:32:37"/>
    <n v="147.80000000000001"/>
    <s v="USD"/>
    <s v="M1876"/>
    <x v="8"/>
    <s v="Norway"/>
    <s v="C87111"/>
    <n v="72"/>
    <s v="F"/>
    <x v="5"/>
    <x v="3"/>
    <s v="Y"/>
    <s v="Success"/>
    <x v="0"/>
    <x v="0"/>
    <x v="3"/>
  </r>
  <r>
    <s v="TX1002968"/>
    <x v="141"/>
    <x v="3"/>
    <d v="1899-12-30T09:54:48"/>
    <n v="147.38999999999999"/>
    <s v="USD"/>
    <s v="M1817"/>
    <x v="6"/>
    <s v="Poland"/>
    <s v="C79672"/>
    <n v="29"/>
    <s v="Other"/>
    <x v="12"/>
    <x v="5"/>
    <s v="Y"/>
    <s v="Success"/>
    <x v="0"/>
    <x v="0"/>
    <x v="1"/>
  </r>
  <r>
    <s v="TX1002469"/>
    <x v="19"/>
    <x v="2"/>
    <d v="1899-12-30T02:31:02"/>
    <n v="147.35"/>
    <s v="USD"/>
    <s v="M1197"/>
    <x v="4"/>
    <s v="Australia"/>
    <s v="C54456"/>
    <n v="51"/>
    <s v="M"/>
    <x v="4"/>
    <x v="0"/>
    <s v="Y"/>
    <s v="Success"/>
    <x v="0"/>
    <x v="0"/>
    <x v="2"/>
  </r>
  <r>
    <s v="TX1002772"/>
    <x v="169"/>
    <x v="3"/>
    <d v="1899-12-30T03:33:59"/>
    <n v="147.06"/>
    <s v="USD"/>
    <s v="M1792"/>
    <x v="8"/>
    <s v="Poland"/>
    <s v="C63000"/>
    <n v="58"/>
    <s v="Other"/>
    <x v="12"/>
    <x v="3"/>
    <s v="Y"/>
    <s v="Success"/>
    <x v="0"/>
    <x v="0"/>
    <x v="2"/>
  </r>
  <r>
    <s v="TX1002715"/>
    <x v="130"/>
    <x v="3"/>
    <d v="1899-12-30T10:14:16"/>
    <n v="147.01"/>
    <s v="USD"/>
    <s v="M1626"/>
    <x v="7"/>
    <s v="Australia"/>
    <s v="C92907"/>
    <n v="30"/>
    <s v="M"/>
    <x v="11"/>
    <x v="4"/>
    <s v="Y"/>
    <s v="Success"/>
    <x v="0"/>
    <x v="0"/>
    <x v="1"/>
  </r>
  <r>
    <s v="TX1000666"/>
    <x v="17"/>
    <x v="4"/>
    <d v="1899-12-30T09:43:43"/>
    <n v="146.94999999999999"/>
    <s v="USD"/>
    <s v="M1415"/>
    <x v="8"/>
    <s v="Nigeria"/>
    <s v="C85091"/>
    <n v="68"/>
    <s v="Other"/>
    <x v="5"/>
    <x v="4"/>
    <s v="Y"/>
    <s v="Success"/>
    <x v="0"/>
    <x v="0"/>
    <x v="3"/>
  </r>
  <r>
    <s v="TX1002536"/>
    <x v="23"/>
    <x v="3"/>
    <d v="1899-12-30T15:01:32"/>
    <n v="146.84"/>
    <s v="USD"/>
    <s v="M1162"/>
    <x v="9"/>
    <s v="France"/>
    <s v="C53191"/>
    <n v="31"/>
    <s v="M"/>
    <x v="7"/>
    <x v="3"/>
    <s v="Y"/>
    <s v="Success"/>
    <x v="0"/>
    <x v="0"/>
    <x v="1"/>
  </r>
  <r>
    <s v="TX1002718"/>
    <x v="130"/>
    <x v="3"/>
    <d v="1899-12-30T14:48:00"/>
    <n v="146.78"/>
    <s v="USD"/>
    <s v="M1451"/>
    <x v="6"/>
    <s v="Germany"/>
    <s v="C89771"/>
    <n v="41"/>
    <s v="F"/>
    <x v="11"/>
    <x v="3"/>
    <s v="Y"/>
    <s v="Success"/>
    <x v="0"/>
    <x v="0"/>
    <x v="2"/>
  </r>
  <r>
    <s v="TX1000271"/>
    <x v="32"/>
    <x v="1"/>
    <d v="1899-12-30T06:29:52"/>
    <n v="146.78"/>
    <s v="USD"/>
    <s v="M1662"/>
    <x v="5"/>
    <s v="France"/>
    <s v="C59029"/>
    <n v="67"/>
    <s v="M"/>
    <x v="11"/>
    <x v="2"/>
    <s v="Y"/>
    <s v="Success"/>
    <x v="0"/>
    <x v="0"/>
    <x v="3"/>
  </r>
  <r>
    <s v="TX1002543"/>
    <x v="13"/>
    <x v="3"/>
    <d v="1899-12-30T00:18:35"/>
    <n v="146.69"/>
    <s v="USD"/>
    <s v="M1773"/>
    <x v="5"/>
    <s v="United Kingdom"/>
    <s v="C61573"/>
    <n v="71"/>
    <s v="F"/>
    <x v="14"/>
    <x v="0"/>
    <s v="Y"/>
    <s v="Success"/>
    <x v="0"/>
    <x v="0"/>
    <x v="3"/>
  </r>
  <r>
    <s v="TX1000452"/>
    <x v="151"/>
    <x v="1"/>
    <d v="1899-12-30T16:06:46"/>
    <n v="146.69"/>
    <s v="USD"/>
    <s v="M1302"/>
    <x v="7"/>
    <s v="Netherlands"/>
    <s v="C96289"/>
    <n v="49"/>
    <s v="F"/>
    <x v="6"/>
    <x v="5"/>
    <s v="Y"/>
    <s v="Success"/>
    <x v="0"/>
    <x v="0"/>
    <x v="2"/>
  </r>
  <r>
    <s v="TX1001336"/>
    <x v="74"/>
    <x v="0"/>
    <d v="1899-12-30T02:42:55"/>
    <n v="146.54"/>
    <s v="USD"/>
    <s v="M1339"/>
    <x v="7"/>
    <s v="Poland"/>
    <s v="C96489"/>
    <n v="45"/>
    <s v="F"/>
    <x v="0"/>
    <x v="4"/>
    <s v="Y"/>
    <s v="Success"/>
    <x v="0"/>
    <x v="0"/>
    <x v="2"/>
  </r>
  <r>
    <s v="TX1001162"/>
    <x v="40"/>
    <x v="0"/>
    <d v="1899-12-30T08:06:14"/>
    <n v="146.5"/>
    <s v="USD"/>
    <s v="M1159"/>
    <x v="3"/>
    <s v="India"/>
    <s v="C88908"/>
    <n v="68"/>
    <s v="F"/>
    <x v="10"/>
    <x v="5"/>
    <s v="Y"/>
    <s v="Success"/>
    <x v="1"/>
    <x v="1"/>
    <x v="3"/>
  </r>
  <r>
    <s v="TX1000845"/>
    <x v="114"/>
    <x v="4"/>
    <d v="1899-12-30T20:43:01"/>
    <n v="146.24"/>
    <s v="USD"/>
    <s v="M1203"/>
    <x v="6"/>
    <s v="United States"/>
    <s v="C84099"/>
    <n v="26"/>
    <s v="M"/>
    <x v="5"/>
    <x v="1"/>
    <s v="N"/>
    <s v="Success"/>
    <x v="0"/>
    <x v="0"/>
    <x v="1"/>
  </r>
  <r>
    <s v="TX1001676"/>
    <x v="134"/>
    <x v="5"/>
    <d v="1899-12-30T06:32:49"/>
    <n v="146.22"/>
    <s v="USD"/>
    <s v="M1790"/>
    <x v="8"/>
    <s v="Norway"/>
    <s v="C65065"/>
    <n v="69"/>
    <s v="F"/>
    <x v="8"/>
    <x v="4"/>
    <s v="Y"/>
    <s v="Success"/>
    <x v="0"/>
    <x v="0"/>
    <x v="3"/>
  </r>
  <r>
    <s v="TX1001814"/>
    <x v="133"/>
    <x v="5"/>
    <d v="1899-12-30T23:54:08"/>
    <n v="146.13999999999999"/>
    <s v="USD"/>
    <s v="M1702"/>
    <x v="7"/>
    <s v="Kenya"/>
    <s v="C78930"/>
    <n v="27"/>
    <s v="F"/>
    <x v="2"/>
    <x v="5"/>
    <s v="Y"/>
    <s v="Success"/>
    <x v="0"/>
    <x v="0"/>
    <x v="1"/>
  </r>
  <r>
    <s v="TX1000536"/>
    <x v="105"/>
    <x v="4"/>
    <d v="1899-12-30T11:58:09"/>
    <n v="146.08000000000001"/>
    <s v="USD"/>
    <s v="M1838"/>
    <x v="5"/>
    <s v="France"/>
    <s v="C66298"/>
    <n v="62"/>
    <s v="Other"/>
    <x v="12"/>
    <x v="5"/>
    <s v="Y"/>
    <s v="Success"/>
    <x v="0"/>
    <x v="0"/>
    <x v="3"/>
  </r>
  <r>
    <s v="TX1000068"/>
    <x v="44"/>
    <x v="1"/>
    <d v="1899-12-30T00:56:05"/>
    <n v="146.04"/>
    <s v="USD"/>
    <s v="M1400"/>
    <x v="2"/>
    <s v="Kenya"/>
    <s v="C61932"/>
    <n v="32"/>
    <s v="Other"/>
    <x v="7"/>
    <x v="4"/>
    <s v="Y"/>
    <s v="Success"/>
    <x v="0"/>
    <x v="0"/>
    <x v="1"/>
  </r>
  <r>
    <s v="TX1000652"/>
    <x v="20"/>
    <x v="4"/>
    <d v="1899-12-30T17:15:17"/>
    <n v="146.02000000000001"/>
    <s v="USD"/>
    <s v="M1755"/>
    <x v="0"/>
    <s v="United Kingdom"/>
    <s v="C76732"/>
    <n v="45"/>
    <s v="Other"/>
    <x v="0"/>
    <x v="1"/>
    <s v="Y"/>
    <s v="Success"/>
    <x v="0"/>
    <x v="0"/>
    <x v="2"/>
  </r>
  <r>
    <s v="TX1001717"/>
    <x v="142"/>
    <x v="5"/>
    <d v="1899-12-30T21:51:12"/>
    <n v="145.85"/>
    <s v="USD"/>
    <s v="M1857"/>
    <x v="7"/>
    <s v="Spain"/>
    <s v="C63239"/>
    <n v="31"/>
    <s v="Other"/>
    <x v="7"/>
    <x v="2"/>
    <s v="Y"/>
    <s v="Success"/>
    <x v="0"/>
    <x v="0"/>
    <x v="1"/>
  </r>
  <r>
    <s v="TX1002297"/>
    <x v="156"/>
    <x v="2"/>
    <d v="1899-12-30T05:04:25"/>
    <n v="145.72"/>
    <s v="USD"/>
    <s v="M1519"/>
    <x v="2"/>
    <s v="Netherlands"/>
    <s v="C95159"/>
    <n v="51"/>
    <s v="M"/>
    <x v="0"/>
    <x v="4"/>
    <s v="Y"/>
    <s v="Success"/>
    <x v="0"/>
    <x v="0"/>
    <x v="2"/>
  </r>
  <r>
    <s v="TX1001318"/>
    <x v="108"/>
    <x v="0"/>
    <d v="1899-12-30T02:15:52"/>
    <n v="145.65"/>
    <s v="USD"/>
    <s v="M1897"/>
    <x v="9"/>
    <s v="Germany"/>
    <s v="C90448"/>
    <n v="58"/>
    <s v="F"/>
    <x v="2"/>
    <x v="5"/>
    <s v="Y"/>
    <s v="Success"/>
    <x v="0"/>
    <x v="0"/>
    <x v="2"/>
  </r>
  <r>
    <s v="TX1001974"/>
    <x v="121"/>
    <x v="5"/>
    <d v="1899-12-30T16:09:48"/>
    <n v="145.63999999999999"/>
    <s v="USD"/>
    <s v="M1855"/>
    <x v="5"/>
    <s v="Nigeria"/>
    <s v="C79234"/>
    <n v="19"/>
    <s v="Other"/>
    <x v="5"/>
    <x v="0"/>
    <s v="Y"/>
    <s v="Success"/>
    <x v="0"/>
    <x v="0"/>
    <x v="0"/>
  </r>
  <r>
    <s v="TX1002393"/>
    <x v="82"/>
    <x v="2"/>
    <d v="1899-12-30T22:51:06"/>
    <n v="145.63"/>
    <s v="USD"/>
    <s v="M1006"/>
    <x v="2"/>
    <s v="Poland"/>
    <s v="C70233"/>
    <n v="18"/>
    <s v="M"/>
    <x v="5"/>
    <x v="3"/>
    <s v="Y"/>
    <s v="Success"/>
    <x v="0"/>
    <x v="0"/>
    <x v="0"/>
  </r>
  <r>
    <s v="TX1001390"/>
    <x v="60"/>
    <x v="0"/>
    <d v="1899-12-30T03:50:51"/>
    <n v="145.56"/>
    <s v="USD"/>
    <s v="M1592"/>
    <x v="1"/>
    <s v="Spain"/>
    <s v="C80025"/>
    <n v="48"/>
    <s v="Other"/>
    <x v="3"/>
    <x v="4"/>
    <s v="Y"/>
    <s v="Success"/>
    <x v="0"/>
    <x v="0"/>
    <x v="2"/>
  </r>
  <r>
    <s v="TX1002035"/>
    <x v="138"/>
    <x v="2"/>
    <d v="1899-12-30T10:25:22"/>
    <n v="145.52000000000001"/>
    <s v="USD"/>
    <s v="M1219"/>
    <x v="1"/>
    <s v="Germany"/>
    <s v="C55900"/>
    <n v="53"/>
    <s v="M"/>
    <x v="3"/>
    <x v="3"/>
    <s v="Y"/>
    <s v="Success"/>
    <x v="0"/>
    <x v="0"/>
    <x v="2"/>
  </r>
  <r>
    <s v="TX1001595"/>
    <x v="84"/>
    <x v="5"/>
    <d v="1899-12-30T17:06:12"/>
    <n v="145.46"/>
    <s v="USD"/>
    <s v="M1817"/>
    <x v="8"/>
    <s v="Australia"/>
    <s v="C95786"/>
    <n v="71"/>
    <s v="F"/>
    <x v="8"/>
    <x v="0"/>
    <s v="Y"/>
    <s v="Success"/>
    <x v="0"/>
    <x v="0"/>
    <x v="3"/>
  </r>
  <r>
    <s v="TX1002494"/>
    <x v="28"/>
    <x v="2"/>
    <d v="1899-12-30T07:15:05"/>
    <n v="145.35"/>
    <s v="USD"/>
    <s v="M1247"/>
    <x v="8"/>
    <s v="Sweden"/>
    <s v="C80427"/>
    <n v="47"/>
    <s v="F"/>
    <x v="0"/>
    <x v="0"/>
    <s v="Y"/>
    <s v="Success"/>
    <x v="0"/>
    <x v="0"/>
    <x v="2"/>
  </r>
  <r>
    <s v="TX1001671"/>
    <x v="176"/>
    <x v="5"/>
    <d v="1899-12-30T20:13:14"/>
    <n v="145.35"/>
    <s v="USD"/>
    <s v="M1641"/>
    <x v="4"/>
    <s v="United Kingdom"/>
    <s v="C99148"/>
    <n v="69"/>
    <s v="M"/>
    <x v="4"/>
    <x v="4"/>
    <s v="Y"/>
    <s v="Success"/>
    <x v="0"/>
    <x v="0"/>
    <x v="3"/>
  </r>
  <r>
    <s v="TX1001331"/>
    <x v="108"/>
    <x v="0"/>
    <d v="1899-12-30T22:26:03"/>
    <n v="145.24"/>
    <s v="USD"/>
    <s v="M1194"/>
    <x v="5"/>
    <s v="Canada"/>
    <s v="C69461"/>
    <n v="38"/>
    <s v="F"/>
    <x v="14"/>
    <x v="0"/>
    <s v="Y"/>
    <s v="Success"/>
    <x v="0"/>
    <x v="0"/>
    <x v="1"/>
  </r>
  <r>
    <s v="TX1002517"/>
    <x v="9"/>
    <x v="2"/>
    <d v="1899-12-30T13:37:54"/>
    <n v="145.22999999999999"/>
    <s v="USD"/>
    <s v="M1463"/>
    <x v="1"/>
    <s v="Canada"/>
    <s v="C63743"/>
    <n v="58"/>
    <s v="M"/>
    <x v="5"/>
    <x v="0"/>
    <s v="Y"/>
    <s v="Success"/>
    <x v="0"/>
    <x v="0"/>
    <x v="2"/>
  </r>
  <r>
    <s v="TX1002285"/>
    <x v="79"/>
    <x v="2"/>
    <d v="1899-12-30T15:57:40"/>
    <n v="145.21"/>
    <s v="USD"/>
    <s v="M1970"/>
    <x v="3"/>
    <s v="United States"/>
    <s v="C98258"/>
    <n v="74"/>
    <s v="M"/>
    <x v="12"/>
    <x v="1"/>
    <s v="Y"/>
    <s v="Success"/>
    <x v="0"/>
    <x v="0"/>
    <x v="3"/>
  </r>
  <r>
    <s v="TX1001615"/>
    <x v="127"/>
    <x v="5"/>
    <d v="1899-12-30T02:51:55"/>
    <n v="145.16"/>
    <s v="USD"/>
    <s v="M1280"/>
    <x v="3"/>
    <s v="South Africa"/>
    <s v="C83154"/>
    <n v="24"/>
    <s v="Other"/>
    <x v="8"/>
    <x v="0"/>
    <s v="Y"/>
    <s v="Success"/>
    <x v="0"/>
    <x v="0"/>
    <x v="0"/>
  </r>
  <r>
    <s v="TX1000929"/>
    <x v="80"/>
    <x v="4"/>
    <d v="1899-12-30T11:53:51"/>
    <n v="145.08000000000001"/>
    <s v="USD"/>
    <s v="M1820"/>
    <x v="4"/>
    <s v="Canada"/>
    <s v="C51520"/>
    <n v="19"/>
    <s v="F"/>
    <x v="9"/>
    <x v="4"/>
    <s v="Y"/>
    <s v="Success"/>
    <x v="0"/>
    <x v="0"/>
    <x v="0"/>
  </r>
  <r>
    <s v="TX1002234"/>
    <x v="93"/>
    <x v="2"/>
    <d v="1899-12-30T11:14:18"/>
    <n v="145.04"/>
    <s v="USD"/>
    <s v="M1639"/>
    <x v="6"/>
    <s v="United Kingdom"/>
    <s v="C75823"/>
    <n v="67"/>
    <s v="F"/>
    <x v="2"/>
    <x v="5"/>
    <s v="Y"/>
    <s v="Success"/>
    <x v="0"/>
    <x v="0"/>
    <x v="3"/>
  </r>
  <r>
    <s v="TX1002678"/>
    <x v="34"/>
    <x v="3"/>
    <d v="1899-12-30T13:56:34"/>
    <n v="145"/>
    <s v="USD"/>
    <s v="M1751"/>
    <x v="8"/>
    <s v="Kenya"/>
    <s v="C91542"/>
    <n v="21"/>
    <s v="M"/>
    <x v="11"/>
    <x v="3"/>
    <s v="Y"/>
    <s v="Success"/>
    <x v="0"/>
    <x v="0"/>
    <x v="0"/>
  </r>
  <r>
    <s v="TX1000611"/>
    <x v="159"/>
    <x v="4"/>
    <d v="1899-12-30T04:21:41"/>
    <n v="144.83000000000001"/>
    <s v="USD"/>
    <s v="M1252"/>
    <x v="6"/>
    <s v="Australia"/>
    <s v="C91513"/>
    <n v="49"/>
    <s v="F"/>
    <x v="11"/>
    <x v="2"/>
    <s v="Y"/>
    <s v="Success"/>
    <x v="0"/>
    <x v="0"/>
    <x v="2"/>
  </r>
  <r>
    <s v="TX1000709"/>
    <x v="62"/>
    <x v="4"/>
    <d v="1899-12-30T23:39:02"/>
    <n v="144.76"/>
    <s v="USD"/>
    <s v="M1967"/>
    <x v="5"/>
    <s v="Nigeria"/>
    <s v="C60989"/>
    <n v="32"/>
    <s v="Other"/>
    <x v="11"/>
    <x v="1"/>
    <s v="Y"/>
    <s v="Success"/>
    <x v="0"/>
    <x v="0"/>
    <x v="1"/>
  </r>
  <r>
    <s v="TX1002274"/>
    <x v="38"/>
    <x v="2"/>
    <d v="1899-12-30T21:51:34"/>
    <n v="144.56"/>
    <s v="USD"/>
    <s v="M1839"/>
    <x v="4"/>
    <s v="Spain"/>
    <s v="C58809"/>
    <n v="64"/>
    <s v="M"/>
    <x v="0"/>
    <x v="1"/>
    <s v="N"/>
    <s v="Success"/>
    <x v="0"/>
    <x v="0"/>
    <x v="3"/>
  </r>
  <r>
    <s v="TX1002574"/>
    <x v="52"/>
    <x v="3"/>
    <d v="1899-12-30T22:24:01"/>
    <n v="144.5"/>
    <s v="USD"/>
    <s v="M1005"/>
    <x v="9"/>
    <s v="Spain"/>
    <s v="C58550"/>
    <n v="46"/>
    <s v="M"/>
    <x v="13"/>
    <x v="2"/>
    <s v="Y"/>
    <s v="Success"/>
    <x v="0"/>
    <x v="0"/>
    <x v="2"/>
  </r>
  <r>
    <s v="TX1001378"/>
    <x v="54"/>
    <x v="0"/>
    <d v="1899-12-30T06:41:46"/>
    <n v="144.49"/>
    <s v="USD"/>
    <s v="M1813"/>
    <x v="3"/>
    <s v="India"/>
    <s v="C67186"/>
    <n v="52"/>
    <s v="M"/>
    <x v="4"/>
    <x v="1"/>
    <s v="Y"/>
    <s v="Success"/>
    <x v="0"/>
    <x v="0"/>
    <x v="2"/>
  </r>
  <r>
    <s v="TX1002219"/>
    <x v="24"/>
    <x v="2"/>
    <d v="1899-12-30T10:59:15"/>
    <n v="144.44"/>
    <s v="USD"/>
    <s v="M1532"/>
    <x v="8"/>
    <s v="Germany"/>
    <s v="C93872"/>
    <n v="34"/>
    <s v="M"/>
    <x v="6"/>
    <x v="3"/>
    <s v="Y"/>
    <s v="Success"/>
    <x v="0"/>
    <x v="0"/>
    <x v="1"/>
  </r>
  <r>
    <s v="TX1000209"/>
    <x v="31"/>
    <x v="1"/>
    <d v="1899-12-30T07:33:23"/>
    <n v="144.24"/>
    <s v="USD"/>
    <s v="M1207"/>
    <x v="5"/>
    <s v="United States"/>
    <s v="C52103"/>
    <n v="72"/>
    <s v="F"/>
    <x v="10"/>
    <x v="2"/>
    <s v="Y"/>
    <s v="Success"/>
    <x v="0"/>
    <x v="0"/>
    <x v="3"/>
  </r>
  <r>
    <s v="TX1002377"/>
    <x v="160"/>
    <x v="2"/>
    <d v="1899-12-30T09:06:22"/>
    <n v="144.22"/>
    <s v="USD"/>
    <s v="M1542"/>
    <x v="3"/>
    <s v="France"/>
    <s v="C83601"/>
    <n v="64"/>
    <s v="F"/>
    <x v="3"/>
    <x v="4"/>
    <s v="Y"/>
    <s v="Success"/>
    <x v="0"/>
    <x v="0"/>
    <x v="3"/>
  </r>
  <r>
    <s v="TX1002760"/>
    <x v="7"/>
    <x v="3"/>
    <d v="1899-12-30T15:21:30"/>
    <n v="144.06"/>
    <s v="USD"/>
    <s v="M1136"/>
    <x v="0"/>
    <s v="Norway"/>
    <s v="C53627"/>
    <n v="75"/>
    <s v="F"/>
    <x v="0"/>
    <x v="1"/>
    <s v="Y"/>
    <s v="Success"/>
    <x v="0"/>
    <x v="0"/>
    <x v="3"/>
  </r>
  <r>
    <s v="TX1000816"/>
    <x v="91"/>
    <x v="4"/>
    <d v="1899-12-30T09:30:17"/>
    <n v="143.96"/>
    <s v="USD"/>
    <s v="M1580"/>
    <x v="4"/>
    <s v="United Kingdom"/>
    <s v="C93108"/>
    <n v="61"/>
    <s v="M"/>
    <x v="1"/>
    <x v="0"/>
    <s v="Y"/>
    <s v="Success"/>
    <x v="0"/>
    <x v="0"/>
    <x v="3"/>
  </r>
  <r>
    <s v="TX1001266"/>
    <x v="123"/>
    <x v="0"/>
    <d v="1899-12-30T00:08:36"/>
    <n v="143.85"/>
    <s v="USD"/>
    <s v="M1135"/>
    <x v="4"/>
    <s v="Sweden"/>
    <s v="C85904"/>
    <n v="74"/>
    <s v="F"/>
    <x v="0"/>
    <x v="2"/>
    <s v="Y"/>
    <s v="Success"/>
    <x v="0"/>
    <x v="0"/>
    <x v="3"/>
  </r>
  <r>
    <s v="TX1001644"/>
    <x v="143"/>
    <x v="5"/>
    <d v="1899-12-30T13:15:12"/>
    <n v="143.81"/>
    <s v="USD"/>
    <s v="M1056"/>
    <x v="8"/>
    <s v="South Africa"/>
    <s v="C61589"/>
    <n v="58"/>
    <s v="F"/>
    <x v="0"/>
    <x v="2"/>
    <s v="Y"/>
    <s v="Success"/>
    <x v="0"/>
    <x v="0"/>
    <x v="2"/>
  </r>
  <r>
    <s v="TX1001473"/>
    <x v="61"/>
    <x v="0"/>
    <d v="1899-12-30T21:11:50"/>
    <n v="143.66999999999999"/>
    <s v="USD"/>
    <s v="M1536"/>
    <x v="0"/>
    <s v="India"/>
    <s v="C81205"/>
    <n v="69"/>
    <s v="M"/>
    <x v="6"/>
    <x v="1"/>
    <s v="N"/>
    <s v="Success"/>
    <x v="0"/>
    <x v="0"/>
    <x v="3"/>
  </r>
  <r>
    <s v="TX1002458"/>
    <x v="154"/>
    <x v="2"/>
    <d v="1899-12-30T05:57:00"/>
    <n v="143.6"/>
    <s v="USD"/>
    <s v="M1642"/>
    <x v="0"/>
    <s v="Kenya"/>
    <s v="C62108"/>
    <n v="25"/>
    <s v="Other"/>
    <x v="6"/>
    <x v="3"/>
    <s v="Y"/>
    <s v="Success"/>
    <x v="0"/>
    <x v="0"/>
    <x v="1"/>
  </r>
  <r>
    <s v="TX1002928"/>
    <x v="96"/>
    <x v="3"/>
    <d v="1899-12-30T22:57:57"/>
    <n v="143.51"/>
    <s v="USD"/>
    <s v="M1134"/>
    <x v="5"/>
    <s v="Spain"/>
    <s v="C67774"/>
    <n v="49"/>
    <s v="M"/>
    <x v="5"/>
    <x v="0"/>
    <s v="Y"/>
    <s v="Success"/>
    <x v="0"/>
    <x v="0"/>
    <x v="2"/>
  </r>
  <r>
    <s v="TX1002585"/>
    <x v="103"/>
    <x v="3"/>
    <d v="1899-12-30T08:03:43"/>
    <n v="143.38"/>
    <s v="USD"/>
    <s v="M1837"/>
    <x v="0"/>
    <s v="Norway"/>
    <s v="C58069"/>
    <n v="44"/>
    <s v="F"/>
    <x v="6"/>
    <x v="3"/>
    <s v="Y"/>
    <s v="Success"/>
    <x v="0"/>
    <x v="0"/>
    <x v="2"/>
  </r>
  <r>
    <s v="TX1001801"/>
    <x v="133"/>
    <x v="5"/>
    <d v="1899-12-30T01:29:07"/>
    <n v="142.99"/>
    <s v="USD"/>
    <s v="M1241"/>
    <x v="5"/>
    <s v="United States"/>
    <s v="C85597"/>
    <n v="41"/>
    <s v="Other"/>
    <x v="0"/>
    <x v="5"/>
    <s v="Y"/>
    <s v="Success"/>
    <x v="0"/>
    <x v="0"/>
    <x v="2"/>
  </r>
  <r>
    <s v="TX1000501"/>
    <x v="57"/>
    <x v="4"/>
    <d v="1899-12-30T12:58:31"/>
    <n v="142.9"/>
    <s v="USD"/>
    <s v="M1824"/>
    <x v="3"/>
    <s v="United States"/>
    <s v="C89809"/>
    <n v="19"/>
    <s v="M"/>
    <x v="7"/>
    <x v="1"/>
    <s v="Y"/>
    <s v="Success"/>
    <x v="0"/>
    <x v="0"/>
    <x v="0"/>
  </r>
  <r>
    <s v="TX1000317"/>
    <x v="95"/>
    <x v="1"/>
    <d v="1899-12-30T01:06:08"/>
    <n v="142.79"/>
    <s v="USD"/>
    <s v="M1582"/>
    <x v="3"/>
    <s v="Germany"/>
    <s v="C56209"/>
    <n v="61"/>
    <s v="Other"/>
    <x v="5"/>
    <x v="1"/>
    <s v="Y"/>
    <s v="Success"/>
    <x v="0"/>
    <x v="0"/>
    <x v="3"/>
  </r>
  <r>
    <s v="TX1002665"/>
    <x v="132"/>
    <x v="3"/>
    <d v="1899-12-30T14:55:29"/>
    <n v="142.78"/>
    <s v="USD"/>
    <s v="M1540"/>
    <x v="7"/>
    <s v="Spain"/>
    <s v="C67585"/>
    <n v="37"/>
    <s v="Other"/>
    <x v="9"/>
    <x v="5"/>
    <s v="Y"/>
    <s v="Success"/>
    <x v="0"/>
    <x v="0"/>
    <x v="1"/>
  </r>
  <r>
    <s v="TX1002256"/>
    <x v="69"/>
    <x v="2"/>
    <d v="1899-12-30T15:12:04"/>
    <n v="142.72"/>
    <s v="USD"/>
    <s v="M1051"/>
    <x v="0"/>
    <s v="United States"/>
    <s v="C86935"/>
    <n v="38"/>
    <s v="M"/>
    <x v="4"/>
    <x v="3"/>
    <s v="Y"/>
    <s v="Success"/>
    <x v="1"/>
    <x v="1"/>
    <x v="1"/>
  </r>
  <r>
    <s v="TX1002466"/>
    <x v="154"/>
    <x v="2"/>
    <d v="1899-12-30T22:36:40"/>
    <n v="142.57"/>
    <s v="USD"/>
    <s v="M1243"/>
    <x v="6"/>
    <s v="France"/>
    <s v="C89806"/>
    <n v="21"/>
    <s v="Other"/>
    <x v="13"/>
    <x v="4"/>
    <s v="Y"/>
    <s v="Success"/>
    <x v="0"/>
    <x v="0"/>
    <x v="0"/>
  </r>
  <r>
    <s v="TX1001837"/>
    <x v="139"/>
    <x v="5"/>
    <d v="1899-12-30T13:28:29"/>
    <n v="142.54"/>
    <s v="USD"/>
    <s v="M1109"/>
    <x v="1"/>
    <s v="South Africa"/>
    <s v="C89116"/>
    <n v="45"/>
    <s v="M"/>
    <x v="12"/>
    <x v="4"/>
    <s v="Y"/>
    <s v="Success"/>
    <x v="0"/>
    <x v="0"/>
    <x v="2"/>
  </r>
  <r>
    <s v="TX1001189"/>
    <x v="120"/>
    <x v="0"/>
    <d v="1899-12-30T18:24:45"/>
    <n v="142.51"/>
    <s v="USD"/>
    <s v="M1433"/>
    <x v="2"/>
    <s v="United States"/>
    <s v="C61002"/>
    <n v="23"/>
    <s v="Other"/>
    <x v="12"/>
    <x v="4"/>
    <s v="Y"/>
    <s v="Success"/>
    <x v="0"/>
    <x v="0"/>
    <x v="0"/>
  </r>
  <r>
    <s v="TX1001479"/>
    <x v="0"/>
    <x v="0"/>
    <d v="1899-12-30T06:08:38"/>
    <n v="142.35"/>
    <s v="USD"/>
    <s v="M1258"/>
    <x v="0"/>
    <s v="India"/>
    <s v="C55450"/>
    <n v="41"/>
    <s v="Other"/>
    <x v="9"/>
    <x v="0"/>
    <s v="Y"/>
    <s v="Success"/>
    <x v="0"/>
    <x v="0"/>
    <x v="2"/>
  </r>
  <r>
    <s v="TX1001970"/>
    <x v="121"/>
    <x v="5"/>
    <d v="1899-12-30T07:19:46"/>
    <n v="142.16"/>
    <s v="USD"/>
    <s v="M1912"/>
    <x v="4"/>
    <s v="United States"/>
    <s v="C87931"/>
    <n v="42"/>
    <s v="M"/>
    <x v="2"/>
    <x v="4"/>
    <s v="Y"/>
    <s v="Success"/>
    <x v="0"/>
    <x v="0"/>
    <x v="2"/>
  </r>
  <r>
    <s v="TX1001346"/>
    <x v="74"/>
    <x v="0"/>
    <d v="1899-12-30T16:40:13"/>
    <n v="142.15"/>
    <s v="USD"/>
    <s v="M1007"/>
    <x v="0"/>
    <s v="United Kingdom"/>
    <s v="C67845"/>
    <n v="60"/>
    <s v="Other"/>
    <x v="14"/>
    <x v="0"/>
    <s v="Y"/>
    <s v="Success"/>
    <x v="0"/>
    <x v="0"/>
    <x v="3"/>
  </r>
  <r>
    <s v="TX1002173"/>
    <x v="112"/>
    <x v="2"/>
    <d v="1899-12-30T06:02:05"/>
    <n v="141.88"/>
    <s v="USD"/>
    <s v="M1575"/>
    <x v="1"/>
    <s v="Nigeria"/>
    <s v="C95300"/>
    <n v="35"/>
    <s v="M"/>
    <x v="3"/>
    <x v="0"/>
    <s v="Y"/>
    <s v="Success"/>
    <x v="0"/>
    <x v="0"/>
    <x v="1"/>
  </r>
  <r>
    <s v="TX1000258"/>
    <x v="152"/>
    <x v="1"/>
    <d v="1899-12-30T10:46:30"/>
    <n v="141.83000000000001"/>
    <s v="USD"/>
    <s v="M1275"/>
    <x v="2"/>
    <s v="Poland"/>
    <s v="C50380"/>
    <n v="46"/>
    <s v="F"/>
    <x v="8"/>
    <x v="3"/>
    <s v="Y"/>
    <s v="Success"/>
    <x v="0"/>
    <x v="0"/>
    <x v="2"/>
  </r>
  <r>
    <s v="TX1002588"/>
    <x v="103"/>
    <x v="3"/>
    <d v="1899-12-30T10:37:17"/>
    <n v="141.79"/>
    <s v="USD"/>
    <s v="M1952"/>
    <x v="9"/>
    <s v="Poland"/>
    <s v="C50468"/>
    <n v="32"/>
    <s v="F"/>
    <x v="8"/>
    <x v="1"/>
    <s v="Y"/>
    <s v="Success"/>
    <x v="0"/>
    <x v="0"/>
    <x v="1"/>
  </r>
  <r>
    <s v="TX1002693"/>
    <x v="89"/>
    <x v="3"/>
    <d v="1899-12-30T16:57:36"/>
    <n v="141.78"/>
    <s v="USD"/>
    <s v="M1442"/>
    <x v="3"/>
    <s v="Norway"/>
    <s v="C90671"/>
    <n v="37"/>
    <s v="Other"/>
    <x v="10"/>
    <x v="4"/>
    <s v="Y"/>
    <s v="Success"/>
    <x v="0"/>
    <x v="0"/>
    <x v="1"/>
  </r>
  <r>
    <s v="TX1000638"/>
    <x v="178"/>
    <x v="4"/>
    <d v="1899-12-30T16:37:22"/>
    <n v="141.77000000000001"/>
    <s v="USD"/>
    <s v="M1769"/>
    <x v="2"/>
    <s v="Norway"/>
    <s v="C95865"/>
    <n v="34"/>
    <s v="F"/>
    <x v="6"/>
    <x v="2"/>
    <s v="Y"/>
    <s v="Success"/>
    <x v="0"/>
    <x v="0"/>
    <x v="1"/>
  </r>
  <r>
    <s v="TX1001520"/>
    <x v="58"/>
    <x v="5"/>
    <d v="1899-12-30T14:28:33"/>
    <n v="141.69"/>
    <s v="USD"/>
    <s v="M1396"/>
    <x v="7"/>
    <s v="United Kingdom"/>
    <s v="C83730"/>
    <n v="51"/>
    <s v="F"/>
    <x v="10"/>
    <x v="0"/>
    <s v="Y"/>
    <s v="Success"/>
    <x v="0"/>
    <x v="0"/>
    <x v="2"/>
  </r>
  <r>
    <s v="TX1001412"/>
    <x v="150"/>
    <x v="0"/>
    <d v="1899-12-30T02:02:14"/>
    <n v="141.63999999999999"/>
    <s v="USD"/>
    <s v="M1913"/>
    <x v="7"/>
    <s v="India"/>
    <s v="C77136"/>
    <n v="19"/>
    <s v="M"/>
    <x v="0"/>
    <x v="2"/>
    <s v="Y"/>
    <s v="Success"/>
    <x v="0"/>
    <x v="0"/>
    <x v="0"/>
  </r>
  <r>
    <s v="TX1002414"/>
    <x v="46"/>
    <x v="2"/>
    <d v="1899-12-30T03:16:56"/>
    <n v="141.61000000000001"/>
    <s v="USD"/>
    <s v="M1261"/>
    <x v="9"/>
    <s v="Netherlands"/>
    <s v="C70595"/>
    <n v="72"/>
    <s v="F"/>
    <x v="12"/>
    <x v="4"/>
    <s v="Y"/>
    <s v="Success"/>
    <x v="0"/>
    <x v="0"/>
    <x v="3"/>
  </r>
  <r>
    <s v="TX1002944"/>
    <x v="45"/>
    <x v="3"/>
    <d v="1899-12-30T22:12:32"/>
    <n v="141.58000000000001"/>
    <s v="USD"/>
    <s v="M1349"/>
    <x v="7"/>
    <s v="Germany"/>
    <s v="C55972"/>
    <n v="27"/>
    <s v="F"/>
    <x v="0"/>
    <x v="1"/>
    <s v="Y"/>
    <s v="Success"/>
    <x v="0"/>
    <x v="0"/>
    <x v="1"/>
  </r>
  <r>
    <s v="TX1000974"/>
    <x v="102"/>
    <x v="0"/>
    <d v="1899-12-30T01:40:17"/>
    <n v="141.51"/>
    <s v="USD"/>
    <s v="M1012"/>
    <x v="9"/>
    <s v="Australia"/>
    <s v="C72210"/>
    <n v="38"/>
    <s v="F"/>
    <x v="8"/>
    <x v="1"/>
    <s v="Y"/>
    <s v="Success"/>
    <x v="0"/>
    <x v="0"/>
    <x v="1"/>
  </r>
  <r>
    <s v="TX1000166"/>
    <x v="42"/>
    <x v="1"/>
    <d v="1899-12-30T23:04:34"/>
    <n v="141.12"/>
    <s v="USD"/>
    <s v="M1111"/>
    <x v="1"/>
    <s v="South Africa"/>
    <s v="C52779"/>
    <n v="65"/>
    <s v="M"/>
    <x v="3"/>
    <x v="2"/>
    <s v="Y"/>
    <s v="Success"/>
    <x v="0"/>
    <x v="0"/>
    <x v="3"/>
  </r>
  <r>
    <s v="TX1001144"/>
    <x v="165"/>
    <x v="0"/>
    <d v="1899-12-30T14:31:56"/>
    <n v="141.1"/>
    <s v="USD"/>
    <s v="M1970"/>
    <x v="1"/>
    <s v="Canada"/>
    <s v="C82196"/>
    <n v="32"/>
    <s v="Other"/>
    <x v="1"/>
    <x v="5"/>
    <s v="Y"/>
    <s v="Success"/>
    <x v="0"/>
    <x v="0"/>
    <x v="1"/>
  </r>
  <r>
    <s v="TX1000636"/>
    <x v="178"/>
    <x v="4"/>
    <d v="1899-12-30T05:23:07"/>
    <n v="140.94"/>
    <s v="USD"/>
    <s v="M1060"/>
    <x v="2"/>
    <s v="Spain"/>
    <s v="C57714"/>
    <n v="64"/>
    <s v="M"/>
    <x v="12"/>
    <x v="1"/>
    <s v="Y"/>
    <s v="Success"/>
    <x v="0"/>
    <x v="0"/>
    <x v="3"/>
  </r>
  <r>
    <s v="TX1001344"/>
    <x v="74"/>
    <x v="0"/>
    <d v="1899-12-30T15:43:59"/>
    <n v="140.80000000000001"/>
    <s v="USD"/>
    <s v="M1676"/>
    <x v="5"/>
    <s v="Australia"/>
    <s v="C61865"/>
    <n v="44"/>
    <s v="F"/>
    <x v="2"/>
    <x v="2"/>
    <s v="Y"/>
    <s v="Success"/>
    <x v="0"/>
    <x v="0"/>
    <x v="2"/>
  </r>
  <r>
    <s v="TX1001673"/>
    <x v="134"/>
    <x v="5"/>
    <d v="1899-12-30T00:53:13"/>
    <n v="140.69999999999999"/>
    <s v="USD"/>
    <s v="M1037"/>
    <x v="1"/>
    <s v="Australia"/>
    <s v="C75888"/>
    <n v="66"/>
    <s v="F"/>
    <x v="3"/>
    <x v="1"/>
    <s v="Y"/>
    <s v="Success"/>
    <x v="0"/>
    <x v="0"/>
    <x v="3"/>
  </r>
  <r>
    <s v="TX1002879"/>
    <x v="144"/>
    <x v="3"/>
    <d v="1899-12-30T07:22:41"/>
    <n v="140.69"/>
    <s v="USD"/>
    <s v="M1972"/>
    <x v="2"/>
    <s v="Sweden"/>
    <s v="C75809"/>
    <n v="67"/>
    <s v="F"/>
    <x v="4"/>
    <x v="2"/>
    <s v="N"/>
    <s v="Success"/>
    <x v="0"/>
    <x v="0"/>
    <x v="3"/>
  </r>
  <r>
    <s v="TX1001763"/>
    <x v="72"/>
    <x v="5"/>
    <d v="1899-12-30T09:42:03"/>
    <n v="140.55000000000001"/>
    <s v="USD"/>
    <s v="M1444"/>
    <x v="7"/>
    <s v="South Africa"/>
    <s v="C86054"/>
    <n v="33"/>
    <s v="Other"/>
    <x v="1"/>
    <x v="1"/>
    <s v="Y"/>
    <s v="Success"/>
    <x v="0"/>
    <x v="0"/>
    <x v="1"/>
  </r>
  <r>
    <s v="TX1002253"/>
    <x v="69"/>
    <x v="2"/>
    <d v="1899-12-30T13:38:44"/>
    <n v="140.46"/>
    <s v="USD"/>
    <s v="M1224"/>
    <x v="7"/>
    <s v="Germany"/>
    <s v="C87091"/>
    <n v="40"/>
    <s v="F"/>
    <x v="12"/>
    <x v="3"/>
    <s v="N"/>
    <s v="Success"/>
    <x v="0"/>
    <x v="0"/>
    <x v="2"/>
  </r>
  <r>
    <s v="TX1000132"/>
    <x v="5"/>
    <x v="1"/>
    <d v="1899-12-30T19:29:15"/>
    <n v="140.44"/>
    <s v="USD"/>
    <s v="M1286"/>
    <x v="1"/>
    <s v="United States"/>
    <s v="C87447"/>
    <n v="24"/>
    <s v="Other"/>
    <x v="12"/>
    <x v="5"/>
    <s v="Y"/>
    <s v="Success"/>
    <x v="0"/>
    <x v="0"/>
    <x v="0"/>
  </r>
  <r>
    <s v="TX1002618"/>
    <x v="94"/>
    <x v="3"/>
    <d v="1899-12-30T15:10:36"/>
    <n v="140.41"/>
    <s v="USD"/>
    <s v="M1215"/>
    <x v="2"/>
    <s v="India"/>
    <s v="C91227"/>
    <n v="45"/>
    <s v="F"/>
    <x v="3"/>
    <x v="2"/>
    <s v="Y"/>
    <s v="Success"/>
    <x v="0"/>
    <x v="0"/>
    <x v="2"/>
  </r>
  <r>
    <s v="TX1000767"/>
    <x v="10"/>
    <x v="4"/>
    <d v="1899-12-30T23:09:09"/>
    <n v="140.30000000000001"/>
    <s v="USD"/>
    <s v="M1070"/>
    <x v="4"/>
    <s v="South Africa"/>
    <s v="C81075"/>
    <n v="45"/>
    <s v="F"/>
    <x v="5"/>
    <x v="1"/>
    <s v="Y"/>
    <s v="Success"/>
    <x v="0"/>
    <x v="0"/>
    <x v="2"/>
  </r>
  <r>
    <s v="TX1002556"/>
    <x v="13"/>
    <x v="3"/>
    <d v="1899-12-30T21:17:46"/>
    <n v="140.29"/>
    <s v="USD"/>
    <s v="M1119"/>
    <x v="7"/>
    <s v="Kenya"/>
    <s v="C76860"/>
    <n v="35"/>
    <s v="M"/>
    <x v="5"/>
    <x v="2"/>
    <s v="Y"/>
    <s v="Success"/>
    <x v="0"/>
    <x v="0"/>
    <x v="1"/>
  </r>
  <r>
    <s v="TX1002865"/>
    <x v="87"/>
    <x v="3"/>
    <d v="1899-12-30T11:17:35"/>
    <n v="140.21"/>
    <s v="USD"/>
    <s v="M1408"/>
    <x v="0"/>
    <s v="Sweden"/>
    <s v="C88348"/>
    <n v="59"/>
    <s v="M"/>
    <x v="6"/>
    <x v="2"/>
    <s v="Y"/>
    <s v="Success"/>
    <x v="0"/>
    <x v="0"/>
    <x v="2"/>
  </r>
  <r>
    <s v="TX1002805"/>
    <x v="4"/>
    <x v="3"/>
    <d v="1899-12-30T06:28:32"/>
    <n v="140.19999999999999"/>
    <s v="USD"/>
    <s v="M1127"/>
    <x v="9"/>
    <s v="India"/>
    <s v="C94349"/>
    <n v="56"/>
    <s v="Other"/>
    <x v="8"/>
    <x v="5"/>
    <s v="Y"/>
    <s v="Success"/>
    <x v="0"/>
    <x v="0"/>
    <x v="2"/>
  </r>
  <r>
    <s v="TX1001563"/>
    <x v="29"/>
    <x v="5"/>
    <d v="1899-12-30T15:05:25"/>
    <n v="140.16"/>
    <s v="USD"/>
    <s v="M1673"/>
    <x v="7"/>
    <s v="Sweden"/>
    <s v="C86132"/>
    <n v="42"/>
    <s v="Other"/>
    <x v="11"/>
    <x v="3"/>
    <s v="Y"/>
    <s v="Success"/>
    <x v="1"/>
    <x v="1"/>
    <x v="2"/>
  </r>
  <r>
    <s v="TX1002107"/>
    <x v="158"/>
    <x v="2"/>
    <d v="1899-12-30T20:03:21"/>
    <n v="140.13"/>
    <s v="USD"/>
    <s v="M1763"/>
    <x v="4"/>
    <s v="United Kingdom"/>
    <s v="C62833"/>
    <n v="59"/>
    <s v="M"/>
    <x v="9"/>
    <x v="4"/>
    <s v="Y"/>
    <s v="Success"/>
    <x v="0"/>
    <x v="0"/>
    <x v="2"/>
  </r>
  <r>
    <s v="TX1002602"/>
    <x v="173"/>
    <x v="3"/>
    <d v="1899-12-30T12:19:03"/>
    <n v="140.1"/>
    <s v="USD"/>
    <s v="M1802"/>
    <x v="6"/>
    <s v="Netherlands"/>
    <s v="C57611"/>
    <n v="19"/>
    <s v="Other"/>
    <x v="0"/>
    <x v="2"/>
    <s v="Y"/>
    <s v="Success"/>
    <x v="0"/>
    <x v="0"/>
    <x v="0"/>
  </r>
  <r>
    <s v="TX1000832"/>
    <x v="114"/>
    <x v="4"/>
    <d v="1899-12-30T01:24:25"/>
    <n v="139.96"/>
    <s v="USD"/>
    <s v="M1118"/>
    <x v="2"/>
    <s v="India"/>
    <s v="C91285"/>
    <n v="50"/>
    <s v="Other"/>
    <x v="8"/>
    <x v="0"/>
    <s v="Y"/>
    <s v="Success"/>
    <x v="0"/>
    <x v="0"/>
    <x v="2"/>
  </r>
  <r>
    <s v="TX1001341"/>
    <x v="74"/>
    <x v="0"/>
    <d v="1899-12-30T11:00:10"/>
    <n v="139.93"/>
    <s v="USD"/>
    <s v="M1812"/>
    <x v="0"/>
    <s v="Spain"/>
    <s v="C53145"/>
    <n v="47"/>
    <s v="Other"/>
    <x v="10"/>
    <x v="3"/>
    <s v="Y"/>
    <s v="Success"/>
    <x v="0"/>
    <x v="0"/>
    <x v="2"/>
  </r>
  <r>
    <s v="TX1002032"/>
    <x v="138"/>
    <x v="2"/>
    <d v="1899-12-30T03:10:21"/>
    <n v="139.91"/>
    <s v="USD"/>
    <s v="M1224"/>
    <x v="4"/>
    <s v="Nigeria"/>
    <s v="C96423"/>
    <n v="71"/>
    <s v="F"/>
    <x v="13"/>
    <x v="4"/>
    <s v="N"/>
    <s v="Success"/>
    <x v="0"/>
    <x v="0"/>
    <x v="3"/>
  </r>
  <r>
    <s v="TX1002669"/>
    <x v="34"/>
    <x v="3"/>
    <d v="1899-12-30T00:48:18"/>
    <n v="139.72999999999999"/>
    <s v="USD"/>
    <s v="M1972"/>
    <x v="1"/>
    <s v="France"/>
    <s v="C90858"/>
    <n v="69"/>
    <s v="M"/>
    <x v="4"/>
    <x v="5"/>
    <s v="Y"/>
    <s v="Success"/>
    <x v="0"/>
    <x v="0"/>
    <x v="3"/>
  </r>
  <r>
    <s v="TX1000456"/>
    <x v="25"/>
    <x v="1"/>
    <d v="1899-12-30T01:53:18"/>
    <n v="139.69999999999999"/>
    <s v="USD"/>
    <s v="M1495"/>
    <x v="1"/>
    <s v="Australia"/>
    <s v="C77001"/>
    <n v="31"/>
    <s v="F"/>
    <x v="1"/>
    <x v="0"/>
    <s v="Y"/>
    <s v="Success"/>
    <x v="0"/>
    <x v="0"/>
    <x v="1"/>
  </r>
  <r>
    <s v="TX1001708"/>
    <x v="142"/>
    <x v="5"/>
    <d v="1899-12-30T05:57:16"/>
    <n v="139.69999999999999"/>
    <s v="USD"/>
    <s v="M1373"/>
    <x v="2"/>
    <s v="Sweden"/>
    <s v="C62338"/>
    <n v="67"/>
    <s v="F"/>
    <x v="6"/>
    <x v="5"/>
    <s v="Y"/>
    <s v="Success"/>
    <x v="0"/>
    <x v="0"/>
    <x v="3"/>
  </r>
  <r>
    <s v="TX1001633"/>
    <x v="143"/>
    <x v="5"/>
    <d v="1899-12-30T02:35:06"/>
    <n v="139.66999999999999"/>
    <s v="USD"/>
    <s v="M1942"/>
    <x v="7"/>
    <s v="Germany"/>
    <s v="C61846"/>
    <n v="61"/>
    <s v="M"/>
    <x v="5"/>
    <x v="4"/>
    <s v="Y"/>
    <s v="Success"/>
    <x v="0"/>
    <x v="0"/>
    <x v="3"/>
  </r>
  <r>
    <s v="TX1000362"/>
    <x v="1"/>
    <x v="1"/>
    <d v="1899-12-30T16:23:21"/>
    <n v="139.63999999999999"/>
    <s v="USD"/>
    <s v="M1046"/>
    <x v="2"/>
    <s v="Kenya"/>
    <s v="C95469"/>
    <n v="52"/>
    <s v="Other"/>
    <x v="6"/>
    <x v="5"/>
    <s v="Y"/>
    <s v="Success"/>
    <x v="0"/>
    <x v="0"/>
    <x v="2"/>
  </r>
  <r>
    <s v="TX1000682"/>
    <x v="113"/>
    <x v="4"/>
    <d v="1899-12-30T12:21:02"/>
    <n v="139.38999999999999"/>
    <s v="USD"/>
    <s v="M1532"/>
    <x v="0"/>
    <s v="Nigeria"/>
    <s v="C98964"/>
    <n v="68"/>
    <s v="F"/>
    <x v="11"/>
    <x v="2"/>
    <s v="Y"/>
    <s v="Success"/>
    <x v="0"/>
    <x v="0"/>
    <x v="3"/>
  </r>
  <r>
    <s v="TX1001418"/>
    <x v="150"/>
    <x v="0"/>
    <d v="1899-12-30T08:46:47"/>
    <n v="139.37"/>
    <s v="USD"/>
    <s v="M1133"/>
    <x v="1"/>
    <s v="France"/>
    <s v="C61046"/>
    <n v="65"/>
    <s v="Other"/>
    <x v="9"/>
    <x v="4"/>
    <s v="Y"/>
    <s v="Success"/>
    <x v="0"/>
    <x v="0"/>
    <x v="3"/>
  </r>
  <r>
    <s v="TX1000690"/>
    <x v="62"/>
    <x v="4"/>
    <d v="1899-12-30T01:39:20"/>
    <n v="139.33000000000001"/>
    <s v="USD"/>
    <s v="M1562"/>
    <x v="3"/>
    <s v="Nigeria"/>
    <s v="C88699"/>
    <n v="60"/>
    <s v="F"/>
    <x v="6"/>
    <x v="0"/>
    <s v="Y"/>
    <s v="Success"/>
    <x v="0"/>
    <x v="0"/>
    <x v="3"/>
  </r>
  <r>
    <s v="TX1002980"/>
    <x v="116"/>
    <x v="3"/>
    <d v="1899-12-30T07:48:28"/>
    <n v="139.22999999999999"/>
    <s v="USD"/>
    <s v="M1046"/>
    <x v="8"/>
    <s v="Kenya"/>
    <s v="C59274"/>
    <n v="68"/>
    <s v="Other"/>
    <x v="14"/>
    <x v="1"/>
    <s v="Y"/>
    <s v="Success"/>
    <x v="0"/>
    <x v="0"/>
    <x v="3"/>
  </r>
  <r>
    <s v="TX1001130"/>
    <x v="3"/>
    <x v="0"/>
    <d v="1899-12-30T04:57:59"/>
    <n v="139.22"/>
    <s v="USD"/>
    <s v="M1090"/>
    <x v="2"/>
    <s v="India"/>
    <s v="C99823"/>
    <n v="47"/>
    <s v="M"/>
    <x v="2"/>
    <x v="3"/>
    <s v="Y"/>
    <s v="Success"/>
    <x v="0"/>
    <x v="0"/>
    <x v="2"/>
  </r>
  <r>
    <s v="TX1001558"/>
    <x v="29"/>
    <x v="5"/>
    <d v="1899-12-30T05:18:56"/>
    <n v="139.08000000000001"/>
    <s v="USD"/>
    <s v="M1989"/>
    <x v="5"/>
    <s v="United Kingdom"/>
    <s v="C59799"/>
    <n v="24"/>
    <s v="M"/>
    <x v="11"/>
    <x v="4"/>
    <s v="N"/>
    <s v="Success"/>
    <x v="0"/>
    <x v="0"/>
    <x v="0"/>
  </r>
  <r>
    <s v="TX1002753"/>
    <x v="7"/>
    <x v="3"/>
    <d v="1899-12-30T04:44:32"/>
    <n v="139.01"/>
    <s v="USD"/>
    <s v="M1625"/>
    <x v="8"/>
    <s v="Poland"/>
    <s v="C69713"/>
    <n v="14"/>
    <s v="M"/>
    <x v="11"/>
    <x v="5"/>
    <s v="Y"/>
    <s v="Success"/>
    <x v="0"/>
    <x v="0"/>
    <x v="0"/>
  </r>
  <r>
    <s v="TX1000372"/>
    <x v="1"/>
    <x v="1"/>
    <d v="1899-12-30T22:38:28"/>
    <n v="138.99"/>
    <s v="USD"/>
    <s v="M1341"/>
    <x v="3"/>
    <s v="Sweden"/>
    <s v="C92857"/>
    <n v="52"/>
    <s v="Other"/>
    <x v="10"/>
    <x v="0"/>
    <s v="Y"/>
    <s v="Success"/>
    <x v="0"/>
    <x v="0"/>
    <x v="2"/>
  </r>
  <r>
    <s v="TX1000596"/>
    <x v="163"/>
    <x v="4"/>
    <d v="1899-12-30T09:41:34"/>
    <n v="138.94999999999999"/>
    <s v="USD"/>
    <s v="M1429"/>
    <x v="7"/>
    <s v="Canada"/>
    <s v="C85651"/>
    <n v="119"/>
    <s v="Other"/>
    <x v="14"/>
    <x v="5"/>
    <s v="Y"/>
    <s v="Success"/>
    <x v="0"/>
    <x v="0"/>
    <x v="3"/>
  </r>
  <r>
    <s v="TX1001280"/>
    <x v="123"/>
    <x v="0"/>
    <d v="1899-12-30T17:03:21"/>
    <n v="138.93"/>
    <s v="USD"/>
    <s v="M1668"/>
    <x v="2"/>
    <s v="Sweden"/>
    <s v="C80790"/>
    <n v="45"/>
    <s v="Other"/>
    <x v="4"/>
    <x v="2"/>
    <s v="N"/>
    <s v="Success"/>
    <x v="0"/>
    <x v="0"/>
    <x v="2"/>
  </r>
  <r>
    <s v="TX1000253"/>
    <x v="152"/>
    <x v="1"/>
    <d v="1899-12-30T07:13:50"/>
    <n v="138.91"/>
    <s v="USD"/>
    <s v="M1725"/>
    <x v="4"/>
    <s v="Netherlands"/>
    <s v="C89137"/>
    <n v="39"/>
    <s v="M"/>
    <x v="10"/>
    <x v="1"/>
    <s v="Y"/>
    <s v="Success"/>
    <x v="0"/>
    <x v="0"/>
    <x v="1"/>
  </r>
  <r>
    <s v="TX1002273"/>
    <x v="38"/>
    <x v="2"/>
    <d v="1899-12-30T19:03:23"/>
    <n v="138.83000000000001"/>
    <s v="USD"/>
    <s v="M1721"/>
    <x v="3"/>
    <s v="Canada"/>
    <s v="C74332"/>
    <n v="66"/>
    <s v="F"/>
    <x v="2"/>
    <x v="4"/>
    <s v="Y"/>
    <s v="Success"/>
    <x v="0"/>
    <x v="0"/>
    <x v="3"/>
  </r>
  <r>
    <s v="TX1000213"/>
    <x v="31"/>
    <x v="1"/>
    <d v="1899-12-30T12:36:03"/>
    <n v="138.46"/>
    <s v="USD"/>
    <s v="M1770"/>
    <x v="8"/>
    <s v="Netherlands"/>
    <s v="C90140"/>
    <n v="23"/>
    <s v="Other"/>
    <x v="0"/>
    <x v="1"/>
    <s v="Y"/>
    <s v="Success"/>
    <x v="0"/>
    <x v="0"/>
    <x v="0"/>
  </r>
  <r>
    <s v="TX1002766"/>
    <x v="7"/>
    <x v="3"/>
    <d v="1899-12-30T21:58:32"/>
    <n v="138.30000000000001"/>
    <s v="USD"/>
    <s v="M1080"/>
    <x v="4"/>
    <s v="United States"/>
    <s v="C81865"/>
    <n v="70"/>
    <s v="M"/>
    <x v="6"/>
    <x v="3"/>
    <s v="Y"/>
    <s v="Success"/>
    <x v="0"/>
    <x v="0"/>
    <x v="3"/>
  </r>
  <r>
    <s v="TX1000554"/>
    <x v="172"/>
    <x v="4"/>
    <d v="1899-12-30T01:20:30"/>
    <n v="138.21"/>
    <s v="USD"/>
    <s v="M1117"/>
    <x v="7"/>
    <s v="United States"/>
    <s v="C82016"/>
    <n v="65"/>
    <s v="F"/>
    <x v="14"/>
    <x v="3"/>
    <s v="Y"/>
    <s v="Success"/>
    <x v="0"/>
    <x v="0"/>
    <x v="3"/>
  </r>
  <r>
    <s v="TX1002776"/>
    <x v="169"/>
    <x v="3"/>
    <d v="1899-12-30T14:39:38"/>
    <n v="138.21"/>
    <s v="USD"/>
    <s v="M1735"/>
    <x v="6"/>
    <s v="India"/>
    <s v="C64272"/>
    <n v="47"/>
    <s v="F"/>
    <x v="10"/>
    <x v="2"/>
    <s v="Y"/>
    <s v="Success"/>
    <x v="0"/>
    <x v="0"/>
    <x v="2"/>
  </r>
  <r>
    <s v="TX1002676"/>
    <x v="34"/>
    <x v="3"/>
    <d v="1899-12-30T12:08:56"/>
    <n v="137.97999999999999"/>
    <s v="USD"/>
    <s v="M1318"/>
    <x v="0"/>
    <s v="Nigeria"/>
    <s v="C84091"/>
    <n v="59"/>
    <s v="Other"/>
    <x v="0"/>
    <x v="5"/>
    <s v="Y"/>
    <s v="Success"/>
    <x v="0"/>
    <x v="0"/>
    <x v="2"/>
  </r>
  <r>
    <s v="TX1001948"/>
    <x v="78"/>
    <x v="5"/>
    <d v="1899-12-30T05:50:33"/>
    <n v="137.62"/>
    <s v="USD"/>
    <s v="M1792"/>
    <x v="6"/>
    <s v="United States"/>
    <s v="C57143"/>
    <n v="75"/>
    <s v="F"/>
    <x v="7"/>
    <x v="4"/>
    <s v="Y"/>
    <s v="Success"/>
    <x v="0"/>
    <x v="0"/>
    <x v="3"/>
  </r>
  <r>
    <s v="TX1002349"/>
    <x v="14"/>
    <x v="2"/>
    <d v="1899-12-30T11:30:42"/>
    <n v="137.59"/>
    <s v="USD"/>
    <s v="M1525"/>
    <x v="1"/>
    <s v="India"/>
    <s v="C75393"/>
    <n v="55"/>
    <s v="M"/>
    <x v="8"/>
    <x v="3"/>
    <s v="Y"/>
    <s v="Success"/>
    <x v="0"/>
    <x v="0"/>
    <x v="2"/>
  </r>
  <r>
    <s v="TX1000261"/>
    <x v="152"/>
    <x v="1"/>
    <d v="1899-12-30T19:55:41"/>
    <n v="137.56"/>
    <s v="USD"/>
    <s v="M1507"/>
    <x v="0"/>
    <s v="Poland"/>
    <s v="C92416"/>
    <n v="69"/>
    <s v="F"/>
    <x v="12"/>
    <x v="5"/>
    <s v="Y"/>
    <s v="Success"/>
    <x v="0"/>
    <x v="0"/>
    <x v="3"/>
  </r>
  <r>
    <s v="TX1002930"/>
    <x v="45"/>
    <x v="3"/>
    <d v="1899-12-30T01:31:49"/>
    <n v="137.56"/>
    <s v="USD"/>
    <s v="M1843"/>
    <x v="9"/>
    <s v="Poland"/>
    <s v="C92883"/>
    <n v="50"/>
    <s v="Other"/>
    <x v="7"/>
    <x v="1"/>
    <s v="Y"/>
    <s v="Success"/>
    <x v="0"/>
    <x v="0"/>
    <x v="2"/>
  </r>
  <r>
    <s v="TX1002493"/>
    <x v="28"/>
    <x v="2"/>
    <d v="1899-12-30T05:45:06"/>
    <n v="137.27000000000001"/>
    <s v="USD"/>
    <s v="M1521"/>
    <x v="8"/>
    <s v="Kenya"/>
    <s v="C71279"/>
    <n v="39"/>
    <s v="M"/>
    <x v="11"/>
    <x v="2"/>
    <s v="Y"/>
    <s v="Success"/>
    <x v="0"/>
    <x v="0"/>
    <x v="1"/>
  </r>
  <r>
    <s v="TX1001459"/>
    <x v="61"/>
    <x v="0"/>
    <d v="1899-12-30T07:12:09"/>
    <n v="137.16999999999999"/>
    <s v="USD"/>
    <s v="M1356"/>
    <x v="2"/>
    <s v="Poland"/>
    <s v="C52662"/>
    <n v="23"/>
    <s v="F"/>
    <x v="5"/>
    <x v="3"/>
    <s v="Y"/>
    <s v="Success"/>
    <x v="0"/>
    <x v="0"/>
    <x v="0"/>
  </r>
  <r>
    <s v="TX1001472"/>
    <x v="61"/>
    <x v="0"/>
    <d v="1899-12-30T20:20:49"/>
    <n v="137.02000000000001"/>
    <s v="USD"/>
    <s v="M1248"/>
    <x v="8"/>
    <s v="Sweden"/>
    <s v="C88052"/>
    <n v="57"/>
    <s v="F"/>
    <x v="1"/>
    <x v="4"/>
    <s v="Y"/>
    <s v="Success"/>
    <x v="0"/>
    <x v="0"/>
    <x v="2"/>
  </r>
  <r>
    <s v="TX1000811"/>
    <x v="91"/>
    <x v="4"/>
    <d v="1899-12-30T01:07:15"/>
    <n v="136.86000000000001"/>
    <s v="USD"/>
    <s v="M1205"/>
    <x v="0"/>
    <s v="France"/>
    <s v="C65690"/>
    <n v="36"/>
    <s v="F"/>
    <x v="5"/>
    <x v="1"/>
    <s v="Y"/>
    <s v="Success"/>
    <x v="0"/>
    <x v="0"/>
    <x v="1"/>
  </r>
  <r>
    <s v="TX1000484"/>
    <x v="124"/>
    <x v="4"/>
    <d v="1899-12-30T20:13:01"/>
    <n v="136.79"/>
    <s v="USD"/>
    <s v="M1084"/>
    <x v="5"/>
    <s v="Poland"/>
    <s v="C98016"/>
    <n v="18"/>
    <s v="M"/>
    <x v="2"/>
    <x v="5"/>
    <s v="Y"/>
    <s v="Success"/>
    <x v="0"/>
    <x v="0"/>
    <x v="0"/>
  </r>
  <r>
    <s v="TX1001830"/>
    <x v="139"/>
    <x v="5"/>
    <d v="1899-12-30T01:24:06"/>
    <n v="136.76"/>
    <s v="USD"/>
    <s v="M1613"/>
    <x v="4"/>
    <s v="Netherlands"/>
    <s v="C89063"/>
    <n v="60"/>
    <s v="Other"/>
    <x v="9"/>
    <x v="0"/>
    <s v="Y"/>
    <s v="Success"/>
    <x v="0"/>
    <x v="0"/>
    <x v="3"/>
  </r>
  <r>
    <s v="TX1002262"/>
    <x v="38"/>
    <x v="2"/>
    <d v="1899-12-30T04:30:52"/>
    <n v="136.63999999999999"/>
    <s v="USD"/>
    <s v="M1931"/>
    <x v="1"/>
    <s v="Netherlands"/>
    <s v="C62112"/>
    <n v="62"/>
    <s v="F"/>
    <x v="5"/>
    <x v="1"/>
    <s v="Y"/>
    <s v="Success"/>
    <x v="0"/>
    <x v="0"/>
    <x v="3"/>
  </r>
  <r>
    <s v="TX1000700"/>
    <x v="62"/>
    <x v="4"/>
    <d v="1899-12-30T08:28:58"/>
    <n v="136.62"/>
    <s v="USD"/>
    <s v="M1029"/>
    <x v="5"/>
    <s v="United Kingdom"/>
    <s v="C87514"/>
    <n v="68"/>
    <s v="Other"/>
    <x v="7"/>
    <x v="0"/>
    <s v="Y"/>
    <s v="Success"/>
    <x v="0"/>
    <x v="0"/>
    <x v="3"/>
  </r>
  <r>
    <s v="TX1001896"/>
    <x v="147"/>
    <x v="5"/>
    <d v="1899-12-30T00:22:43"/>
    <n v="136.59"/>
    <s v="USD"/>
    <s v="M1553"/>
    <x v="3"/>
    <s v="Poland"/>
    <s v="C89325"/>
    <n v="62"/>
    <s v="F"/>
    <x v="1"/>
    <x v="4"/>
    <s v="Y"/>
    <s v="Success"/>
    <x v="0"/>
    <x v="0"/>
    <x v="3"/>
  </r>
  <r>
    <s v="TX1001885"/>
    <x v="53"/>
    <x v="5"/>
    <d v="1899-12-30T12:01:57"/>
    <n v="136.57"/>
    <s v="USD"/>
    <s v="M1120"/>
    <x v="5"/>
    <s v="Australia"/>
    <s v="C71620"/>
    <n v="19"/>
    <s v="F"/>
    <x v="9"/>
    <x v="4"/>
    <s v="Y"/>
    <s v="Success"/>
    <x v="0"/>
    <x v="0"/>
    <x v="0"/>
  </r>
  <r>
    <s v="TX1001822"/>
    <x v="162"/>
    <x v="5"/>
    <d v="1899-12-30T10:08:29"/>
    <n v="136.43"/>
    <s v="USD"/>
    <s v="M1351"/>
    <x v="5"/>
    <s v="Poland"/>
    <s v="C75061"/>
    <n v="19"/>
    <s v="Other"/>
    <x v="12"/>
    <x v="2"/>
    <s v="Y"/>
    <s v="Success"/>
    <x v="0"/>
    <x v="0"/>
    <x v="0"/>
  </r>
  <r>
    <s v="TX1000084"/>
    <x v="44"/>
    <x v="1"/>
    <d v="1899-12-30T20:49:02"/>
    <n v="136.26"/>
    <s v="USD"/>
    <s v="M1091"/>
    <x v="6"/>
    <s v="France"/>
    <s v="C64636"/>
    <n v="39"/>
    <s v="F"/>
    <x v="12"/>
    <x v="0"/>
    <s v="Y"/>
    <s v="Success"/>
    <x v="0"/>
    <x v="0"/>
    <x v="1"/>
  </r>
  <r>
    <s v="TX1002123"/>
    <x v="21"/>
    <x v="2"/>
    <d v="1899-12-30T20:38:03"/>
    <n v="136.19"/>
    <s v="USD"/>
    <s v="M1276"/>
    <x v="9"/>
    <s v="Netherlands"/>
    <s v="C58624"/>
    <n v="27"/>
    <s v="F"/>
    <x v="8"/>
    <x v="0"/>
    <s v="N"/>
    <s v="Success"/>
    <x v="0"/>
    <x v="0"/>
    <x v="1"/>
  </r>
  <r>
    <s v="TX1001845"/>
    <x v="15"/>
    <x v="5"/>
    <d v="1899-12-30T03:31:20"/>
    <n v="136.12"/>
    <s v="USD"/>
    <s v="M1038"/>
    <x v="7"/>
    <s v="Germany"/>
    <s v="C88840"/>
    <n v="72"/>
    <s v="F"/>
    <x v="10"/>
    <x v="1"/>
    <s v="Y"/>
    <s v="Success"/>
    <x v="0"/>
    <x v="0"/>
    <x v="3"/>
  </r>
  <r>
    <s v="TX1000418"/>
    <x v="149"/>
    <x v="1"/>
    <d v="1899-12-30T14:02:30"/>
    <n v="136.02000000000001"/>
    <s v="USD"/>
    <s v="M1925"/>
    <x v="7"/>
    <s v="Spain"/>
    <s v="C67121"/>
    <n v="45"/>
    <s v="Other"/>
    <x v="0"/>
    <x v="1"/>
    <s v="N"/>
    <s v="Success"/>
    <x v="0"/>
    <x v="0"/>
    <x v="2"/>
  </r>
  <r>
    <s v="TX1001161"/>
    <x v="40"/>
    <x v="0"/>
    <d v="1899-12-30T06:27:46"/>
    <n v="135.96"/>
    <s v="USD"/>
    <s v="M1016"/>
    <x v="4"/>
    <s v="United States"/>
    <s v="C94782"/>
    <n v="56"/>
    <s v="M"/>
    <x v="13"/>
    <x v="1"/>
    <s v="Y"/>
    <s v="Success"/>
    <x v="0"/>
    <x v="0"/>
    <x v="2"/>
  </r>
  <r>
    <s v="TX1002481"/>
    <x v="19"/>
    <x v="2"/>
    <d v="1899-12-30T15:19:02"/>
    <n v="135.66999999999999"/>
    <s v="USD"/>
    <s v="M1841"/>
    <x v="8"/>
    <s v="France"/>
    <s v="C55751"/>
    <n v="46"/>
    <s v="Other"/>
    <x v="11"/>
    <x v="1"/>
    <s v="Y"/>
    <s v="Success"/>
    <x v="0"/>
    <x v="0"/>
    <x v="2"/>
  </r>
  <r>
    <s v="TX1000008"/>
    <x v="146"/>
    <x v="1"/>
    <d v="1899-12-30T01:55:09"/>
    <n v="135.65"/>
    <s v="USD"/>
    <s v="M1838"/>
    <x v="5"/>
    <s v="Sweden"/>
    <s v="C59599"/>
    <n v="40"/>
    <s v="F"/>
    <x v="14"/>
    <x v="1"/>
    <s v="Y"/>
    <s v="Success"/>
    <x v="0"/>
    <x v="0"/>
    <x v="2"/>
  </r>
  <r>
    <s v="TX1002511"/>
    <x v="9"/>
    <x v="2"/>
    <d v="1899-12-30T05:55:45"/>
    <n v="135.59"/>
    <s v="USD"/>
    <s v="M1316"/>
    <x v="3"/>
    <s v="Australia"/>
    <s v="C64796"/>
    <n v="38"/>
    <s v="F"/>
    <x v="1"/>
    <x v="4"/>
    <s v="Y"/>
    <s v="Success"/>
    <x v="0"/>
    <x v="0"/>
    <x v="1"/>
  </r>
  <r>
    <s v="TX1000981"/>
    <x v="102"/>
    <x v="0"/>
    <d v="1899-12-30T12:40:39"/>
    <n v="135.56"/>
    <s v="USD"/>
    <s v="M1966"/>
    <x v="2"/>
    <s v="Australia"/>
    <s v="C61620"/>
    <n v="61"/>
    <s v="Other"/>
    <x v="9"/>
    <x v="0"/>
    <s v="Y"/>
    <s v="Success"/>
    <x v="0"/>
    <x v="0"/>
    <x v="3"/>
  </r>
  <r>
    <s v="TX1002013"/>
    <x v="126"/>
    <x v="2"/>
    <d v="1899-12-30T23:19:14"/>
    <n v="135.56"/>
    <s v="USD"/>
    <s v="M1699"/>
    <x v="5"/>
    <s v="United States"/>
    <s v="C50734"/>
    <n v="64"/>
    <s v="Other"/>
    <x v="4"/>
    <x v="2"/>
    <s v="Y"/>
    <s v="Success"/>
    <x v="0"/>
    <x v="0"/>
    <x v="3"/>
  </r>
  <r>
    <s v="TX1001802"/>
    <x v="133"/>
    <x v="5"/>
    <d v="1899-12-30T05:57:03"/>
    <n v="135.5"/>
    <s v="USD"/>
    <s v="M1465"/>
    <x v="3"/>
    <s v="Spain"/>
    <s v="C84073"/>
    <n v="25"/>
    <s v="Other"/>
    <x v="2"/>
    <x v="3"/>
    <s v="Y"/>
    <s v="Success"/>
    <x v="0"/>
    <x v="0"/>
    <x v="1"/>
  </r>
  <r>
    <s v="TX1001609"/>
    <x v="66"/>
    <x v="5"/>
    <d v="1899-12-30T17:04:26"/>
    <n v="135.47999999999999"/>
    <s v="USD"/>
    <s v="M1948"/>
    <x v="8"/>
    <s v="United Kingdom"/>
    <s v="C78740"/>
    <n v="91"/>
    <s v="F"/>
    <x v="14"/>
    <x v="0"/>
    <s v="Y"/>
    <s v="Success"/>
    <x v="0"/>
    <x v="0"/>
    <x v="3"/>
  </r>
  <r>
    <s v="TX1000181"/>
    <x v="6"/>
    <x v="1"/>
    <d v="1899-12-30T23:05:13"/>
    <n v="135.41999999999999"/>
    <s v="USD"/>
    <s v="M1055"/>
    <x v="7"/>
    <s v="Nigeria"/>
    <s v="C75684"/>
    <n v="71"/>
    <s v="Other"/>
    <x v="8"/>
    <x v="2"/>
    <s v="Y"/>
    <s v="Success"/>
    <x v="0"/>
    <x v="0"/>
    <x v="3"/>
  </r>
  <r>
    <s v="TX1002261"/>
    <x v="38"/>
    <x v="2"/>
    <d v="1899-12-30T01:35:57"/>
    <n v="135.36000000000001"/>
    <s v="USD"/>
    <s v="M1557"/>
    <x v="9"/>
    <s v="United States"/>
    <s v="C65436"/>
    <n v="54"/>
    <s v="Other"/>
    <x v="10"/>
    <x v="4"/>
    <s v="Y"/>
    <s v="Success"/>
    <x v="0"/>
    <x v="0"/>
    <x v="2"/>
  </r>
  <r>
    <s v="TX1001095"/>
    <x v="59"/>
    <x v="0"/>
    <d v="1899-12-30T21:17:34"/>
    <n v="135.06"/>
    <s v="USD"/>
    <s v="M1571"/>
    <x v="2"/>
    <s v="Sweden"/>
    <s v="C57563"/>
    <n v="57"/>
    <s v="Other"/>
    <x v="0"/>
    <x v="3"/>
    <s v="Y"/>
    <s v="Success"/>
    <x v="0"/>
    <x v="0"/>
    <x v="2"/>
  </r>
  <r>
    <s v="TX1002781"/>
    <x v="169"/>
    <x v="3"/>
    <d v="1899-12-30T21:21:55"/>
    <n v="135.05000000000001"/>
    <s v="USD"/>
    <s v="M1831"/>
    <x v="1"/>
    <s v="Canada"/>
    <s v="C88856"/>
    <n v="30"/>
    <s v="F"/>
    <x v="12"/>
    <x v="5"/>
    <s v="Y"/>
    <s v="Success"/>
    <x v="0"/>
    <x v="0"/>
    <x v="1"/>
  </r>
  <r>
    <s v="TX1000231"/>
    <x v="88"/>
    <x v="1"/>
    <d v="1899-12-30T06:52:26"/>
    <n v="135.03"/>
    <s v="USD"/>
    <s v="M1854"/>
    <x v="5"/>
    <s v="Nigeria"/>
    <s v="C77793"/>
    <n v="38"/>
    <s v="M"/>
    <x v="10"/>
    <x v="4"/>
    <s v="Y"/>
    <s v="Success"/>
    <x v="0"/>
    <x v="0"/>
    <x v="1"/>
  </r>
  <r>
    <s v="TX1000891"/>
    <x v="8"/>
    <x v="4"/>
    <d v="1899-12-30T10:16:04"/>
    <n v="134.99"/>
    <s v="USD"/>
    <s v="M1762"/>
    <x v="7"/>
    <s v="India"/>
    <s v="C87727"/>
    <n v="72"/>
    <s v="Other"/>
    <x v="5"/>
    <x v="0"/>
    <s v="Y"/>
    <s v="Success"/>
    <x v="0"/>
    <x v="0"/>
    <x v="3"/>
  </r>
  <r>
    <s v="TX1000970"/>
    <x v="16"/>
    <x v="0"/>
    <d v="1899-12-30T18:59:50"/>
    <n v="134.99"/>
    <s v="USD"/>
    <s v="M1888"/>
    <x v="6"/>
    <s v="Sweden"/>
    <s v="C76893"/>
    <n v="34"/>
    <s v="F"/>
    <x v="8"/>
    <x v="4"/>
    <s v="Y"/>
    <s v="Success"/>
    <x v="0"/>
    <x v="0"/>
    <x v="1"/>
  </r>
  <r>
    <s v="TX1001298"/>
    <x v="125"/>
    <x v="0"/>
    <d v="1899-12-30T19:57:13"/>
    <n v="134.97"/>
    <s v="USD"/>
    <s v="M1158"/>
    <x v="6"/>
    <s v="South Africa"/>
    <s v="C63813"/>
    <n v="32"/>
    <s v="Other"/>
    <x v="8"/>
    <x v="3"/>
    <s v="Y"/>
    <s v="Success"/>
    <x v="0"/>
    <x v="0"/>
    <x v="1"/>
  </r>
  <r>
    <s v="TX1000989"/>
    <x v="102"/>
    <x v="0"/>
    <d v="1899-12-30T19:18:36"/>
    <n v="134.83000000000001"/>
    <s v="USD"/>
    <s v="M1223"/>
    <x v="5"/>
    <s v="Sweden"/>
    <s v="C88984"/>
    <n v="39"/>
    <s v="Other"/>
    <x v="14"/>
    <x v="2"/>
    <s v="Y"/>
    <s v="Success"/>
    <x v="0"/>
    <x v="0"/>
    <x v="1"/>
  </r>
  <r>
    <s v="TX1000691"/>
    <x v="62"/>
    <x v="4"/>
    <d v="1899-12-30T01:44:47"/>
    <n v="134.72999999999999"/>
    <s v="USD"/>
    <s v="M1194"/>
    <x v="0"/>
    <s v="France"/>
    <s v="C87454"/>
    <n v="71"/>
    <s v="M"/>
    <x v="4"/>
    <x v="1"/>
    <s v="Y"/>
    <s v="Success"/>
    <x v="0"/>
    <x v="0"/>
    <x v="3"/>
  </r>
  <r>
    <s v="TX1001726"/>
    <x v="70"/>
    <x v="5"/>
    <d v="1899-12-30T06:23:35"/>
    <n v="134.66999999999999"/>
    <s v="USD"/>
    <s v="M1704"/>
    <x v="0"/>
    <s v="Spain"/>
    <s v="C91414"/>
    <n v="34"/>
    <s v="F"/>
    <x v="13"/>
    <x v="3"/>
    <s v="Y"/>
    <s v="Success"/>
    <x v="0"/>
    <x v="0"/>
    <x v="1"/>
  </r>
  <r>
    <s v="TX1000165"/>
    <x v="42"/>
    <x v="1"/>
    <d v="1899-12-30T21:57:55"/>
    <n v="134.6"/>
    <s v="USD"/>
    <s v="M1209"/>
    <x v="7"/>
    <s v="United States"/>
    <s v="C78788"/>
    <n v="47"/>
    <s v="M"/>
    <x v="13"/>
    <x v="2"/>
    <s v="Y"/>
    <s v="Success"/>
    <x v="0"/>
    <x v="0"/>
    <x v="2"/>
  </r>
  <r>
    <s v="TX1000112"/>
    <x v="179"/>
    <x v="1"/>
    <d v="1899-12-30T17:50:51"/>
    <n v="134.59"/>
    <s v="USD"/>
    <s v="M1291"/>
    <x v="2"/>
    <s v="India"/>
    <s v="C62681"/>
    <n v="37"/>
    <s v="Other"/>
    <x v="7"/>
    <x v="5"/>
    <s v="Y"/>
    <s v="Success"/>
    <x v="0"/>
    <x v="0"/>
    <x v="1"/>
  </r>
  <r>
    <s v="TX1001205"/>
    <x v="81"/>
    <x v="0"/>
    <d v="1899-12-30T02:50:50"/>
    <n v="134.55000000000001"/>
    <s v="USD"/>
    <s v="M1980"/>
    <x v="9"/>
    <s v="Germany"/>
    <s v="C80566"/>
    <n v="45"/>
    <s v="Other"/>
    <x v="8"/>
    <x v="4"/>
    <s v="Y"/>
    <s v="Success"/>
    <x v="0"/>
    <x v="0"/>
    <x v="2"/>
  </r>
  <r>
    <s v="TX1001020"/>
    <x v="174"/>
    <x v="0"/>
    <d v="1899-12-30T20:56:40"/>
    <n v="134.44"/>
    <s v="USD"/>
    <s v="M1007"/>
    <x v="5"/>
    <s v="Poland"/>
    <s v="C80717"/>
    <n v="65"/>
    <s v="Other"/>
    <x v="10"/>
    <x v="2"/>
    <s v="Y"/>
    <s v="Success"/>
    <x v="0"/>
    <x v="0"/>
    <x v="3"/>
  </r>
  <r>
    <s v="TX1001795"/>
    <x v="26"/>
    <x v="5"/>
    <d v="1899-12-30T17:58:11"/>
    <n v="134.37"/>
    <s v="USD"/>
    <s v="M1789"/>
    <x v="2"/>
    <s v="Nigeria"/>
    <s v="C61537"/>
    <n v="62"/>
    <s v="F"/>
    <x v="12"/>
    <x v="5"/>
    <s v="Y"/>
    <s v="Success"/>
    <x v="0"/>
    <x v="0"/>
    <x v="3"/>
  </r>
  <r>
    <s v="TX1002684"/>
    <x v="89"/>
    <x v="3"/>
    <d v="1899-12-30T04:45:28"/>
    <n v="134.33000000000001"/>
    <s v="USD"/>
    <s v="M1578"/>
    <x v="0"/>
    <s v="Poland"/>
    <s v="C64318"/>
    <n v="37"/>
    <s v="F"/>
    <x v="10"/>
    <x v="0"/>
    <s v="Y"/>
    <s v="Success"/>
    <x v="0"/>
    <x v="0"/>
    <x v="1"/>
  </r>
  <r>
    <s v="TX1001207"/>
    <x v="81"/>
    <x v="0"/>
    <d v="1899-12-30T03:27:24"/>
    <n v="134.12"/>
    <s v="USD"/>
    <s v="M1472"/>
    <x v="2"/>
    <s v="Nigeria"/>
    <s v="C76207"/>
    <n v="53"/>
    <s v="M"/>
    <x v="8"/>
    <x v="0"/>
    <s v="Y"/>
    <s v="Success"/>
    <x v="0"/>
    <x v="0"/>
    <x v="2"/>
  </r>
  <r>
    <s v="TX1002159"/>
    <x v="2"/>
    <x v="2"/>
    <d v="1899-12-30T10:29:16"/>
    <n v="134.07"/>
    <s v="USD"/>
    <s v="M1194"/>
    <x v="2"/>
    <s v="India"/>
    <s v="C84880"/>
    <n v="46"/>
    <s v="F"/>
    <x v="6"/>
    <x v="3"/>
    <s v="N"/>
    <s v="Success"/>
    <x v="0"/>
    <x v="0"/>
    <x v="2"/>
  </r>
  <r>
    <s v="TX1000527"/>
    <x v="63"/>
    <x v="4"/>
    <d v="1899-12-30T21:43:52"/>
    <n v="133.93"/>
    <s v="USD"/>
    <s v="M1531"/>
    <x v="8"/>
    <s v="India"/>
    <s v="C73948"/>
    <n v="24"/>
    <s v="M"/>
    <x v="10"/>
    <x v="4"/>
    <s v="Y"/>
    <s v="Success"/>
    <x v="0"/>
    <x v="0"/>
    <x v="0"/>
  </r>
  <r>
    <s v="TX1001295"/>
    <x v="125"/>
    <x v="0"/>
    <d v="1899-12-30T18:39:45"/>
    <n v="133.86000000000001"/>
    <s v="USD"/>
    <s v="M1898"/>
    <x v="7"/>
    <s v="Germany"/>
    <s v="C62441"/>
    <n v="50"/>
    <s v="M"/>
    <x v="8"/>
    <x v="0"/>
    <s v="Y"/>
    <s v="Success"/>
    <x v="0"/>
    <x v="0"/>
    <x v="2"/>
  </r>
  <r>
    <s v="TX1002635"/>
    <x v="11"/>
    <x v="3"/>
    <d v="1899-12-30T10:21:40"/>
    <n v="133.72999999999999"/>
    <s v="USD"/>
    <s v="M1982"/>
    <x v="1"/>
    <s v="France"/>
    <s v="C55275"/>
    <n v="29"/>
    <s v="F"/>
    <x v="4"/>
    <x v="2"/>
    <s v="Y"/>
    <s v="Success"/>
    <x v="0"/>
    <x v="0"/>
    <x v="1"/>
  </r>
  <r>
    <s v="TX1001140"/>
    <x v="165"/>
    <x v="0"/>
    <d v="1899-12-30T04:14:45"/>
    <n v="133.69"/>
    <s v="USD"/>
    <s v="M1746"/>
    <x v="4"/>
    <s v="Spain"/>
    <s v="C91935"/>
    <n v="28"/>
    <s v="M"/>
    <x v="13"/>
    <x v="2"/>
    <s v="Y"/>
    <s v="Success"/>
    <x v="0"/>
    <x v="0"/>
    <x v="1"/>
  </r>
  <r>
    <s v="TX1000025"/>
    <x v="171"/>
    <x v="1"/>
    <d v="1899-12-30T18:12:36"/>
    <n v="133.68"/>
    <s v="USD"/>
    <s v="M1499"/>
    <x v="9"/>
    <s v="Kenya"/>
    <s v="C84879"/>
    <n v="35"/>
    <s v="Other"/>
    <x v="12"/>
    <x v="4"/>
    <s v="Y"/>
    <s v="Success"/>
    <x v="0"/>
    <x v="0"/>
    <x v="1"/>
  </r>
  <r>
    <s v="TX1000561"/>
    <x v="172"/>
    <x v="4"/>
    <d v="1899-12-30T12:35:13"/>
    <n v="133.41"/>
    <s v="USD"/>
    <s v="M1542"/>
    <x v="6"/>
    <s v="United Kingdom"/>
    <s v="C64218"/>
    <n v="64"/>
    <s v="Other"/>
    <x v="4"/>
    <x v="0"/>
    <s v="Y"/>
    <s v="Success"/>
    <x v="0"/>
    <x v="0"/>
    <x v="3"/>
  </r>
  <r>
    <s v="TX1001536"/>
    <x v="83"/>
    <x v="5"/>
    <d v="1899-12-30T09:54:43"/>
    <n v="133.13"/>
    <s v="USD"/>
    <s v="M1885"/>
    <x v="5"/>
    <s v="Kenya"/>
    <s v="C87784"/>
    <n v="52"/>
    <s v="Other"/>
    <x v="2"/>
    <x v="2"/>
    <s v="Y"/>
    <s v="Success"/>
    <x v="0"/>
    <x v="0"/>
    <x v="2"/>
  </r>
  <r>
    <s v="TX1002846"/>
    <x v="166"/>
    <x v="3"/>
    <d v="1899-12-30T04:00:36"/>
    <n v="133.1"/>
    <s v="USD"/>
    <s v="M1620"/>
    <x v="9"/>
    <s v="India"/>
    <s v="C67658"/>
    <n v="32"/>
    <s v="F"/>
    <x v="13"/>
    <x v="0"/>
    <s v="Y"/>
    <s v="Success"/>
    <x v="0"/>
    <x v="0"/>
    <x v="1"/>
  </r>
  <r>
    <s v="TX1001499"/>
    <x v="98"/>
    <x v="5"/>
    <d v="1899-12-30T08:42:28"/>
    <n v="132.97999999999999"/>
    <s v="USD"/>
    <s v="M1251"/>
    <x v="7"/>
    <s v="Nigeria"/>
    <s v="C82273"/>
    <n v="71"/>
    <s v="F"/>
    <x v="12"/>
    <x v="1"/>
    <s v="Y"/>
    <s v="Success"/>
    <x v="0"/>
    <x v="0"/>
    <x v="3"/>
  </r>
  <r>
    <s v="TX1001081"/>
    <x v="59"/>
    <x v="0"/>
    <d v="1899-12-30T06:30:51"/>
    <n v="132.91999999999999"/>
    <s v="USD"/>
    <s v="M1025"/>
    <x v="9"/>
    <s v="Norway"/>
    <s v="C70417"/>
    <n v="20"/>
    <s v="M"/>
    <x v="3"/>
    <x v="0"/>
    <s v="Y"/>
    <s v="Success"/>
    <x v="0"/>
    <x v="0"/>
    <x v="0"/>
  </r>
  <r>
    <s v="TX1001993"/>
    <x v="71"/>
    <x v="5"/>
    <d v="1899-12-30T20:00:08"/>
    <n v="132.81"/>
    <s v="USD"/>
    <s v="M1800"/>
    <x v="8"/>
    <s v="United Kingdom"/>
    <s v="C81979"/>
    <n v="45"/>
    <s v="Other"/>
    <x v="8"/>
    <x v="2"/>
    <s v="Y"/>
    <s v="Success"/>
    <x v="0"/>
    <x v="0"/>
    <x v="2"/>
  </r>
  <r>
    <s v="TX1000868"/>
    <x v="51"/>
    <x v="4"/>
    <d v="1899-12-30T02:24:19"/>
    <n v="132.49"/>
    <s v="USD"/>
    <s v="M1691"/>
    <x v="9"/>
    <s v="Netherlands"/>
    <s v="C97964"/>
    <n v="70"/>
    <s v="F"/>
    <x v="3"/>
    <x v="2"/>
    <s v="Y"/>
    <s v="Success"/>
    <x v="0"/>
    <x v="0"/>
    <x v="3"/>
  </r>
  <r>
    <s v="TX1000492"/>
    <x v="57"/>
    <x v="4"/>
    <d v="1899-12-30T05:07:46"/>
    <n v="132.47999999999999"/>
    <s v="USD"/>
    <s v="M1498"/>
    <x v="0"/>
    <s v="France"/>
    <s v="C55445"/>
    <n v="36"/>
    <s v="F"/>
    <x v="10"/>
    <x v="3"/>
    <s v="Y"/>
    <s v="Success"/>
    <x v="0"/>
    <x v="0"/>
    <x v="1"/>
  </r>
  <r>
    <s v="TX1001399"/>
    <x v="60"/>
    <x v="0"/>
    <d v="1899-12-30T12:48:22"/>
    <n v="132.35"/>
    <s v="USD"/>
    <s v="M1596"/>
    <x v="2"/>
    <s v="Kenya"/>
    <s v="C96360"/>
    <n v="45"/>
    <s v="F"/>
    <x v="7"/>
    <x v="1"/>
    <s v="Y"/>
    <s v="Success"/>
    <x v="0"/>
    <x v="0"/>
    <x v="2"/>
  </r>
  <r>
    <s v="TX1001965"/>
    <x v="78"/>
    <x v="5"/>
    <d v="1899-12-30T22:36:14"/>
    <n v="132.29"/>
    <s v="USD"/>
    <s v="M1694"/>
    <x v="2"/>
    <s v="Sweden"/>
    <s v="C99995"/>
    <n v="30"/>
    <s v="Other"/>
    <x v="12"/>
    <x v="4"/>
    <s v="Y"/>
    <s v="Success"/>
    <x v="0"/>
    <x v="0"/>
    <x v="1"/>
  </r>
  <r>
    <s v="TX1002541"/>
    <x v="23"/>
    <x v="3"/>
    <d v="1899-12-30T19:39:25"/>
    <n v="132.29"/>
    <s v="USD"/>
    <s v="M1144"/>
    <x v="3"/>
    <s v="United Kingdom"/>
    <s v="C59113"/>
    <n v="30"/>
    <s v="F"/>
    <x v="9"/>
    <x v="0"/>
    <s v="Y"/>
    <s v="Success"/>
    <x v="0"/>
    <x v="0"/>
    <x v="1"/>
  </r>
  <r>
    <s v="TX1002515"/>
    <x v="9"/>
    <x v="2"/>
    <d v="1899-12-30T12:43:35"/>
    <n v="132.26"/>
    <s v="USD"/>
    <s v="M1958"/>
    <x v="8"/>
    <s v="Poland"/>
    <s v="C94831"/>
    <n v="67"/>
    <s v="Other"/>
    <x v="0"/>
    <x v="0"/>
    <s v="Y"/>
    <s v="Success"/>
    <x v="0"/>
    <x v="0"/>
    <x v="3"/>
  </r>
  <r>
    <s v="TX1002545"/>
    <x v="13"/>
    <x v="3"/>
    <d v="1899-12-30T03:41:24"/>
    <n v="132.22"/>
    <s v="USD"/>
    <s v="M1265"/>
    <x v="2"/>
    <s v="Norway"/>
    <s v="C68694"/>
    <n v="34"/>
    <s v="Other"/>
    <x v="5"/>
    <x v="2"/>
    <s v="Y"/>
    <s v="Success"/>
    <x v="0"/>
    <x v="0"/>
    <x v="1"/>
  </r>
  <r>
    <s v="TX1000344"/>
    <x v="43"/>
    <x v="1"/>
    <d v="1899-12-30T13:38:02"/>
    <n v="132.16999999999999"/>
    <s v="USD"/>
    <s v="M1711"/>
    <x v="5"/>
    <s v="Canada"/>
    <s v="C73076"/>
    <n v="60"/>
    <s v="M"/>
    <x v="11"/>
    <x v="4"/>
    <s v="Y"/>
    <s v="Success"/>
    <x v="0"/>
    <x v="0"/>
    <x v="3"/>
  </r>
  <r>
    <s v="TX1001110"/>
    <x v="168"/>
    <x v="0"/>
    <d v="1899-12-30T07:12:13"/>
    <n v="132.16"/>
    <s v="USD"/>
    <s v="M1699"/>
    <x v="1"/>
    <s v="Nigeria"/>
    <s v="C72445"/>
    <n v="31"/>
    <s v="Other"/>
    <x v="5"/>
    <x v="4"/>
    <s v="Y"/>
    <s v="Success"/>
    <x v="0"/>
    <x v="0"/>
    <x v="1"/>
  </r>
  <r>
    <s v="TX1002442"/>
    <x v="67"/>
    <x v="2"/>
    <d v="1899-12-30T09:15:43"/>
    <n v="132.16"/>
    <s v="USD"/>
    <s v="M1949"/>
    <x v="3"/>
    <s v="Nigeria"/>
    <s v="C89050"/>
    <n v="115"/>
    <s v="M"/>
    <x v="8"/>
    <x v="5"/>
    <s v="Y"/>
    <s v="Success"/>
    <x v="0"/>
    <x v="0"/>
    <x v="3"/>
  </r>
  <r>
    <s v="TX1001223"/>
    <x v="81"/>
    <x v="0"/>
    <d v="1899-12-30T19:28:42"/>
    <n v="132.13999999999999"/>
    <s v="USD"/>
    <s v="M1662"/>
    <x v="3"/>
    <s v="Spain"/>
    <s v="C59047"/>
    <n v="24"/>
    <s v="Other"/>
    <x v="9"/>
    <x v="5"/>
    <s v="Y"/>
    <s v="Success"/>
    <x v="0"/>
    <x v="0"/>
    <x v="0"/>
  </r>
  <r>
    <s v="TX1001933"/>
    <x v="73"/>
    <x v="5"/>
    <d v="1899-12-30T10:18:55"/>
    <n v="132.13"/>
    <s v="USD"/>
    <s v="M1024"/>
    <x v="8"/>
    <s v="United Kingdom"/>
    <s v="C85800"/>
    <n v="37"/>
    <s v="F"/>
    <x v="1"/>
    <x v="2"/>
    <s v="Y"/>
    <s v="Success"/>
    <x v="0"/>
    <x v="0"/>
    <x v="1"/>
  </r>
  <r>
    <s v="TX1002372"/>
    <x v="160"/>
    <x v="2"/>
    <d v="1899-12-30T02:26:40"/>
    <n v="132.08000000000001"/>
    <s v="USD"/>
    <s v="M1661"/>
    <x v="8"/>
    <s v="Australia"/>
    <s v="C92672"/>
    <n v="30"/>
    <s v="Other"/>
    <x v="5"/>
    <x v="4"/>
    <s v="Y"/>
    <s v="Success"/>
    <x v="1"/>
    <x v="1"/>
    <x v="1"/>
  </r>
  <r>
    <s v="TX1000971"/>
    <x v="16"/>
    <x v="0"/>
    <d v="1899-12-30T19:52:47"/>
    <n v="132.04"/>
    <s v="USD"/>
    <s v="M1973"/>
    <x v="4"/>
    <s v="Spain"/>
    <s v="C99286"/>
    <n v="34"/>
    <s v="Other"/>
    <x v="12"/>
    <x v="5"/>
    <s v="Y"/>
    <s v="Success"/>
    <x v="0"/>
    <x v="0"/>
    <x v="1"/>
  </r>
  <r>
    <s v="TX1000990"/>
    <x v="102"/>
    <x v="0"/>
    <d v="1899-12-30T19:21:51"/>
    <n v="131.87"/>
    <s v="USD"/>
    <s v="M1019"/>
    <x v="2"/>
    <s v="India"/>
    <s v="C60237"/>
    <n v="29"/>
    <s v="Other"/>
    <x v="0"/>
    <x v="1"/>
    <s v="Y"/>
    <s v="Success"/>
    <x v="0"/>
    <x v="0"/>
    <x v="1"/>
  </r>
  <r>
    <s v="TX1002087"/>
    <x v="140"/>
    <x v="2"/>
    <d v="1899-12-30T20:57:23"/>
    <n v="131.75"/>
    <s v="USD"/>
    <s v="M1266"/>
    <x v="1"/>
    <s v="Kenya"/>
    <s v="C96641"/>
    <n v="40"/>
    <s v="F"/>
    <x v="12"/>
    <x v="3"/>
    <s v="Y"/>
    <s v="Success"/>
    <x v="0"/>
    <x v="0"/>
    <x v="2"/>
  </r>
  <r>
    <s v="TX1002822"/>
    <x v="86"/>
    <x v="3"/>
    <d v="1899-12-30T02:18:26"/>
    <n v="131.72999999999999"/>
    <s v="USD"/>
    <s v="M1493"/>
    <x v="3"/>
    <s v="Sweden"/>
    <s v="C53508"/>
    <n v="72"/>
    <s v="M"/>
    <x v="3"/>
    <x v="0"/>
    <s v="Y"/>
    <s v="Success"/>
    <x v="0"/>
    <x v="0"/>
    <x v="3"/>
  </r>
  <r>
    <s v="TX1000125"/>
    <x v="5"/>
    <x v="1"/>
    <d v="1899-12-30T08:34:19"/>
    <n v="131.58000000000001"/>
    <s v="USD"/>
    <s v="M1986"/>
    <x v="2"/>
    <s v="Kenya"/>
    <s v="C61486"/>
    <n v="60"/>
    <s v="Other"/>
    <x v="12"/>
    <x v="5"/>
    <s v="Y"/>
    <s v="Success"/>
    <x v="0"/>
    <x v="0"/>
    <x v="3"/>
  </r>
  <r>
    <s v="TX1001274"/>
    <x v="123"/>
    <x v="0"/>
    <d v="1899-12-30T08:29:42"/>
    <n v="131.56"/>
    <s v="USD"/>
    <s v="M1740"/>
    <x v="1"/>
    <s v="France"/>
    <s v="C69500"/>
    <n v="51"/>
    <s v="F"/>
    <x v="7"/>
    <x v="5"/>
    <s v="Y"/>
    <s v="Success"/>
    <x v="0"/>
    <x v="0"/>
    <x v="2"/>
  </r>
  <r>
    <s v="TX1001488"/>
    <x v="0"/>
    <x v="0"/>
    <d v="1899-12-30T19:14:43"/>
    <n v="131.51"/>
    <s v="USD"/>
    <s v="M1838"/>
    <x v="2"/>
    <s v="Poland"/>
    <s v="C67372"/>
    <n v="71"/>
    <s v="Other"/>
    <x v="4"/>
    <x v="3"/>
    <s v="Y"/>
    <s v="Success"/>
    <x v="0"/>
    <x v="0"/>
    <x v="3"/>
  </r>
  <r>
    <s v="TX1002376"/>
    <x v="160"/>
    <x v="2"/>
    <d v="1899-12-30T06:25:48"/>
    <n v="131.38999999999999"/>
    <s v="USD"/>
    <s v="M1617"/>
    <x v="4"/>
    <s v="Australia"/>
    <s v="C81348"/>
    <n v="68"/>
    <s v="Other"/>
    <x v="11"/>
    <x v="0"/>
    <s v="Y"/>
    <s v="Success"/>
    <x v="0"/>
    <x v="0"/>
    <x v="3"/>
  </r>
  <r>
    <s v="TX1002557"/>
    <x v="13"/>
    <x v="3"/>
    <d v="1899-12-30T23:40:21"/>
    <n v="131.13"/>
    <s v="USD"/>
    <s v="M1333"/>
    <x v="7"/>
    <s v="South Africa"/>
    <s v="C89198"/>
    <n v="55"/>
    <s v="Other"/>
    <x v="0"/>
    <x v="4"/>
    <s v="Y"/>
    <s v="Success"/>
    <x v="0"/>
    <x v="0"/>
    <x v="2"/>
  </r>
  <r>
    <s v="TX1000089"/>
    <x v="37"/>
    <x v="1"/>
    <d v="1899-12-30T12:36:28"/>
    <n v="131.06"/>
    <s v="USD"/>
    <s v="M1706"/>
    <x v="7"/>
    <s v="Nigeria"/>
    <s v="C79118"/>
    <n v="27"/>
    <s v="M"/>
    <x v="8"/>
    <x v="3"/>
    <s v="Y"/>
    <s v="Success"/>
    <x v="0"/>
    <x v="0"/>
    <x v="1"/>
  </r>
  <r>
    <s v="TX1001349"/>
    <x v="74"/>
    <x v="0"/>
    <d v="1899-12-30T18:42:39"/>
    <n v="131.04"/>
    <s v="USD"/>
    <s v="M1283"/>
    <x v="5"/>
    <s v="South Africa"/>
    <s v="C94826"/>
    <n v="37"/>
    <s v="F"/>
    <x v="6"/>
    <x v="4"/>
    <s v="Y"/>
    <s v="Success"/>
    <x v="0"/>
    <x v="0"/>
    <x v="1"/>
  </r>
  <r>
    <s v="TX1001840"/>
    <x v="139"/>
    <x v="5"/>
    <d v="1899-12-30T15:42:38"/>
    <n v="130.94999999999999"/>
    <s v="USD"/>
    <s v="M1974"/>
    <x v="1"/>
    <s v="Canada"/>
    <s v="C91883"/>
    <n v="39"/>
    <s v="M"/>
    <x v="14"/>
    <x v="0"/>
    <s v="Y"/>
    <s v="Success"/>
    <x v="0"/>
    <x v="0"/>
    <x v="1"/>
  </r>
  <r>
    <s v="TX1002815"/>
    <x v="4"/>
    <x v="3"/>
    <d v="1899-12-30T13:06:40"/>
    <n v="130.86000000000001"/>
    <s v="USD"/>
    <s v="M1936"/>
    <x v="7"/>
    <s v="Kenya"/>
    <s v="C84440"/>
    <n v="46"/>
    <s v="M"/>
    <x v="1"/>
    <x v="0"/>
    <s v="N"/>
    <s v="Success"/>
    <x v="0"/>
    <x v="0"/>
    <x v="2"/>
  </r>
  <r>
    <s v="TX1000953"/>
    <x v="164"/>
    <x v="4"/>
    <d v="1899-12-30T20:18:28"/>
    <n v="130.79"/>
    <s v="USD"/>
    <s v="M1790"/>
    <x v="2"/>
    <s v="Norway"/>
    <s v="C78130"/>
    <n v="46"/>
    <s v="F"/>
    <x v="14"/>
    <x v="1"/>
    <s v="Y"/>
    <s v="Success"/>
    <x v="0"/>
    <x v="0"/>
    <x v="2"/>
  </r>
  <r>
    <s v="TX1002544"/>
    <x v="13"/>
    <x v="3"/>
    <d v="1899-12-30T00:59:36"/>
    <n v="130.77000000000001"/>
    <s v="USD"/>
    <s v="M1944"/>
    <x v="8"/>
    <s v="South Africa"/>
    <s v="C58931"/>
    <n v="60"/>
    <s v="F"/>
    <x v="1"/>
    <x v="2"/>
    <s v="Y"/>
    <s v="Success"/>
    <x v="0"/>
    <x v="0"/>
    <x v="3"/>
  </r>
  <r>
    <s v="TX1002908"/>
    <x v="180"/>
    <x v="3"/>
    <d v="1899-12-30T20:51:45"/>
    <n v="130.74"/>
    <s v="USD"/>
    <s v="M1466"/>
    <x v="9"/>
    <s v="Norway"/>
    <s v="C91410"/>
    <n v="18"/>
    <s v="Other"/>
    <x v="6"/>
    <x v="2"/>
    <s v="Y"/>
    <s v="Success"/>
    <x v="0"/>
    <x v="0"/>
    <x v="0"/>
  </r>
  <r>
    <s v="TX1002317"/>
    <x v="97"/>
    <x v="2"/>
    <d v="1899-12-30T16:04:24"/>
    <n v="130.71"/>
    <s v="USD"/>
    <s v="M1001"/>
    <x v="2"/>
    <s v="Netherlands"/>
    <s v="C80274"/>
    <n v="58"/>
    <s v="Other"/>
    <x v="8"/>
    <x v="2"/>
    <s v="N"/>
    <s v="Success"/>
    <x v="0"/>
    <x v="0"/>
    <x v="2"/>
  </r>
  <r>
    <s v="TX1001415"/>
    <x v="150"/>
    <x v="0"/>
    <d v="1899-12-30T07:34:36"/>
    <n v="130.66999999999999"/>
    <s v="USD"/>
    <s v="M1761"/>
    <x v="6"/>
    <s v="Nigeria"/>
    <s v="C84758"/>
    <n v="21"/>
    <s v="Other"/>
    <x v="2"/>
    <x v="3"/>
    <s v="Y"/>
    <s v="Success"/>
    <x v="1"/>
    <x v="1"/>
    <x v="0"/>
  </r>
  <r>
    <s v="TX1002533"/>
    <x v="23"/>
    <x v="3"/>
    <d v="1899-12-30T12:55:55"/>
    <n v="130.63999999999999"/>
    <s v="USD"/>
    <s v="M1580"/>
    <x v="7"/>
    <s v="Nigeria"/>
    <s v="C73979"/>
    <n v="43"/>
    <s v="Other"/>
    <x v="13"/>
    <x v="0"/>
    <s v="N"/>
    <s v="Success"/>
    <x v="0"/>
    <x v="0"/>
    <x v="2"/>
  </r>
  <r>
    <s v="TX1002677"/>
    <x v="34"/>
    <x v="3"/>
    <d v="1899-12-30T13:42:48"/>
    <n v="130.56"/>
    <s v="USD"/>
    <s v="M1235"/>
    <x v="0"/>
    <s v="Germany"/>
    <s v="C82253"/>
    <n v="18"/>
    <s v="F"/>
    <x v="3"/>
    <x v="2"/>
    <s v="Y"/>
    <s v="Success"/>
    <x v="0"/>
    <x v="0"/>
    <x v="0"/>
  </r>
  <r>
    <s v="TX1001991"/>
    <x v="71"/>
    <x v="5"/>
    <d v="1899-12-30T18:40:09"/>
    <n v="130.53"/>
    <s v="USD"/>
    <s v="M1612"/>
    <x v="5"/>
    <s v="Poland"/>
    <s v="C92631"/>
    <n v="20"/>
    <s v="Other"/>
    <x v="7"/>
    <x v="2"/>
    <s v="Y"/>
    <s v="Success"/>
    <x v="0"/>
    <x v="0"/>
    <x v="0"/>
  </r>
  <r>
    <s v="TX1001183"/>
    <x v="120"/>
    <x v="0"/>
    <d v="1899-12-30T11:29:58"/>
    <n v="130.47"/>
    <s v="USD"/>
    <s v="M1371"/>
    <x v="2"/>
    <s v="Canada"/>
    <s v="C80462"/>
    <n v="53"/>
    <s v="Other"/>
    <x v="7"/>
    <x v="0"/>
    <s v="Y"/>
    <s v="Success"/>
    <x v="0"/>
    <x v="0"/>
    <x v="2"/>
  </r>
  <r>
    <s v="TX1002962"/>
    <x v="118"/>
    <x v="3"/>
    <d v="1899-12-30T21:51:45"/>
    <n v="130.46"/>
    <s v="USD"/>
    <s v="M1075"/>
    <x v="3"/>
    <s v="United Kingdom"/>
    <s v="C62462"/>
    <n v="64"/>
    <s v="M"/>
    <x v="2"/>
    <x v="1"/>
    <s v="Y"/>
    <s v="Success"/>
    <x v="0"/>
    <x v="0"/>
    <x v="3"/>
  </r>
  <r>
    <s v="TX1000382"/>
    <x v="56"/>
    <x v="1"/>
    <d v="1899-12-30T19:52:20"/>
    <n v="130.41"/>
    <s v="USD"/>
    <s v="M1126"/>
    <x v="2"/>
    <s v="South Africa"/>
    <s v="C52594"/>
    <n v="57"/>
    <s v="Other"/>
    <x v="5"/>
    <x v="2"/>
    <s v="Y"/>
    <s v="Success"/>
    <x v="0"/>
    <x v="0"/>
    <x v="2"/>
  </r>
  <r>
    <s v="TX1002407"/>
    <x v="90"/>
    <x v="2"/>
    <d v="1899-12-30T16:37:02"/>
    <n v="130.37"/>
    <s v="USD"/>
    <s v="M1120"/>
    <x v="8"/>
    <s v="Germany"/>
    <s v="C71327"/>
    <n v="40"/>
    <s v="M"/>
    <x v="1"/>
    <x v="4"/>
    <s v="Y"/>
    <s v="Success"/>
    <x v="0"/>
    <x v="0"/>
    <x v="2"/>
  </r>
  <r>
    <s v="TX1002673"/>
    <x v="34"/>
    <x v="3"/>
    <d v="1899-12-30T05:05:34"/>
    <n v="130.36000000000001"/>
    <s v="USD"/>
    <s v="M1799"/>
    <x v="9"/>
    <s v="Norway"/>
    <s v="C78877"/>
    <n v="40"/>
    <s v="Other"/>
    <x v="3"/>
    <x v="1"/>
    <s v="Y"/>
    <s v="Success"/>
    <x v="0"/>
    <x v="0"/>
    <x v="2"/>
  </r>
  <r>
    <s v="TX1000047"/>
    <x v="167"/>
    <x v="1"/>
    <d v="1899-12-30T13:54:11"/>
    <n v="130.35"/>
    <s v="USD"/>
    <s v="M1955"/>
    <x v="8"/>
    <s v="India"/>
    <s v="C92899"/>
    <n v="59"/>
    <s v="M"/>
    <x v="1"/>
    <x v="2"/>
    <s v="Y"/>
    <s v="Success"/>
    <x v="0"/>
    <x v="0"/>
    <x v="2"/>
  </r>
  <r>
    <s v="TX1001856"/>
    <x v="15"/>
    <x v="5"/>
    <d v="1899-12-30T12:39:12"/>
    <n v="130.35"/>
    <s v="USD"/>
    <s v="M1250"/>
    <x v="5"/>
    <s v="South Africa"/>
    <s v="C88478"/>
    <n v="18"/>
    <s v="M"/>
    <x v="6"/>
    <x v="0"/>
    <s v="Y"/>
    <s v="Success"/>
    <x v="0"/>
    <x v="0"/>
    <x v="0"/>
  </r>
  <r>
    <s v="TX1001235"/>
    <x v="128"/>
    <x v="0"/>
    <d v="1899-12-30T12:22:09"/>
    <n v="130.15"/>
    <s v="USD"/>
    <s v="M1881"/>
    <x v="9"/>
    <s v="Poland"/>
    <s v="C82579"/>
    <n v="23"/>
    <s v="M"/>
    <x v="13"/>
    <x v="5"/>
    <s v="Y"/>
    <s v="Success"/>
    <x v="0"/>
    <x v="0"/>
    <x v="0"/>
  </r>
  <r>
    <s v="TX1002932"/>
    <x v="45"/>
    <x v="3"/>
    <d v="1899-12-30T05:33:27"/>
    <n v="130.15"/>
    <s v="USD"/>
    <s v="M1954"/>
    <x v="6"/>
    <s v="India"/>
    <s v="C77839"/>
    <n v="67"/>
    <s v="F"/>
    <x v="9"/>
    <x v="4"/>
    <s v="Y"/>
    <s v="Success"/>
    <x v="0"/>
    <x v="0"/>
    <x v="3"/>
  </r>
  <r>
    <s v="TX1001104"/>
    <x v="129"/>
    <x v="0"/>
    <d v="1899-12-30T15:09:26"/>
    <n v="129.96"/>
    <s v="USD"/>
    <s v="M1188"/>
    <x v="5"/>
    <s v="Nigeria"/>
    <s v="C96893"/>
    <n v="50"/>
    <s v="Other"/>
    <x v="2"/>
    <x v="1"/>
    <s v="Y"/>
    <s v="Success"/>
    <x v="0"/>
    <x v="0"/>
    <x v="2"/>
  </r>
  <r>
    <s v="TX1001436"/>
    <x v="92"/>
    <x v="0"/>
    <d v="1899-12-30T04:29:17"/>
    <n v="129.88999999999999"/>
    <s v="USD"/>
    <s v="M1534"/>
    <x v="0"/>
    <s v="France"/>
    <s v="C90418"/>
    <n v="53"/>
    <s v="M"/>
    <x v="14"/>
    <x v="0"/>
    <s v="Y"/>
    <s v="Success"/>
    <x v="0"/>
    <x v="0"/>
    <x v="2"/>
  </r>
  <r>
    <s v="TX1000063"/>
    <x v="85"/>
    <x v="1"/>
    <d v="1899-12-30T16:59:48"/>
    <n v="129.81"/>
    <s v="USD"/>
    <s v="M1490"/>
    <x v="9"/>
    <s v="India"/>
    <s v="C68335"/>
    <n v="69"/>
    <s v="Other"/>
    <x v="11"/>
    <x v="3"/>
    <s v="Y"/>
    <s v="Success"/>
    <x v="0"/>
    <x v="0"/>
    <x v="3"/>
  </r>
  <r>
    <s v="TX1000979"/>
    <x v="102"/>
    <x v="0"/>
    <d v="1899-12-30T12:07:29"/>
    <n v="129.76"/>
    <s v="USD"/>
    <s v="M1778"/>
    <x v="5"/>
    <s v="Poland"/>
    <s v="C89177"/>
    <n v="31"/>
    <s v="Other"/>
    <x v="13"/>
    <x v="5"/>
    <s v="Y"/>
    <s v="Success"/>
    <x v="0"/>
    <x v="0"/>
    <x v="1"/>
  </r>
  <r>
    <s v="TX1001426"/>
    <x v="150"/>
    <x v="0"/>
    <d v="1899-12-30T15:01:10"/>
    <n v="129.66999999999999"/>
    <s v="USD"/>
    <s v="M1314"/>
    <x v="4"/>
    <s v="Sweden"/>
    <s v="C93819"/>
    <n v="18"/>
    <s v="M"/>
    <x v="11"/>
    <x v="3"/>
    <s v="Y"/>
    <s v="Success"/>
    <x v="0"/>
    <x v="0"/>
    <x v="0"/>
  </r>
  <r>
    <s v="TX1002596"/>
    <x v="173"/>
    <x v="3"/>
    <d v="1899-12-30T02:54:12"/>
    <n v="129.51"/>
    <s v="USD"/>
    <s v="M1034"/>
    <x v="7"/>
    <s v="Nigeria"/>
    <s v="C86351"/>
    <n v="48"/>
    <s v="F"/>
    <x v="8"/>
    <x v="5"/>
    <s v="Y"/>
    <s v="Success"/>
    <x v="0"/>
    <x v="0"/>
    <x v="2"/>
  </r>
  <r>
    <s v="TX1000618"/>
    <x v="159"/>
    <x v="4"/>
    <d v="1899-12-30T22:36:32"/>
    <n v="129.44999999999999"/>
    <s v="USD"/>
    <s v="M1730"/>
    <x v="9"/>
    <s v="Nigeria"/>
    <s v="C87464"/>
    <n v="64"/>
    <s v="F"/>
    <x v="0"/>
    <x v="2"/>
    <s v="Y"/>
    <s v="Success"/>
    <x v="0"/>
    <x v="0"/>
    <x v="3"/>
  </r>
  <r>
    <s v="TX1000302"/>
    <x v="157"/>
    <x v="1"/>
    <d v="1899-12-30T07:26:08"/>
    <n v="129.37"/>
    <s v="USD"/>
    <s v="M1475"/>
    <x v="3"/>
    <s v="France"/>
    <s v="C96693"/>
    <n v="49"/>
    <s v="F"/>
    <x v="12"/>
    <x v="0"/>
    <s v="Y"/>
    <s v="Success"/>
    <x v="0"/>
    <x v="0"/>
    <x v="2"/>
  </r>
  <r>
    <s v="TX1002193"/>
    <x v="64"/>
    <x v="2"/>
    <d v="1899-12-30T04:09:35"/>
    <n v="129.15"/>
    <s v="USD"/>
    <s v="M1833"/>
    <x v="4"/>
    <s v="South Africa"/>
    <s v="C78875"/>
    <n v="41"/>
    <s v="M"/>
    <x v="6"/>
    <x v="0"/>
    <s v="Y"/>
    <s v="Success"/>
    <x v="0"/>
    <x v="0"/>
    <x v="2"/>
  </r>
  <r>
    <s v="TX1001825"/>
    <x v="162"/>
    <x v="5"/>
    <d v="1899-12-30T16:15:22"/>
    <n v="128.91999999999999"/>
    <s v="USD"/>
    <s v="M1278"/>
    <x v="2"/>
    <s v="Poland"/>
    <s v="C96543"/>
    <n v="20"/>
    <s v="M"/>
    <x v="8"/>
    <x v="4"/>
    <s v="Y"/>
    <s v="Success"/>
    <x v="0"/>
    <x v="0"/>
    <x v="0"/>
  </r>
  <r>
    <s v="TX1001069"/>
    <x v="47"/>
    <x v="0"/>
    <d v="1899-12-30T14:47:42"/>
    <n v="128.71"/>
    <s v="USD"/>
    <s v="M1978"/>
    <x v="7"/>
    <s v="Sweden"/>
    <s v="C64069"/>
    <n v="71"/>
    <s v="F"/>
    <x v="14"/>
    <x v="1"/>
    <s v="Y"/>
    <s v="Success"/>
    <x v="0"/>
    <x v="0"/>
    <x v="3"/>
  </r>
  <r>
    <s v="TX1000109"/>
    <x v="179"/>
    <x v="1"/>
    <d v="1899-12-30T12:41:02"/>
    <n v="128.63999999999999"/>
    <s v="USD"/>
    <s v="M1599"/>
    <x v="9"/>
    <s v="Netherlands"/>
    <s v="C54757"/>
    <n v="61"/>
    <s v="F"/>
    <x v="7"/>
    <x v="4"/>
    <s v="Y"/>
    <s v="Success"/>
    <x v="0"/>
    <x v="0"/>
    <x v="3"/>
  </r>
  <r>
    <s v="TX1000095"/>
    <x v="37"/>
    <x v="1"/>
    <d v="1899-12-30T19:58:01"/>
    <n v="128.63999999999999"/>
    <s v="USD"/>
    <s v="M1846"/>
    <x v="0"/>
    <s v="Spain"/>
    <s v="C90167"/>
    <n v="72"/>
    <s v="F"/>
    <x v="9"/>
    <x v="2"/>
    <s v="Y"/>
    <s v="Success"/>
    <x v="0"/>
    <x v="0"/>
    <x v="3"/>
  </r>
  <r>
    <s v="TX1002034"/>
    <x v="138"/>
    <x v="2"/>
    <d v="1899-12-30T05:49:41"/>
    <n v="128.44999999999999"/>
    <s v="USD"/>
    <s v="M1490"/>
    <x v="0"/>
    <s v="United States"/>
    <s v="C90491"/>
    <n v="22"/>
    <s v="F"/>
    <x v="4"/>
    <x v="4"/>
    <s v="Y"/>
    <s v="Success"/>
    <x v="0"/>
    <x v="0"/>
    <x v="0"/>
  </r>
  <r>
    <s v="TX1000722"/>
    <x v="106"/>
    <x v="4"/>
    <d v="1899-12-30T21:11:04"/>
    <n v="128.43"/>
    <s v="USD"/>
    <s v="M1563"/>
    <x v="3"/>
    <s v="United Kingdom"/>
    <s v="C60915"/>
    <n v="68"/>
    <s v="Other"/>
    <x v="9"/>
    <x v="0"/>
    <s v="Y"/>
    <s v="Success"/>
    <x v="0"/>
    <x v="0"/>
    <x v="3"/>
  </r>
  <r>
    <s v="TX1001013"/>
    <x v="174"/>
    <x v="0"/>
    <d v="1899-12-30T00:27:09"/>
    <n v="128.18"/>
    <s v="USD"/>
    <s v="M1138"/>
    <x v="9"/>
    <s v="Australia"/>
    <s v="C67189"/>
    <n v="47"/>
    <s v="F"/>
    <x v="7"/>
    <x v="2"/>
    <s v="N"/>
    <s v="Success"/>
    <x v="0"/>
    <x v="0"/>
    <x v="2"/>
  </r>
  <r>
    <s v="TX1000741"/>
    <x v="111"/>
    <x v="4"/>
    <d v="1899-12-30T17:53:12"/>
    <n v="128.13999999999999"/>
    <s v="USD"/>
    <s v="M1604"/>
    <x v="1"/>
    <s v="Poland"/>
    <s v="C57882"/>
    <n v="36"/>
    <s v="M"/>
    <x v="13"/>
    <x v="2"/>
    <s v="Y"/>
    <s v="Success"/>
    <x v="1"/>
    <x v="1"/>
    <x v="1"/>
  </r>
  <r>
    <s v="TX1001599"/>
    <x v="66"/>
    <x v="5"/>
    <d v="1899-12-30T02:41:18"/>
    <n v="128.11000000000001"/>
    <s v="USD"/>
    <s v="M1806"/>
    <x v="3"/>
    <s v="Netherlands"/>
    <s v="C78866"/>
    <n v="65"/>
    <s v="Other"/>
    <x v="5"/>
    <x v="4"/>
    <s v="Y"/>
    <s v="Success"/>
    <x v="0"/>
    <x v="0"/>
    <x v="3"/>
  </r>
  <r>
    <s v="TX1001978"/>
    <x v="121"/>
    <x v="5"/>
    <d v="1899-12-30T22:51:05"/>
    <n v="128.1"/>
    <s v="USD"/>
    <s v="M1105"/>
    <x v="1"/>
    <s v="Sweden"/>
    <s v="C80578"/>
    <n v="18"/>
    <s v="F"/>
    <x v="0"/>
    <x v="2"/>
    <s v="Y"/>
    <s v="Success"/>
    <x v="0"/>
    <x v="0"/>
    <x v="0"/>
  </r>
  <r>
    <s v="TX1000508"/>
    <x v="57"/>
    <x v="4"/>
    <d v="1899-12-30T22:11:58"/>
    <n v="127.94"/>
    <s v="USD"/>
    <s v="M1797"/>
    <x v="7"/>
    <s v="Sweden"/>
    <s v="C65191"/>
    <n v="51"/>
    <s v="F"/>
    <x v="6"/>
    <x v="3"/>
    <s v="Y"/>
    <s v="Success"/>
    <x v="0"/>
    <x v="0"/>
    <x v="2"/>
  </r>
  <r>
    <s v="TX1000441"/>
    <x v="151"/>
    <x v="1"/>
    <d v="1899-12-30T04:15:54"/>
    <n v="127.91"/>
    <s v="USD"/>
    <s v="M1593"/>
    <x v="7"/>
    <s v="Germany"/>
    <s v="C89998"/>
    <n v="34"/>
    <s v="F"/>
    <x v="12"/>
    <x v="2"/>
    <s v="N"/>
    <s v="Success"/>
    <x v="0"/>
    <x v="0"/>
    <x v="1"/>
  </r>
  <r>
    <s v="TX1002101"/>
    <x v="158"/>
    <x v="2"/>
    <d v="1899-12-30T15:52:37"/>
    <n v="127.63"/>
    <s v="USD"/>
    <s v="M1560"/>
    <x v="8"/>
    <s v="Nigeria"/>
    <s v="C89307"/>
    <n v="15"/>
    <s v="Other"/>
    <x v="14"/>
    <x v="0"/>
    <s v="Y"/>
    <s v="Success"/>
    <x v="0"/>
    <x v="0"/>
    <x v="0"/>
  </r>
  <r>
    <s v="TX1001515"/>
    <x v="58"/>
    <x v="5"/>
    <d v="1899-12-30T06:58:25"/>
    <n v="127.62"/>
    <s v="USD"/>
    <s v="M1974"/>
    <x v="7"/>
    <s v="Canada"/>
    <s v="C84884"/>
    <n v="46"/>
    <s v="Other"/>
    <x v="6"/>
    <x v="2"/>
    <s v="Y"/>
    <s v="Success"/>
    <x v="0"/>
    <x v="0"/>
    <x v="2"/>
  </r>
  <r>
    <s v="TX1001576"/>
    <x v="161"/>
    <x v="5"/>
    <d v="1899-12-30T09:25:41"/>
    <n v="127.54"/>
    <s v="USD"/>
    <s v="M1284"/>
    <x v="0"/>
    <s v="South Africa"/>
    <s v="C64734"/>
    <n v="38"/>
    <s v="F"/>
    <x v="8"/>
    <x v="0"/>
    <s v="Y"/>
    <s v="Success"/>
    <x v="0"/>
    <x v="0"/>
    <x v="1"/>
  </r>
  <r>
    <s v="TX1000966"/>
    <x v="16"/>
    <x v="0"/>
    <d v="1899-12-30T12:51:52"/>
    <n v="127.49"/>
    <s v="USD"/>
    <s v="M1904"/>
    <x v="8"/>
    <s v="South Africa"/>
    <s v="C61278"/>
    <n v="74"/>
    <s v="M"/>
    <x v="14"/>
    <x v="4"/>
    <s v="Y"/>
    <s v="Success"/>
    <x v="0"/>
    <x v="0"/>
    <x v="3"/>
  </r>
  <r>
    <s v="TX1001471"/>
    <x v="61"/>
    <x v="0"/>
    <d v="1899-12-30T20:09:40"/>
    <n v="127.48"/>
    <s v="USD"/>
    <s v="M1824"/>
    <x v="4"/>
    <s v="India"/>
    <s v="C68177"/>
    <n v="73"/>
    <s v="Other"/>
    <x v="13"/>
    <x v="1"/>
    <s v="Y"/>
    <s v="Success"/>
    <x v="0"/>
    <x v="0"/>
    <x v="3"/>
  </r>
  <r>
    <s v="TX1000573"/>
    <x v="36"/>
    <x v="4"/>
    <d v="1899-12-30T08:57:46"/>
    <n v="127.42"/>
    <s v="USD"/>
    <s v="M1518"/>
    <x v="8"/>
    <s v="United Kingdom"/>
    <s v="C77952"/>
    <n v="18"/>
    <s v="Other"/>
    <x v="0"/>
    <x v="3"/>
    <s v="Y"/>
    <s v="Success"/>
    <x v="0"/>
    <x v="0"/>
    <x v="0"/>
  </r>
  <r>
    <s v="TX1001152"/>
    <x v="165"/>
    <x v="0"/>
    <d v="1899-12-30T19:55:43"/>
    <n v="127.35"/>
    <s v="USD"/>
    <s v="M1992"/>
    <x v="9"/>
    <s v="United Kingdom"/>
    <s v="C86846"/>
    <n v="53"/>
    <s v="F"/>
    <x v="6"/>
    <x v="1"/>
    <s v="Y"/>
    <s v="Success"/>
    <x v="0"/>
    <x v="0"/>
    <x v="2"/>
  </r>
  <r>
    <s v="TX1001903"/>
    <x v="147"/>
    <x v="5"/>
    <d v="1899-12-30T12:04:50"/>
    <n v="127.1"/>
    <s v="USD"/>
    <s v="M1251"/>
    <x v="1"/>
    <s v="United States"/>
    <s v="C75858"/>
    <n v="49"/>
    <s v="Other"/>
    <x v="0"/>
    <x v="5"/>
    <s v="Y"/>
    <s v="Success"/>
    <x v="0"/>
    <x v="0"/>
    <x v="2"/>
  </r>
  <r>
    <s v="TX1001806"/>
    <x v="133"/>
    <x v="5"/>
    <d v="1899-12-30T12:52:11"/>
    <n v="127.05"/>
    <s v="USD"/>
    <s v="M1133"/>
    <x v="4"/>
    <s v="Kenya"/>
    <s v="C90915"/>
    <n v="28"/>
    <s v="Other"/>
    <x v="6"/>
    <x v="1"/>
    <s v="Y"/>
    <s v="Success"/>
    <x v="0"/>
    <x v="0"/>
    <x v="1"/>
  </r>
  <r>
    <s v="TX1001388"/>
    <x v="60"/>
    <x v="0"/>
    <d v="1899-12-30T02:37:44"/>
    <n v="127.03"/>
    <s v="USD"/>
    <s v="M1978"/>
    <x v="5"/>
    <s v="South Africa"/>
    <s v="C65906"/>
    <n v="59"/>
    <s v="M"/>
    <x v="9"/>
    <x v="2"/>
    <s v="Y"/>
    <s v="Success"/>
    <x v="0"/>
    <x v="0"/>
    <x v="2"/>
  </r>
  <r>
    <s v="TX1000045"/>
    <x v="167"/>
    <x v="1"/>
    <d v="1899-12-30T11:40:56"/>
    <n v="126.85"/>
    <s v="USD"/>
    <s v="M1077"/>
    <x v="7"/>
    <s v="Nigeria"/>
    <s v="C83791"/>
    <n v="47"/>
    <s v="F"/>
    <x v="2"/>
    <x v="0"/>
    <s v="Y"/>
    <s v="Success"/>
    <x v="0"/>
    <x v="0"/>
    <x v="2"/>
  </r>
  <r>
    <s v="TX1001537"/>
    <x v="83"/>
    <x v="5"/>
    <d v="1899-12-30T10:15:30"/>
    <n v="126.68"/>
    <s v="USD"/>
    <s v="M1982"/>
    <x v="7"/>
    <s v="India"/>
    <s v="C86773"/>
    <n v="25"/>
    <s v="M"/>
    <x v="7"/>
    <x v="5"/>
    <s v="Y"/>
    <s v="Success"/>
    <x v="1"/>
    <x v="1"/>
    <x v="1"/>
  </r>
  <r>
    <s v="TX1000422"/>
    <x v="149"/>
    <x v="1"/>
    <d v="1899-12-30T19:05:12"/>
    <n v="126.02"/>
    <s v="USD"/>
    <s v="M1824"/>
    <x v="1"/>
    <s v="Australia"/>
    <s v="C95074"/>
    <n v="74"/>
    <s v="M"/>
    <x v="3"/>
    <x v="4"/>
    <s v="Y"/>
    <s v="Success"/>
    <x v="0"/>
    <x v="0"/>
    <x v="3"/>
  </r>
  <r>
    <s v="TX1000075"/>
    <x v="44"/>
    <x v="1"/>
    <d v="1899-12-30T09:50:50"/>
    <n v="125.82"/>
    <s v="USD"/>
    <s v="M1932"/>
    <x v="7"/>
    <s v="India"/>
    <s v="C75434"/>
    <n v="51"/>
    <s v="F"/>
    <x v="0"/>
    <x v="4"/>
    <s v="Y"/>
    <s v="Success"/>
    <x v="0"/>
    <x v="0"/>
    <x v="2"/>
  </r>
  <r>
    <s v="TX1001652"/>
    <x v="39"/>
    <x v="5"/>
    <d v="1899-12-30T08:50:45"/>
    <n v="125.79"/>
    <s v="USD"/>
    <s v="M1857"/>
    <x v="6"/>
    <s v="United States"/>
    <s v="C57422"/>
    <n v="73"/>
    <s v="Other"/>
    <x v="9"/>
    <x v="3"/>
    <s v="Y"/>
    <s v="Success"/>
    <x v="0"/>
    <x v="0"/>
    <x v="3"/>
  </r>
  <r>
    <s v="TX1000415"/>
    <x v="149"/>
    <x v="1"/>
    <d v="1899-12-30T10:47:14"/>
    <n v="125.75"/>
    <s v="USD"/>
    <s v="M1981"/>
    <x v="0"/>
    <s v="United States"/>
    <s v="C67387"/>
    <n v="55"/>
    <s v="F"/>
    <x v="12"/>
    <x v="1"/>
    <s v="Y"/>
    <s v="Success"/>
    <x v="0"/>
    <x v="0"/>
    <x v="2"/>
  </r>
  <r>
    <s v="TX1001074"/>
    <x v="47"/>
    <x v="0"/>
    <d v="1899-12-30T21:20:56"/>
    <n v="125.43"/>
    <s v="USD"/>
    <s v="M1217"/>
    <x v="8"/>
    <s v="Nigeria"/>
    <s v="C85948"/>
    <n v="54"/>
    <s v="M"/>
    <x v="13"/>
    <x v="4"/>
    <s v="N"/>
    <s v="Success"/>
    <x v="0"/>
    <x v="0"/>
    <x v="2"/>
  </r>
  <r>
    <s v="TX1002150"/>
    <x v="2"/>
    <x v="2"/>
    <d v="1899-12-30T01:33:45"/>
    <n v="125.33"/>
    <s v="USD"/>
    <s v="M1670"/>
    <x v="1"/>
    <s v="Nigeria"/>
    <s v="C81680"/>
    <n v="44"/>
    <s v="M"/>
    <x v="0"/>
    <x v="5"/>
    <s v="Y"/>
    <s v="Success"/>
    <x v="0"/>
    <x v="0"/>
    <x v="2"/>
  </r>
  <r>
    <s v="TX1001234"/>
    <x v="128"/>
    <x v="0"/>
    <d v="1899-12-30T11:57:43"/>
    <n v="125.19"/>
    <s v="USD"/>
    <s v="M1613"/>
    <x v="3"/>
    <s v="Netherlands"/>
    <s v="C84780"/>
    <n v="58"/>
    <s v="Other"/>
    <x v="5"/>
    <x v="0"/>
    <s v="Y"/>
    <s v="Success"/>
    <x v="0"/>
    <x v="0"/>
    <x v="2"/>
  </r>
  <r>
    <s v="TX1001026"/>
    <x v="22"/>
    <x v="0"/>
    <d v="1899-12-30T02:45:10"/>
    <n v="125.16"/>
    <s v="USD"/>
    <s v="M1294"/>
    <x v="7"/>
    <s v="Netherlands"/>
    <s v="C52463"/>
    <n v="21"/>
    <s v="M"/>
    <x v="0"/>
    <x v="2"/>
    <s v="Y"/>
    <s v="Success"/>
    <x v="0"/>
    <x v="0"/>
    <x v="0"/>
  </r>
  <r>
    <s v="TX1000896"/>
    <x v="8"/>
    <x v="4"/>
    <d v="1899-12-30T15:14:42"/>
    <n v="125.07"/>
    <s v="USD"/>
    <s v="M1331"/>
    <x v="6"/>
    <s v="France"/>
    <s v="C85088"/>
    <n v="71"/>
    <s v="F"/>
    <x v="1"/>
    <x v="1"/>
    <s v="Y"/>
    <s v="Success"/>
    <x v="1"/>
    <x v="1"/>
    <x v="3"/>
  </r>
  <r>
    <s v="TX1001354"/>
    <x v="50"/>
    <x v="0"/>
    <d v="1899-12-30T01:59:45"/>
    <n v="124.99"/>
    <s v="USD"/>
    <s v="M1608"/>
    <x v="9"/>
    <s v="United Kingdom"/>
    <s v="C59152"/>
    <n v="22"/>
    <s v="F"/>
    <x v="13"/>
    <x v="0"/>
    <s v="Y"/>
    <s v="Success"/>
    <x v="0"/>
    <x v="0"/>
    <x v="0"/>
  </r>
  <r>
    <s v="TX1000931"/>
    <x v="80"/>
    <x v="4"/>
    <d v="1899-12-30T12:30:52"/>
    <n v="124.96"/>
    <s v="USD"/>
    <s v="M1091"/>
    <x v="8"/>
    <s v="Kenya"/>
    <s v="C50865"/>
    <n v="25"/>
    <s v="M"/>
    <x v="6"/>
    <x v="3"/>
    <s v="Y"/>
    <s v="Success"/>
    <x v="1"/>
    <x v="1"/>
    <x v="1"/>
  </r>
  <r>
    <s v="TX1002981"/>
    <x v="116"/>
    <x v="3"/>
    <d v="1899-12-30T08:32:43"/>
    <n v="124.96"/>
    <s v="USD"/>
    <s v="M1013"/>
    <x v="8"/>
    <s v="France"/>
    <s v="C92263"/>
    <n v="53"/>
    <s v="M"/>
    <x v="12"/>
    <x v="2"/>
    <s v="Y"/>
    <s v="Success"/>
    <x v="0"/>
    <x v="0"/>
    <x v="2"/>
  </r>
  <r>
    <s v="TX1000769"/>
    <x v="18"/>
    <x v="4"/>
    <d v="1899-12-30T01:45:13"/>
    <n v="124.8"/>
    <s v="USD"/>
    <s v="M1540"/>
    <x v="0"/>
    <s v="Sweden"/>
    <s v="C60158"/>
    <n v="37"/>
    <s v="F"/>
    <x v="10"/>
    <x v="0"/>
    <s v="Y"/>
    <s v="Success"/>
    <x v="0"/>
    <x v="0"/>
    <x v="1"/>
  </r>
  <r>
    <s v="TX1000286"/>
    <x v="55"/>
    <x v="1"/>
    <d v="1899-12-30T08:07:15"/>
    <n v="124.53"/>
    <s v="USD"/>
    <s v="M1061"/>
    <x v="1"/>
    <s v="Germany"/>
    <s v="C89181"/>
    <n v="71"/>
    <s v="Other"/>
    <x v="11"/>
    <x v="0"/>
    <s v="Y"/>
    <s v="Success"/>
    <x v="0"/>
    <x v="0"/>
    <x v="3"/>
  </r>
  <r>
    <s v="TX1002793"/>
    <x v="101"/>
    <x v="3"/>
    <d v="1899-12-30T16:13:43"/>
    <n v="124.51"/>
    <s v="USD"/>
    <s v="M1790"/>
    <x v="1"/>
    <s v="Sweden"/>
    <s v="C83051"/>
    <n v="29"/>
    <s v="M"/>
    <x v="13"/>
    <x v="5"/>
    <s v="Y"/>
    <s v="Success"/>
    <x v="0"/>
    <x v="0"/>
    <x v="1"/>
  </r>
  <r>
    <s v="TX1002762"/>
    <x v="7"/>
    <x v="3"/>
    <d v="1899-12-30T19:25:33"/>
    <n v="124.38"/>
    <s v="USD"/>
    <s v="M1854"/>
    <x v="5"/>
    <s v="Germany"/>
    <s v="C73295"/>
    <n v="52"/>
    <s v="Other"/>
    <x v="0"/>
    <x v="1"/>
    <s v="Y"/>
    <s v="Success"/>
    <x v="0"/>
    <x v="0"/>
    <x v="2"/>
  </r>
  <r>
    <s v="TX1002011"/>
    <x v="126"/>
    <x v="2"/>
    <d v="1899-12-30T21:41:10"/>
    <n v="124.07"/>
    <s v="USD"/>
    <s v="M1939"/>
    <x v="0"/>
    <s v="United States"/>
    <s v="C88341"/>
    <n v="24"/>
    <s v="M"/>
    <x v="4"/>
    <x v="4"/>
    <s v="Y"/>
    <s v="Success"/>
    <x v="0"/>
    <x v="0"/>
    <x v="0"/>
  </r>
  <r>
    <s v="TX1001557"/>
    <x v="29"/>
    <x v="5"/>
    <d v="1899-12-30T03:52:12"/>
    <n v="124.04"/>
    <s v="USD"/>
    <s v="M1400"/>
    <x v="4"/>
    <s v="France"/>
    <s v="C90910"/>
    <n v="47"/>
    <s v="M"/>
    <x v="4"/>
    <x v="0"/>
    <s v="Y"/>
    <s v="Success"/>
    <x v="0"/>
    <x v="0"/>
    <x v="2"/>
  </r>
  <r>
    <s v="TX1002792"/>
    <x v="101"/>
    <x v="3"/>
    <d v="1899-12-30T15:52:10"/>
    <n v="123.91"/>
    <s v="USD"/>
    <s v="M1116"/>
    <x v="7"/>
    <s v="Sweden"/>
    <s v="C81813"/>
    <n v="36"/>
    <s v="F"/>
    <x v="1"/>
    <x v="2"/>
    <s v="Y"/>
    <s v="Success"/>
    <x v="0"/>
    <x v="0"/>
    <x v="1"/>
  </r>
  <r>
    <s v="TX1001039"/>
    <x v="22"/>
    <x v="0"/>
    <d v="1899-12-30T20:49:38"/>
    <n v="123.78"/>
    <s v="USD"/>
    <s v="M1666"/>
    <x v="9"/>
    <s v="Sweden"/>
    <s v="C65287"/>
    <n v="66"/>
    <s v="M"/>
    <x v="2"/>
    <x v="0"/>
    <s v="Y"/>
    <s v="Success"/>
    <x v="0"/>
    <x v="0"/>
    <x v="3"/>
  </r>
  <r>
    <s v="TX1002278"/>
    <x v="79"/>
    <x v="2"/>
    <d v="1899-12-30T02:16:12"/>
    <n v="123.78"/>
    <s v="USD"/>
    <s v="M1268"/>
    <x v="8"/>
    <s v="France"/>
    <s v="C89349"/>
    <n v="37"/>
    <s v="M"/>
    <x v="1"/>
    <x v="3"/>
    <s v="Y"/>
    <s v="Success"/>
    <x v="0"/>
    <x v="0"/>
    <x v="1"/>
  </r>
  <r>
    <s v="TX1000949"/>
    <x v="164"/>
    <x v="4"/>
    <d v="1899-12-30T15:54:38"/>
    <n v="123.74"/>
    <s v="USD"/>
    <s v="M1274"/>
    <x v="0"/>
    <s v="Nigeria"/>
    <s v="C87822"/>
    <n v="24"/>
    <s v="F"/>
    <x v="7"/>
    <x v="4"/>
    <s v="Y"/>
    <s v="Success"/>
    <x v="0"/>
    <x v="0"/>
    <x v="0"/>
  </r>
  <r>
    <s v="TX1001016"/>
    <x v="174"/>
    <x v="0"/>
    <d v="1899-12-30T07:30:49"/>
    <n v="123.69"/>
    <s v="USD"/>
    <s v="M1716"/>
    <x v="4"/>
    <s v="Nigeria"/>
    <s v="C50791"/>
    <n v="44"/>
    <s v="M"/>
    <x v="12"/>
    <x v="0"/>
    <s v="Y"/>
    <s v="Success"/>
    <x v="0"/>
    <x v="0"/>
    <x v="2"/>
  </r>
  <r>
    <s v="TX1000157"/>
    <x v="42"/>
    <x v="1"/>
    <d v="1899-12-30T10:14:21"/>
    <n v="123.63"/>
    <s v="USD"/>
    <s v="M1149"/>
    <x v="1"/>
    <s v="Kenya"/>
    <s v="C65301"/>
    <n v="72"/>
    <s v="M"/>
    <x v="6"/>
    <x v="3"/>
    <s v="Y"/>
    <s v="Success"/>
    <x v="0"/>
    <x v="0"/>
    <x v="3"/>
  </r>
  <r>
    <s v="TX1000559"/>
    <x v="172"/>
    <x v="4"/>
    <d v="1899-12-30T08:45:03"/>
    <n v="123.59"/>
    <s v="USD"/>
    <s v="M1699"/>
    <x v="1"/>
    <s v="Australia"/>
    <s v="C66386"/>
    <n v="75"/>
    <s v="M"/>
    <x v="10"/>
    <x v="0"/>
    <s v="Y"/>
    <s v="Success"/>
    <x v="0"/>
    <x v="0"/>
    <x v="3"/>
  </r>
  <r>
    <s v="TX1002168"/>
    <x v="112"/>
    <x v="2"/>
    <d v="1899-12-30T00:50:22"/>
    <n v="123.55"/>
    <s v="USD"/>
    <s v="M1656"/>
    <x v="8"/>
    <s v="Canada"/>
    <s v="C95252"/>
    <n v="44"/>
    <s v="F"/>
    <x v="3"/>
    <x v="1"/>
    <s v="N"/>
    <s v="Success"/>
    <x v="0"/>
    <x v="0"/>
    <x v="2"/>
  </r>
  <r>
    <s v="TX1001392"/>
    <x v="60"/>
    <x v="0"/>
    <d v="1899-12-30T04:52:48"/>
    <n v="123.38"/>
    <s v="USD"/>
    <s v="M1607"/>
    <x v="8"/>
    <s v="United States"/>
    <s v="C77639"/>
    <n v="53"/>
    <s v="Other"/>
    <x v="2"/>
    <x v="5"/>
    <s v="Y"/>
    <s v="Success"/>
    <x v="0"/>
    <x v="0"/>
    <x v="2"/>
  </r>
  <r>
    <s v="TX1001240"/>
    <x v="128"/>
    <x v="0"/>
    <d v="1899-12-30T18:11:48"/>
    <n v="123.3"/>
    <s v="USD"/>
    <s v="M1679"/>
    <x v="7"/>
    <s v="Norway"/>
    <s v="C93205"/>
    <n v="40"/>
    <s v="F"/>
    <x v="10"/>
    <x v="0"/>
    <s v="Y"/>
    <s v="Success"/>
    <x v="0"/>
    <x v="0"/>
    <x v="2"/>
  </r>
  <r>
    <s v="TX1000634"/>
    <x v="178"/>
    <x v="4"/>
    <d v="1899-12-30T01:32:13"/>
    <n v="123.26"/>
    <s v="USD"/>
    <s v="M1174"/>
    <x v="4"/>
    <s v="Norway"/>
    <s v="C82136"/>
    <n v="51"/>
    <s v="M"/>
    <x v="9"/>
    <x v="0"/>
    <s v="N"/>
    <s v="Success"/>
    <x v="0"/>
    <x v="0"/>
    <x v="2"/>
  </r>
  <r>
    <s v="TX1002402"/>
    <x v="90"/>
    <x v="2"/>
    <d v="1899-12-30T12:34:49"/>
    <n v="123.17"/>
    <s v="USD"/>
    <s v="M1663"/>
    <x v="4"/>
    <s v="India"/>
    <s v="C70450"/>
    <n v="43"/>
    <s v="M"/>
    <x v="8"/>
    <x v="1"/>
    <s v="Y"/>
    <s v="Success"/>
    <x v="0"/>
    <x v="0"/>
    <x v="2"/>
  </r>
  <r>
    <s v="TX1001076"/>
    <x v="59"/>
    <x v="0"/>
    <d v="1899-12-30T01:34:16"/>
    <n v="123.1"/>
    <s v="USD"/>
    <s v="M1925"/>
    <x v="9"/>
    <s v="Canada"/>
    <s v="C59170"/>
    <n v="26"/>
    <s v="M"/>
    <x v="12"/>
    <x v="2"/>
    <s v="Y"/>
    <s v="Success"/>
    <x v="0"/>
    <x v="0"/>
    <x v="1"/>
  </r>
  <r>
    <s v="TX1000167"/>
    <x v="6"/>
    <x v="1"/>
    <d v="1899-12-30T02:38:17"/>
    <n v="123.01"/>
    <s v="USD"/>
    <s v="M1529"/>
    <x v="3"/>
    <s v="South Africa"/>
    <s v="C92342"/>
    <n v="67"/>
    <s v="Other"/>
    <x v="0"/>
    <x v="3"/>
    <s v="Y"/>
    <s v="Success"/>
    <x v="0"/>
    <x v="0"/>
    <x v="3"/>
  </r>
  <r>
    <s v="TX1000311"/>
    <x v="157"/>
    <x v="1"/>
    <d v="1899-12-30T18:54:35"/>
    <n v="122.99"/>
    <s v="USD"/>
    <s v="M1255"/>
    <x v="3"/>
    <s v="Spain"/>
    <s v="C90483"/>
    <n v="29"/>
    <s v="Other"/>
    <x v="7"/>
    <x v="4"/>
    <s v="Y"/>
    <s v="Success"/>
    <x v="0"/>
    <x v="0"/>
    <x v="1"/>
  </r>
  <r>
    <s v="TX1000571"/>
    <x v="36"/>
    <x v="4"/>
    <d v="1899-12-30T05:16:58"/>
    <n v="122.9"/>
    <s v="USD"/>
    <s v="M1142"/>
    <x v="6"/>
    <s v="Spain"/>
    <s v="C98894"/>
    <n v="23"/>
    <s v="M"/>
    <x v="13"/>
    <x v="3"/>
    <s v="Y"/>
    <s v="Success"/>
    <x v="0"/>
    <x v="0"/>
    <x v="0"/>
  </r>
  <r>
    <s v="TX1001589"/>
    <x v="84"/>
    <x v="5"/>
    <d v="1899-12-30T08:39:18"/>
    <n v="122.8"/>
    <s v="USD"/>
    <s v="M1990"/>
    <x v="9"/>
    <s v="United States"/>
    <s v="C62550"/>
    <n v="32"/>
    <s v="F"/>
    <x v="3"/>
    <x v="4"/>
    <s v="Y"/>
    <s v="Success"/>
    <x v="1"/>
    <x v="1"/>
    <x v="1"/>
  </r>
  <r>
    <s v="TX1002153"/>
    <x v="2"/>
    <x v="2"/>
    <d v="1899-12-30T05:25:51"/>
    <n v="122.65"/>
    <s v="USD"/>
    <s v="M1534"/>
    <x v="8"/>
    <s v="Australia"/>
    <s v="C50940"/>
    <n v="46"/>
    <s v="F"/>
    <x v="7"/>
    <x v="3"/>
    <s v="N"/>
    <s v="Success"/>
    <x v="1"/>
    <x v="1"/>
    <x v="2"/>
  </r>
  <r>
    <s v="TX1001703"/>
    <x v="27"/>
    <x v="5"/>
    <d v="1899-12-30T23:28:39"/>
    <n v="122.61"/>
    <s v="USD"/>
    <s v="M1615"/>
    <x v="8"/>
    <s v="Kenya"/>
    <s v="C64740"/>
    <n v="30"/>
    <s v="Other"/>
    <x v="8"/>
    <x v="4"/>
    <s v="Y"/>
    <s v="Success"/>
    <x v="0"/>
    <x v="0"/>
    <x v="1"/>
  </r>
  <r>
    <s v="TX1002708"/>
    <x v="130"/>
    <x v="3"/>
    <d v="1899-12-30T02:46:22"/>
    <n v="122.59"/>
    <s v="USD"/>
    <s v="M1480"/>
    <x v="4"/>
    <s v="Poland"/>
    <s v="C84946"/>
    <n v="26"/>
    <s v="Other"/>
    <x v="9"/>
    <x v="4"/>
    <s v="Y"/>
    <s v="Success"/>
    <x v="0"/>
    <x v="0"/>
    <x v="1"/>
  </r>
  <r>
    <s v="TX1002830"/>
    <x v="86"/>
    <x v="3"/>
    <d v="1899-12-30T10:33:31"/>
    <n v="122.49"/>
    <s v="USD"/>
    <s v="M1859"/>
    <x v="6"/>
    <s v="Norway"/>
    <s v="C81250"/>
    <n v="97"/>
    <s v="Other"/>
    <x v="1"/>
    <x v="1"/>
    <s v="Y"/>
    <s v="Success"/>
    <x v="0"/>
    <x v="0"/>
    <x v="3"/>
  </r>
  <r>
    <s v="TX1002185"/>
    <x v="112"/>
    <x v="2"/>
    <d v="1899-12-30T17:15:22"/>
    <n v="122.36"/>
    <s v="USD"/>
    <s v="M1078"/>
    <x v="7"/>
    <s v="Australia"/>
    <s v="C61463"/>
    <n v="66"/>
    <s v="Other"/>
    <x v="2"/>
    <x v="4"/>
    <s v="Y"/>
    <s v="Success"/>
    <x v="0"/>
    <x v="0"/>
    <x v="3"/>
  </r>
  <r>
    <s v="TX1000622"/>
    <x v="65"/>
    <x v="4"/>
    <d v="1899-12-30T04:43:02"/>
    <n v="122.18"/>
    <s v="USD"/>
    <s v="M1473"/>
    <x v="6"/>
    <s v="South Africa"/>
    <s v="C61478"/>
    <n v="56"/>
    <s v="M"/>
    <x v="6"/>
    <x v="2"/>
    <s v="Y"/>
    <s v="Success"/>
    <x v="0"/>
    <x v="0"/>
    <x v="2"/>
  </r>
  <r>
    <s v="TX1000288"/>
    <x v="55"/>
    <x v="1"/>
    <d v="1899-12-30T10:50:48"/>
    <n v="122.15"/>
    <s v="USD"/>
    <s v="M1009"/>
    <x v="3"/>
    <s v="Nigeria"/>
    <s v="C86424"/>
    <n v="52"/>
    <s v="M"/>
    <x v="4"/>
    <x v="3"/>
    <s v="Y"/>
    <s v="Success"/>
    <x v="0"/>
    <x v="0"/>
    <x v="2"/>
  </r>
  <r>
    <s v="TX1002136"/>
    <x v="135"/>
    <x v="2"/>
    <d v="1899-12-30T11:24:56"/>
    <n v="122.13"/>
    <s v="USD"/>
    <s v="M1863"/>
    <x v="4"/>
    <s v="Canada"/>
    <s v="C66217"/>
    <n v="65"/>
    <s v="F"/>
    <x v="11"/>
    <x v="3"/>
    <s v="Y"/>
    <s v="Success"/>
    <x v="0"/>
    <x v="0"/>
    <x v="3"/>
  </r>
  <r>
    <s v="TX1001159"/>
    <x v="40"/>
    <x v="0"/>
    <d v="1899-12-30T04:35:31"/>
    <n v="121.95"/>
    <s v="USD"/>
    <s v="M1304"/>
    <x v="5"/>
    <s v="Kenya"/>
    <s v="C94533"/>
    <n v="24"/>
    <s v="M"/>
    <x v="12"/>
    <x v="5"/>
    <s v="Y"/>
    <s v="Success"/>
    <x v="0"/>
    <x v="0"/>
    <x v="0"/>
  </r>
  <r>
    <s v="TX1001663"/>
    <x v="176"/>
    <x v="5"/>
    <d v="1899-12-30T03:14:08"/>
    <n v="121.93"/>
    <s v="USD"/>
    <s v="M1742"/>
    <x v="5"/>
    <s v="Netherlands"/>
    <s v="C80972"/>
    <n v="75"/>
    <s v="F"/>
    <x v="1"/>
    <x v="0"/>
    <s v="Y"/>
    <s v="Success"/>
    <x v="0"/>
    <x v="0"/>
    <x v="3"/>
  </r>
  <r>
    <s v="TX1002255"/>
    <x v="69"/>
    <x v="2"/>
    <d v="1899-12-30T15:10:39"/>
    <n v="121.92"/>
    <s v="USD"/>
    <s v="M1683"/>
    <x v="9"/>
    <s v="Australia"/>
    <s v="C51845"/>
    <n v="24"/>
    <s v="Other"/>
    <x v="9"/>
    <x v="1"/>
    <s v="Y"/>
    <s v="Success"/>
    <x v="0"/>
    <x v="0"/>
    <x v="0"/>
  </r>
  <r>
    <s v="TX1002888"/>
    <x v="144"/>
    <x v="3"/>
    <d v="1899-12-30T20:28:07"/>
    <n v="121.92"/>
    <s v="USD"/>
    <s v="M1991"/>
    <x v="3"/>
    <s v="Netherlands"/>
    <s v="C52856"/>
    <n v="18"/>
    <s v="M"/>
    <x v="4"/>
    <x v="4"/>
    <s v="Y"/>
    <s v="Success"/>
    <x v="0"/>
    <x v="0"/>
    <x v="0"/>
  </r>
  <r>
    <s v="TX1000472"/>
    <x v="124"/>
    <x v="4"/>
    <d v="1899-12-30T04:26:13"/>
    <n v="121.9"/>
    <s v="USD"/>
    <s v="M1767"/>
    <x v="0"/>
    <s v="Sweden"/>
    <s v="C56808"/>
    <n v="27"/>
    <s v="Other"/>
    <x v="8"/>
    <x v="5"/>
    <s v="Y"/>
    <s v="Success"/>
    <x v="0"/>
    <x v="0"/>
    <x v="1"/>
  </r>
  <r>
    <s v="TX1000071"/>
    <x v="44"/>
    <x v="1"/>
    <d v="1899-12-30T03:36:31"/>
    <n v="121.86"/>
    <s v="USD"/>
    <s v="M1339"/>
    <x v="6"/>
    <s v="United Kingdom"/>
    <s v="C76822"/>
    <n v="34"/>
    <s v="Other"/>
    <x v="12"/>
    <x v="1"/>
    <s v="Y"/>
    <s v="Success"/>
    <x v="0"/>
    <x v="0"/>
    <x v="1"/>
  </r>
  <r>
    <s v="TX1001869"/>
    <x v="117"/>
    <x v="5"/>
    <d v="1899-12-30T06:42:48"/>
    <n v="121.77"/>
    <s v="USD"/>
    <s v="M1186"/>
    <x v="1"/>
    <s v="United Kingdom"/>
    <s v="C80168"/>
    <n v="64"/>
    <s v="Other"/>
    <x v="6"/>
    <x v="2"/>
    <s v="Y"/>
    <s v="Success"/>
    <x v="0"/>
    <x v="0"/>
    <x v="3"/>
  </r>
  <r>
    <s v="TX1002425"/>
    <x v="46"/>
    <x v="2"/>
    <d v="1899-12-30T14:02:34"/>
    <n v="121.73"/>
    <s v="USD"/>
    <s v="M1537"/>
    <x v="7"/>
    <s v="Australia"/>
    <s v="C92341"/>
    <n v="53"/>
    <s v="Other"/>
    <x v="10"/>
    <x v="1"/>
    <s v="Y"/>
    <s v="Success"/>
    <x v="0"/>
    <x v="0"/>
    <x v="2"/>
  </r>
  <r>
    <s v="TX1001807"/>
    <x v="133"/>
    <x v="5"/>
    <d v="1899-12-30T13:03:09"/>
    <n v="121.69"/>
    <s v="USD"/>
    <s v="M1769"/>
    <x v="8"/>
    <s v="South Africa"/>
    <s v="C97231"/>
    <n v="46"/>
    <s v="Other"/>
    <x v="3"/>
    <x v="0"/>
    <s v="Y"/>
    <s v="Success"/>
    <x v="0"/>
    <x v="0"/>
    <x v="2"/>
  </r>
  <r>
    <s v="TX1001139"/>
    <x v="165"/>
    <x v="0"/>
    <d v="1899-12-30T03:15:53"/>
    <n v="121.67"/>
    <s v="USD"/>
    <s v="M1884"/>
    <x v="5"/>
    <s v="Poland"/>
    <s v="C51886"/>
    <n v="45"/>
    <s v="F"/>
    <x v="8"/>
    <x v="4"/>
    <s v="Y"/>
    <s v="Success"/>
    <x v="0"/>
    <x v="0"/>
    <x v="2"/>
  </r>
  <r>
    <s v="TX1002763"/>
    <x v="7"/>
    <x v="3"/>
    <d v="1899-12-30T20:14:54"/>
    <n v="121.61"/>
    <s v="USD"/>
    <s v="M1852"/>
    <x v="0"/>
    <s v="Norway"/>
    <s v="C69957"/>
    <n v="27"/>
    <s v="F"/>
    <x v="7"/>
    <x v="4"/>
    <s v="Y"/>
    <s v="Success"/>
    <x v="0"/>
    <x v="0"/>
    <x v="1"/>
  </r>
  <r>
    <s v="TX1002862"/>
    <x v="87"/>
    <x v="3"/>
    <d v="1899-12-30T06:39:43"/>
    <n v="121.47"/>
    <s v="USD"/>
    <s v="M1896"/>
    <x v="1"/>
    <s v="Sweden"/>
    <s v="C90361"/>
    <n v="20"/>
    <s v="Other"/>
    <x v="7"/>
    <x v="2"/>
    <s v="Y"/>
    <s v="Success"/>
    <x v="0"/>
    <x v="0"/>
    <x v="0"/>
  </r>
  <r>
    <s v="TX1001534"/>
    <x v="83"/>
    <x v="5"/>
    <d v="1899-12-30T08:55:06"/>
    <n v="121.42"/>
    <s v="USD"/>
    <s v="M1096"/>
    <x v="1"/>
    <s v="Netherlands"/>
    <s v="C65515"/>
    <n v="66"/>
    <s v="Other"/>
    <x v="6"/>
    <x v="4"/>
    <s v="Y"/>
    <s v="Success"/>
    <x v="0"/>
    <x v="0"/>
    <x v="3"/>
  </r>
  <r>
    <s v="TX1001328"/>
    <x v="108"/>
    <x v="0"/>
    <d v="1899-12-30T19:48:20"/>
    <n v="121.4"/>
    <s v="USD"/>
    <s v="M1880"/>
    <x v="3"/>
    <s v="Spain"/>
    <s v="C62222"/>
    <n v="34"/>
    <s v="F"/>
    <x v="12"/>
    <x v="3"/>
    <s v="Y"/>
    <s v="Success"/>
    <x v="0"/>
    <x v="0"/>
    <x v="1"/>
  </r>
  <r>
    <s v="TX1002773"/>
    <x v="169"/>
    <x v="3"/>
    <d v="1899-12-30T05:32:10"/>
    <n v="121.29"/>
    <s v="USD"/>
    <s v="M1141"/>
    <x v="8"/>
    <s v="Kenya"/>
    <s v="C75783"/>
    <n v="36"/>
    <s v="F"/>
    <x v="1"/>
    <x v="1"/>
    <s v="N"/>
    <s v="Success"/>
    <x v="0"/>
    <x v="0"/>
    <x v="1"/>
  </r>
  <r>
    <s v="TX1001237"/>
    <x v="128"/>
    <x v="0"/>
    <d v="1899-12-30T14:35:59"/>
    <n v="121.2"/>
    <s v="USD"/>
    <s v="M1210"/>
    <x v="7"/>
    <s v="Nigeria"/>
    <s v="C68061"/>
    <n v="66"/>
    <s v="M"/>
    <x v="3"/>
    <x v="3"/>
    <s v="Y"/>
    <s v="Success"/>
    <x v="0"/>
    <x v="0"/>
    <x v="3"/>
  </r>
  <r>
    <s v="TX1000171"/>
    <x v="6"/>
    <x v="1"/>
    <d v="1899-12-30T07:10:48"/>
    <n v="121.05"/>
    <s v="USD"/>
    <s v="M1089"/>
    <x v="9"/>
    <s v="India"/>
    <s v="C77325"/>
    <n v="60"/>
    <s v="Other"/>
    <x v="8"/>
    <x v="0"/>
    <s v="Y"/>
    <s v="Success"/>
    <x v="1"/>
    <x v="1"/>
    <x v="3"/>
  </r>
  <r>
    <s v="TX1000033"/>
    <x v="109"/>
    <x v="1"/>
    <d v="1899-12-30T12:13:46"/>
    <n v="121.04"/>
    <s v="USD"/>
    <s v="M1181"/>
    <x v="4"/>
    <s v="France"/>
    <s v="C69100"/>
    <n v="68"/>
    <s v="M"/>
    <x v="2"/>
    <x v="2"/>
    <s v="N"/>
    <s v="Success"/>
    <x v="0"/>
    <x v="0"/>
    <x v="3"/>
  </r>
  <r>
    <s v="TX1002309"/>
    <x v="97"/>
    <x v="2"/>
    <d v="1899-12-30T00:18:36"/>
    <n v="120.99"/>
    <s v="USD"/>
    <s v="M1094"/>
    <x v="7"/>
    <s v="Sweden"/>
    <s v="C98637"/>
    <n v="69"/>
    <s v="M"/>
    <x v="12"/>
    <x v="4"/>
    <s v="Y"/>
    <s v="Success"/>
    <x v="0"/>
    <x v="0"/>
    <x v="3"/>
  </r>
  <r>
    <s v="TX1002228"/>
    <x v="24"/>
    <x v="2"/>
    <d v="1899-12-30T22:43:31"/>
    <n v="120.95"/>
    <s v="USD"/>
    <s v="M1465"/>
    <x v="3"/>
    <s v="Sweden"/>
    <s v="C88123"/>
    <n v="66"/>
    <s v="M"/>
    <x v="5"/>
    <x v="0"/>
    <s v="Y"/>
    <s v="Success"/>
    <x v="0"/>
    <x v="0"/>
    <x v="3"/>
  </r>
  <r>
    <s v="TX1000259"/>
    <x v="152"/>
    <x v="1"/>
    <d v="1899-12-30T13:42:08"/>
    <n v="120.86"/>
    <s v="USD"/>
    <s v="M1261"/>
    <x v="3"/>
    <s v="United Kingdom"/>
    <s v="C76143"/>
    <n v="67"/>
    <s v="F"/>
    <x v="12"/>
    <x v="3"/>
    <s v="Y"/>
    <s v="Success"/>
    <x v="0"/>
    <x v="0"/>
    <x v="3"/>
  </r>
  <r>
    <s v="TX1001082"/>
    <x v="59"/>
    <x v="0"/>
    <d v="1899-12-30T07:13:55"/>
    <n v="120.84"/>
    <s v="USD"/>
    <s v="M1147"/>
    <x v="7"/>
    <s v="Norway"/>
    <s v="C63144"/>
    <n v="37"/>
    <s v="Other"/>
    <x v="12"/>
    <x v="5"/>
    <s v="Y"/>
    <s v="Success"/>
    <x v="0"/>
    <x v="0"/>
    <x v="1"/>
  </r>
  <r>
    <s v="TX1000264"/>
    <x v="152"/>
    <x v="1"/>
    <d v="1899-12-30T23:52:50"/>
    <n v="120.78"/>
    <s v="USD"/>
    <s v="M1997"/>
    <x v="2"/>
    <s v="France"/>
    <s v="C95263"/>
    <n v="37"/>
    <s v="M"/>
    <x v="5"/>
    <x v="5"/>
    <s v="Y"/>
    <s v="Success"/>
    <x v="0"/>
    <x v="0"/>
    <x v="1"/>
  </r>
  <r>
    <s v="TX1002896"/>
    <x v="137"/>
    <x v="3"/>
    <d v="1899-12-30T15:03:02"/>
    <n v="120.77"/>
    <s v="USD"/>
    <s v="M1531"/>
    <x v="4"/>
    <s v="United Kingdom"/>
    <s v="C63386"/>
    <n v="19"/>
    <s v="M"/>
    <x v="14"/>
    <x v="4"/>
    <s v="Y"/>
    <s v="Success"/>
    <x v="0"/>
    <x v="0"/>
    <x v="0"/>
  </r>
  <r>
    <s v="TX1001705"/>
    <x v="142"/>
    <x v="5"/>
    <d v="1899-12-30T03:33:53"/>
    <n v="120.28"/>
    <s v="USD"/>
    <s v="M1921"/>
    <x v="3"/>
    <s v="Spain"/>
    <s v="C50260"/>
    <n v="55"/>
    <s v="F"/>
    <x v="10"/>
    <x v="2"/>
    <s v="Y"/>
    <s v="Success"/>
    <x v="0"/>
    <x v="0"/>
    <x v="2"/>
  </r>
  <r>
    <s v="TX1000225"/>
    <x v="88"/>
    <x v="1"/>
    <d v="1899-12-30T02:25:18"/>
    <n v="120.18"/>
    <s v="USD"/>
    <s v="M1446"/>
    <x v="8"/>
    <s v="Poland"/>
    <s v="C94951"/>
    <n v="50"/>
    <s v="Other"/>
    <x v="7"/>
    <x v="4"/>
    <s v="Y"/>
    <s v="Success"/>
    <x v="0"/>
    <x v="0"/>
    <x v="2"/>
  </r>
  <r>
    <s v="TX1002329"/>
    <x v="119"/>
    <x v="2"/>
    <d v="1899-12-30T13:42:59"/>
    <n v="120.14"/>
    <s v="USD"/>
    <s v="M1373"/>
    <x v="1"/>
    <s v="Poland"/>
    <s v="C74155"/>
    <n v="18"/>
    <s v="M"/>
    <x v="9"/>
    <x v="3"/>
    <s v="Y"/>
    <s v="Success"/>
    <x v="0"/>
    <x v="0"/>
    <x v="0"/>
  </r>
  <r>
    <s v="TX1002267"/>
    <x v="38"/>
    <x v="2"/>
    <d v="1899-12-30T13:27:12"/>
    <n v="119.8"/>
    <s v="USD"/>
    <s v="M1076"/>
    <x v="9"/>
    <s v="United Kingdom"/>
    <s v="C61530"/>
    <n v="45"/>
    <s v="F"/>
    <x v="6"/>
    <x v="3"/>
    <s v="Y"/>
    <s v="Success"/>
    <x v="0"/>
    <x v="0"/>
    <x v="2"/>
  </r>
  <r>
    <s v="TX1001882"/>
    <x v="53"/>
    <x v="5"/>
    <d v="1899-12-30T04:42:06"/>
    <n v="119.75"/>
    <s v="USD"/>
    <s v="M1946"/>
    <x v="9"/>
    <s v="India"/>
    <s v="C64685"/>
    <n v="73"/>
    <s v="M"/>
    <x v="2"/>
    <x v="3"/>
    <s v="Y"/>
    <s v="Success"/>
    <x v="0"/>
    <x v="0"/>
    <x v="3"/>
  </r>
  <r>
    <s v="TX1002182"/>
    <x v="112"/>
    <x v="2"/>
    <d v="1899-12-30T15:40:24"/>
    <n v="119.56"/>
    <s v="USD"/>
    <s v="M1602"/>
    <x v="2"/>
    <s v="France"/>
    <s v="C87410"/>
    <n v="32"/>
    <s v="M"/>
    <x v="8"/>
    <x v="2"/>
    <s v="Y"/>
    <s v="Success"/>
    <x v="0"/>
    <x v="0"/>
    <x v="1"/>
  </r>
  <r>
    <s v="TX1001481"/>
    <x v="0"/>
    <x v="0"/>
    <d v="1899-12-30T07:31:32"/>
    <n v="119.53"/>
    <s v="USD"/>
    <s v="M1833"/>
    <x v="0"/>
    <s v="Kenya"/>
    <s v="C85895"/>
    <n v="68"/>
    <s v="F"/>
    <x v="9"/>
    <x v="5"/>
    <s v="Y"/>
    <s v="Success"/>
    <x v="0"/>
    <x v="0"/>
    <x v="3"/>
  </r>
  <r>
    <s v="TX1002685"/>
    <x v="89"/>
    <x v="3"/>
    <d v="1899-12-30T10:45:38"/>
    <n v="119.49"/>
    <s v="USD"/>
    <s v="M1771"/>
    <x v="5"/>
    <s v="Poland"/>
    <s v="C92736"/>
    <n v="32"/>
    <s v="M"/>
    <x v="4"/>
    <x v="3"/>
    <s v="Y"/>
    <s v="Success"/>
    <x v="0"/>
    <x v="0"/>
    <x v="1"/>
  </r>
  <r>
    <s v="TX1000322"/>
    <x v="95"/>
    <x v="1"/>
    <d v="1899-12-30T09:02:20"/>
    <n v="119.44"/>
    <s v="USD"/>
    <s v="M1744"/>
    <x v="3"/>
    <s v="Germany"/>
    <s v="C74933"/>
    <n v="56"/>
    <s v="F"/>
    <x v="6"/>
    <x v="1"/>
    <s v="Y"/>
    <s v="Success"/>
    <x v="0"/>
    <x v="0"/>
    <x v="2"/>
  </r>
  <r>
    <s v="TX1000955"/>
    <x v="16"/>
    <x v="0"/>
    <d v="1899-12-30T00:10:15"/>
    <n v="119.41"/>
    <s v="USD"/>
    <s v="M1790"/>
    <x v="7"/>
    <s v="Spain"/>
    <s v="C74340"/>
    <n v="33"/>
    <s v="Other"/>
    <x v="1"/>
    <x v="1"/>
    <s v="Y"/>
    <s v="Success"/>
    <x v="0"/>
    <x v="0"/>
    <x v="1"/>
  </r>
  <r>
    <s v="TX1000348"/>
    <x v="43"/>
    <x v="1"/>
    <d v="1899-12-30T19:42:24"/>
    <n v="119.33"/>
    <s v="USD"/>
    <s v="M1130"/>
    <x v="8"/>
    <s v="Kenya"/>
    <s v="C95000"/>
    <n v="42"/>
    <s v="Other"/>
    <x v="8"/>
    <x v="1"/>
    <s v="Y"/>
    <s v="Success"/>
    <x v="0"/>
    <x v="0"/>
    <x v="2"/>
  </r>
  <r>
    <s v="TX1001246"/>
    <x v="75"/>
    <x v="0"/>
    <d v="1899-12-30T08:21:03"/>
    <n v="119.27"/>
    <s v="USD"/>
    <s v="M1059"/>
    <x v="1"/>
    <s v="United States"/>
    <s v="C58705"/>
    <n v="31"/>
    <s v="M"/>
    <x v="4"/>
    <x v="1"/>
    <s v="Y"/>
    <s v="Success"/>
    <x v="0"/>
    <x v="0"/>
    <x v="1"/>
  </r>
  <r>
    <s v="TX1002824"/>
    <x v="86"/>
    <x v="3"/>
    <d v="1899-12-30T04:01:38"/>
    <n v="119.21"/>
    <s v="USD"/>
    <s v="M1221"/>
    <x v="3"/>
    <s v="Canada"/>
    <s v="C62374"/>
    <n v="53"/>
    <s v="M"/>
    <x v="6"/>
    <x v="4"/>
    <s v="Y"/>
    <s v="Success"/>
    <x v="0"/>
    <x v="0"/>
    <x v="2"/>
  </r>
  <r>
    <s v="TX1002475"/>
    <x v="19"/>
    <x v="2"/>
    <d v="1899-12-30T08:17:32"/>
    <n v="119.18"/>
    <s v="USD"/>
    <s v="M1615"/>
    <x v="4"/>
    <s v="Canada"/>
    <s v="C77432"/>
    <n v="30"/>
    <s v="M"/>
    <x v="4"/>
    <x v="2"/>
    <s v="Y"/>
    <s v="Success"/>
    <x v="0"/>
    <x v="0"/>
    <x v="1"/>
  </r>
  <r>
    <s v="TX1001828"/>
    <x v="162"/>
    <x v="5"/>
    <d v="1899-12-30T22:42:36"/>
    <n v="119.11"/>
    <s v="USD"/>
    <s v="M1887"/>
    <x v="3"/>
    <s v="Sweden"/>
    <s v="C99539"/>
    <n v="68"/>
    <s v="Other"/>
    <x v="14"/>
    <x v="0"/>
    <s v="Y"/>
    <s v="Success"/>
    <x v="0"/>
    <x v="0"/>
    <x v="3"/>
  </r>
  <r>
    <s v="TX1000204"/>
    <x v="31"/>
    <x v="1"/>
    <d v="1899-12-30T00:51:18"/>
    <n v="119.02"/>
    <s v="USD"/>
    <s v="M1123"/>
    <x v="8"/>
    <s v="United States"/>
    <s v="C99646"/>
    <n v="46"/>
    <s v="M"/>
    <x v="0"/>
    <x v="0"/>
    <s v="Y"/>
    <s v="Success"/>
    <x v="0"/>
    <x v="0"/>
    <x v="2"/>
  </r>
  <r>
    <s v="TX1001555"/>
    <x v="145"/>
    <x v="5"/>
    <d v="1899-12-30T23:59:51"/>
    <n v="118.94"/>
    <s v="USD"/>
    <s v="M1833"/>
    <x v="2"/>
    <s v="Norway"/>
    <s v="C57611"/>
    <n v="54"/>
    <s v="Other"/>
    <x v="0"/>
    <x v="0"/>
    <s v="Y"/>
    <s v="Success"/>
    <x v="0"/>
    <x v="0"/>
    <x v="2"/>
  </r>
  <r>
    <s v="TX1002015"/>
    <x v="115"/>
    <x v="2"/>
    <d v="1899-12-30T05:33:50"/>
    <n v="118.9"/>
    <s v="USD"/>
    <s v="M1595"/>
    <x v="7"/>
    <s v="Netherlands"/>
    <s v="C51138"/>
    <n v="55"/>
    <s v="F"/>
    <x v="1"/>
    <x v="0"/>
    <s v="Y"/>
    <s v="Success"/>
    <x v="0"/>
    <x v="0"/>
    <x v="2"/>
  </r>
  <r>
    <s v="TX1002652"/>
    <x v="41"/>
    <x v="3"/>
    <d v="1899-12-30T12:11:50"/>
    <n v="118.82"/>
    <s v="USD"/>
    <s v="M1195"/>
    <x v="5"/>
    <s v="Australia"/>
    <s v="C73942"/>
    <n v="16"/>
    <s v="F"/>
    <x v="12"/>
    <x v="0"/>
    <s v="Y"/>
    <s v="Success"/>
    <x v="0"/>
    <x v="0"/>
    <x v="0"/>
  </r>
  <r>
    <s v="TX1001505"/>
    <x v="98"/>
    <x v="5"/>
    <d v="1899-12-30T18:05:56"/>
    <n v="118.76"/>
    <s v="USD"/>
    <s v="M1959"/>
    <x v="0"/>
    <s v="India"/>
    <s v="C87695"/>
    <n v="39"/>
    <s v="F"/>
    <x v="12"/>
    <x v="3"/>
    <s v="Y"/>
    <s v="Success"/>
    <x v="1"/>
    <x v="1"/>
    <x v="1"/>
  </r>
  <r>
    <s v="TX1001206"/>
    <x v="81"/>
    <x v="0"/>
    <d v="1899-12-30T02:55:22"/>
    <n v="118.72"/>
    <s v="USD"/>
    <s v="M1082"/>
    <x v="7"/>
    <s v="Canada"/>
    <s v="C56671"/>
    <n v="46"/>
    <s v="F"/>
    <x v="13"/>
    <x v="2"/>
    <s v="Y"/>
    <s v="Success"/>
    <x v="0"/>
    <x v="0"/>
    <x v="2"/>
  </r>
  <r>
    <s v="TX1000946"/>
    <x v="164"/>
    <x v="4"/>
    <d v="1899-12-30T12:04:32"/>
    <n v="118.67"/>
    <s v="USD"/>
    <s v="M1058"/>
    <x v="5"/>
    <s v="Sweden"/>
    <s v="C74282"/>
    <n v="19"/>
    <s v="Other"/>
    <x v="3"/>
    <x v="0"/>
    <s v="Y"/>
    <s v="Success"/>
    <x v="0"/>
    <x v="0"/>
    <x v="0"/>
  </r>
  <r>
    <s v="TX1000962"/>
    <x v="16"/>
    <x v="0"/>
    <d v="1899-12-30T06:32:12"/>
    <n v="118.66"/>
    <s v="USD"/>
    <s v="M1619"/>
    <x v="3"/>
    <s v="France"/>
    <s v="C95378"/>
    <n v="23"/>
    <s v="Other"/>
    <x v="3"/>
    <x v="5"/>
    <s v="Y"/>
    <s v="Success"/>
    <x v="0"/>
    <x v="0"/>
    <x v="0"/>
  </r>
  <r>
    <s v="TX1001487"/>
    <x v="0"/>
    <x v="0"/>
    <d v="1899-12-30T18:27:30"/>
    <n v="118.64"/>
    <s v="USD"/>
    <s v="M1937"/>
    <x v="6"/>
    <s v="Norway"/>
    <s v="C76917"/>
    <n v="42"/>
    <s v="M"/>
    <x v="5"/>
    <x v="2"/>
    <s v="Y"/>
    <s v="Success"/>
    <x v="0"/>
    <x v="0"/>
    <x v="2"/>
  </r>
  <r>
    <s v="TX1000525"/>
    <x v="63"/>
    <x v="4"/>
    <d v="1899-12-30T18:12:10"/>
    <n v="118.57"/>
    <s v="USD"/>
    <s v="M1273"/>
    <x v="3"/>
    <s v="France"/>
    <s v="C77657"/>
    <n v="72"/>
    <s v="M"/>
    <x v="8"/>
    <x v="2"/>
    <s v="Y"/>
    <s v="Success"/>
    <x v="0"/>
    <x v="0"/>
    <x v="3"/>
  </r>
  <r>
    <s v="TX1002039"/>
    <x v="138"/>
    <x v="2"/>
    <d v="1899-12-30T14:11:01"/>
    <n v="118.38"/>
    <s v="USD"/>
    <s v="M1235"/>
    <x v="4"/>
    <s v="Norway"/>
    <s v="C90619"/>
    <n v="68"/>
    <s v="F"/>
    <x v="12"/>
    <x v="2"/>
    <s v="Y"/>
    <s v="Success"/>
    <x v="0"/>
    <x v="0"/>
    <x v="3"/>
  </r>
  <r>
    <s v="TX1000099"/>
    <x v="179"/>
    <x v="1"/>
    <d v="1899-12-30T01:10:28"/>
    <n v="118.17"/>
    <s v="USD"/>
    <s v="M1674"/>
    <x v="2"/>
    <s v="Canada"/>
    <s v="C58823"/>
    <n v="10"/>
    <s v="Other"/>
    <x v="0"/>
    <x v="2"/>
    <s v="Y"/>
    <s v="Success"/>
    <x v="0"/>
    <x v="0"/>
    <x v="0"/>
  </r>
  <r>
    <s v="TX1002383"/>
    <x v="82"/>
    <x v="2"/>
    <d v="1899-12-30T03:52:51"/>
    <n v="118.17"/>
    <s v="USD"/>
    <s v="M1703"/>
    <x v="2"/>
    <s v="United States"/>
    <s v="C95696"/>
    <n v="38"/>
    <s v="Other"/>
    <x v="1"/>
    <x v="1"/>
    <s v="Y"/>
    <s v="Success"/>
    <x v="0"/>
    <x v="0"/>
    <x v="1"/>
  </r>
  <r>
    <s v="TX1002807"/>
    <x v="4"/>
    <x v="3"/>
    <d v="1899-12-30T07:32:05"/>
    <n v="118.01"/>
    <s v="USD"/>
    <s v="M1180"/>
    <x v="7"/>
    <s v="Sweden"/>
    <s v="C57495"/>
    <n v="65"/>
    <s v="M"/>
    <x v="4"/>
    <x v="1"/>
    <s v="N"/>
    <s v="Success"/>
    <x v="0"/>
    <x v="0"/>
    <x v="3"/>
  </r>
  <r>
    <s v="TX1000637"/>
    <x v="178"/>
    <x v="4"/>
    <d v="1899-12-30T09:01:55"/>
    <n v="117.95"/>
    <s v="USD"/>
    <s v="M1484"/>
    <x v="9"/>
    <s v="France"/>
    <s v="C60258"/>
    <n v="71"/>
    <s v="F"/>
    <x v="13"/>
    <x v="5"/>
    <s v="Y"/>
    <s v="Success"/>
    <x v="0"/>
    <x v="0"/>
    <x v="3"/>
  </r>
  <r>
    <s v="TX1001823"/>
    <x v="162"/>
    <x v="5"/>
    <d v="1899-12-30T11:57:08"/>
    <n v="117.85"/>
    <s v="USD"/>
    <s v="M1489"/>
    <x v="9"/>
    <s v="Nigeria"/>
    <s v="C87400"/>
    <n v="37"/>
    <s v="Other"/>
    <x v="4"/>
    <x v="1"/>
    <s v="Y"/>
    <s v="Success"/>
    <x v="0"/>
    <x v="0"/>
    <x v="1"/>
  </r>
  <r>
    <s v="TX1001263"/>
    <x v="76"/>
    <x v="0"/>
    <d v="1899-12-30T20:33:47"/>
    <n v="117.74"/>
    <s v="USD"/>
    <s v="M1742"/>
    <x v="6"/>
    <s v="Norway"/>
    <s v="C57672"/>
    <n v="72"/>
    <s v="F"/>
    <x v="9"/>
    <x v="1"/>
    <s v="N"/>
    <s v="Success"/>
    <x v="0"/>
    <x v="0"/>
    <x v="3"/>
  </r>
  <r>
    <s v="TX1001647"/>
    <x v="143"/>
    <x v="5"/>
    <d v="1899-12-30T20:06:32"/>
    <n v="117.54"/>
    <s v="USD"/>
    <s v="M1808"/>
    <x v="6"/>
    <s v="South Africa"/>
    <s v="C82363"/>
    <n v="57"/>
    <s v="Other"/>
    <x v="4"/>
    <x v="4"/>
    <s v="Y"/>
    <s v="Success"/>
    <x v="0"/>
    <x v="0"/>
    <x v="2"/>
  </r>
  <r>
    <s v="TX1001506"/>
    <x v="98"/>
    <x v="5"/>
    <d v="1899-12-30T18:24:11"/>
    <n v="117.46"/>
    <s v="USD"/>
    <s v="M1730"/>
    <x v="5"/>
    <s v="Netherlands"/>
    <s v="C51995"/>
    <n v="44"/>
    <s v="Other"/>
    <x v="12"/>
    <x v="4"/>
    <s v="Y"/>
    <s v="Success"/>
    <x v="0"/>
    <x v="0"/>
    <x v="2"/>
  </r>
  <r>
    <s v="TX1002430"/>
    <x v="46"/>
    <x v="2"/>
    <d v="1899-12-30T18:31:24"/>
    <n v="117.36"/>
    <s v="USD"/>
    <s v="M1817"/>
    <x v="8"/>
    <s v="Netherlands"/>
    <s v="C56804"/>
    <n v="40"/>
    <s v="M"/>
    <x v="14"/>
    <x v="4"/>
    <s v="Y"/>
    <s v="Success"/>
    <x v="0"/>
    <x v="0"/>
    <x v="2"/>
  </r>
  <r>
    <s v="TX1000360"/>
    <x v="1"/>
    <x v="1"/>
    <d v="1899-12-30T15:07:57"/>
    <n v="117.28"/>
    <s v="USD"/>
    <s v="M1108"/>
    <x v="3"/>
    <s v="Poland"/>
    <s v="C98666"/>
    <n v="74"/>
    <s v="Other"/>
    <x v="9"/>
    <x v="5"/>
    <s v="Y"/>
    <s v="Success"/>
    <x v="0"/>
    <x v="0"/>
    <x v="3"/>
  </r>
  <r>
    <s v="TX1001037"/>
    <x v="22"/>
    <x v="0"/>
    <d v="1899-12-30T15:22:49"/>
    <n v="117.19"/>
    <s v="USD"/>
    <s v="M1621"/>
    <x v="1"/>
    <s v="Australia"/>
    <s v="C81771"/>
    <n v="74"/>
    <s v="F"/>
    <x v="5"/>
    <x v="1"/>
    <s v="Y"/>
    <s v="Success"/>
    <x v="0"/>
    <x v="0"/>
    <x v="3"/>
  </r>
  <r>
    <s v="TX1002096"/>
    <x v="158"/>
    <x v="2"/>
    <d v="1899-12-30T06:54:04"/>
    <n v="117.17"/>
    <s v="USD"/>
    <s v="M1572"/>
    <x v="2"/>
    <s v="Sweden"/>
    <s v="C91732"/>
    <n v="57"/>
    <s v="F"/>
    <x v="2"/>
    <x v="0"/>
    <s v="Y"/>
    <s v="Success"/>
    <x v="0"/>
    <x v="0"/>
    <x v="2"/>
  </r>
  <r>
    <s v="TX1002608"/>
    <x v="173"/>
    <x v="3"/>
    <d v="1899-12-30T20:26:54"/>
    <n v="117.16"/>
    <s v="USD"/>
    <s v="M1724"/>
    <x v="7"/>
    <s v="Sweden"/>
    <s v="C83359"/>
    <n v="25"/>
    <s v="M"/>
    <x v="14"/>
    <x v="5"/>
    <s v="Y"/>
    <s v="Success"/>
    <x v="0"/>
    <x v="0"/>
    <x v="1"/>
  </r>
  <r>
    <s v="TX1000005"/>
    <x v="177"/>
    <x v="1"/>
    <d v="1899-12-30T22:44:58"/>
    <n v="117.16"/>
    <s v="USD"/>
    <s v="M1704"/>
    <x v="9"/>
    <s v="Australia"/>
    <s v="C81102"/>
    <n v="55"/>
    <s v="Other"/>
    <x v="11"/>
    <x v="3"/>
    <s v="Y"/>
    <s v="Success"/>
    <x v="0"/>
    <x v="0"/>
    <x v="2"/>
  </r>
  <r>
    <s v="TX1000847"/>
    <x v="114"/>
    <x v="4"/>
    <d v="1899-12-30T23:22:47"/>
    <n v="116.76"/>
    <s v="USD"/>
    <s v="M1174"/>
    <x v="6"/>
    <s v="Kenya"/>
    <s v="C64207"/>
    <n v="20"/>
    <s v="M"/>
    <x v="3"/>
    <x v="1"/>
    <s v="Y"/>
    <s v="Success"/>
    <x v="0"/>
    <x v="0"/>
    <x v="0"/>
  </r>
  <r>
    <s v="TX1002982"/>
    <x v="116"/>
    <x v="3"/>
    <d v="1899-12-30T09:37:58"/>
    <n v="116.75"/>
    <s v="USD"/>
    <s v="M1576"/>
    <x v="0"/>
    <s v="India"/>
    <s v="C70553"/>
    <n v="40"/>
    <s v="M"/>
    <x v="11"/>
    <x v="0"/>
    <s v="Y"/>
    <s v="Success"/>
    <x v="0"/>
    <x v="0"/>
    <x v="2"/>
  </r>
  <r>
    <s v="TX1001746"/>
    <x v="175"/>
    <x v="5"/>
    <d v="1899-12-30T08:18:57"/>
    <n v="116.59"/>
    <s v="USD"/>
    <s v="M1018"/>
    <x v="3"/>
    <s v="Nigeria"/>
    <s v="C89826"/>
    <n v="41"/>
    <s v="M"/>
    <x v="8"/>
    <x v="2"/>
    <s v="Y"/>
    <s v="Success"/>
    <x v="0"/>
    <x v="0"/>
    <x v="2"/>
  </r>
  <r>
    <s v="TX1001631"/>
    <x v="143"/>
    <x v="5"/>
    <d v="1899-12-30T01:25:06"/>
    <n v="116.44"/>
    <s v="USD"/>
    <s v="M1890"/>
    <x v="3"/>
    <s v="Australia"/>
    <s v="C67449"/>
    <n v="22"/>
    <s v="F"/>
    <x v="1"/>
    <x v="3"/>
    <s v="Y"/>
    <s v="Success"/>
    <x v="0"/>
    <x v="0"/>
    <x v="0"/>
  </r>
  <r>
    <s v="TX1002082"/>
    <x v="140"/>
    <x v="2"/>
    <d v="1899-12-30T11:36:02"/>
    <n v="116.35"/>
    <s v="USD"/>
    <s v="M1017"/>
    <x v="4"/>
    <s v="United States"/>
    <s v="C85883"/>
    <n v="62"/>
    <s v="Other"/>
    <x v="13"/>
    <x v="2"/>
    <s v="Y"/>
    <s v="Success"/>
    <x v="0"/>
    <x v="0"/>
    <x v="3"/>
  </r>
  <r>
    <s v="TX1002783"/>
    <x v="101"/>
    <x v="3"/>
    <d v="1899-12-30T05:10:01"/>
    <n v="116.26"/>
    <s v="USD"/>
    <s v="M1344"/>
    <x v="0"/>
    <s v="Poland"/>
    <s v="C83513"/>
    <n v="49"/>
    <s v="M"/>
    <x v="5"/>
    <x v="4"/>
    <s v="Y"/>
    <s v="Success"/>
    <x v="0"/>
    <x v="0"/>
    <x v="2"/>
  </r>
  <r>
    <s v="TX1001954"/>
    <x v="78"/>
    <x v="5"/>
    <d v="1899-12-30T09:53:02"/>
    <n v="116.21"/>
    <s v="USD"/>
    <s v="M1388"/>
    <x v="8"/>
    <s v="United States"/>
    <s v="C57936"/>
    <n v="40"/>
    <s v="Other"/>
    <x v="10"/>
    <x v="4"/>
    <s v="Y"/>
    <s v="Success"/>
    <x v="0"/>
    <x v="0"/>
    <x v="2"/>
  </r>
  <r>
    <s v="TX1001843"/>
    <x v="15"/>
    <x v="5"/>
    <d v="1899-12-30T00:02:16"/>
    <n v="116.13"/>
    <s v="USD"/>
    <s v="M1010"/>
    <x v="2"/>
    <s v="Spain"/>
    <s v="C60161"/>
    <n v="45"/>
    <s v="M"/>
    <x v="2"/>
    <x v="3"/>
    <s v="Y"/>
    <s v="Success"/>
    <x v="0"/>
    <x v="0"/>
    <x v="2"/>
  </r>
  <r>
    <s v="TX1001888"/>
    <x v="53"/>
    <x v="5"/>
    <d v="1899-12-30T14:59:14"/>
    <n v="116.08"/>
    <s v="USD"/>
    <s v="M1588"/>
    <x v="7"/>
    <s v="Netherlands"/>
    <s v="C67442"/>
    <n v="54"/>
    <s v="F"/>
    <x v="1"/>
    <x v="4"/>
    <s v="Y"/>
    <s v="Success"/>
    <x v="0"/>
    <x v="0"/>
    <x v="2"/>
  </r>
  <r>
    <s v="TX1001753"/>
    <x v="175"/>
    <x v="5"/>
    <d v="1899-12-30T16:02:12"/>
    <n v="115.91"/>
    <s v="USD"/>
    <s v="M1900"/>
    <x v="4"/>
    <s v="Kenya"/>
    <s v="C91823"/>
    <n v="61"/>
    <s v="Other"/>
    <x v="4"/>
    <x v="1"/>
    <s v="Y"/>
    <s v="Success"/>
    <x v="0"/>
    <x v="0"/>
    <x v="3"/>
  </r>
  <r>
    <s v="TX1000335"/>
    <x v="43"/>
    <x v="1"/>
    <d v="1899-12-30T02:03:45"/>
    <n v="115.81"/>
    <s v="USD"/>
    <s v="M1063"/>
    <x v="2"/>
    <s v="Canada"/>
    <s v="C62442"/>
    <n v="41"/>
    <s v="Other"/>
    <x v="0"/>
    <x v="5"/>
    <s v="Y"/>
    <s v="Success"/>
    <x v="0"/>
    <x v="0"/>
    <x v="2"/>
  </r>
  <r>
    <s v="TX1000672"/>
    <x v="17"/>
    <x v="4"/>
    <d v="1899-12-30T23:37:53"/>
    <n v="115.79"/>
    <s v="USD"/>
    <s v="M1040"/>
    <x v="1"/>
    <s v="Kenya"/>
    <s v="C76655"/>
    <n v="53"/>
    <s v="F"/>
    <x v="7"/>
    <x v="1"/>
    <s v="Y"/>
    <s v="Success"/>
    <x v="0"/>
    <x v="0"/>
    <x v="2"/>
  </r>
  <r>
    <s v="TX1001453"/>
    <x v="61"/>
    <x v="0"/>
    <d v="1899-12-30T00:17:40"/>
    <n v="115.72"/>
    <s v="USD"/>
    <s v="M1138"/>
    <x v="9"/>
    <s v="Australia"/>
    <s v="C67379"/>
    <n v="31"/>
    <s v="F"/>
    <x v="9"/>
    <x v="3"/>
    <s v="Y"/>
    <s v="Success"/>
    <x v="0"/>
    <x v="0"/>
    <x v="1"/>
  </r>
  <r>
    <s v="TX1002966"/>
    <x v="141"/>
    <x v="3"/>
    <d v="1899-12-30T06:06:23"/>
    <n v="115.71"/>
    <s v="USD"/>
    <s v="M1716"/>
    <x v="6"/>
    <s v="Canada"/>
    <s v="C54609"/>
    <n v="43"/>
    <s v="M"/>
    <x v="12"/>
    <x v="4"/>
    <s v="Y"/>
    <s v="Success"/>
    <x v="0"/>
    <x v="0"/>
    <x v="2"/>
  </r>
  <r>
    <s v="TX1000019"/>
    <x v="171"/>
    <x v="1"/>
    <d v="1899-12-30T01:09:46"/>
    <n v="115.65"/>
    <s v="USD"/>
    <s v="M1838"/>
    <x v="5"/>
    <s v="United Kingdom"/>
    <s v="C69776"/>
    <n v="44"/>
    <s v="F"/>
    <x v="12"/>
    <x v="4"/>
    <s v="Y"/>
    <s v="Success"/>
    <x v="0"/>
    <x v="0"/>
    <x v="2"/>
  </r>
  <r>
    <s v="TX1002049"/>
    <x v="138"/>
    <x v="2"/>
    <d v="1899-12-30T23:12:32"/>
    <n v="115.57"/>
    <s v="USD"/>
    <s v="M1821"/>
    <x v="2"/>
    <s v="Poland"/>
    <s v="C61360"/>
    <n v="71"/>
    <s v="Other"/>
    <x v="0"/>
    <x v="2"/>
    <s v="Y"/>
    <s v="Success"/>
    <x v="0"/>
    <x v="0"/>
    <x v="3"/>
  </r>
  <r>
    <s v="TX1002737"/>
    <x v="136"/>
    <x v="3"/>
    <d v="1899-12-30T04:40:45"/>
    <n v="115.55"/>
    <s v="USD"/>
    <s v="M1410"/>
    <x v="6"/>
    <s v="Kenya"/>
    <s v="C52530"/>
    <n v="29"/>
    <s v="M"/>
    <x v="8"/>
    <x v="5"/>
    <s v="Y"/>
    <s v="Success"/>
    <x v="0"/>
    <x v="0"/>
    <x v="1"/>
  </r>
  <r>
    <s v="TX1001285"/>
    <x v="125"/>
    <x v="0"/>
    <d v="1899-12-30T01:27:07"/>
    <n v="115.47"/>
    <s v="USD"/>
    <s v="M1985"/>
    <x v="5"/>
    <s v="Australia"/>
    <s v="C77345"/>
    <n v="48"/>
    <s v="M"/>
    <x v="2"/>
    <x v="5"/>
    <s v="Y"/>
    <s v="Success"/>
    <x v="0"/>
    <x v="0"/>
    <x v="2"/>
  </r>
  <r>
    <s v="TX1001543"/>
    <x v="83"/>
    <x v="5"/>
    <d v="1899-12-30T19:40:52"/>
    <n v="115.46"/>
    <s v="USD"/>
    <s v="M1244"/>
    <x v="9"/>
    <s v="United Kingdom"/>
    <s v="C91098"/>
    <n v="31"/>
    <s v="M"/>
    <x v="2"/>
    <x v="3"/>
    <s v="Y"/>
    <s v="Success"/>
    <x v="0"/>
    <x v="0"/>
    <x v="1"/>
  </r>
  <r>
    <s v="TX1000563"/>
    <x v="172"/>
    <x v="4"/>
    <d v="1899-12-30T13:09:09"/>
    <n v="115.44"/>
    <s v="USD"/>
    <s v="M1324"/>
    <x v="1"/>
    <s v="United Kingdom"/>
    <s v="C98396"/>
    <n v="66"/>
    <s v="Other"/>
    <x v="3"/>
    <x v="3"/>
    <s v="Y"/>
    <s v="Success"/>
    <x v="1"/>
    <x v="1"/>
    <x v="3"/>
  </r>
  <r>
    <s v="TX1001228"/>
    <x v="128"/>
    <x v="0"/>
    <d v="1899-12-30T00:20:42"/>
    <n v="115.33"/>
    <s v="USD"/>
    <s v="M1150"/>
    <x v="7"/>
    <s v="United Kingdom"/>
    <s v="C73423"/>
    <n v="75"/>
    <s v="F"/>
    <x v="14"/>
    <x v="3"/>
    <s v="Y"/>
    <s v="Success"/>
    <x v="0"/>
    <x v="0"/>
    <x v="3"/>
  </r>
  <r>
    <s v="TX1000542"/>
    <x v="105"/>
    <x v="4"/>
    <d v="1899-12-30T19:46:14"/>
    <n v="115.28"/>
    <s v="USD"/>
    <s v="M1633"/>
    <x v="1"/>
    <s v="South Africa"/>
    <s v="C88735"/>
    <n v="53"/>
    <s v="F"/>
    <x v="3"/>
    <x v="3"/>
    <s v="Y"/>
    <s v="Success"/>
    <x v="0"/>
    <x v="0"/>
    <x v="2"/>
  </r>
  <r>
    <s v="TX1001961"/>
    <x v="78"/>
    <x v="5"/>
    <d v="1899-12-30T18:49:36"/>
    <n v="115.25"/>
    <s v="USD"/>
    <s v="M1681"/>
    <x v="6"/>
    <s v="Poland"/>
    <s v="C69579"/>
    <n v="22"/>
    <s v="Other"/>
    <x v="9"/>
    <x v="2"/>
    <s v="Y"/>
    <s v="Success"/>
    <x v="0"/>
    <x v="0"/>
    <x v="0"/>
  </r>
  <r>
    <s v="TX1001309"/>
    <x v="48"/>
    <x v="0"/>
    <d v="1899-12-30T11:25:37"/>
    <n v="115.18"/>
    <s v="USD"/>
    <s v="M1087"/>
    <x v="9"/>
    <s v="Germany"/>
    <s v="C79766"/>
    <n v="54"/>
    <s v="Other"/>
    <x v="6"/>
    <x v="4"/>
    <s v="Y"/>
    <s v="Success"/>
    <x v="0"/>
    <x v="0"/>
    <x v="2"/>
  </r>
  <r>
    <s v="TX1000129"/>
    <x v="5"/>
    <x v="1"/>
    <d v="1899-12-30T12:04:34"/>
    <n v="115.17"/>
    <s v="USD"/>
    <s v="M1764"/>
    <x v="6"/>
    <s v="South Africa"/>
    <s v="C98307"/>
    <n v="31"/>
    <s v="M"/>
    <x v="11"/>
    <x v="5"/>
    <s v="Y"/>
    <s v="Success"/>
    <x v="0"/>
    <x v="0"/>
    <x v="1"/>
  </r>
  <r>
    <s v="TX1000697"/>
    <x v="62"/>
    <x v="4"/>
    <d v="1899-12-30T04:23:33"/>
    <n v="115.11"/>
    <s v="USD"/>
    <s v="M1124"/>
    <x v="6"/>
    <s v="United Kingdom"/>
    <s v="C79326"/>
    <n v="34"/>
    <s v="Other"/>
    <x v="1"/>
    <x v="3"/>
    <s v="Y"/>
    <s v="Success"/>
    <x v="0"/>
    <x v="0"/>
    <x v="1"/>
  </r>
  <r>
    <s v="TX1002656"/>
    <x v="41"/>
    <x v="3"/>
    <d v="1899-12-30T20:46:20"/>
    <n v="115.1"/>
    <s v="USD"/>
    <s v="M1009"/>
    <x v="4"/>
    <s v="Germany"/>
    <s v="C94533"/>
    <n v="39"/>
    <s v="Other"/>
    <x v="4"/>
    <x v="3"/>
    <s v="Y"/>
    <s v="Success"/>
    <x v="0"/>
    <x v="0"/>
    <x v="1"/>
  </r>
  <r>
    <s v="TX1000006"/>
    <x v="146"/>
    <x v="1"/>
    <d v="1899-12-30T00:39:34"/>
    <n v="114.94"/>
    <s v="USD"/>
    <s v="M1451"/>
    <x v="5"/>
    <s v="Nigeria"/>
    <s v="C59924"/>
    <n v="57"/>
    <s v="F"/>
    <x v="9"/>
    <x v="3"/>
    <s v="Y"/>
    <s v="Success"/>
    <x v="0"/>
    <x v="0"/>
    <x v="2"/>
  </r>
  <r>
    <s v="TX1000080"/>
    <x v="44"/>
    <x v="1"/>
    <d v="1899-12-30T15:05:58"/>
    <n v="114.88"/>
    <s v="USD"/>
    <s v="M1662"/>
    <x v="6"/>
    <s v="Poland"/>
    <s v="C63548"/>
    <n v="67"/>
    <s v="Other"/>
    <x v="1"/>
    <x v="2"/>
    <s v="Y"/>
    <s v="Success"/>
    <x v="0"/>
    <x v="0"/>
    <x v="3"/>
  </r>
  <r>
    <s v="TX1001347"/>
    <x v="74"/>
    <x v="0"/>
    <d v="1899-12-30T17:12:53"/>
    <n v="114.88"/>
    <s v="USD"/>
    <s v="M1905"/>
    <x v="2"/>
    <s v="United States"/>
    <s v="C80575"/>
    <n v="43"/>
    <s v="M"/>
    <x v="0"/>
    <x v="5"/>
    <s v="Y"/>
    <s v="Success"/>
    <x v="0"/>
    <x v="0"/>
    <x v="2"/>
  </r>
  <r>
    <s v="TX1001143"/>
    <x v="165"/>
    <x v="0"/>
    <d v="1899-12-30T13:14:24"/>
    <n v="114.76"/>
    <s v="USD"/>
    <s v="M1980"/>
    <x v="5"/>
    <s v="Norway"/>
    <s v="C75983"/>
    <n v="23"/>
    <s v="Other"/>
    <x v="6"/>
    <x v="1"/>
    <s v="Y"/>
    <s v="Success"/>
    <x v="1"/>
    <x v="1"/>
    <x v="0"/>
  </r>
  <r>
    <s v="TX1001079"/>
    <x v="59"/>
    <x v="0"/>
    <d v="1899-12-30T05:36:35"/>
    <n v="114.67"/>
    <s v="USD"/>
    <s v="M1794"/>
    <x v="6"/>
    <s v="Australia"/>
    <s v="C89428"/>
    <n v="23"/>
    <s v="M"/>
    <x v="11"/>
    <x v="5"/>
    <s v="Y"/>
    <s v="Success"/>
    <x v="0"/>
    <x v="0"/>
    <x v="0"/>
  </r>
  <r>
    <s v="TX1001574"/>
    <x v="161"/>
    <x v="5"/>
    <d v="1899-12-30T06:42:17"/>
    <n v="114.67"/>
    <s v="USD"/>
    <s v="M1738"/>
    <x v="1"/>
    <s v="Sweden"/>
    <s v="C59616"/>
    <n v="40"/>
    <s v="F"/>
    <x v="4"/>
    <x v="3"/>
    <s v="N"/>
    <s v="Success"/>
    <x v="0"/>
    <x v="0"/>
    <x v="2"/>
  </r>
  <r>
    <s v="TX1001446"/>
    <x v="92"/>
    <x v="0"/>
    <d v="1899-12-30T18:41:02"/>
    <n v="114.56"/>
    <s v="USD"/>
    <s v="M1287"/>
    <x v="4"/>
    <s v="Sweden"/>
    <s v="C89862"/>
    <n v="37"/>
    <s v="M"/>
    <x v="2"/>
    <x v="1"/>
    <s v="Y"/>
    <s v="Success"/>
    <x v="0"/>
    <x v="0"/>
    <x v="1"/>
  </r>
  <r>
    <s v="TX1000003"/>
    <x v="177"/>
    <x v="1"/>
    <d v="1899-12-30T19:59:42"/>
    <n v="114.49"/>
    <s v="USD"/>
    <s v="M1566"/>
    <x v="8"/>
    <s v="India"/>
    <s v="C75319"/>
    <n v="57"/>
    <s v="Other"/>
    <x v="7"/>
    <x v="4"/>
    <s v="Y"/>
    <s v="Success"/>
    <x v="0"/>
    <x v="0"/>
    <x v="2"/>
  </r>
  <r>
    <s v="TX1001299"/>
    <x v="125"/>
    <x v="0"/>
    <d v="1899-12-30T20:32:04"/>
    <n v="114.37"/>
    <s v="USD"/>
    <s v="M1261"/>
    <x v="5"/>
    <s v="Germany"/>
    <s v="C89817"/>
    <n v="34"/>
    <s v="F"/>
    <x v="10"/>
    <x v="1"/>
    <s v="Y"/>
    <s v="Success"/>
    <x v="0"/>
    <x v="0"/>
    <x v="1"/>
  </r>
  <r>
    <s v="TX1002692"/>
    <x v="89"/>
    <x v="3"/>
    <d v="1899-12-30T15:56:10"/>
    <n v="114.33"/>
    <s v="USD"/>
    <s v="M1616"/>
    <x v="6"/>
    <s v="Sweden"/>
    <s v="C82751"/>
    <n v="32"/>
    <s v="F"/>
    <x v="5"/>
    <x v="2"/>
    <s v="Y"/>
    <s v="Success"/>
    <x v="0"/>
    <x v="0"/>
    <x v="1"/>
  </r>
  <r>
    <s v="TX1000584"/>
    <x v="36"/>
    <x v="4"/>
    <d v="1899-12-30T22:10:54"/>
    <n v="114.14"/>
    <s v="USD"/>
    <s v="M1734"/>
    <x v="3"/>
    <s v="South Africa"/>
    <s v="C54186"/>
    <n v="28"/>
    <s v="Other"/>
    <x v="11"/>
    <x v="4"/>
    <s v="Y"/>
    <s v="Success"/>
    <x v="0"/>
    <x v="0"/>
    <x v="1"/>
  </r>
  <r>
    <s v="TX1000659"/>
    <x v="17"/>
    <x v="4"/>
    <d v="1899-12-30T02:54:53"/>
    <n v="114.02"/>
    <s v="USD"/>
    <s v="M1198"/>
    <x v="3"/>
    <s v="India"/>
    <s v="C98012"/>
    <n v="69"/>
    <s v="F"/>
    <x v="7"/>
    <x v="5"/>
    <s v="Y"/>
    <s v="Success"/>
    <x v="0"/>
    <x v="0"/>
    <x v="3"/>
  </r>
  <r>
    <s v="TX1000012"/>
    <x v="146"/>
    <x v="1"/>
    <d v="1899-12-30T14:32:43"/>
    <n v="113.99"/>
    <s v="USD"/>
    <s v="M1876"/>
    <x v="4"/>
    <s v="Norway"/>
    <s v="C78029"/>
    <n v="29"/>
    <s v="M"/>
    <x v="10"/>
    <x v="1"/>
    <s v="Y"/>
    <s v="Success"/>
    <x v="0"/>
    <x v="0"/>
    <x v="1"/>
  </r>
  <r>
    <s v="TX1000922"/>
    <x v="68"/>
    <x v="4"/>
    <d v="1899-12-30T18:40:20"/>
    <n v="113.99"/>
    <s v="USD"/>
    <s v="M1070"/>
    <x v="5"/>
    <s v="India"/>
    <s v="C58198"/>
    <n v="45"/>
    <s v="F"/>
    <x v="3"/>
    <x v="3"/>
    <s v="Y"/>
    <s v="Success"/>
    <x v="0"/>
    <x v="0"/>
    <x v="2"/>
  </r>
  <r>
    <s v="TX1002504"/>
    <x v="28"/>
    <x v="2"/>
    <d v="1899-12-30T18:38:03"/>
    <n v="113.98"/>
    <s v="USD"/>
    <s v="M1059"/>
    <x v="4"/>
    <s v="Canada"/>
    <s v="C84789"/>
    <n v="45"/>
    <s v="M"/>
    <x v="5"/>
    <x v="2"/>
    <s v="Y"/>
    <s v="Success"/>
    <x v="0"/>
    <x v="0"/>
    <x v="2"/>
  </r>
  <r>
    <s v="TX1001250"/>
    <x v="76"/>
    <x v="0"/>
    <d v="1899-12-30T06:45:56"/>
    <n v="113.95"/>
    <s v="USD"/>
    <s v="M1829"/>
    <x v="2"/>
    <s v="Norway"/>
    <s v="C70062"/>
    <n v="34"/>
    <s v="Other"/>
    <x v="14"/>
    <x v="1"/>
    <s v="Y"/>
    <s v="Success"/>
    <x v="0"/>
    <x v="0"/>
    <x v="1"/>
  </r>
  <r>
    <s v="TX1002364"/>
    <x v="77"/>
    <x v="2"/>
    <d v="1899-12-30T14:54:07"/>
    <n v="113.88"/>
    <s v="USD"/>
    <s v="M1055"/>
    <x v="8"/>
    <s v="Sweden"/>
    <s v="C70797"/>
    <n v="43"/>
    <s v="M"/>
    <x v="5"/>
    <x v="3"/>
    <s v="Y"/>
    <s v="Success"/>
    <x v="0"/>
    <x v="0"/>
    <x v="2"/>
  </r>
  <r>
    <s v="TX1002337"/>
    <x v="14"/>
    <x v="2"/>
    <d v="1899-12-30T00:29:31"/>
    <n v="113.61"/>
    <s v="USD"/>
    <s v="M1354"/>
    <x v="1"/>
    <s v="Netherlands"/>
    <s v="C90628"/>
    <n v="65"/>
    <s v="F"/>
    <x v="7"/>
    <x v="5"/>
    <s v="Y"/>
    <s v="Success"/>
    <x v="0"/>
    <x v="0"/>
    <x v="3"/>
  </r>
  <r>
    <s v="TX1000027"/>
    <x v="171"/>
    <x v="1"/>
    <d v="1899-12-30T23:40:04"/>
    <n v="113.61"/>
    <s v="USD"/>
    <s v="M1540"/>
    <x v="9"/>
    <s v="United Kingdom"/>
    <s v="C63855"/>
    <n v="35"/>
    <s v="M"/>
    <x v="0"/>
    <x v="4"/>
    <s v="Y"/>
    <s v="Success"/>
    <x v="0"/>
    <x v="0"/>
    <x v="1"/>
  </r>
  <r>
    <s v="TX1002912"/>
    <x v="96"/>
    <x v="3"/>
    <d v="1899-12-30T02:15:43"/>
    <n v="113.59"/>
    <s v="USD"/>
    <s v="M1015"/>
    <x v="9"/>
    <s v="Australia"/>
    <s v="C81243"/>
    <n v="34"/>
    <s v="M"/>
    <x v="4"/>
    <x v="3"/>
    <s v="Y"/>
    <s v="Success"/>
    <x v="0"/>
    <x v="0"/>
    <x v="1"/>
  </r>
  <r>
    <s v="TX1002147"/>
    <x v="135"/>
    <x v="2"/>
    <d v="1899-12-30T23:37:03"/>
    <n v="113.54"/>
    <s v="USD"/>
    <s v="M1479"/>
    <x v="3"/>
    <s v="Norway"/>
    <s v="C67766"/>
    <n v="49"/>
    <s v="Other"/>
    <x v="3"/>
    <x v="5"/>
    <s v="Y"/>
    <s v="Success"/>
    <x v="0"/>
    <x v="0"/>
    <x v="2"/>
  </r>
  <r>
    <s v="TX1000801"/>
    <x v="110"/>
    <x v="4"/>
    <d v="1899-12-30T23:47:51"/>
    <n v="113.54"/>
    <s v="USD"/>
    <s v="M1515"/>
    <x v="4"/>
    <s v="United Kingdom"/>
    <s v="C85096"/>
    <n v="55"/>
    <s v="F"/>
    <x v="7"/>
    <x v="3"/>
    <s v="Y"/>
    <s v="Success"/>
    <x v="0"/>
    <x v="0"/>
    <x v="2"/>
  </r>
  <r>
    <s v="TX1000463"/>
    <x v="25"/>
    <x v="1"/>
    <d v="1899-12-30T12:31:03"/>
    <n v="113.5"/>
    <s v="USD"/>
    <s v="M1706"/>
    <x v="6"/>
    <s v="Sweden"/>
    <s v="C86858"/>
    <n v="59"/>
    <s v="M"/>
    <x v="2"/>
    <x v="2"/>
    <s v="Y"/>
    <s v="Success"/>
    <x v="0"/>
    <x v="0"/>
    <x v="2"/>
  </r>
  <r>
    <s v="TX1002512"/>
    <x v="9"/>
    <x v="2"/>
    <d v="1899-12-30T06:16:51"/>
    <n v="113.43"/>
    <s v="USD"/>
    <s v="M1484"/>
    <x v="2"/>
    <s v="United Kingdom"/>
    <s v="C55178"/>
    <n v="28"/>
    <s v="Other"/>
    <x v="14"/>
    <x v="2"/>
    <s v="Y"/>
    <s v="Success"/>
    <x v="0"/>
    <x v="0"/>
    <x v="1"/>
  </r>
  <r>
    <s v="TX1002561"/>
    <x v="52"/>
    <x v="3"/>
    <d v="1899-12-30T06:07:12"/>
    <n v="113.38"/>
    <s v="USD"/>
    <s v="M1940"/>
    <x v="1"/>
    <s v="Canada"/>
    <s v="C56946"/>
    <n v="53"/>
    <s v="Other"/>
    <x v="8"/>
    <x v="4"/>
    <s v="Y"/>
    <s v="Success"/>
    <x v="0"/>
    <x v="0"/>
    <x v="2"/>
  </r>
  <r>
    <s v="TX1000746"/>
    <x v="111"/>
    <x v="4"/>
    <d v="1899-12-30T23:18:38"/>
    <n v="113.12"/>
    <s v="USD"/>
    <s v="M1412"/>
    <x v="7"/>
    <s v="Sweden"/>
    <s v="C92464"/>
    <n v="49"/>
    <s v="Other"/>
    <x v="9"/>
    <x v="0"/>
    <s v="Y"/>
    <s v="Success"/>
    <x v="0"/>
    <x v="0"/>
    <x v="2"/>
  </r>
  <r>
    <s v="TX1002423"/>
    <x v="46"/>
    <x v="2"/>
    <d v="1899-12-30T12:53:17"/>
    <n v="112.96"/>
    <s v="USD"/>
    <s v="M1035"/>
    <x v="5"/>
    <s v="South Africa"/>
    <s v="C55430"/>
    <n v="53"/>
    <s v="M"/>
    <x v="2"/>
    <x v="1"/>
    <s v="Y"/>
    <s v="Success"/>
    <x v="0"/>
    <x v="0"/>
    <x v="2"/>
  </r>
  <r>
    <s v="TX1000608"/>
    <x v="163"/>
    <x v="4"/>
    <d v="1899-12-30T20:50:04"/>
    <n v="112.78"/>
    <s v="USD"/>
    <s v="M1791"/>
    <x v="9"/>
    <s v="France"/>
    <s v="C68178"/>
    <n v="39"/>
    <s v="F"/>
    <x v="9"/>
    <x v="0"/>
    <s v="Y"/>
    <s v="Success"/>
    <x v="0"/>
    <x v="0"/>
    <x v="1"/>
  </r>
  <r>
    <s v="TX1000738"/>
    <x v="111"/>
    <x v="4"/>
    <d v="1899-12-30T15:40:32"/>
    <n v="112.69"/>
    <s v="USD"/>
    <s v="M1687"/>
    <x v="6"/>
    <s v="Australia"/>
    <s v="C76383"/>
    <n v="34"/>
    <s v="F"/>
    <x v="0"/>
    <x v="2"/>
    <s v="Y"/>
    <s v="Success"/>
    <x v="0"/>
    <x v="0"/>
    <x v="1"/>
  </r>
  <r>
    <s v="TX1000160"/>
    <x v="42"/>
    <x v="1"/>
    <d v="1899-12-30T13:49:53"/>
    <n v="112.58"/>
    <s v="USD"/>
    <s v="M1944"/>
    <x v="0"/>
    <s v="Germany"/>
    <s v="C71860"/>
    <n v="61"/>
    <s v="F"/>
    <x v="2"/>
    <x v="3"/>
    <s v="Y"/>
    <s v="Success"/>
    <x v="0"/>
    <x v="0"/>
    <x v="3"/>
  </r>
  <r>
    <s v="TX1000134"/>
    <x v="30"/>
    <x v="1"/>
    <d v="1899-12-30T04:36:53"/>
    <n v="112.51"/>
    <s v="USD"/>
    <s v="M1020"/>
    <x v="4"/>
    <s v="India"/>
    <s v="C73009"/>
    <n v="54"/>
    <s v="Other"/>
    <x v="14"/>
    <x v="0"/>
    <s v="Y"/>
    <s v="Success"/>
    <x v="0"/>
    <x v="0"/>
    <x v="2"/>
  </r>
  <r>
    <s v="TX1001764"/>
    <x v="72"/>
    <x v="5"/>
    <d v="1899-12-30T11:48:02"/>
    <n v="112.46"/>
    <s v="USD"/>
    <s v="M1340"/>
    <x v="5"/>
    <s v="United States"/>
    <s v="C76788"/>
    <n v="65"/>
    <s v="F"/>
    <x v="14"/>
    <x v="1"/>
    <s v="Y"/>
    <s v="Success"/>
    <x v="0"/>
    <x v="0"/>
    <x v="3"/>
  </r>
  <r>
    <s v="TX1000254"/>
    <x v="152"/>
    <x v="1"/>
    <d v="1899-12-30T08:31:53"/>
    <n v="112.35"/>
    <s v="USD"/>
    <s v="M1515"/>
    <x v="1"/>
    <s v="Spain"/>
    <s v="C72228"/>
    <n v="51"/>
    <s v="F"/>
    <x v="5"/>
    <x v="1"/>
    <s v="Y"/>
    <s v="Success"/>
    <x v="0"/>
    <x v="0"/>
    <x v="2"/>
  </r>
  <r>
    <s v="TX1001575"/>
    <x v="161"/>
    <x v="5"/>
    <d v="1899-12-30T08:01:08"/>
    <n v="112.3"/>
    <s v="USD"/>
    <s v="M1567"/>
    <x v="1"/>
    <s v="South Africa"/>
    <s v="C77755"/>
    <n v="22"/>
    <s v="M"/>
    <x v="3"/>
    <x v="2"/>
    <s v="Y"/>
    <s v="Success"/>
    <x v="0"/>
    <x v="0"/>
    <x v="0"/>
  </r>
  <r>
    <s v="TX1000146"/>
    <x v="30"/>
    <x v="1"/>
    <d v="1899-12-30T16:44:44"/>
    <n v="112.25"/>
    <s v="USD"/>
    <s v="M1580"/>
    <x v="3"/>
    <s v="Canada"/>
    <s v="C72784"/>
    <n v="56"/>
    <s v="Other"/>
    <x v="5"/>
    <x v="4"/>
    <s v="Y"/>
    <s v="Success"/>
    <x v="0"/>
    <x v="0"/>
    <x v="2"/>
  </r>
  <r>
    <s v="TX1000214"/>
    <x v="31"/>
    <x v="1"/>
    <d v="1899-12-30T14:46:48"/>
    <n v="112.2"/>
    <s v="USD"/>
    <s v="M1726"/>
    <x v="6"/>
    <s v="United States"/>
    <s v="C71949"/>
    <n v="66"/>
    <s v="Other"/>
    <x v="9"/>
    <x v="3"/>
    <s v="Y"/>
    <s v="Success"/>
    <x v="0"/>
    <x v="0"/>
    <x v="3"/>
  </r>
  <r>
    <s v="TX1001502"/>
    <x v="98"/>
    <x v="5"/>
    <d v="1899-12-30T16:20:53"/>
    <n v="112.13"/>
    <s v="USD"/>
    <s v="M1299"/>
    <x v="3"/>
    <s v="United Kingdom"/>
    <s v="C55137"/>
    <n v="66"/>
    <s v="Other"/>
    <x v="9"/>
    <x v="2"/>
    <s v="Y"/>
    <s v="Success"/>
    <x v="0"/>
    <x v="0"/>
    <x v="3"/>
  </r>
  <r>
    <s v="TX1001871"/>
    <x v="117"/>
    <x v="5"/>
    <d v="1899-12-30T12:34:14"/>
    <n v="111.99"/>
    <s v="USD"/>
    <s v="M1329"/>
    <x v="1"/>
    <s v="Kenya"/>
    <s v="C99603"/>
    <n v="71"/>
    <s v="M"/>
    <x v="11"/>
    <x v="2"/>
    <s v="Y"/>
    <s v="Success"/>
    <x v="0"/>
    <x v="0"/>
    <x v="3"/>
  </r>
  <r>
    <s v="TX1002100"/>
    <x v="158"/>
    <x v="2"/>
    <d v="1899-12-30T14:22:47"/>
    <n v="111.93"/>
    <s v="USD"/>
    <s v="M1821"/>
    <x v="9"/>
    <s v="India"/>
    <s v="C87345"/>
    <n v="66"/>
    <s v="Other"/>
    <x v="14"/>
    <x v="1"/>
    <s v="Y"/>
    <s v="Success"/>
    <x v="0"/>
    <x v="0"/>
    <x v="3"/>
  </r>
  <r>
    <s v="TX1001641"/>
    <x v="143"/>
    <x v="5"/>
    <d v="1899-12-30T08:13:12"/>
    <n v="111.84"/>
    <s v="USD"/>
    <s v="M1824"/>
    <x v="4"/>
    <s v="Poland"/>
    <s v="C92363"/>
    <n v="21"/>
    <s v="Other"/>
    <x v="10"/>
    <x v="0"/>
    <s v="Y"/>
    <s v="Success"/>
    <x v="0"/>
    <x v="0"/>
    <x v="0"/>
  </r>
  <r>
    <s v="TX1001895"/>
    <x v="53"/>
    <x v="5"/>
    <d v="1899-12-30T22:52:54"/>
    <n v="111.71"/>
    <s v="USD"/>
    <s v="M1734"/>
    <x v="0"/>
    <s v="Australia"/>
    <s v="C67871"/>
    <n v="59"/>
    <s v="F"/>
    <x v="9"/>
    <x v="2"/>
    <s v="Y"/>
    <s v="Success"/>
    <x v="0"/>
    <x v="0"/>
    <x v="2"/>
  </r>
  <r>
    <s v="TX1001425"/>
    <x v="150"/>
    <x v="0"/>
    <d v="1899-12-30T13:50:37"/>
    <n v="111.43"/>
    <s v="USD"/>
    <s v="M1992"/>
    <x v="3"/>
    <s v="Sweden"/>
    <s v="C60878"/>
    <n v="57"/>
    <s v="F"/>
    <x v="14"/>
    <x v="2"/>
    <s v="Y"/>
    <s v="Success"/>
    <x v="0"/>
    <x v="0"/>
    <x v="2"/>
  </r>
  <r>
    <s v="TX1002457"/>
    <x v="154"/>
    <x v="2"/>
    <d v="1899-12-30T04:29:44"/>
    <n v="111.4"/>
    <s v="USD"/>
    <s v="M1479"/>
    <x v="0"/>
    <s v="Sweden"/>
    <s v="C94984"/>
    <n v="72"/>
    <s v="Other"/>
    <x v="11"/>
    <x v="0"/>
    <s v="Y"/>
    <s v="Success"/>
    <x v="0"/>
    <x v="0"/>
    <x v="3"/>
  </r>
  <r>
    <s v="TX1002468"/>
    <x v="19"/>
    <x v="2"/>
    <d v="1899-12-30T01:59:20"/>
    <n v="111.27"/>
    <s v="USD"/>
    <s v="M1672"/>
    <x v="2"/>
    <s v="Poland"/>
    <s v="C51041"/>
    <n v="45"/>
    <s v="F"/>
    <x v="8"/>
    <x v="4"/>
    <s v="Y"/>
    <s v="Success"/>
    <x v="0"/>
    <x v="0"/>
    <x v="2"/>
  </r>
  <r>
    <s v="TX1000880"/>
    <x v="51"/>
    <x v="4"/>
    <d v="1899-12-30T14:30:10"/>
    <n v="111.27"/>
    <s v="USD"/>
    <s v="M1598"/>
    <x v="8"/>
    <s v="United States"/>
    <s v="C94647"/>
    <n v="24"/>
    <s v="F"/>
    <x v="6"/>
    <x v="0"/>
    <s v="Y"/>
    <s v="Success"/>
    <x v="0"/>
    <x v="0"/>
    <x v="0"/>
  </r>
  <r>
    <s v="TX1001620"/>
    <x v="127"/>
    <x v="5"/>
    <d v="1899-12-30T12:04:24"/>
    <n v="111.25"/>
    <s v="USD"/>
    <s v="M1621"/>
    <x v="3"/>
    <s v="Australia"/>
    <s v="C85141"/>
    <n v="45"/>
    <s v="Other"/>
    <x v="12"/>
    <x v="4"/>
    <s v="Y"/>
    <s v="Success"/>
    <x v="0"/>
    <x v="0"/>
    <x v="2"/>
  </r>
  <r>
    <s v="TX1002674"/>
    <x v="34"/>
    <x v="3"/>
    <d v="1899-12-30T05:26:49"/>
    <n v="111.25"/>
    <s v="USD"/>
    <s v="M1775"/>
    <x v="4"/>
    <s v="Norway"/>
    <s v="C81778"/>
    <n v="66"/>
    <s v="Other"/>
    <x v="8"/>
    <x v="1"/>
    <s v="Y"/>
    <s v="Success"/>
    <x v="0"/>
    <x v="0"/>
    <x v="3"/>
  </r>
  <r>
    <s v="TX1001107"/>
    <x v="129"/>
    <x v="0"/>
    <d v="1899-12-30T22:47:29"/>
    <n v="111.2"/>
    <s v="USD"/>
    <s v="M1488"/>
    <x v="0"/>
    <s v="Kenya"/>
    <s v="C76658"/>
    <n v="27"/>
    <s v="M"/>
    <x v="11"/>
    <x v="4"/>
    <s v="Y"/>
    <s v="Success"/>
    <x v="0"/>
    <x v="0"/>
    <x v="1"/>
  </r>
  <r>
    <s v="TX1001059"/>
    <x v="104"/>
    <x v="0"/>
    <d v="1899-12-30T23:54:43"/>
    <n v="111.19"/>
    <s v="USD"/>
    <s v="M1632"/>
    <x v="9"/>
    <s v="India"/>
    <s v="C81087"/>
    <n v="58"/>
    <s v="F"/>
    <x v="12"/>
    <x v="2"/>
    <s v="Y"/>
    <s v="Success"/>
    <x v="0"/>
    <x v="0"/>
    <x v="2"/>
  </r>
  <r>
    <s v="TX1002181"/>
    <x v="112"/>
    <x v="2"/>
    <d v="1899-12-30T15:11:34"/>
    <n v="111.15"/>
    <s v="USD"/>
    <s v="M1911"/>
    <x v="8"/>
    <s v="United States"/>
    <s v="C72857"/>
    <n v="13"/>
    <s v="F"/>
    <x v="11"/>
    <x v="5"/>
    <s v="Y"/>
    <s v="Success"/>
    <x v="0"/>
    <x v="0"/>
    <x v="0"/>
  </r>
  <r>
    <s v="TX1000740"/>
    <x v="111"/>
    <x v="4"/>
    <d v="1899-12-30T17:32:46"/>
    <n v="110.85"/>
    <s v="USD"/>
    <s v="M1716"/>
    <x v="8"/>
    <s v="Australia"/>
    <s v="C50198"/>
    <n v="38"/>
    <s v="M"/>
    <x v="1"/>
    <x v="1"/>
    <s v="Y"/>
    <s v="Success"/>
    <x v="0"/>
    <x v="0"/>
    <x v="1"/>
  </r>
  <r>
    <s v="TX1002195"/>
    <x v="64"/>
    <x v="2"/>
    <d v="1899-12-30T06:48:39"/>
    <n v="110.8"/>
    <s v="USD"/>
    <s v="M1704"/>
    <x v="8"/>
    <s v="Canada"/>
    <s v="C73250"/>
    <n v="47"/>
    <s v="Other"/>
    <x v="6"/>
    <x v="5"/>
    <s v="Y"/>
    <s v="Success"/>
    <x v="0"/>
    <x v="0"/>
    <x v="2"/>
  </r>
  <r>
    <s v="TX1000398"/>
    <x v="100"/>
    <x v="1"/>
    <d v="1899-12-30T17:44:42"/>
    <n v="110.75"/>
    <s v="USD"/>
    <s v="M1763"/>
    <x v="1"/>
    <s v="Nigeria"/>
    <s v="C83597"/>
    <n v="30"/>
    <s v="Other"/>
    <x v="9"/>
    <x v="3"/>
    <s v="Y"/>
    <s v="Success"/>
    <x v="0"/>
    <x v="0"/>
    <x v="1"/>
  </r>
  <r>
    <s v="TX1001636"/>
    <x v="143"/>
    <x v="5"/>
    <d v="1899-12-30T02:56:01"/>
    <n v="110.75"/>
    <s v="USD"/>
    <s v="M1169"/>
    <x v="0"/>
    <s v="Poland"/>
    <s v="C70254"/>
    <n v="35"/>
    <s v="F"/>
    <x v="14"/>
    <x v="5"/>
    <s v="N"/>
    <s v="Success"/>
    <x v="0"/>
    <x v="0"/>
    <x v="1"/>
  </r>
  <r>
    <s v="TX1000105"/>
    <x v="179"/>
    <x v="1"/>
    <d v="1899-12-30T08:11:52"/>
    <n v="110.48"/>
    <s v="USD"/>
    <s v="M1724"/>
    <x v="5"/>
    <s v="Canada"/>
    <s v="C64415"/>
    <n v="28"/>
    <s v="F"/>
    <x v="3"/>
    <x v="0"/>
    <s v="N"/>
    <s v="Success"/>
    <x v="0"/>
    <x v="0"/>
    <x v="1"/>
  </r>
  <r>
    <s v="TX1002137"/>
    <x v="135"/>
    <x v="2"/>
    <d v="1899-12-30T11:47:12"/>
    <n v="110.26"/>
    <s v="USD"/>
    <s v="M1448"/>
    <x v="4"/>
    <s v="Germany"/>
    <s v="C68468"/>
    <n v="32"/>
    <s v="M"/>
    <x v="10"/>
    <x v="3"/>
    <s v="Y"/>
    <s v="Success"/>
    <x v="0"/>
    <x v="0"/>
    <x v="1"/>
  </r>
  <r>
    <s v="TX1000817"/>
    <x v="91"/>
    <x v="4"/>
    <d v="1899-12-30T10:27:55"/>
    <n v="110.25"/>
    <s v="USD"/>
    <s v="M1954"/>
    <x v="0"/>
    <s v="Germany"/>
    <s v="C70862"/>
    <n v="35"/>
    <s v="Other"/>
    <x v="0"/>
    <x v="5"/>
    <s v="Y"/>
    <s v="Success"/>
    <x v="0"/>
    <x v="0"/>
    <x v="1"/>
  </r>
  <r>
    <s v="TX1001043"/>
    <x v="104"/>
    <x v="0"/>
    <d v="1899-12-30T04:55:20"/>
    <n v="110.2"/>
    <s v="USD"/>
    <s v="M1950"/>
    <x v="3"/>
    <s v="United Kingdom"/>
    <s v="C58750"/>
    <n v="25"/>
    <s v="F"/>
    <x v="7"/>
    <x v="0"/>
    <s v="Y"/>
    <s v="Success"/>
    <x v="0"/>
    <x v="0"/>
    <x v="1"/>
  </r>
  <r>
    <s v="TX1000585"/>
    <x v="153"/>
    <x v="4"/>
    <d v="1899-12-30T03:49:15"/>
    <n v="110.07"/>
    <s v="USD"/>
    <s v="M1212"/>
    <x v="1"/>
    <s v="United States"/>
    <s v="C57552"/>
    <n v="21"/>
    <s v="Other"/>
    <x v="14"/>
    <x v="0"/>
    <s v="Y"/>
    <s v="Success"/>
    <x v="0"/>
    <x v="0"/>
    <x v="0"/>
  </r>
  <r>
    <s v="TX1002265"/>
    <x v="38"/>
    <x v="2"/>
    <d v="1899-12-30T06:53:20"/>
    <n v="110.02"/>
    <s v="USD"/>
    <s v="M1027"/>
    <x v="7"/>
    <s v="Kenya"/>
    <s v="C94570"/>
    <n v="75"/>
    <s v="Other"/>
    <x v="0"/>
    <x v="3"/>
    <s v="Y"/>
    <s v="Success"/>
    <x v="0"/>
    <x v="0"/>
    <x v="3"/>
  </r>
  <r>
    <s v="TX1001410"/>
    <x v="150"/>
    <x v="0"/>
    <d v="1899-12-30T00:40:49"/>
    <n v="110.01"/>
    <s v="USD"/>
    <s v="M1576"/>
    <x v="6"/>
    <s v="United States"/>
    <s v="C65762"/>
    <n v="44"/>
    <s v="F"/>
    <x v="10"/>
    <x v="1"/>
    <s v="Y"/>
    <s v="Success"/>
    <x v="0"/>
    <x v="0"/>
    <x v="2"/>
  </r>
  <r>
    <s v="TX1000098"/>
    <x v="37"/>
    <x v="1"/>
    <d v="1899-12-30T23:12:37"/>
    <n v="109.99"/>
    <s v="USD"/>
    <s v="M1918"/>
    <x v="3"/>
    <s v="South Africa"/>
    <s v="C59204"/>
    <n v="34"/>
    <s v="Other"/>
    <x v="11"/>
    <x v="5"/>
    <s v="Y"/>
    <s v="Success"/>
    <x v="0"/>
    <x v="0"/>
    <x v="1"/>
  </r>
  <r>
    <s v="TX1002340"/>
    <x v="14"/>
    <x v="2"/>
    <d v="1899-12-30T02:10:14"/>
    <n v="109.98"/>
    <s v="USD"/>
    <s v="M1954"/>
    <x v="7"/>
    <s v="United Kingdom"/>
    <s v="C71211"/>
    <n v="75"/>
    <s v="Other"/>
    <x v="14"/>
    <x v="0"/>
    <s v="Y"/>
    <s v="Success"/>
    <x v="0"/>
    <x v="0"/>
    <x v="3"/>
  </r>
  <r>
    <s v="TX1000241"/>
    <x v="88"/>
    <x v="1"/>
    <d v="1899-12-30T20:13:06"/>
    <n v="109.96"/>
    <s v="USD"/>
    <s v="M1528"/>
    <x v="3"/>
    <s v="Australia"/>
    <s v="C82715"/>
    <n v="47"/>
    <s v="F"/>
    <x v="0"/>
    <x v="3"/>
    <s v="Y"/>
    <s v="Success"/>
    <x v="0"/>
    <x v="0"/>
    <x v="2"/>
  </r>
  <r>
    <s v="TX1002022"/>
    <x v="115"/>
    <x v="2"/>
    <d v="1899-12-30T11:09:29"/>
    <n v="109.85"/>
    <s v="USD"/>
    <s v="M1911"/>
    <x v="7"/>
    <s v="Nigeria"/>
    <s v="C74479"/>
    <n v="10"/>
    <s v="Other"/>
    <x v="4"/>
    <x v="1"/>
    <s v="Y"/>
    <s v="Success"/>
    <x v="0"/>
    <x v="0"/>
    <x v="0"/>
  </r>
  <r>
    <s v="TX1002864"/>
    <x v="87"/>
    <x v="3"/>
    <d v="1899-12-30T10:18:08"/>
    <n v="109.82"/>
    <s v="USD"/>
    <s v="M1749"/>
    <x v="4"/>
    <s v="Canada"/>
    <s v="C61658"/>
    <n v="45"/>
    <s v="Other"/>
    <x v="0"/>
    <x v="1"/>
    <s v="Y"/>
    <s v="Success"/>
    <x v="0"/>
    <x v="0"/>
    <x v="2"/>
  </r>
  <r>
    <s v="TX1001730"/>
    <x v="70"/>
    <x v="5"/>
    <d v="1899-12-30T09:12:04"/>
    <n v="109.79"/>
    <s v="USD"/>
    <s v="M1436"/>
    <x v="0"/>
    <s v="Australia"/>
    <s v="C96779"/>
    <n v="67"/>
    <s v="Other"/>
    <x v="4"/>
    <x v="1"/>
    <s v="Y"/>
    <s v="Success"/>
    <x v="0"/>
    <x v="0"/>
    <x v="3"/>
  </r>
  <r>
    <s v="TX1002719"/>
    <x v="130"/>
    <x v="3"/>
    <d v="1899-12-30T15:40:17"/>
    <n v="109.72"/>
    <s v="USD"/>
    <s v="M1189"/>
    <x v="3"/>
    <s v="Germany"/>
    <s v="C51508"/>
    <n v="26"/>
    <s v="F"/>
    <x v="7"/>
    <x v="5"/>
    <s v="Y"/>
    <s v="Success"/>
    <x v="0"/>
    <x v="0"/>
    <x v="1"/>
  </r>
  <r>
    <s v="TX1000941"/>
    <x v="80"/>
    <x v="4"/>
    <d v="1899-12-30T23:34:11"/>
    <n v="109.66"/>
    <s v="USD"/>
    <s v="M1459"/>
    <x v="1"/>
    <s v="France"/>
    <s v="C56454"/>
    <n v="49"/>
    <s v="Other"/>
    <x v="6"/>
    <x v="1"/>
    <s v="Y"/>
    <s v="Success"/>
    <x v="0"/>
    <x v="0"/>
    <x v="2"/>
  </r>
  <r>
    <s v="TX1001736"/>
    <x v="70"/>
    <x v="5"/>
    <d v="1899-12-30T19:24:23"/>
    <n v="109.59"/>
    <s v="USD"/>
    <s v="M1481"/>
    <x v="6"/>
    <s v="Norway"/>
    <s v="C59666"/>
    <n v="29"/>
    <s v="Other"/>
    <x v="12"/>
    <x v="5"/>
    <s v="Y"/>
    <s v="Success"/>
    <x v="0"/>
    <x v="0"/>
    <x v="1"/>
  </r>
  <r>
    <s v="TX1001926"/>
    <x v="155"/>
    <x v="5"/>
    <d v="1899-12-30T15:03:17"/>
    <n v="109.54"/>
    <s v="USD"/>
    <s v="M1336"/>
    <x v="8"/>
    <s v="South Africa"/>
    <s v="C63746"/>
    <n v="99"/>
    <s v="M"/>
    <x v="10"/>
    <x v="1"/>
    <s v="N"/>
    <s v="Success"/>
    <x v="0"/>
    <x v="0"/>
    <x v="3"/>
  </r>
  <r>
    <s v="TX1002619"/>
    <x v="94"/>
    <x v="3"/>
    <d v="1899-12-30T16:07:41"/>
    <n v="109.52"/>
    <s v="USD"/>
    <s v="M1388"/>
    <x v="2"/>
    <s v="Canada"/>
    <s v="C99137"/>
    <n v="70"/>
    <s v="F"/>
    <x v="7"/>
    <x v="4"/>
    <s v="Y"/>
    <s v="Success"/>
    <x v="0"/>
    <x v="0"/>
    <x v="3"/>
  </r>
  <r>
    <s v="TX1002471"/>
    <x v="19"/>
    <x v="2"/>
    <d v="1899-12-30T03:33:53"/>
    <n v="109.29"/>
    <s v="USD"/>
    <s v="M1651"/>
    <x v="8"/>
    <s v="India"/>
    <s v="C95230"/>
    <n v="46"/>
    <s v="F"/>
    <x v="1"/>
    <x v="1"/>
    <s v="Y"/>
    <s v="Success"/>
    <x v="0"/>
    <x v="0"/>
    <x v="2"/>
  </r>
  <r>
    <s v="TX1001006"/>
    <x v="35"/>
    <x v="0"/>
    <d v="1899-12-30T15:12:35"/>
    <n v="109.25"/>
    <s v="USD"/>
    <s v="M1643"/>
    <x v="9"/>
    <s v="Poland"/>
    <s v="C79151"/>
    <n v="28"/>
    <s v="Other"/>
    <x v="8"/>
    <x v="1"/>
    <s v="Y"/>
    <s v="Success"/>
    <x v="0"/>
    <x v="0"/>
    <x v="1"/>
  </r>
  <r>
    <s v="TX1002926"/>
    <x v="96"/>
    <x v="3"/>
    <d v="1899-12-30T20:41:11"/>
    <n v="109.22"/>
    <s v="USD"/>
    <s v="M1355"/>
    <x v="7"/>
    <s v="Poland"/>
    <s v="C69375"/>
    <n v="34"/>
    <s v="F"/>
    <x v="9"/>
    <x v="2"/>
    <s v="Y"/>
    <s v="Success"/>
    <x v="0"/>
    <x v="0"/>
    <x v="1"/>
  </r>
  <r>
    <s v="TX1002472"/>
    <x v="19"/>
    <x v="2"/>
    <d v="1899-12-30T04:17:03"/>
    <n v="109.15"/>
    <s v="USD"/>
    <s v="M1895"/>
    <x v="0"/>
    <s v="Canada"/>
    <s v="C93205"/>
    <n v="55"/>
    <s v="Other"/>
    <x v="2"/>
    <x v="4"/>
    <s v="Y"/>
    <s v="Success"/>
    <x v="0"/>
    <x v="0"/>
    <x v="2"/>
  </r>
  <r>
    <s v="TX1002970"/>
    <x v="141"/>
    <x v="3"/>
    <d v="1899-12-30T13:03:10"/>
    <n v="109.15"/>
    <s v="USD"/>
    <s v="M1005"/>
    <x v="3"/>
    <s v="Spain"/>
    <s v="C62051"/>
    <n v="28"/>
    <s v="Other"/>
    <x v="0"/>
    <x v="3"/>
    <s v="N"/>
    <s v="Success"/>
    <x v="1"/>
    <x v="1"/>
    <x v="1"/>
  </r>
  <r>
    <s v="TX1001455"/>
    <x v="61"/>
    <x v="0"/>
    <d v="1899-12-30T03:06:48"/>
    <n v="108.87"/>
    <s v="USD"/>
    <s v="M1134"/>
    <x v="6"/>
    <s v="Norway"/>
    <s v="C94534"/>
    <n v="21"/>
    <s v="M"/>
    <x v="2"/>
    <x v="1"/>
    <s v="Y"/>
    <s v="Success"/>
    <x v="0"/>
    <x v="0"/>
    <x v="0"/>
  </r>
  <r>
    <s v="TX1002552"/>
    <x v="13"/>
    <x v="3"/>
    <d v="1899-12-30T15:26:02"/>
    <n v="108.65"/>
    <s v="USD"/>
    <s v="M1076"/>
    <x v="5"/>
    <s v="Germany"/>
    <s v="C93067"/>
    <n v="54"/>
    <s v="Other"/>
    <x v="4"/>
    <x v="1"/>
    <s v="Y"/>
    <s v="Success"/>
    <x v="0"/>
    <x v="0"/>
    <x v="2"/>
  </r>
  <r>
    <s v="TX1001873"/>
    <x v="117"/>
    <x v="5"/>
    <d v="1899-12-30T16:28:03"/>
    <n v="108.52"/>
    <s v="USD"/>
    <s v="M1653"/>
    <x v="8"/>
    <s v="Poland"/>
    <s v="C78683"/>
    <n v="24"/>
    <s v="M"/>
    <x v="4"/>
    <x v="5"/>
    <s v="Y"/>
    <s v="Success"/>
    <x v="0"/>
    <x v="0"/>
    <x v="0"/>
  </r>
  <r>
    <s v="TX1001632"/>
    <x v="143"/>
    <x v="5"/>
    <d v="1899-12-30T02:23:50"/>
    <n v="108.38"/>
    <s v="USD"/>
    <s v="M1516"/>
    <x v="3"/>
    <s v="Spain"/>
    <s v="C68875"/>
    <n v="74"/>
    <s v="Other"/>
    <x v="6"/>
    <x v="5"/>
    <s v="Y"/>
    <s v="Success"/>
    <x v="0"/>
    <x v="0"/>
    <x v="3"/>
  </r>
  <r>
    <s v="TX1000352"/>
    <x v="1"/>
    <x v="1"/>
    <d v="1899-12-30T02:52:22"/>
    <n v="108.28"/>
    <s v="USD"/>
    <s v="M1306"/>
    <x v="1"/>
    <s v="Germany"/>
    <s v="C67350"/>
    <n v="31"/>
    <s v="F"/>
    <x v="0"/>
    <x v="3"/>
    <s v="Y"/>
    <s v="Success"/>
    <x v="0"/>
    <x v="0"/>
    <x v="1"/>
  </r>
  <r>
    <s v="TX1001881"/>
    <x v="53"/>
    <x v="5"/>
    <d v="1899-12-30T04:32:18"/>
    <n v="108.19"/>
    <s v="USD"/>
    <s v="M1746"/>
    <x v="1"/>
    <s v="Germany"/>
    <s v="C69295"/>
    <n v="21"/>
    <s v="Other"/>
    <x v="2"/>
    <x v="4"/>
    <s v="Y"/>
    <s v="Success"/>
    <x v="1"/>
    <x v="1"/>
    <x v="0"/>
  </r>
  <r>
    <s v="TX1000537"/>
    <x v="105"/>
    <x v="4"/>
    <d v="1899-12-30T12:03:44"/>
    <n v="108.11"/>
    <s v="USD"/>
    <s v="M1324"/>
    <x v="8"/>
    <s v="India"/>
    <s v="C97313"/>
    <n v="58"/>
    <s v="M"/>
    <x v="4"/>
    <x v="2"/>
    <s v="Y"/>
    <s v="Success"/>
    <x v="0"/>
    <x v="0"/>
    <x v="2"/>
  </r>
  <r>
    <s v="TX1002112"/>
    <x v="21"/>
    <x v="2"/>
    <d v="1899-12-30T02:29:14"/>
    <n v="108.01"/>
    <s v="USD"/>
    <s v="M1586"/>
    <x v="5"/>
    <s v="France"/>
    <s v="C87046"/>
    <n v="51"/>
    <s v="M"/>
    <x v="11"/>
    <x v="4"/>
    <s v="Y"/>
    <s v="Success"/>
    <x v="0"/>
    <x v="0"/>
    <x v="2"/>
  </r>
  <r>
    <s v="TX1000365"/>
    <x v="1"/>
    <x v="1"/>
    <d v="1899-12-30T18:27:59"/>
    <n v="107.94"/>
    <s v="USD"/>
    <s v="M1799"/>
    <x v="2"/>
    <s v="India"/>
    <s v="C97356"/>
    <n v="73"/>
    <s v="Other"/>
    <x v="14"/>
    <x v="0"/>
    <s v="Y"/>
    <s v="Success"/>
    <x v="0"/>
    <x v="0"/>
    <x v="3"/>
  </r>
  <r>
    <s v="TX1001542"/>
    <x v="83"/>
    <x v="5"/>
    <d v="1899-12-30T19:00:02"/>
    <n v="107.87"/>
    <s v="USD"/>
    <s v="M1604"/>
    <x v="1"/>
    <s v="Sweden"/>
    <s v="C58139"/>
    <n v="23"/>
    <s v="Other"/>
    <x v="11"/>
    <x v="4"/>
    <s v="Y"/>
    <s v="Success"/>
    <x v="0"/>
    <x v="0"/>
    <x v="0"/>
  </r>
  <r>
    <s v="TX1002759"/>
    <x v="7"/>
    <x v="3"/>
    <d v="1899-12-30T12:46:09"/>
    <n v="107.86"/>
    <s v="USD"/>
    <s v="M1555"/>
    <x v="4"/>
    <s v="South Africa"/>
    <s v="C90923"/>
    <n v="20"/>
    <s v="Other"/>
    <x v="5"/>
    <x v="2"/>
    <s v="Y"/>
    <s v="Success"/>
    <x v="0"/>
    <x v="0"/>
    <x v="0"/>
  </r>
  <r>
    <s v="TX1002817"/>
    <x v="4"/>
    <x v="3"/>
    <d v="1899-12-30T15:37:01"/>
    <n v="107.84"/>
    <s v="USD"/>
    <s v="M1482"/>
    <x v="0"/>
    <s v="India"/>
    <s v="C96952"/>
    <n v="25"/>
    <s v="F"/>
    <x v="5"/>
    <x v="4"/>
    <s v="Y"/>
    <s v="Success"/>
    <x v="0"/>
    <x v="0"/>
    <x v="1"/>
  </r>
  <r>
    <s v="TX1000039"/>
    <x v="167"/>
    <x v="1"/>
    <d v="1899-12-30T04:02:47"/>
    <n v="107.84"/>
    <s v="USD"/>
    <s v="M1116"/>
    <x v="8"/>
    <s v="Poland"/>
    <s v="C82078"/>
    <n v="57"/>
    <s v="F"/>
    <x v="7"/>
    <x v="4"/>
    <s v="Y"/>
    <s v="Success"/>
    <x v="0"/>
    <x v="0"/>
    <x v="2"/>
  </r>
  <r>
    <s v="TX1001294"/>
    <x v="125"/>
    <x v="0"/>
    <d v="1899-12-30T18:04:44"/>
    <n v="107.75"/>
    <s v="USD"/>
    <s v="M1442"/>
    <x v="6"/>
    <s v="France"/>
    <s v="C58612"/>
    <n v="45"/>
    <s v="M"/>
    <x v="10"/>
    <x v="2"/>
    <s v="Y"/>
    <s v="Success"/>
    <x v="0"/>
    <x v="0"/>
    <x v="2"/>
  </r>
  <r>
    <s v="TX1000139"/>
    <x v="30"/>
    <x v="1"/>
    <d v="1899-12-30T08:27:48"/>
    <n v="107.48"/>
    <s v="USD"/>
    <s v="M1773"/>
    <x v="1"/>
    <s v="Germany"/>
    <s v="C50598"/>
    <n v="68"/>
    <s v="M"/>
    <x v="3"/>
    <x v="1"/>
    <s v="Y"/>
    <s v="Success"/>
    <x v="0"/>
    <x v="0"/>
    <x v="3"/>
  </r>
  <r>
    <s v="TX1000504"/>
    <x v="57"/>
    <x v="4"/>
    <d v="1899-12-30T14:48:05"/>
    <n v="107.42"/>
    <s v="USD"/>
    <s v="M1993"/>
    <x v="9"/>
    <s v="South Africa"/>
    <s v="C87139"/>
    <n v="29"/>
    <s v="Other"/>
    <x v="0"/>
    <x v="3"/>
    <s v="Y"/>
    <s v="Success"/>
    <x v="1"/>
    <x v="1"/>
    <x v="1"/>
  </r>
  <r>
    <s v="TX1000314"/>
    <x v="157"/>
    <x v="1"/>
    <d v="1899-12-30T21:23:41"/>
    <n v="107.4"/>
    <s v="USD"/>
    <s v="M1781"/>
    <x v="9"/>
    <s v="Poland"/>
    <s v="C67907"/>
    <n v="20"/>
    <s v="Other"/>
    <x v="3"/>
    <x v="5"/>
    <s v="Y"/>
    <s v="Success"/>
    <x v="0"/>
    <x v="0"/>
    <x v="0"/>
  </r>
  <r>
    <s v="TX1002522"/>
    <x v="9"/>
    <x v="2"/>
    <d v="1899-12-30T21:58:20"/>
    <n v="107.4"/>
    <s v="USD"/>
    <s v="M1556"/>
    <x v="7"/>
    <s v="United States"/>
    <s v="C74706"/>
    <n v="42"/>
    <s v="Other"/>
    <x v="9"/>
    <x v="0"/>
    <s v="Y"/>
    <s v="Success"/>
    <x v="0"/>
    <x v="0"/>
    <x v="2"/>
  </r>
  <r>
    <s v="TX1000364"/>
    <x v="1"/>
    <x v="1"/>
    <d v="1899-12-30T17:54:46"/>
    <n v="107.38"/>
    <s v="USD"/>
    <s v="M1355"/>
    <x v="2"/>
    <s v="France"/>
    <s v="C71270"/>
    <n v="64"/>
    <s v="M"/>
    <x v="13"/>
    <x v="0"/>
    <s v="Y"/>
    <s v="Success"/>
    <x v="0"/>
    <x v="0"/>
    <x v="3"/>
  </r>
  <r>
    <s v="TX1002327"/>
    <x v="119"/>
    <x v="2"/>
    <d v="1899-12-30T08:54:53"/>
    <n v="107.32"/>
    <s v="USD"/>
    <s v="M1511"/>
    <x v="8"/>
    <s v="Sweden"/>
    <s v="C88931"/>
    <n v="37"/>
    <s v="F"/>
    <x v="14"/>
    <x v="1"/>
    <s v="Y"/>
    <s v="Success"/>
    <x v="1"/>
    <x v="1"/>
    <x v="1"/>
  </r>
  <r>
    <s v="TX1000507"/>
    <x v="57"/>
    <x v="4"/>
    <d v="1899-12-30T17:45:34"/>
    <n v="106.91"/>
    <s v="USD"/>
    <s v="M1694"/>
    <x v="0"/>
    <s v="Canada"/>
    <s v="C70237"/>
    <n v="29"/>
    <s v="F"/>
    <x v="1"/>
    <x v="1"/>
    <s v="Y"/>
    <s v="Success"/>
    <x v="0"/>
    <x v="0"/>
    <x v="1"/>
  </r>
  <r>
    <s v="TX1002540"/>
    <x v="23"/>
    <x v="3"/>
    <d v="1899-12-30T17:22:01"/>
    <n v="106.84"/>
    <s v="USD"/>
    <s v="M1549"/>
    <x v="3"/>
    <s v="Germany"/>
    <s v="C68706"/>
    <n v="43"/>
    <s v="M"/>
    <x v="13"/>
    <x v="5"/>
    <s v="Y"/>
    <s v="Success"/>
    <x v="0"/>
    <x v="0"/>
    <x v="2"/>
  </r>
  <r>
    <s v="TX1001804"/>
    <x v="133"/>
    <x v="5"/>
    <d v="1899-12-30T10:59:39"/>
    <n v="106.75"/>
    <s v="USD"/>
    <s v="M1437"/>
    <x v="4"/>
    <s v="United Kingdom"/>
    <s v="C75172"/>
    <n v="33"/>
    <s v="M"/>
    <x v="11"/>
    <x v="1"/>
    <s v="N"/>
    <s v="Success"/>
    <x v="0"/>
    <x v="0"/>
    <x v="1"/>
  </r>
  <r>
    <s v="TX1001783"/>
    <x v="26"/>
    <x v="5"/>
    <d v="1899-12-30T03:30:00"/>
    <n v="106.72"/>
    <s v="USD"/>
    <s v="M1784"/>
    <x v="0"/>
    <s v="South Africa"/>
    <s v="C85521"/>
    <n v="68"/>
    <s v="M"/>
    <x v="4"/>
    <x v="3"/>
    <s v="Y"/>
    <s v="Success"/>
    <x v="0"/>
    <x v="0"/>
    <x v="3"/>
  </r>
  <r>
    <s v="TX1001777"/>
    <x v="72"/>
    <x v="5"/>
    <d v="1899-12-30T22:55:27"/>
    <n v="106.55"/>
    <s v="USD"/>
    <s v="M1127"/>
    <x v="2"/>
    <s v="United States"/>
    <s v="C50994"/>
    <n v="30"/>
    <s v="M"/>
    <x v="2"/>
    <x v="3"/>
    <s v="Y"/>
    <s v="Success"/>
    <x v="0"/>
    <x v="0"/>
    <x v="1"/>
  </r>
  <r>
    <s v="TX1002840"/>
    <x v="86"/>
    <x v="3"/>
    <d v="1899-12-30T22:32:14"/>
    <n v="106.31"/>
    <s v="USD"/>
    <s v="M1438"/>
    <x v="6"/>
    <s v="Australia"/>
    <s v="C72266"/>
    <n v="58"/>
    <s v="F"/>
    <x v="0"/>
    <x v="3"/>
    <s v="Y"/>
    <s v="Success"/>
    <x v="0"/>
    <x v="0"/>
    <x v="2"/>
  </r>
  <r>
    <s v="TX1000673"/>
    <x v="113"/>
    <x v="4"/>
    <d v="1899-12-30T00:34:42"/>
    <n v="106.19"/>
    <s v="USD"/>
    <s v="M1756"/>
    <x v="9"/>
    <s v="Germany"/>
    <s v="C90997"/>
    <n v="53"/>
    <s v="F"/>
    <x v="10"/>
    <x v="5"/>
    <s v="Y"/>
    <s v="Success"/>
    <x v="0"/>
    <x v="0"/>
    <x v="2"/>
  </r>
  <r>
    <s v="TX1001531"/>
    <x v="83"/>
    <x v="5"/>
    <d v="1899-12-30T05:24:30"/>
    <n v="106.14"/>
    <s v="USD"/>
    <s v="M1951"/>
    <x v="5"/>
    <s v="Netherlands"/>
    <s v="C57233"/>
    <n v="22"/>
    <s v="Other"/>
    <x v="0"/>
    <x v="4"/>
    <s v="Y"/>
    <s v="Success"/>
    <x v="0"/>
    <x v="0"/>
    <x v="0"/>
  </r>
  <r>
    <s v="TX1002808"/>
    <x v="4"/>
    <x v="3"/>
    <d v="1899-12-30T08:23:13"/>
    <n v="105.73"/>
    <s v="USD"/>
    <s v="M1229"/>
    <x v="0"/>
    <s v="Netherlands"/>
    <s v="C70114"/>
    <n v="27"/>
    <s v="M"/>
    <x v="0"/>
    <x v="3"/>
    <s v="Y"/>
    <s v="Success"/>
    <x v="0"/>
    <x v="0"/>
    <x v="1"/>
  </r>
  <r>
    <s v="TX1000678"/>
    <x v="113"/>
    <x v="4"/>
    <d v="1899-12-30T06:59:31"/>
    <n v="105.72"/>
    <s v="USD"/>
    <s v="M1557"/>
    <x v="9"/>
    <s v="Australia"/>
    <s v="C63016"/>
    <n v="49"/>
    <s v="M"/>
    <x v="5"/>
    <x v="2"/>
    <s v="Y"/>
    <s v="Success"/>
    <x v="0"/>
    <x v="0"/>
    <x v="2"/>
  </r>
  <r>
    <s v="TX1000838"/>
    <x v="114"/>
    <x v="4"/>
    <d v="1899-12-30T08:12:00"/>
    <n v="105.64"/>
    <s v="USD"/>
    <s v="M1574"/>
    <x v="3"/>
    <s v="United States"/>
    <s v="C64714"/>
    <n v="56"/>
    <s v="Other"/>
    <x v="10"/>
    <x v="3"/>
    <s v="Y"/>
    <s v="Success"/>
    <x v="0"/>
    <x v="0"/>
    <x v="2"/>
  </r>
  <r>
    <s v="TX1001580"/>
    <x v="161"/>
    <x v="5"/>
    <d v="1899-12-30T14:35:38"/>
    <n v="105.6"/>
    <s v="USD"/>
    <s v="M1897"/>
    <x v="3"/>
    <s v="Poland"/>
    <s v="C96911"/>
    <n v="24"/>
    <s v="M"/>
    <x v="8"/>
    <x v="4"/>
    <s v="Y"/>
    <s v="Success"/>
    <x v="0"/>
    <x v="0"/>
    <x v="0"/>
  </r>
  <r>
    <s v="TX1001101"/>
    <x v="129"/>
    <x v="0"/>
    <d v="1899-12-30T11:36:02"/>
    <n v="105.55"/>
    <s v="USD"/>
    <s v="M1286"/>
    <x v="9"/>
    <s v="Spain"/>
    <s v="C59163"/>
    <n v="62"/>
    <s v="Other"/>
    <x v="7"/>
    <x v="4"/>
    <s v="Y"/>
    <s v="Success"/>
    <x v="0"/>
    <x v="0"/>
    <x v="3"/>
  </r>
  <r>
    <s v="TX1000804"/>
    <x v="170"/>
    <x v="4"/>
    <d v="1899-12-30T03:30:42"/>
    <n v="105.46"/>
    <s v="USD"/>
    <s v="M1431"/>
    <x v="5"/>
    <s v="Australia"/>
    <s v="C89481"/>
    <n v="65"/>
    <s v="Other"/>
    <x v="8"/>
    <x v="4"/>
    <s v="Y"/>
    <s v="Success"/>
    <x v="0"/>
    <x v="0"/>
    <x v="3"/>
  </r>
  <r>
    <s v="TX1002040"/>
    <x v="138"/>
    <x v="2"/>
    <d v="1899-12-30T16:28:04"/>
    <n v="105.45"/>
    <s v="USD"/>
    <s v="M1644"/>
    <x v="8"/>
    <s v="Australia"/>
    <s v="C96165"/>
    <n v="64"/>
    <s v="M"/>
    <x v="3"/>
    <x v="3"/>
    <s v="Y"/>
    <s v="Success"/>
    <x v="1"/>
    <x v="1"/>
    <x v="3"/>
  </r>
  <r>
    <s v="TX1000480"/>
    <x v="124"/>
    <x v="4"/>
    <d v="1899-12-30T13:30:59"/>
    <n v="105.29"/>
    <s v="USD"/>
    <s v="M1142"/>
    <x v="3"/>
    <s v="Poland"/>
    <s v="C71833"/>
    <n v="68"/>
    <s v="M"/>
    <x v="4"/>
    <x v="1"/>
    <s v="Y"/>
    <s v="Success"/>
    <x v="0"/>
    <x v="0"/>
    <x v="3"/>
  </r>
  <r>
    <s v="TX1001936"/>
    <x v="73"/>
    <x v="5"/>
    <d v="1899-12-30T13:07:30"/>
    <n v="105.19"/>
    <s v="USD"/>
    <s v="M1602"/>
    <x v="9"/>
    <s v="Germany"/>
    <s v="C97638"/>
    <n v="35"/>
    <s v="F"/>
    <x v="2"/>
    <x v="0"/>
    <s v="Y"/>
    <s v="Success"/>
    <x v="0"/>
    <x v="0"/>
    <x v="1"/>
  </r>
  <r>
    <s v="TX1000291"/>
    <x v="55"/>
    <x v="1"/>
    <d v="1899-12-30T15:05:27"/>
    <n v="105.09"/>
    <s v="USD"/>
    <s v="M1694"/>
    <x v="9"/>
    <s v="Netherlands"/>
    <s v="C94416"/>
    <n v="47"/>
    <s v="M"/>
    <x v="13"/>
    <x v="3"/>
    <s v="Y"/>
    <s v="Success"/>
    <x v="0"/>
    <x v="0"/>
    <x v="2"/>
  </r>
  <r>
    <s v="TX1002661"/>
    <x v="132"/>
    <x v="3"/>
    <d v="1899-12-30T04:41:09"/>
    <n v="104.99"/>
    <s v="USD"/>
    <s v="M1445"/>
    <x v="8"/>
    <s v="Germany"/>
    <s v="C59276"/>
    <n v="23"/>
    <s v="Other"/>
    <x v="11"/>
    <x v="5"/>
    <s v="Y"/>
    <s v="Success"/>
    <x v="0"/>
    <x v="0"/>
    <x v="0"/>
  </r>
  <r>
    <s v="TX1000468"/>
    <x v="25"/>
    <x v="1"/>
    <d v="1899-12-30T23:11:03"/>
    <n v="104.94"/>
    <s v="USD"/>
    <s v="M1589"/>
    <x v="2"/>
    <s v="Australia"/>
    <s v="C68169"/>
    <n v="48"/>
    <s v="M"/>
    <x v="5"/>
    <x v="4"/>
    <s v="Y"/>
    <s v="Success"/>
    <x v="0"/>
    <x v="0"/>
    <x v="2"/>
  </r>
  <r>
    <s v="TX1002461"/>
    <x v="154"/>
    <x v="2"/>
    <d v="1899-12-30T09:59:07"/>
    <n v="104.92"/>
    <s v="USD"/>
    <s v="M1316"/>
    <x v="0"/>
    <s v="Spain"/>
    <s v="C54643"/>
    <n v="56"/>
    <s v="M"/>
    <x v="11"/>
    <x v="1"/>
    <s v="Y"/>
    <s v="Success"/>
    <x v="0"/>
    <x v="0"/>
    <x v="2"/>
  </r>
  <r>
    <s v="TX1002128"/>
    <x v="135"/>
    <x v="2"/>
    <d v="1899-12-30T03:01:59"/>
    <n v="104.89"/>
    <s v="USD"/>
    <s v="M1961"/>
    <x v="5"/>
    <s v="United States"/>
    <s v="C97308"/>
    <n v="42"/>
    <s v="M"/>
    <x v="10"/>
    <x v="3"/>
    <s v="Y"/>
    <s v="Success"/>
    <x v="0"/>
    <x v="0"/>
    <x v="2"/>
  </r>
  <r>
    <s v="TX1002728"/>
    <x v="131"/>
    <x v="3"/>
    <d v="1899-12-30T03:37:31"/>
    <n v="104.87"/>
    <s v="USD"/>
    <s v="M1230"/>
    <x v="1"/>
    <s v="Poland"/>
    <s v="C67470"/>
    <n v="60"/>
    <s v="F"/>
    <x v="10"/>
    <x v="4"/>
    <s v="Y"/>
    <s v="Success"/>
    <x v="0"/>
    <x v="0"/>
    <x v="3"/>
  </r>
  <r>
    <s v="TX1002542"/>
    <x v="23"/>
    <x v="3"/>
    <d v="1899-12-30T19:46:20"/>
    <n v="104.77"/>
    <s v="USD"/>
    <s v="M1286"/>
    <x v="1"/>
    <s v="France"/>
    <s v="C90044"/>
    <n v="45"/>
    <s v="F"/>
    <x v="10"/>
    <x v="1"/>
    <s v="Y"/>
    <s v="Success"/>
    <x v="0"/>
    <x v="0"/>
    <x v="2"/>
  </r>
  <r>
    <s v="TX1000320"/>
    <x v="95"/>
    <x v="1"/>
    <d v="1899-12-30T04:03:17"/>
    <n v="104.77"/>
    <s v="USD"/>
    <s v="M1644"/>
    <x v="9"/>
    <s v="India"/>
    <s v="C82220"/>
    <n v="27"/>
    <s v="M"/>
    <x v="5"/>
    <x v="4"/>
    <s v="Y"/>
    <s v="Success"/>
    <x v="0"/>
    <x v="0"/>
    <x v="1"/>
  </r>
  <r>
    <s v="TX1001770"/>
    <x v="72"/>
    <x v="5"/>
    <d v="1899-12-30T15:43:18"/>
    <n v="104.72"/>
    <s v="USD"/>
    <s v="M1527"/>
    <x v="0"/>
    <s v="Sweden"/>
    <s v="C88847"/>
    <n v="50"/>
    <s v="M"/>
    <x v="3"/>
    <x v="4"/>
    <s v="Y"/>
    <s v="Success"/>
    <x v="1"/>
    <x v="1"/>
    <x v="2"/>
  </r>
  <r>
    <s v="TX1002046"/>
    <x v="138"/>
    <x v="2"/>
    <d v="1899-12-30T21:54:05"/>
    <n v="104.66"/>
    <s v="USD"/>
    <s v="M1597"/>
    <x v="4"/>
    <s v="Australia"/>
    <s v="C50534"/>
    <n v="54"/>
    <s v="M"/>
    <x v="12"/>
    <x v="4"/>
    <s v="Y"/>
    <s v="Success"/>
    <x v="0"/>
    <x v="0"/>
    <x v="2"/>
  </r>
  <r>
    <s v="TX1002587"/>
    <x v="103"/>
    <x v="3"/>
    <d v="1899-12-30T10:06:47"/>
    <n v="104.56"/>
    <s v="USD"/>
    <s v="M1579"/>
    <x v="3"/>
    <s v="Poland"/>
    <s v="C62145"/>
    <n v="37"/>
    <s v="M"/>
    <x v="4"/>
    <x v="2"/>
    <s v="Y"/>
    <s v="Success"/>
    <x v="0"/>
    <x v="0"/>
    <x v="1"/>
  </r>
  <r>
    <s v="TX1001427"/>
    <x v="150"/>
    <x v="0"/>
    <d v="1899-12-30T15:51:18"/>
    <n v="104.52"/>
    <s v="USD"/>
    <s v="M1646"/>
    <x v="0"/>
    <s v="Sweden"/>
    <s v="C98049"/>
    <n v="66"/>
    <s v="Other"/>
    <x v="11"/>
    <x v="5"/>
    <s v="Y"/>
    <s v="Success"/>
    <x v="0"/>
    <x v="0"/>
    <x v="3"/>
  </r>
  <r>
    <s v="TX1000235"/>
    <x v="88"/>
    <x v="1"/>
    <d v="1899-12-30T12:19:12"/>
    <n v="104.47"/>
    <s v="USD"/>
    <s v="M1300"/>
    <x v="1"/>
    <s v="South Africa"/>
    <s v="C83082"/>
    <n v="52"/>
    <s v="M"/>
    <x v="4"/>
    <x v="4"/>
    <s v="Y"/>
    <s v="Success"/>
    <x v="1"/>
    <x v="1"/>
    <x v="2"/>
  </r>
  <r>
    <s v="TX1002726"/>
    <x v="130"/>
    <x v="3"/>
    <d v="1899-12-30T23:57:07"/>
    <n v="104.43"/>
    <s v="USD"/>
    <s v="M1646"/>
    <x v="0"/>
    <s v="South Africa"/>
    <s v="C61613"/>
    <n v="51"/>
    <s v="M"/>
    <x v="4"/>
    <x v="5"/>
    <s v="Y"/>
    <s v="Success"/>
    <x v="0"/>
    <x v="0"/>
    <x v="2"/>
  </r>
  <r>
    <s v="TX1000048"/>
    <x v="167"/>
    <x v="1"/>
    <d v="1899-12-30T14:43:53"/>
    <n v="104.37"/>
    <s v="USD"/>
    <s v="M1351"/>
    <x v="7"/>
    <s v="Norway"/>
    <s v="C77676"/>
    <n v="23"/>
    <s v="Other"/>
    <x v="4"/>
    <x v="4"/>
    <s v="Y"/>
    <s v="Success"/>
    <x v="0"/>
    <x v="0"/>
    <x v="0"/>
  </r>
  <r>
    <s v="TX1001681"/>
    <x v="134"/>
    <x v="5"/>
    <d v="1899-12-30T16:19:09"/>
    <n v="103.88"/>
    <s v="USD"/>
    <s v="M1448"/>
    <x v="9"/>
    <s v="Kenya"/>
    <s v="C86717"/>
    <n v="23"/>
    <s v="M"/>
    <x v="12"/>
    <x v="5"/>
    <s v="Y"/>
    <s v="Success"/>
    <x v="0"/>
    <x v="0"/>
    <x v="0"/>
  </r>
  <r>
    <s v="TX1002028"/>
    <x v="115"/>
    <x v="2"/>
    <d v="1899-12-30T20:49:16"/>
    <n v="103.86"/>
    <s v="USD"/>
    <s v="M1585"/>
    <x v="5"/>
    <s v="United Kingdom"/>
    <s v="C88899"/>
    <n v="51"/>
    <s v="Other"/>
    <x v="5"/>
    <x v="5"/>
    <s v="Y"/>
    <s v="Success"/>
    <x v="0"/>
    <x v="0"/>
    <x v="2"/>
  </r>
  <r>
    <s v="TX1002845"/>
    <x v="166"/>
    <x v="3"/>
    <d v="1899-12-30T02:43:27"/>
    <n v="103.79"/>
    <s v="USD"/>
    <s v="M1565"/>
    <x v="1"/>
    <s v="Spain"/>
    <s v="C50711"/>
    <n v="45"/>
    <s v="Other"/>
    <x v="14"/>
    <x v="0"/>
    <s v="Y"/>
    <s v="Success"/>
    <x v="1"/>
    <x v="1"/>
    <x v="2"/>
  </r>
  <r>
    <s v="TX1000380"/>
    <x v="56"/>
    <x v="1"/>
    <d v="1899-12-30T17:52:12"/>
    <n v="103.74"/>
    <s v="USD"/>
    <s v="M1952"/>
    <x v="5"/>
    <s v="South Africa"/>
    <s v="C58598"/>
    <n v="45"/>
    <s v="M"/>
    <x v="0"/>
    <x v="3"/>
    <s v="Y"/>
    <s v="Success"/>
    <x v="0"/>
    <x v="0"/>
    <x v="2"/>
  </r>
  <r>
    <s v="TX1002615"/>
    <x v="94"/>
    <x v="3"/>
    <d v="1899-12-30T05:58:42"/>
    <n v="103.53"/>
    <s v="USD"/>
    <s v="M1829"/>
    <x v="3"/>
    <s v="Germany"/>
    <s v="C99234"/>
    <n v="64"/>
    <s v="M"/>
    <x v="0"/>
    <x v="4"/>
    <s v="Y"/>
    <s v="Success"/>
    <x v="0"/>
    <x v="0"/>
    <x v="3"/>
  </r>
  <r>
    <s v="TX1002617"/>
    <x v="94"/>
    <x v="3"/>
    <d v="1899-12-30T14:02:23"/>
    <n v="103.46"/>
    <s v="USD"/>
    <s v="M1558"/>
    <x v="7"/>
    <s v="Sweden"/>
    <s v="C90399"/>
    <n v="54"/>
    <s v="F"/>
    <x v="11"/>
    <x v="5"/>
    <s v="Y"/>
    <s v="Success"/>
    <x v="0"/>
    <x v="0"/>
    <x v="2"/>
  </r>
  <r>
    <s v="TX1000486"/>
    <x v="57"/>
    <x v="4"/>
    <d v="1899-12-30T01:34:00"/>
    <n v="103.46"/>
    <s v="USD"/>
    <s v="M1445"/>
    <x v="9"/>
    <s v="South Africa"/>
    <s v="C68462"/>
    <n v="21"/>
    <s v="Other"/>
    <x v="14"/>
    <x v="1"/>
    <s v="Y"/>
    <s v="Success"/>
    <x v="1"/>
    <x v="1"/>
    <x v="0"/>
  </r>
  <r>
    <s v="TX1001508"/>
    <x v="98"/>
    <x v="5"/>
    <d v="1899-12-30T19:42:24"/>
    <n v="103.35"/>
    <s v="USD"/>
    <s v="M1295"/>
    <x v="2"/>
    <s v="Sweden"/>
    <s v="C66273"/>
    <n v="49"/>
    <s v="M"/>
    <x v="8"/>
    <x v="1"/>
    <s v="Y"/>
    <s v="Success"/>
    <x v="0"/>
    <x v="0"/>
    <x v="2"/>
  </r>
  <r>
    <s v="TX1001844"/>
    <x v="15"/>
    <x v="5"/>
    <d v="1899-12-30T00:12:16"/>
    <n v="103.22"/>
    <s v="USD"/>
    <s v="M1668"/>
    <x v="1"/>
    <s v="Australia"/>
    <s v="C84303"/>
    <n v="22"/>
    <s v="M"/>
    <x v="5"/>
    <x v="2"/>
    <s v="Y"/>
    <s v="Success"/>
    <x v="0"/>
    <x v="0"/>
    <x v="0"/>
  </r>
  <r>
    <s v="TX1001865"/>
    <x v="117"/>
    <x v="5"/>
    <d v="1899-12-30T03:20:36"/>
    <n v="103.05"/>
    <s v="USD"/>
    <s v="M1522"/>
    <x v="0"/>
    <s v="Netherlands"/>
    <s v="C98832"/>
    <n v="23"/>
    <s v="M"/>
    <x v="5"/>
    <x v="3"/>
    <s v="Y"/>
    <s v="Success"/>
    <x v="0"/>
    <x v="0"/>
    <x v="0"/>
  </r>
  <r>
    <s v="TX1000984"/>
    <x v="102"/>
    <x v="0"/>
    <d v="1899-12-30T14:55:46"/>
    <n v="103.01"/>
    <s v="USD"/>
    <s v="M1251"/>
    <x v="9"/>
    <s v="Netherlands"/>
    <s v="C59614"/>
    <n v="22"/>
    <s v="F"/>
    <x v="8"/>
    <x v="0"/>
    <s v="N"/>
    <s v="Success"/>
    <x v="0"/>
    <x v="0"/>
    <x v="0"/>
  </r>
  <r>
    <s v="TX1002283"/>
    <x v="79"/>
    <x v="2"/>
    <d v="1899-12-30T09:42:00"/>
    <n v="102.87"/>
    <s v="USD"/>
    <s v="M1087"/>
    <x v="6"/>
    <s v="Netherlands"/>
    <s v="C85429"/>
    <n v="73"/>
    <s v="M"/>
    <x v="6"/>
    <x v="0"/>
    <s v="Y"/>
    <s v="Success"/>
    <x v="0"/>
    <x v="0"/>
    <x v="3"/>
  </r>
  <r>
    <s v="TX1002418"/>
    <x v="46"/>
    <x v="2"/>
    <d v="1899-12-30T08:24:25"/>
    <n v="102.75"/>
    <s v="USD"/>
    <s v="M1692"/>
    <x v="5"/>
    <s v="Sweden"/>
    <s v="C79757"/>
    <n v="32"/>
    <s v="Other"/>
    <x v="13"/>
    <x v="0"/>
    <s v="Y"/>
    <s v="Success"/>
    <x v="0"/>
    <x v="0"/>
    <x v="1"/>
  </r>
  <r>
    <s v="TX1002994"/>
    <x v="99"/>
    <x v="3"/>
    <d v="1899-12-30T01:07:40"/>
    <n v="102.74"/>
    <s v="USD"/>
    <s v="M1308"/>
    <x v="0"/>
    <s v="Sweden"/>
    <s v="C82375"/>
    <n v="41"/>
    <s v="F"/>
    <x v="0"/>
    <x v="2"/>
    <s v="Y"/>
    <s v="Success"/>
    <x v="0"/>
    <x v="0"/>
    <x v="2"/>
  </r>
  <r>
    <s v="TX1000589"/>
    <x v="153"/>
    <x v="4"/>
    <d v="1899-12-30T15:45:05"/>
    <n v="102.71"/>
    <s v="USD"/>
    <s v="M1221"/>
    <x v="3"/>
    <s v="Norway"/>
    <s v="C71884"/>
    <n v="38"/>
    <s v="F"/>
    <x v="13"/>
    <x v="0"/>
    <s v="Y"/>
    <s v="Success"/>
    <x v="0"/>
    <x v="0"/>
    <x v="1"/>
  </r>
  <r>
    <s v="TX1002638"/>
    <x v="11"/>
    <x v="3"/>
    <d v="1899-12-30T15:07:18"/>
    <n v="102.7"/>
    <s v="USD"/>
    <s v="M1248"/>
    <x v="0"/>
    <s v="Netherlands"/>
    <s v="C53026"/>
    <n v="48"/>
    <s v="M"/>
    <x v="14"/>
    <x v="1"/>
    <s v="Y"/>
    <s v="Success"/>
    <x v="0"/>
    <x v="0"/>
    <x v="2"/>
  </r>
  <r>
    <s v="TX1002959"/>
    <x v="118"/>
    <x v="3"/>
    <d v="1899-12-30T19:15:58"/>
    <n v="102.63"/>
    <s v="USD"/>
    <s v="M1760"/>
    <x v="8"/>
    <s v="Kenya"/>
    <s v="C55215"/>
    <n v="46"/>
    <s v="Other"/>
    <x v="10"/>
    <x v="3"/>
    <s v="Y"/>
    <s v="Success"/>
    <x v="0"/>
    <x v="0"/>
    <x v="2"/>
  </r>
  <r>
    <s v="TX1001226"/>
    <x v="81"/>
    <x v="0"/>
    <d v="1899-12-30T21:28:41"/>
    <n v="102.6"/>
    <s v="USD"/>
    <s v="M1541"/>
    <x v="4"/>
    <s v="Norway"/>
    <s v="C71740"/>
    <n v="28"/>
    <s v="F"/>
    <x v="4"/>
    <x v="3"/>
    <s v="Y"/>
    <s v="Success"/>
    <x v="0"/>
    <x v="0"/>
    <x v="1"/>
  </r>
  <r>
    <s v="TX1001429"/>
    <x v="150"/>
    <x v="0"/>
    <d v="1899-12-30T17:28:03"/>
    <n v="102.46"/>
    <s v="USD"/>
    <s v="M1600"/>
    <x v="8"/>
    <s v="South Africa"/>
    <s v="C81236"/>
    <n v="10"/>
    <s v="M"/>
    <x v="12"/>
    <x v="1"/>
    <s v="Y"/>
    <s v="Success"/>
    <x v="0"/>
    <x v="0"/>
    <x v="0"/>
  </r>
  <r>
    <s v="TX1000925"/>
    <x v="80"/>
    <x v="4"/>
    <d v="1899-12-30T02:07:50"/>
    <n v="102.37"/>
    <s v="USD"/>
    <s v="M1396"/>
    <x v="5"/>
    <s v="Spain"/>
    <s v="C95795"/>
    <n v="35"/>
    <s v="M"/>
    <x v="0"/>
    <x v="0"/>
    <s v="N"/>
    <s v="Success"/>
    <x v="0"/>
    <x v="0"/>
    <x v="1"/>
  </r>
  <r>
    <s v="TX1002632"/>
    <x v="11"/>
    <x v="3"/>
    <d v="1899-12-30T06:11:42"/>
    <n v="102.24"/>
    <s v="USD"/>
    <s v="M1767"/>
    <x v="4"/>
    <s v="France"/>
    <s v="C66366"/>
    <n v="34"/>
    <s v="M"/>
    <x v="2"/>
    <x v="2"/>
    <s v="N"/>
    <s v="Success"/>
    <x v="0"/>
    <x v="0"/>
    <x v="1"/>
  </r>
  <r>
    <s v="TX1001590"/>
    <x v="84"/>
    <x v="5"/>
    <d v="1899-12-30T09:57:26"/>
    <n v="102.19"/>
    <s v="USD"/>
    <s v="M1645"/>
    <x v="1"/>
    <s v="Sweden"/>
    <s v="C63881"/>
    <n v="26"/>
    <s v="F"/>
    <x v="5"/>
    <x v="1"/>
    <s v="Y"/>
    <s v="Success"/>
    <x v="0"/>
    <x v="0"/>
    <x v="1"/>
  </r>
  <r>
    <s v="TX1000124"/>
    <x v="5"/>
    <x v="1"/>
    <d v="1899-12-30T08:21:53"/>
    <n v="102.16"/>
    <s v="USD"/>
    <s v="M1628"/>
    <x v="9"/>
    <s v="United States"/>
    <s v="C75500"/>
    <n v="11"/>
    <s v="M"/>
    <x v="10"/>
    <x v="0"/>
    <s v="Y"/>
    <s v="Success"/>
    <x v="0"/>
    <x v="0"/>
    <x v="0"/>
  </r>
  <r>
    <s v="TX1001507"/>
    <x v="98"/>
    <x v="5"/>
    <d v="1899-12-30T19:10:24"/>
    <n v="102.15"/>
    <s v="USD"/>
    <s v="M1063"/>
    <x v="0"/>
    <s v="Sweden"/>
    <s v="C96648"/>
    <n v="39"/>
    <s v="F"/>
    <x v="10"/>
    <x v="2"/>
    <s v="Y"/>
    <s v="Success"/>
    <x v="0"/>
    <x v="0"/>
    <x v="1"/>
  </r>
  <r>
    <s v="TX1001706"/>
    <x v="142"/>
    <x v="5"/>
    <d v="1899-12-30T05:22:37"/>
    <n v="102.12"/>
    <s v="USD"/>
    <s v="M1720"/>
    <x v="4"/>
    <s v="India"/>
    <s v="C87191"/>
    <n v="54"/>
    <s v="Other"/>
    <x v="9"/>
    <x v="4"/>
    <s v="Y"/>
    <s v="Success"/>
    <x v="0"/>
    <x v="0"/>
    <x v="2"/>
  </r>
  <r>
    <s v="TX1002184"/>
    <x v="112"/>
    <x v="2"/>
    <d v="1899-12-30T15:56:50"/>
    <n v="102.04"/>
    <s v="USD"/>
    <s v="M1677"/>
    <x v="4"/>
    <s v="Spain"/>
    <s v="C62713"/>
    <n v="66"/>
    <s v="M"/>
    <x v="7"/>
    <x v="5"/>
    <s v="Y"/>
    <s v="Success"/>
    <x v="0"/>
    <x v="0"/>
    <x v="3"/>
  </r>
  <r>
    <s v="TX1001132"/>
    <x v="3"/>
    <x v="0"/>
    <d v="1899-12-30T07:51:03"/>
    <n v="102.01"/>
    <s v="USD"/>
    <s v="M1915"/>
    <x v="7"/>
    <s v="Australia"/>
    <s v="C62248"/>
    <n v="23"/>
    <s v="F"/>
    <x v="13"/>
    <x v="5"/>
    <s v="Y"/>
    <s v="Success"/>
    <x v="0"/>
    <x v="0"/>
    <x v="0"/>
  </r>
  <r>
    <s v="TX1000854"/>
    <x v="12"/>
    <x v="4"/>
    <d v="1899-12-30T12:00:15"/>
    <n v="101.99"/>
    <s v="USD"/>
    <s v="M1626"/>
    <x v="5"/>
    <s v="United Kingdom"/>
    <s v="C94687"/>
    <n v="29"/>
    <s v="F"/>
    <x v="13"/>
    <x v="3"/>
    <s v="Y"/>
    <s v="Success"/>
    <x v="0"/>
    <x v="0"/>
    <x v="1"/>
  </r>
  <r>
    <s v="TX1001351"/>
    <x v="74"/>
    <x v="0"/>
    <d v="1899-12-30T20:45:24"/>
    <n v="101.97"/>
    <s v="USD"/>
    <s v="M1688"/>
    <x v="1"/>
    <s v="France"/>
    <s v="C77304"/>
    <n v="48"/>
    <s v="Other"/>
    <x v="12"/>
    <x v="5"/>
    <s v="Y"/>
    <s v="Success"/>
    <x v="0"/>
    <x v="0"/>
    <x v="2"/>
  </r>
  <r>
    <s v="TX1002924"/>
    <x v="96"/>
    <x v="3"/>
    <d v="1899-12-30T19:23:11"/>
    <n v="101.91"/>
    <s v="USD"/>
    <s v="M1974"/>
    <x v="4"/>
    <s v="Sweden"/>
    <s v="C87975"/>
    <n v="66"/>
    <s v="F"/>
    <x v="7"/>
    <x v="5"/>
    <s v="Y"/>
    <s v="Success"/>
    <x v="0"/>
    <x v="0"/>
    <x v="3"/>
  </r>
  <r>
    <s v="TX1001688"/>
    <x v="27"/>
    <x v="5"/>
    <d v="1899-12-30T00:17:53"/>
    <n v="101.9"/>
    <s v="USD"/>
    <s v="M1958"/>
    <x v="4"/>
    <s v="Germany"/>
    <s v="C86863"/>
    <n v="26"/>
    <s v="F"/>
    <x v="8"/>
    <x v="0"/>
    <s v="Y"/>
    <s v="Success"/>
    <x v="0"/>
    <x v="0"/>
    <x v="1"/>
  </r>
  <r>
    <s v="TX1002952"/>
    <x v="118"/>
    <x v="3"/>
    <d v="1899-12-30T07:57:55"/>
    <n v="101.85"/>
    <s v="USD"/>
    <s v="M1943"/>
    <x v="1"/>
    <s v="France"/>
    <s v="C88871"/>
    <n v="36"/>
    <s v="F"/>
    <x v="14"/>
    <x v="2"/>
    <s v="Y"/>
    <s v="Success"/>
    <x v="0"/>
    <x v="0"/>
    <x v="1"/>
  </r>
  <r>
    <s v="TX1001211"/>
    <x v="81"/>
    <x v="0"/>
    <d v="1899-12-30T07:17:39"/>
    <n v="101.59"/>
    <s v="USD"/>
    <s v="M1144"/>
    <x v="5"/>
    <s v="Canada"/>
    <s v="C74503"/>
    <n v="67"/>
    <s v="F"/>
    <x v="3"/>
    <x v="4"/>
    <s v="N"/>
    <s v="Success"/>
    <x v="0"/>
    <x v="0"/>
    <x v="3"/>
  </r>
  <r>
    <s v="TX1001787"/>
    <x v="26"/>
    <x v="5"/>
    <d v="1899-12-30T05:20:19"/>
    <n v="101.53"/>
    <s v="USD"/>
    <s v="M1850"/>
    <x v="5"/>
    <s v="Germany"/>
    <s v="C86878"/>
    <n v="54"/>
    <s v="M"/>
    <x v="8"/>
    <x v="2"/>
    <s v="Y"/>
    <s v="Success"/>
    <x v="0"/>
    <x v="0"/>
    <x v="2"/>
  </r>
  <r>
    <s v="TX1000679"/>
    <x v="113"/>
    <x v="4"/>
    <d v="1899-12-30T08:01:56"/>
    <n v="101.47"/>
    <s v="USD"/>
    <s v="M1398"/>
    <x v="7"/>
    <s v="South Africa"/>
    <s v="C82812"/>
    <n v="51"/>
    <s v="M"/>
    <x v="1"/>
    <x v="5"/>
    <s v="Y"/>
    <s v="Success"/>
    <x v="0"/>
    <x v="0"/>
    <x v="2"/>
  </r>
  <r>
    <s v="TX1000332"/>
    <x v="95"/>
    <x v="1"/>
    <d v="1899-12-30T15:48:48"/>
    <n v="101.42"/>
    <s v="USD"/>
    <s v="M1815"/>
    <x v="7"/>
    <s v="Germany"/>
    <s v="C94109"/>
    <n v="75"/>
    <s v="F"/>
    <x v="6"/>
    <x v="2"/>
    <s v="Y"/>
    <s v="Success"/>
    <x v="0"/>
    <x v="0"/>
    <x v="3"/>
  </r>
  <r>
    <s v="TX1001744"/>
    <x v="175"/>
    <x v="5"/>
    <d v="1899-12-30T06:05:58"/>
    <n v="101.32"/>
    <s v="USD"/>
    <s v="M1970"/>
    <x v="0"/>
    <s v="Nigeria"/>
    <s v="C71597"/>
    <n v="36"/>
    <s v="F"/>
    <x v="7"/>
    <x v="2"/>
    <s v="Y"/>
    <s v="Success"/>
    <x v="0"/>
    <x v="0"/>
    <x v="1"/>
  </r>
  <r>
    <s v="TX1001031"/>
    <x v="22"/>
    <x v="0"/>
    <d v="1899-12-30T09:35:20"/>
    <n v="101.3"/>
    <s v="USD"/>
    <s v="M1792"/>
    <x v="0"/>
    <s v="Canada"/>
    <s v="C59263"/>
    <n v="59"/>
    <s v="Other"/>
    <x v="14"/>
    <x v="2"/>
    <s v="Y"/>
    <s v="Success"/>
    <x v="0"/>
    <x v="0"/>
    <x v="2"/>
  </r>
  <r>
    <s v="TX1002623"/>
    <x v="94"/>
    <x v="3"/>
    <d v="1899-12-30T20:29:24"/>
    <n v="101.29"/>
    <s v="USD"/>
    <s v="M1711"/>
    <x v="8"/>
    <s v="Sweden"/>
    <s v="C76250"/>
    <n v="66"/>
    <s v="F"/>
    <x v="10"/>
    <x v="5"/>
    <s v="Y"/>
    <s v="Success"/>
    <x v="1"/>
    <x v="1"/>
    <x v="3"/>
  </r>
  <r>
    <s v="TX1001821"/>
    <x v="162"/>
    <x v="5"/>
    <d v="1899-12-30T10:07:30"/>
    <n v="101.27"/>
    <s v="USD"/>
    <s v="M1644"/>
    <x v="3"/>
    <s v="Kenya"/>
    <s v="C84497"/>
    <n v="45"/>
    <s v="F"/>
    <x v="6"/>
    <x v="4"/>
    <s v="Y"/>
    <s v="Success"/>
    <x v="0"/>
    <x v="0"/>
    <x v="2"/>
  </r>
  <r>
    <s v="TX1000379"/>
    <x v="56"/>
    <x v="1"/>
    <d v="1899-12-30T12:43:44"/>
    <n v="101.21"/>
    <s v="USD"/>
    <s v="M1024"/>
    <x v="2"/>
    <s v="Sweden"/>
    <s v="C75042"/>
    <n v="28"/>
    <s v="M"/>
    <x v="14"/>
    <x v="2"/>
    <s v="Y"/>
    <s v="Success"/>
    <x v="0"/>
    <x v="0"/>
    <x v="1"/>
  </r>
  <r>
    <s v="TX1000318"/>
    <x v="95"/>
    <x v="1"/>
    <d v="1899-12-30T01:11:25"/>
    <n v="101.18"/>
    <s v="USD"/>
    <s v="M1021"/>
    <x v="2"/>
    <s v="Sweden"/>
    <s v="C58130"/>
    <n v="57"/>
    <s v="M"/>
    <x v="1"/>
    <x v="5"/>
    <s v="Y"/>
    <s v="Success"/>
    <x v="0"/>
    <x v="0"/>
    <x v="2"/>
  </r>
  <r>
    <s v="TX1000282"/>
    <x v="55"/>
    <x v="1"/>
    <d v="1899-12-30T05:50:34"/>
    <n v="101.03"/>
    <s v="USD"/>
    <s v="M1674"/>
    <x v="0"/>
    <s v="United States"/>
    <s v="C51243"/>
    <n v="71"/>
    <s v="Other"/>
    <x v="10"/>
    <x v="4"/>
    <s v="Y"/>
    <s v="Success"/>
    <x v="0"/>
    <x v="0"/>
    <x v="3"/>
  </r>
  <r>
    <s v="TX1002780"/>
    <x v="169"/>
    <x v="3"/>
    <d v="1899-12-30T18:00:51"/>
    <n v="100.96"/>
    <s v="USD"/>
    <s v="M1901"/>
    <x v="8"/>
    <s v="South Africa"/>
    <s v="C81684"/>
    <n v="45"/>
    <s v="F"/>
    <x v="7"/>
    <x v="2"/>
    <s v="Y"/>
    <s v="Success"/>
    <x v="0"/>
    <x v="0"/>
    <x v="2"/>
  </r>
  <r>
    <s v="TX1000056"/>
    <x v="85"/>
    <x v="1"/>
    <d v="1899-12-30T12:22:29"/>
    <n v="100.91"/>
    <s v="USD"/>
    <s v="M1823"/>
    <x v="0"/>
    <s v="Kenya"/>
    <s v="C76275"/>
    <n v="72"/>
    <s v="F"/>
    <x v="2"/>
    <x v="4"/>
    <s v="Y"/>
    <s v="Success"/>
    <x v="0"/>
    <x v="0"/>
    <x v="3"/>
  </r>
  <r>
    <s v="TX1000642"/>
    <x v="20"/>
    <x v="4"/>
    <d v="1899-12-30T07:43:56"/>
    <n v="100.85"/>
    <s v="USD"/>
    <s v="M1655"/>
    <x v="8"/>
    <s v="Sweden"/>
    <s v="C89337"/>
    <n v="52"/>
    <s v="Other"/>
    <x v="3"/>
    <x v="1"/>
    <s v="Y"/>
    <s v="Success"/>
    <x v="0"/>
    <x v="0"/>
    <x v="2"/>
  </r>
  <r>
    <s v="TX1000215"/>
    <x v="31"/>
    <x v="1"/>
    <d v="1899-12-30T16:06:31"/>
    <n v="100.79"/>
    <s v="USD"/>
    <s v="M1544"/>
    <x v="0"/>
    <s v="Spain"/>
    <s v="C69153"/>
    <n v="62"/>
    <s v="M"/>
    <x v="11"/>
    <x v="2"/>
    <s v="Y"/>
    <s v="Success"/>
    <x v="0"/>
    <x v="0"/>
    <x v="3"/>
  </r>
  <r>
    <s v="TX1002476"/>
    <x v="19"/>
    <x v="2"/>
    <d v="1899-12-30T11:42:21"/>
    <n v="100.69"/>
    <s v="USD"/>
    <s v="M1285"/>
    <x v="4"/>
    <s v="South Africa"/>
    <s v="C77483"/>
    <n v="25"/>
    <s v="M"/>
    <x v="4"/>
    <x v="4"/>
    <s v="Y"/>
    <s v="Success"/>
    <x v="0"/>
    <x v="0"/>
    <x v="1"/>
  </r>
  <r>
    <s v="TX1001816"/>
    <x v="162"/>
    <x v="5"/>
    <d v="1899-12-30T02:57:43"/>
    <n v="100.66"/>
    <s v="USD"/>
    <s v="M1337"/>
    <x v="5"/>
    <s v="Sweden"/>
    <s v="C63138"/>
    <n v="65"/>
    <s v="F"/>
    <x v="2"/>
    <x v="0"/>
    <s v="Y"/>
    <s v="Success"/>
    <x v="0"/>
    <x v="0"/>
    <x v="3"/>
  </r>
  <r>
    <s v="TX1002918"/>
    <x v="96"/>
    <x v="3"/>
    <d v="1899-12-30T09:29:00"/>
    <n v="100.62"/>
    <s v="USD"/>
    <s v="M1027"/>
    <x v="4"/>
    <s v="Spain"/>
    <s v="C90028"/>
    <n v="72"/>
    <s v="F"/>
    <x v="10"/>
    <x v="4"/>
    <s v="Y"/>
    <s v="Success"/>
    <x v="0"/>
    <x v="0"/>
    <x v="3"/>
  </r>
  <r>
    <s v="TX1002488"/>
    <x v="19"/>
    <x v="2"/>
    <d v="1899-12-30T23:16:09"/>
    <n v="100.6"/>
    <s v="USD"/>
    <s v="M1084"/>
    <x v="8"/>
    <s v="Australia"/>
    <s v="C84002"/>
    <n v="34"/>
    <s v="F"/>
    <x v="14"/>
    <x v="1"/>
    <s v="Y"/>
    <s v="Success"/>
    <x v="0"/>
    <x v="0"/>
    <x v="1"/>
  </r>
  <r>
    <s v="TX1000085"/>
    <x v="44"/>
    <x v="1"/>
    <d v="1899-12-30T21:10:25"/>
    <n v="100.59"/>
    <s v="USD"/>
    <s v="M1305"/>
    <x v="4"/>
    <s v="Kenya"/>
    <s v="C59881"/>
    <n v="54"/>
    <s v="F"/>
    <x v="5"/>
    <x v="1"/>
    <s v="Y"/>
    <s v="Success"/>
    <x v="0"/>
    <x v="0"/>
    <x v="2"/>
  </r>
  <r>
    <s v="TX1001584"/>
    <x v="161"/>
    <x v="5"/>
    <d v="1899-12-30T20:21:54"/>
    <n v="100.54"/>
    <s v="USD"/>
    <s v="M1413"/>
    <x v="2"/>
    <s v="United States"/>
    <s v="C68587"/>
    <n v="24"/>
    <s v="Other"/>
    <x v="11"/>
    <x v="4"/>
    <s v="Y"/>
    <s v="Success"/>
    <x v="0"/>
    <x v="0"/>
    <x v="0"/>
  </r>
  <r>
    <s v="TX1001815"/>
    <x v="162"/>
    <x v="5"/>
    <d v="1899-12-30T00:59:36"/>
    <n v="100.48"/>
    <s v="USD"/>
    <s v="M1452"/>
    <x v="5"/>
    <s v="United Kingdom"/>
    <s v="C88276"/>
    <n v="68"/>
    <s v="F"/>
    <x v="5"/>
    <x v="1"/>
    <s v="Y"/>
    <s v="Success"/>
    <x v="0"/>
    <x v="0"/>
    <x v="3"/>
  </r>
  <r>
    <s v="TX1000307"/>
    <x v="157"/>
    <x v="1"/>
    <d v="1899-12-30T15:21:54"/>
    <n v="100.46"/>
    <s v="USD"/>
    <s v="M1230"/>
    <x v="4"/>
    <s v="Nigeria"/>
    <s v="C94942"/>
    <n v="37"/>
    <s v="F"/>
    <x v="7"/>
    <x v="4"/>
    <s v="Y"/>
    <s v="Success"/>
    <x v="0"/>
    <x v="0"/>
    <x v="1"/>
  </r>
  <r>
    <s v="TX1001738"/>
    <x v="70"/>
    <x v="5"/>
    <d v="1899-12-30T21:22:26"/>
    <n v="100.42"/>
    <s v="USD"/>
    <s v="M1466"/>
    <x v="2"/>
    <s v="Sweden"/>
    <s v="C70761"/>
    <n v="54"/>
    <s v="Other"/>
    <x v="8"/>
    <x v="5"/>
    <s v="Y"/>
    <s v="Success"/>
    <x v="0"/>
    <x v="0"/>
    <x v="2"/>
  </r>
  <r>
    <s v="TX1001550"/>
    <x v="145"/>
    <x v="5"/>
    <d v="1899-12-30T10:49:17"/>
    <n v="100.4"/>
    <s v="USD"/>
    <s v="M1378"/>
    <x v="4"/>
    <s v="Kenya"/>
    <s v="C92141"/>
    <n v="71"/>
    <s v="Other"/>
    <x v="5"/>
    <x v="2"/>
    <s v="Y"/>
    <s v="Success"/>
    <x v="0"/>
    <x v="0"/>
    <x v="3"/>
  </r>
  <r>
    <s v="TX1002791"/>
    <x v="101"/>
    <x v="3"/>
    <d v="1899-12-30T15:00:14"/>
    <n v="100.37"/>
    <s v="USD"/>
    <s v="M1461"/>
    <x v="4"/>
    <s v="Canada"/>
    <s v="C80397"/>
    <n v="44"/>
    <s v="F"/>
    <x v="9"/>
    <x v="2"/>
    <s v="Y"/>
    <s v="Success"/>
    <x v="0"/>
    <x v="0"/>
    <x v="2"/>
  </r>
  <r>
    <s v="TX1001561"/>
    <x v="29"/>
    <x v="5"/>
    <d v="1899-12-30T13:14:01"/>
    <n v="100.34"/>
    <s v="USD"/>
    <s v="M1459"/>
    <x v="5"/>
    <s v="United States"/>
    <s v="C69143"/>
    <n v="31"/>
    <s v="Other"/>
    <x v="1"/>
    <x v="1"/>
    <s v="Y"/>
    <s v="Success"/>
    <x v="0"/>
    <x v="0"/>
    <x v="1"/>
  </r>
  <r>
    <s v="TX1001904"/>
    <x v="147"/>
    <x v="5"/>
    <d v="1899-12-30T13:50:11"/>
    <n v="100.07"/>
    <s v="USD"/>
    <s v="M1085"/>
    <x v="9"/>
    <s v="Germany"/>
    <s v="C51180"/>
    <n v="28"/>
    <s v="Other"/>
    <x v="13"/>
    <x v="0"/>
    <s v="Y"/>
    <s v="Success"/>
    <x v="0"/>
    <x v="0"/>
    <x v="1"/>
  </r>
  <r>
    <s v="TX1002271"/>
    <x v="38"/>
    <x v="2"/>
    <d v="1899-12-30T17:57:02"/>
    <n v="100.04"/>
    <s v="USD"/>
    <s v="M1679"/>
    <x v="5"/>
    <s v="Poland"/>
    <s v="C82549"/>
    <n v="11"/>
    <s v="Other"/>
    <x v="13"/>
    <x v="1"/>
    <s v="Y"/>
    <s v="Success"/>
    <x v="0"/>
    <x v="0"/>
    <x v="0"/>
  </r>
  <r>
    <s v="TX1001582"/>
    <x v="161"/>
    <x v="5"/>
    <d v="1899-12-30T17:31:23"/>
    <n v="100.02"/>
    <s v="USD"/>
    <s v="M1424"/>
    <x v="1"/>
    <s v="India"/>
    <s v="C57535"/>
    <n v="47"/>
    <s v="M"/>
    <x v="11"/>
    <x v="5"/>
    <s v="Y"/>
    <s v="Success"/>
    <x v="0"/>
    <x v="0"/>
    <x v="2"/>
  </r>
  <r>
    <s v="TX1001267"/>
    <x v="123"/>
    <x v="0"/>
    <d v="1899-12-30T02:02:45"/>
    <n v="99.9"/>
    <s v="USD"/>
    <s v="M1827"/>
    <x v="1"/>
    <s v="India"/>
    <s v="C93914"/>
    <n v="33"/>
    <s v="F"/>
    <x v="6"/>
    <x v="5"/>
    <s v="N"/>
    <s v="Success"/>
    <x v="0"/>
    <x v="0"/>
    <x v="1"/>
  </r>
  <r>
    <s v="TX1000216"/>
    <x v="31"/>
    <x v="1"/>
    <d v="1899-12-30T18:07:27"/>
    <n v="99.77"/>
    <s v="USD"/>
    <s v="M1642"/>
    <x v="9"/>
    <s v="Germany"/>
    <s v="C77298"/>
    <n v="40"/>
    <s v="F"/>
    <x v="10"/>
    <x v="3"/>
    <s v="Y"/>
    <s v="Success"/>
    <x v="0"/>
    <x v="0"/>
    <x v="2"/>
  </r>
  <r>
    <s v="TX1002198"/>
    <x v="64"/>
    <x v="2"/>
    <d v="1899-12-30T11:26:18"/>
    <n v="99.75"/>
    <s v="USD"/>
    <s v="M1906"/>
    <x v="8"/>
    <s v="Canada"/>
    <s v="C65347"/>
    <n v="43"/>
    <s v="Other"/>
    <x v="2"/>
    <x v="5"/>
    <s v="Y"/>
    <s v="Success"/>
    <x v="0"/>
    <x v="0"/>
    <x v="2"/>
  </r>
  <r>
    <s v="TX1001142"/>
    <x v="165"/>
    <x v="0"/>
    <d v="1899-12-30T05:40:11"/>
    <n v="99.71"/>
    <s v="USD"/>
    <s v="M1562"/>
    <x v="6"/>
    <s v="Spain"/>
    <s v="C86506"/>
    <n v="19"/>
    <s v="M"/>
    <x v="0"/>
    <x v="3"/>
    <s v="N"/>
    <s v="Success"/>
    <x v="0"/>
    <x v="0"/>
    <x v="0"/>
  </r>
  <r>
    <s v="TX1001683"/>
    <x v="134"/>
    <x v="5"/>
    <d v="1899-12-30T17:52:31"/>
    <n v="99.71"/>
    <s v="USD"/>
    <s v="M1666"/>
    <x v="4"/>
    <s v="Spain"/>
    <s v="C72893"/>
    <n v="31"/>
    <s v="Other"/>
    <x v="3"/>
    <x v="4"/>
    <s v="Y"/>
    <s v="Success"/>
    <x v="0"/>
    <x v="0"/>
    <x v="1"/>
  </r>
  <r>
    <s v="TX1000995"/>
    <x v="35"/>
    <x v="0"/>
    <d v="1899-12-30T02:31:51"/>
    <n v="99.59"/>
    <s v="USD"/>
    <s v="M1799"/>
    <x v="4"/>
    <s v="Kenya"/>
    <s v="C69733"/>
    <n v="51"/>
    <s v="F"/>
    <x v="0"/>
    <x v="0"/>
    <s v="Y"/>
    <s v="Success"/>
    <x v="0"/>
    <x v="0"/>
    <x v="2"/>
  </r>
  <r>
    <s v="TX1000572"/>
    <x v="36"/>
    <x v="4"/>
    <d v="1899-12-30T08:35:09"/>
    <n v="99.56"/>
    <s v="USD"/>
    <s v="M1749"/>
    <x v="2"/>
    <s v="Norway"/>
    <s v="C54015"/>
    <n v="30"/>
    <s v="F"/>
    <x v="5"/>
    <x v="0"/>
    <s v="Y"/>
    <s v="Success"/>
    <x v="0"/>
    <x v="0"/>
    <x v="1"/>
  </r>
  <r>
    <s v="TX1000534"/>
    <x v="105"/>
    <x v="4"/>
    <d v="1899-12-30T07:54:31"/>
    <n v="99.5"/>
    <s v="USD"/>
    <s v="M1106"/>
    <x v="1"/>
    <s v="Canada"/>
    <s v="C89756"/>
    <n v="60"/>
    <s v="F"/>
    <x v="1"/>
    <x v="0"/>
    <s v="Y"/>
    <s v="Success"/>
    <x v="0"/>
    <x v="0"/>
    <x v="3"/>
  </r>
  <r>
    <s v="TX1001147"/>
    <x v="165"/>
    <x v="0"/>
    <d v="1899-12-30T18:02:45"/>
    <n v="99.47"/>
    <s v="USD"/>
    <s v="M1657"/>
    <x v="8"/>
    <s v="Germany"/>
    <s v="C75626"/>
    <n v="44"/>
    <s v="Other"/>
    <x v="4"/>
    <x v="2"/>
    <s v="Y"/>
    <s v="Success"/>
    <x v="0"/>
    <x v="0"/>
    <x v="2"/>
  </r>
  <r>
    <s v="TX1000706"/>
    <x v="62"/>
    <x v="4"/>
    <d v="1899-12-30T18:47:15"/>
    <n v="99.29"/>
    <s v="USD"/>
    <s v="M1544"/>
    <x v="5"/>
    <s v="Poland"/>
    <s v="C84366"/>
    <n v="45"/>
    <s v="Other"/>
    <x v="5"/>
    <x v="3"/>
    <s v="Y"/>
    <s v="Success"/>
    <x v="1"/>
    <x v="1"/>
    <x v="2"/>
  </r>
  <r>
    <s v="TX1002508"/>
    <x v="9"/>
    <x v="2"/>
    <d v="1899-12-30T00:12:46"/>
    <n v="99.27"/>
    <s v="USD"/>
    <s v="M1431"/>
    <x v="4"/>
    <s v="India"/>
    <s v="C52772"/>
    <n v="40"/>
    <s v="Other"/>
    <x v="6"/>
    <x v="4"/>
    <s v="N"/>
    <s v="Success"/>
    <x v="0"/>
    <x v="0"/>
    <x v="2"/>
  </r>
  <r>
    <s v="TX1001914"/>
    <x v="155"/>
    <x v="5"/>
    <d v="1899-12-30T05:44:45"/>
    <n v="99.24"/>
    <s v="USD"/>
    <s v="M1062"/>
    <x v="5"/>
    <s v="Norway"/>
    <s v="C52859"/>
    <n v="60"/>
    <s v="Other"/>
    <x v="14"/>
    <x v="2"/>
    <s v="Y"/>
    <s v="Success"/>
    <x v="0"/>
    <x v="0"/>
    <x v="3"/>
  </r>
  <r>
    <s v="TX1000170"/>
    <x v="6"/>
    <x v="1"/>
    <d v="1899-12-30T06:53:18"/>
    <n v="99.2"/>
    <s v="USD"/>
    <s v="M1675"/>
    <x v="1"/>
    <s v="South Africa"/>
    <s v="C76879"/>
    <n v="118"/>
    <s v="Other"/>
    <x v="12"/>
    <x v="0"/>
    <s v="Y"/>
    <s v="Success"/>
    <x v="0"/>
    <x v="0"/>
    <x v="3"/>
  </r>
  <r>
    <s v="TX1000450"/>
    <x v="151"/>
    <x v="1"/>
    <d v="1899-12-30T14:59:54"/>
    <n v="99.17"/>
    <s v="USD"/>
    <s v="M1530"/>
    <x v="0"/>
    <s v="Australia"/>
    <s v="C83307"/>
    <n v="38"/>
    <s v="M"/>
    <x v="5"/>
    <x v="4"/>
    <s v="Y"/>
    <s v="Success"/>
    <x v="0"/>
    <x v="0"/>
    <x v="1"/>
  </r>
  <r>
    <s v="TX1001025"/>
    <x v="22"/>
    <x v="0"/>
    <d v="1899-12-30T02:29:41"/>
    <n v="99.06"/>
    <s v="USD"/>
    <s v="M1961"/>
    <x v="7"/>
    <s v="Nigeria"/>
    <s v="C97577"/>
    <n v="43"/>
    <s v="F"/>
    <x v="8"/>
    <x v="2"/>
    <s v="Y"/>
    <s v="Success"/>
    <x v="0"/>
    <x v="0"/>
    <x v="2"/>
  </r>
  <r>
    <s v="TX1001709"/>
    <x v="142"/>
    <x v="5"/>
    <d v="1899-12-30T05:58:37"/>
    <n v="99.05"/>
    <s v="USD"/>
    <s v="M1958"/>
    <x v="1"/>
    <s v="United States"/>
    <s v="C50046"/>
    <n v="32"/>
    <s v="Other"/>
    <x v="8"/>
    <x v="5"/>
    <s v="Y"/>
    <s v="Success"/>
    <x v="0"/>
    <x v="0"/>
    <x v="1"/>
  </r>
  <r>
    <s v="TX1001247"/>
    <x v="75"/>
    <x v="0"/>
    <d v="1899-12-30T15:21:40"/>
    <n v="99.01"/>
    <s v="USD"/>
    <s v="M1629"/>
    <x v="6"/>
    <s v="Nigeria"/>
    <s v="C76554"/>
    <n v="63"/>
    <s v="Other"/>
    <x v="7"/>
    <x v="2"/>
    <s v="Y"/>
    <s v="Success"/>
    <x v="0"/>
    <x v="0"/>
    <x v="3"/>
  </r>
  <r>
    <s v="TX1001428"/>
    <x v="150"/>
    <x v="0"/>
    <d v="1899-12-30T16:23:47"/>
    <n v="98.85"/>
    <s v="USD"/>
    <s v="M1450"/>
    <x v="4"/>
    <s v="Spain"/>
    <s v="C94834"/>
    <n v="48"/>
    <s v="F"/>
    <x v="14"/>
    <x v="1"/>
    <s v="Y"/>
    <s v="Success"/>
    <x v="0"/>
    <x v="0"/>
    <x v="2"/>
  </r>
  <r>
    <s v="TX1001300"/>
    <x v="125"/>
    <x v="0"/>
    <d v="1899-12-30T21:42:29"/>
    <n v="98.79"/>
    <s v="USD"/>
    <s v="M1435"/>
    <x v="8"/>
    <s v="France"/>
    <s v="C78253"/>
    <n v="70"/>
    <s v="F"/>
    <x v="11"/>
    <x v="1"/>
    <s v="Y"/>
    <s v="Success"/>
    <x v="0"/>
    <x v="0"/>
    <x v="3"/>
  </r>
  <r>
    <s v="TX1001411"/>
    <x v="150"/>
    <x v="0"/>
    <d v="1899-12-30T01:26:17"/>
    <n v="98.73"/>
    <s v="USD"/>
    <s v="M1039"/>
    <x v="4"/>
    <s v="United Kingdom"/>
    <s v="C56923"/>
    <n v="46"/>
    <s v="F"/>
    <x v="13"/>
    <x v="4"/>
    <s v="Y"/>
    <s v="Success"/>
    <x v="0"/>
    <x v="0"/>
    <x v="2"/>
  </r>
  <r>
    <s v="TX1001668"/>
    <x v="176"/>
    <x v="5"/>
    <d v="1899-12-30T11:42:32"/>
    <n v="98.73"/>
    <s v="USD"/>
    <s v="M1676"/>
    <x v="4"/>
    <s v="Germany"/>
    <s v="C61667"/>
    <n v="29"/>
    <s v="F"/>
    <x v="10"/>
    <x v="3"/>
    <s v="Y"/>
    <s v="Success"/>
    <x v="0"/>
    <x v="0"/>
    <x v="1"/>
  </r>
  <r>
    <s v="TX1002084"/>
    <x v="140"/>
    <x v="2"/>
    <d v="1899-12-30T17:48:55"/>
    <n v="98.66"/>
    <s v="USD"/>
    <s v="M1021"/>
    <x v="2"/>
    <s v="Nigeria"/>
    <s v="C68746"/>
    <n v="26"/>
    <s v="F"/>
    <x v="3"/>
    <x v="5"/>
    <s v="Y"/>
    <s v="Success"/>
    <x v="0"/>
    <x v="0"/>
    <x v="1"/>
  </r>
  <r>
    <s v="TX1000470"/>
    <x v="124"/>
    <x v="4"/>
    <d v="1899-12-30T03:25:26"/>
    <n v="98.53"/>
    <s v="USD"/>
    <s v="M1571"/>
    <x v="4"/>
    <s v="Poland"/>
    <s v="C72818"/>
    <n v="67"/>
    <s v="Other"/>
    <x v="2"/>
    <x v="3"/>
    <s v="Y"/>
    <s v="Success"/>
    <x v="0"/>
    <x v="0"/>
    <x v="3"/>
  </r>
  <r>
    <s v="TX1002650"/>
    <x v="41"/>
    <x v="3"/>
    <d v="1899-12-30T10:25:13"/>
    <n v="98.51"/>
    <s v="USD"/>
    <s v="M1030"/>
    <x v="6"/>
    <s v="South Africa"/>
    <s v="C72835"/>
    <n v="64"/>
    <s v="Other"/>
    <x v="13"/>
    <x v="3"/>
    <s v="Y"/>
    <s v="Success"/>
    <x v="0"/>
    <x v="0"/>
    <x v="3"/>
  </r>
  <r>
    <s v="TX1002537"/>
    <x v="23"/>
    <x v="3"/>
    <d v="1899-12-30T15:53:59"/>
    <n v="98.43"/>
    <s v="USD"/>
    <s v="M1711"/>
    <x v="2"/>
    <s v="United States"/>
    <s v="C96418"/>
    <n v="50"/>
    <s v="Other"/>
    <x v="0"/>
    <x v="5"/>
    <s v="Y"/>
    <s v="Success"/>
    <x v="0"/>
    <x v="0"/>
    <x v="2"/>
  </r>
  <r>
    <s v="TX1001287"/>
    <x v="125"/>
    <x v="0"/>
    <d v="1899-12-30T09:09:07"/>
    <n v="98.29"/>
    <s v="USD"/>
    <s v="M1325"/>
    <x v="8"/>
    <s v="Poland"/>
    <s v="C53440"/>
    <n v="25"/>
    <s v="F"/>
    <x v="7"/>
    <x v="2"/>
    <s v="Y"/>
    <s v="Success"/>
    <x v="0"/>
    <x v="0"/>
    <x v="1"/>
  </r>
  <r>
    <s v="TX1001874"/>
    <x v="117"/>
    <x v="5"/>
    <d v="1899-12-30T18:24:50"/>
    <n v="98.17"/>
    <s v="USD"/>
    <s v="M1935"/>
    <x v="6"/>
    <s v="Spain"/>
    <s v="C73335"/>
    <n v="72"/>
    <s v="M"/>
    <x v="0"/>
    <x v="1"/>
    <s v="N"/>
    <s v="Success"/>
    <x v="0"/>
    <x v="0"/>
    <x v="3"/>
  </r>
  <r>
    <s v="TX1000156"/>
    <x v="42"/>
    <x v="1"/>
    <d v="1899-12-30T09:23:40"/>
    <n v="98.08"/>
    <s v="USD"/>
    <s v="M1630"/>
    <x v="0"/>
    <s v="United Kingdom"/>
    <s v="C65880"/>
    <n v="54"/>
    <s v="M"/>
    <x v="6"/>
    <x v="3"/>
    <s v="Y"/>
    <s v="Success"/>
    <x v="0"/>
    <x v="0"/>
    <x v="2"/>
  </r>
  <r>
    <s v="TX1002820"/>
    <x v="4"/>
    <x v="3"/>
    <d v="1899-12-30T20:31:29"/>
    <n v="98.03"/>
    <s v="USD"/>
    <s v="M1593"/>
    <x v="9"/>
    <s v="Sweden"/>
    <s v="C84671"/>
    <n v="54"/>
    <s v="Other"/>
    <x v="11"/>
    <x v="5"/>
    <s v="Y"/>
    <s v="Success"/>
    <x v="0"/>
    <x v="0"/>
    <x v="2"/>
  </r>
  <r>
    <s v="TX1002621"/>
    <x v="94"/>
    <x v="3"/>
    <d v="1899-12-30T18:21:17"/>
    <n v="97.94"/>
    <s v="USD"/>
    <s v="M1912"/>
    <x v="3"/>
    <s v="United Kingdom"/>
    <s v="C54524"/>
    <n v="22"/>
    <s v="Other"/>
    <x v="13"/>
    <x v="2"/>
    <s v="Y"/>
    <s v="Success"/>
    <x v="0"/>
    <x v="0"/>
    <x v="0"/>
  </r>
  <r>
    <s v="TX1001417"/>
    <x v="150"/>
    <x v="0"/>
    <d v="1899-12-30T08:45:53"/>
    <n v="97.92"/>
    <s v="USD"/>
    <s v="M1590"/>
    <x v="5"/>
    <s v="Spain"/>
    <s v="C96519"/>
    <n v="40"/>
    <s v="F"/>
    <x v="12"/>
    <x v="0"/>
    <s v="Y"/>
    <s v="Success"/>
    <x v="0"/>
    <x v="0"/>
    <x v="2"/>
  </r>
  <r>
    <s v="TX1000897"/>
    <x v="8"/>
    <x v="4"/>
    <d v="1899-12-30T16:27:56"/>
    <n v="97.83"/>
    <s v="USD"/>
    <s v="M1137"/>
    <x v="0"/>
    <s v="Norway"/>
    <s v="C56714"/>
    <n v="25"/>
    <s v="Other"/>
    <x v="4"/>
    <x v="0"/>
    <s v="Y"/>
    <s v="Success"/>
    <x v="0"/>
    <x v="0"/>
    <x v="1"/>
  </r>
  <r>
    <s v="TX1001981"/>
    <x v="71"/>
    <x v="5"/>
    <d v="1899-12-30T01:12:43"/>
    <n v="97.78"/>
    <s v="USD"/>
    <s v="M1335"/>
    <x v="2"/>
    <s v="Germany"/>
    <s v="C94498"/>
    <n v="60"/>
    <s v="Other"/>
    <x v="2"/>
    <x v="3"/>
    <s v="Y"/>
    <s v="Success"/>
    <x v="0"/>
    <x v="0"/>
    <x v="3"/>
  </r>
  <r>
    <s v="TX1001108"/>
    <x v="129"/>
    <x v="0"/>
    <d v="1899-12-30T23:49:26"/>
    <n v="97.77"/>
    <s v="USD"/>
    <s v="M1073"/>
    <x v="3"/>
    <s v="Nigeria"/>
    <s v="C91665"/>
    <n v="44"/>
    <s v="M"/>
    <x v="0"/>
    <x v="2"/>
    <s v="Y"/>
    <s v="Success"/>
    <x v="0"/>
    <x v="0"/>
    <x v="2"/>
  </r>
  <r>
    <s v="TX1000329"/>
    <x v="95"/>
    <x v="1"/>
    <d v="1899-12-30T15:03:30"/>
    <n v="97.7"/>
    <s v="USD"/>
    <s v="M1344"/>
    <x v="5"/>
    <s v="Poland"/>
    <s v="C72483"/>
    <n v="60"/>
    <s v="F"/>
    <x v="13"/>
    <x v="0"/>
    <s v="Y"/>
    <s v="Success"/>
    <x v="0"/>
    <x v="0"/>
    <x v="3"/>
  </r>
  <r>
    <s v="TX1001625"/>
    <x v="127"/>
    <x v="5"/>
    <d v="1899-12-30T18:17:53"/>
    <n v="97.56"/>
    <s v="USD"/>
    <s v="M1492"/>
    <x v="2"/>
    <s v="Netherlands"/>
    <s v="C89728"/>
    <n v="18"/>
    <s v="M"/>
    <x v="14"/>
    <x v="2"/>
    <s v="Y"/>
    <s v="Success"/>
    <x v="0"/>
    <x v="0"/>
    <x v="0"/>
  </r>
  <r>
    <s v="TX1000454"/>
    <x v="151"/>
    <x v="1"/>
    <d v="1899-12-30T20:40:47"/>
    <n v="97.42"/>
    <s v="USD"/>
    <s v="M1508"/>
    <x v="8"/>
    <s v="United States"/>
    <s v="C63013"/>
    <n v="64"/>
    <s v="Other"/>
    <x v="11"/>
    <x v="4"/>
    <s v="Y"/>
    <s v="Success"/>
    <x v="0"/>
    <x v="0"/>
    <x v="3"/>
  </r>
  <r>
    <s v="TX1002235"/>
    <x v="93"/>
    <x v="2"/>
    <d v="1899-12-30T11:33:24"/>
    <n v="97.39"/>
    <s v="USD"/>
    <s v="M1151"/>
    <x v="7"/>
    <s v="Sweden"/>
    <s v="C70668"/>
    <n v="67"/>
    <s v="M"/>
    <x v="13"/>
    <x v="0"/>
    <s v="Y"/>
    <s v="Success"/>
    <x v="0"/>
    <x v="0"/>
    <x v="3"/>
  </r>
  <r>
    <s v="TX1000032"/>
    <x v="109"/>
    <x v="1"/>
    <d v="1899-12-30T09:57:31"/>
    <n v="97.36"/>
    <s v="USD"/>
    <s v="M1257"/>
    <x v="6"/>
    <s v="Netherlands"/>
    <s v="C90962"/>
    <n v="26"/>
    <s v="F"/>
    <x v="1"/>
    <x v="2"/>
    <s v="Y"/>
    <s v="Success"/>
    <x v="0"/>
    <x v="0"/>
    <x v="1"/>
  </r>
  <r>
    <s v="TX1000831"/>
    <x v="114"/>
    <x v="4"/>
    <d v="1899-12-30T00:38:25"/>
    <n v="97.29"/>
    <s v="USD"/>
    <s v="M1616"/>
    <x v="3"/>
    <s v="United States"/>
    <s v="C78694"/>
    <n v="39"/>
    <s v="Other"/>
    <x v="7"/>
    <x v="0"/>
    <s v="Y"/>
    <s v="Success"/>
    <x v="0"/>
    <x v="0"/>
    <x v="1"/>
  </r>
  <r>
    <s v="TX1002102"/>
    <x v="158"/>
    <x v="2"/>
    <d v="1899-12-30T17:09:46"/>
    <n v="97.22"/>
    <s v="USD"/>
    <s v="M1138"/>
    <x v="5"/>
    <s v="India"/>
    <s v="C87496"/>
    <n v="75"/>
    <s v="M"/>
    <x v="12"/>
    <x v="3"/>
    <s v="Y"/>
    <s v="Success"/>
    <x v="0"/>
    <x v="0"/>
    <x v="3"/>
  </r>
  <r>
    <s v="TX1001655"/>
    <x v="39"/>
    <x v="5"/>
    <d v="1899-12-30T14:33:58"/>
    <n v="97.18"/>
    <s v="USD"/>
    <s v="M1213"/>
    <x v="9"/>
    <s v="Germany"/>
    <s v="C94152"/>
    <n v="45"/>
    <s v="M"/>
    <x v="6"/>
    <x v="0"/>
    <s v="Y"/>
    <s v="Success"/>
    <x v="0"/>
    <x v="0"/>
    <x v="2"/>
  </r>
  <r>
    <s v="TX1001173"/>
    <x v="40"/>
    <x v="0"/>
    <d v="1899-12-30T23:47:54"/>
    <n v="97.12"/>
    <s v="USD"/>
    <s v="M1386"/>
    <x v="0"/>
    <s v="Canada"/>
    <s v="C65160"/>
    <n v="45"/>
    <s v="F"/>
    <x v="3"/>
    <x v="5"/>
    <s v="N"/>
    <s v="Success"/>
    <x v="0"/>
    <x v="0"/>
    <x v="2"/>
  </r>
  <r>
    <s v="TX1000200"/>
    <x v="49"/>
    <x v="1"/>
    <d v="1899-12-30T21:17:43"/>
    <n v="96.93"/>
    <s v="USD"/>
    <s v="M1367"/>
    <x v="5"/>
    <s v="Poland"/>
    <s v="C69846"/>
    <n v="23"/>
    <s v="F"/>
    <x v="3"/>
    <x v="1"/>
    <s v="Y"/>
    <s v="Success"/>
    <x v="1"/>
    <x v="1"/>
    <x v="0"/>
  </r>
  <r>
    <s v="TX1002342"/>
    <x v="14"/>
    <x v="2"/>
    <d v="1899-12-30T04:45:51"/>
    <n v="96.8"/>
    <s v="USD"/>
    <s v="M1227"/>
    <x v="4"/>
    <s v="Poland"/>
    <s v="C78818"/>
    <n v="73"/>
    <s v="Other"/>
    <x v="2"/>
    <x v="4"/>
    <s v="Y"/>
    <s v="Success"/>
    <x v="0"/>
    <x v="0"/>
    <x v="3"/>
  </r>
  <r>
    <s v="TX1002312"/>
    <x v="97"/>
    <x v="2"/>
    <d v="1899-12-30T06:25:55"/>
    <n v="96.76"/>
    <s v="USD"/>
    <s v="M1325"/>
    <x v="6"/>
    <s v="Kenya"/>
    <s v="C99766"/>
    <n v="117"/>
    <s v="F"/>
    <x v="10"/>
    <x v="0"/>
    <s v="Y"/>
    <s v="Success"/>
    <x v="0"/>
    <x v="0"/>
    <x v="3"/>
  </r>
  <r>
    <s v="TX1002856"/>
    <x v="166"/>
    <x v="3"/>
    <d v="1899-12-30T23:06:43"/>
    <n v="96.71"/>
    <s v="USD"/>
    <s v="M1581"/>
    <x v="7"/>
    <s v="United Kingdom"/>
    <s v="C56461"/>
    <n v="26"/>
    <s v="M"/>
    <x v="8"/>
    <x v="4"/>
    <s v="Y"/>
    <s v="Success"/>
    <x v="0"/>
    <x v="0"/>
    <x v="1"/>
  </r>
  <r>
    <s v="TX1002176"/>
    <x v="112"/>
    <x v="2"/>
    <d v="1899-12-30T09:52:54"/>
    <n v="96.6"/>
    <s v="USD"/>
    <s v="M1910"/>
    <x v="4"/>
    <s v="India"/>
    <s v="C76454"/>
    <n v="48"/>
    <s v="M"/>
    <x v="11"/>
    <x v="3"/>
    <s v="Y"/>
    <s v="Success"/>
    <x v="0"/>
    <x v="0"/>
    <x v="2"/>
  </r>
  <r>
    <s v="TX1000657"/>
    <x v="17"/>
    <x v="4"/>
    <d v="1899-12-30T00:50:21"/>
    <n v="96.59"/>
    <s v="USD"/>
    <s v="M1799"/>
    <x v="6"/>
    <s v="Poland"/>
    <s v="C81844"/>
    <n v="59"/>
    <s v="M"/>
    <x v="6"/>
    <x v="1"/>
    <s v="Y"/>
    <s v="Success"/>
    <x v="0"/>
    <x v="0"/>
    <x v="2"/>
  </r>
  <r>
    <s v="TX1002300"/>
    <x v="156"/>
    <x v="2"/>
    <d v="1899-12-30T11:18:17"/>
    <n v="96.54"/>
    <s v="USD"/>
    <s v="M1586"/>
    <x v="9"/>
    <s v="Spain"/>
    <s v="C81846"/>
    <n v="28"/>
    <s v="F"/>
    <x v="10"/>
    <x v="0"/>
    <s v="Y"/>
    <s v="Success"/>
    <x v="0"/>
    <x v="0"/>
    <x v="1"/>
  </r>
  <r>
    <s v="TX1000626"/>
    <x v="65"/>
    <x v="4"/>
    <d v="1899-12-30T06:46:53"/>
    <n v="96.41"/>
    <s v="USD"/>
    <s v="M1944"/>
    <x v="0"/>
    <s v="United States"/>
    <s v="C50724"/>
    <n v="35"/>
    <s v="M"/>
    <x v="1"/>
    <x v="0"/>
    <s v="Y"/>
    <s v="Success"/>
    <x v="0"/>
    <x v="0"/>
    <x v="1"/>
  </r>
  <r>
    <s v="TX1002103"/>
    <x v="158"/>
    <x v="2"/>
    <d v="1899-12-30T17:21:21"/>
    <n v="96.36"/>
    <s v="USD"/>
    <s v="M1395"/>
    <x v="6"/>
    <s v="Spain"/>
    <s v="C53562"/>
    <n v="26"/>
    <s v="Other"/>
    <x v="3"/>
    <x v="0"/>
    <s v="Y"/>
    <s v="Success"/>
    <x v="0"/>
    <x v="0"/>
    <x v="1"/>
  </r>
  <r>
    <s v="TX1001167"/>
    <x v="40"/>
    <x v="0"/>
    <d v="1899-12-30T15:55:08"/>
    <n v="96.3"/>
    <s v="USD"/>
    <s v="M1389"/>
    <x v="2"/>
    <s v="Kenya"/>
    <s v="C80530"/>
    <n v="49"/>
    <s v="F"/>
    <x v="10"/>
    <x v="5"/>
    <s v="Y"/>
    <s v="Success"/>
    <x v="0"/>
    <x v="0"/>
    <x v="2"/>
  </r>
  <r>
    <s v="TX1000524"/>
    <x v="63"/>
    <x v="4"/>
    <d v="1899-12-30T15:48:51"/>
    <n v="96.08"/>
    <s v="USD"/>
    <s v="M1200"/>
    <x v="3"/>
    <s v="United Kingdom"/>
    <s v="C83733"/>
    <n v="23"/>
    <s v="Other"/>
    <x v="6"/>
    <x v="3"/>
    <s v="Y"/>
    <s v="Success"/>
    <x v="0"/>
    <x v="0"/>
    <x v="0"/>
  </r>
  <r>
    <s v="TX1000377"/>
    <x v="56"/>
    <x v="1"/>
    <d v="1899-12-30T08:08:11"/>
    <n v="96.01"/>
    <s v="USD"/>
    <s v="M1389"/>
    <x v="3"/>
    <s v="Kenya"/>
    <s v="C74345"/>
    <n v="22"/>
    <s v="F"/>
    <x v="7"/>
    <x v="1"/>
    <s v="Y"/>
    <s v="Success"/>
    <x v="0"/>
    <x v="0"/>
    <x v="0"/>
  </r>
  <r>
    <s v="TX1000803"/>
    <x v="170"/>
    <x v="4"/>
    <d v="1899-12-30T02:36:48"/>
    <n v="95.88"/>
    <s v="USD"/>
    <s v="M1181"/>
    <x v="0"/>
    <s v="United Kingdom"/>
    <s v="C90307"/>
    <n v="32"/>
    <s v="M"/>
    <x v="14"/>
    <x v="5"/>
    <s v="Y"/>
    <s v="Success"/>
    <x v="0"/>
    <x v="0"/>
    <x v="1"/>
  </r>
  <r>
    <s v="TX1000427"/>
    <x v="148"/>
    <x v="1"/>
    <d v="1899-12-30T01:07:41"/>
    <n v="95.81"/>
    <s v="USD"/>
    <s v="M1827"/>
    <x v="6"/>
    <s v="India"/>
    <s v="C61403"/>
    <n v="22"/>
    <s v="M"/>
    <x v="7"/>
    <x v="1"/>
    <s v="Y"/>
    <s v="Success"/>
    <x v="0"/>
    <x v="0"/>
    <x v="0"/>
  </r>
  <r>
    <s v="TX1000074"/>
    <x v="44"/>
    <x v="1"/>
    <d v="1899-12-30T07:34:11"/>
    <n v="95.78"/>
    <s v="USD"/>
    <s v="M1924"/>
    <x v="9"/>
    <s v="Canada"/>
    <s v="C87435"/>
    <n v="57"/>
    <s v="M"/>
    <x v="6"/>
    <x v="2"/>
    <s v="Y"/>
    <s v="Success"/>
    <x v="0"/>
    <x v="0"/>
    <x v="2"/>
  </r>
  <r>
    <s v="TX1001231"/>
    <x v="128"/>
    <x v="0"/>
    <d v="1899-12-30T05:30:18"/>
    <n v="95.6"/>
    <s v="USD"/>
    <s v="M1287"/>
    <x v="3"/>
    <s v="United States"/>
    <s v="C84362"/>
    <n v="37"/>
    <s v="Other"/>
    <x v="7"/>
    <x v="5"/>
    <s v="Y"/>
    <s v="Success"/>
    <x v="0"/>
    <x v="0"/>
    <x v="1"/>
  </r>
  <r>
    <s v="TX1002408"/>
    <x v="90"/>
    <x v="2"/>
    <d v="1899-12-30T18:46:53"/>
    <n v="95.56"/>
    <s v="USD"/>
    <s v="M1007"/>
    <x v="2"/>
    <s v="India"/>
    <s v="C63212"/>
    <n v="18"/>
    <s v="Other"/>
    <x v="1"/>
    <x v="2"/>
    <s v="Y"/>
    <s v="Success"/>
    <x v="0"/>
    <x v="0"/>
    <x v="0"/>
  </r>
  <r>
    <s v="TX1002600"/>
    <x v="173"/>
    <x v="3"/>
    <d v="1899-12-30T08:20:58"/>
    <n v="95.54"/>
    <s v="USD"/>
    <s v="M1890"/>
    <x v="8"/>
    <s v="Spain"/>
    <s v="C58484"/>
    <n v="22"/>
    <s v="M"/>
    <x v="12"/>
    <x v="1"/>
    <s v="Y"/>
    <s v="Success"/>
    <x v="0"/>
    <x v="0"/>
    <x v="0"/>
  </r>
  <r>
    <s v="TX1000106"/>
    <x v="179"/>
    <x v="1"/>
    <d v="1899-12-30T08:19:16"/>
    <n v="95.5"/>
    <s v="USD"/>
    <s v="M1664"/>
    <x v="9"/>
    <s v="India"/>
    <s v="C93839"/>
    <n v="57"/>
    <s v="M"/>
    <x v="1"/>
    <x v="3"/>
    <s v="Y"/>
    <s v="Success"/>
    <x v="0"/>
    <x v="0"/>
    <x v="2"/>
  </r>
  <r>
    <s v="TX1002641"/>
    <x v="11"/>
    <x v="3"/>
    <d v="1899-12-30T21:58:12"/>
    <n v="95.48"/>
    <s v="USD"/>
    <s v="M1655"/>
    <x v="1"/>
    <s v="Canada"/>
    <s v="C71164"/>
    <n v="61"/>
    <s v="F"/>
    <x v="1"/>
    <x v="2"/>
    <s v="Y"/>
    <s v="Success"/>
    <x v="0"/>
    <x v="0"/>
    <x v="3"/>
  </r>
  <r>
    <s v="TX1002990"/>
    <x v="116"/>
    <x v="3"/>
    <d v="1899-12-30T22:26:32"/>
    <n v="95.44"/>
    <s v="USD"/>
    <s v="M1672"/>
    <x v="4"/>
    <s v="India"/>
    <s v="C77744"/>
    <n v="66"/>
    <s v="F"/>
    <x v="0"/>
    <x v="2"/>
    <s v="Y"/>
    <s v="Success"/>
    <x v="0"/>
    <x v="0"/>
    <x v="3"/>
  </r>
  <r>
    <s v="TX1001794"/>
    <x v="26"/>
    <x v="5"/>
    <d v="1899-12-30T16:16:43"/>
    <n v="95.44"/>
    <s v="USD"/>
    <s v="M1056"/>
    <x v="1"/>
    <s v="United States"/>
    <s v="C84248"/>
    <n v="47"/>
    <s v="F"/>
    <x v="12"/>
    <x v="3"/>
    <s v="Y"/>
    <s v="Success"/>
    <x v="0"/>
    <x v="0"/>
    <x v="2"/>
  </r>
  <r>
    <s v="TX1001273"/>
    <x v="123"/>
    <x v="0"/>
    <d v="1899-12-30T08:08:12"/>
    <n v="95.3"/>
    <s v="USD"/>
    <s v="M1307"/>
    <x v="7"/>
    <s v="Nigeria"/>
    <s v="C50546"/>
    <n v="50"/>
    <s v="M"/>
    <x v="10"/>
    <x v="4"/>
    <s v="Y"/>
    <s v="Success"/>
    <x v="0"/>
    <x v="0"/>
    <x v="2"/>
  </r>
  <r>
    <s v="TX1002099"/>
    <x v="158"/>
    <x v="2"/>
    <d v="1899-12-30T08:46:06"/>
    <n v="95.17"/>
    <s v="USD"/>
    <s v="M1286"/>
    <x v="5"/>
    <s v="Sweden"/>
    <s v="C83822"/>
    <n v="34"/>
    <s v="M"/>
    <x v="9"/>
    <x v="4"/>
    <s v="Y"/>
    <s v="Success"/>
    <x v="1"/>
    <x v="1"/>
    <x v="1"/>
  </r>
  <r>
    <s v="TX1001929"/>
    <x v="155"/>
    <x v="5"/>
    <d v="1899-12-30T21:45:41"/>
    <n v="95.09"/>
    <s v="USD"/>
    <s v="M1792"/>
    <x v="4"/>
    <s v="Canada"/>
    <s v="C87469"/>
    <n v="50"/>
    <s v="F"/>
    <x v="9"/>
    <x v="0"/>
    <s v="Y"/>
    <s v="Success"/>
    <x v="0"/>
    <x v="0"/>
    <x v="2"/>
  </r>
  <r>
    <s v="TX1001335"/>
    <x v="74"/>
    <x v="0"/>
    <d v="1899-12-30T02:19:13"/>
    <n v="94.92"/>
    <s v="USD"/>
    <s v="M1631"/>
    <x v="1"/>
    <s v="Norway"/>
    <s v="C51474"/>
    <n v="71"/>
    <s v="Other"/>
    <x v="6"/>
    <x v="2"/>
    <s v="Y"/>
    <s v="Success"/>
    <x v="0"/>
    <x v="0"/>
    <x v="3"/>
  </r>
  <r>
    <s v="TX1001126"/>
    <x v="168"/>
    <x v="0"/>
    <d v="1899-12-30T22:38:21"/>
    <n v="94.91"/>
    <s v="USD"/>
    <s v="M1654"/>
    <x v="1"/>
    <s v="Sweden"/>
    <s v="C64664"/>
    <n v="48"/>
    <s v="F"/>
    <x v="10"/>
    <x v="2"/>
    <s v="Y"/>
    <s v="Success"/>
    <x v="0"/>
    <x v="0"/>
    <x v="2"/>
  </r>
  <r>
    <s v="TX1001469"/>
    <x v="61"/>
    <x v="0"/>
    <d v="1899-12-30T19:45:25"/>
    <n v="94.87"/>
    <s v="USD"/>
    <s v="M1268"/>
    <x v="1"/>
    <s v="Nigeria"/>
    <s v="C80986"/>
    <n v="52"/>
    <s v="M"/>
    <x v="3"/>
    <x v="0"/>
    <s v="Y"/>
    <s v="Success"/>
    <x v="0"/>
    <x v="0"/>
    <x v="2"/>
  </r>
  <r>
    <s v="TX1000461"/>
    <x v="25"/>
    <x v="1"/>
    <d v="1899-12-30T08:18:18"/>
    <n v="94.81"/>
    <s v="USD"/>
    <s v="M1095"/>
    <x v="6"/>
    <s v="Nigeria"/>
    <s v="C86765"/>
    <n v="50"/>
    <s v="M"/>
    <x v="13"/>
    <x v="4"/>
    <s v="N"/>
    <s v="Success"/>
    <x v="1"/>
    <x v="1"/>
    <x v="2"/>
  </r>
  <r>
    <s v="TX1000660"/>
    <x v="17"/>
    <x v="4"/>
    <d v="1899-12-30T03:07:14"/>
    <n v="94.81"/>
    <s v="USD"/>
    <s v="M1341"/>
    <x v="1"/>
    <s v="United Kingdom"/>
    <s v="C78234"/>
    <n v="54"/>
    <s v="M"/>
    <x v="11"/>
    <x v="2"/>
    <s v="N"/>
    <s v="Success"/>
    <x v="0"/>
    <x v="0"/>
    <x v="2"/>
  </r>
  <r>
    <s v="TX1001368"/>
    <x v="50"/>
    <x v="0"/>
    <d v="1899-12-30T21:18:52"/>
    <n v="94.79"/>
    <s v="USD"/>
    <s v="M1291"/>
    <x v="6"/>
    <s v="United Kingdom"/>
    <s v="C77829"/>
    <n v="56"/>
    <s v="F"/>
    <x v="10"/>
    <x v="3"/>
    <s v="Y"/>
    <s v="Success"/>
    <x v="0"/>
    <x v="0"/>
    <x v="2"/>
  </r>
  <r>
    <s v="TX1002301"/>
    <x v="156"/>
    <x v="2"/>
    <d v="1899-12-30T12:09:40"/>
    <n v="94.68"/>
    <s v="USD"/>
    <s v="M1287"/>
    <x v="8"/>
    <s v="Poland"/>
    <s v="C90860"/>
    <n v="54"/>
    <s v="Other"/>
    <x v="14"/>
    <x v="4"/>
    <s v="N"/>
    <s v="Success"/>
    <x v="0"/>
    <x v="0"/>
    <x v="2"/>
  </r>
  <r>
    <s v="TX1002008"/>
    <x v="126"/>
    <x v="2"/>
    <d v="1899-12-30T19:11:13"/>
    <n v="94.62"/>
    <s v="USD"/>
    <s v="M1939"/>
    <x v="8"/>
    <s v="United States"/>
    <s v="C79430"/>
    <n v="58"/>
    <s v="M"/>
    <x v="1"/>
    <x v="0"/>
    <s v="Y"/>
    <s v="Success"/>
    <x v="0"/>
    <x v="0"/>
    <x v="2"/>
  </r>
  <r>
    <s v="TX1001745"/>
    <x v="175"/>
    <x v="5"/>
    <d v="1899-12-30T06:32:57"/>
    <n v="94.52"/>
    <s v="USD"/>
    <s v="M1006"/>
    <x v="0"/>
    <s v="India"/>
    <s v="C85601"/>
    <n v="45"/>
    <s v="F"/>
    <x v="3"/>
    <x v="0"/>
    <s v="Y"/>
    <s v="Success"/>
    <x v="0"/>
    <x v="0"/>
    <x v="2"/>
  </r>
  <r>
    <s v="TX1001494"/>
    <x v="98"/>
    <x v="5"/>
    <d v="1899-12-30T04:17:21"/>
    <n v="94.4"/>
    <s v="USD"/>
    <s v="M1883"/>
    <x v="9"/>
    <s v="Nigeria"/>
    <s v="C55714"/>
    <n v="73"/>
    <s v="Other"/>
    <x v="2"/>
    <x v="1"/>
    <s v="Y"/>
    <s v="Success"/>
    <x v="0"/>
    <x v="0"/>
    <x v="3"/>
  </r>
  <r>
    <s v="TX1002122"/>
    <x v="21"/>
    <x v="2"/>
    <d v="1899-12-30T19:35:53"/>
    <n v="94.4"/>
    <s v="USD"/>
    <s v="M1252"/>
    <x v="4"/>
    <s v="Sweden"/>
    <s v="C65871"/>
    <n v="69"/>
    <s v="M"/>
    <x v="9"/>
    <x v="1"/>
    <s v="Y"/>
    <s v="Success"/>
    <x v="0"/>
    <x v="0"/>
    <x v="3"/>
  </r>
  <r>
    <s v="TX1001700"/>
    <x v="27"/>
    <x v="5"/>
    <d v="1899-12-30T16:07:09"/>
    <n v="94.29"/>
    <s v="USD"/>
    <s v="M1770"/>
    <x v="3"/>
    <s v="Germany"/>
    <s v="C84325"/>
    <n v="42"/>
    <s v="M"/>
    <x v="8"/>
    <x v="1"/>
    <s v="Y"/>
    <s v="Success"/>
    <x v="0"/>
    <x v="0"/>
    <x v="2"/>
  </r>
  <r>
    <s v="TX1001761"/>
    <x v="72"/>
    <x v="5"/>
    <d v="1899-12-30T08:20:26"/>
    <n v="94.01"/>
    <s v="USD"/>
    <s v="M1669"/>
    <x v="9"/>
    <s v="Poland"/>
    <s v="C63380"/>
    <n v="24"/>
    <s v="F"/>
    <x v="8"/>
    <x v="3"/>
    <s v="Y"/>
    <s v="Success"/>
    <x v="1"/>
    <x v="1"/>
    <x v="0"/>
  </r>
  <r>
    <s v="TX1001522"/>
    <x v="58"/>
    <x v="5"/>
    <d v="1899-12-30T16:15:10"/>
    <n v="93.91"/>
    <s v="USD"/>
    <s v="M1985"/>
    <x v="4"/>
    <s v="France"/>
    <s v="C62640"/>
    <n v="21"/>
    <s v="F"/>
    <x v="5"/>
    <x v="4"/>
    <s v="Y"/>
    <s v="Success"/>
    <x v="0"/>
    <x v="0"/>
    <x v="0"/>
  </r>
  <r>
    <s v="TX1001352"/>
    <x v="74"/>
    <x v="0"/>
    <d v="1899-12-30T22:07:39"/>
    <n v="93.73"/>
    <s v="USD"/>
    <s v="M1943"/>
    <x v="6"/>
    <s v="France"/>
    <s v="C93095"/>
    <n v="45"/>
    <s v="Other"/>
    <x v="1"/>
    <x v="2"/>
    <s v="Y"/>
    <s v="Success"/>
    <x v="0"/>
    <x v="0"/>
    <x v="2"/>
  </r>
  <r>
    <s v="TX1000182"/>
    <x v="49"/>
    <x v="1"/>
    <d v="1899-12-30T00:01:58"/>
    <n v="93.67"/>
    <s v="USD"/>
    <s v="M1832"/>
    <x v="1"/>
    <s v="India"/>
    <s v="C79857"/>
    <n v="48"/>
    <s v="M"/>
    <x v="11"/>
    <x v="5"/>
    <s v="Y"/>
    <s v="Success"/>
    <x v="0"/>
    <x v="0"/>
    <x v="2"/>
  </r>
  <r>
    <s v="TX1001629"/>
    <x v="143"/>
    <x v="5"/>
    <d v="1899-12-30T01:01:23"/>
    <n v="93.66"/>
    <s v="USD"/>
    <s v="M1276"/>
    <x v="9"/>
    <s v="Germany"/>
    <s v="C63252"/>
    <n v="48"/>
    <s v="M"/>
    <x v="14"/>
    <x v="0"/>
    <s v="Y"/>
    <s v="Success"/>
    <x v="0"/>
    <x v="0"/>
    <x v="2"/>
  </r>
  <r>
    <s v="TX1000625"/>
    <x v="65"/>
    <x v="4"/>
    <d v="1899-12-30T06:18:05"/>
    <n v="93.58"/>
    <s v="USD"/>
    <s v="M1425"/>
    <x v="9"/>
    <s v="United Kingdom"/>
    <s v="C59537"/>
    <n v="21"/>
    <s v="F"/>
    <x v="10"/>
    <x v="2"/>
    <s v="Y"/>
    <s v="Success"/>
    <x v="0"/>
    <x v="0"/>
    <x v="0"/>
  </r>
  <r>
    <s v="TX1000174"/>
    <x v="6"/>
    <x v="1"/>
    <d v="1899-12-30T13:03:25"/>
    <n v="93.51"/>
    <s v="USD"/>
    <s v="M1212"/>
    <x v="2"/>
    <s v="Nigeria"/>
    <s v="C77134"/>
    <n v="31"/>
    <s v="M"/>
    <x v="14"/>
    <x v="5"/>
    <s v="Y"/>
    <s v="Success"/>
    <x v="0"/>
    <x v="0"/>
    <x v="1"/>
  </r>
  <r>
    <s v="TX1001038"/>
    <x v="22"/>
    <x v="0"/>
    <d v="1899-12-30T16:10:43"/>
    <n v="93.34"/>
    <s v="USD"/>
    <s v="M1769"/>
    <x v="1"/>
    <s v="Germany"/>
    <s v="C83386"/>
    <n v="58"/>
    <s v="Other"/>
    <x v="11"/>
    <x v="0"/>
    <s v="Y"/>
    <s v="Success"/>
    <x v="1"/>
    <x v="1"/>
    <x v="2"/>
  </r>
  <r>
    <s v="TX1000135"/>
    <x v="30"/>
    <x v="1"/>
    <d v="1899-12-30T06:23:05"/>
    <n v="93.29"/>
    <s v="USD"/>
    <s v="M1655"/>
    <x v="5"/>
    <s v="Nigeria"/>
    <s v="C91371"/>
    <n v="23"/>
    <s v="M"/>
    <x v="2"/>
    <x v="5"/>
    <s v="Y"/>
    <s v="Success"/>
    <x v="0"/>
    <x v="0"/>
    <x v="0"/>
  </r>
  <r>
    <s v="TX1000911"/>
    <x v="68"/>
    <x v="4"/>
    <d v="1899-12-30T07:59:16"/>
    <n v="93.26"/>
    <s v="USD"/>
    <s v="M1512"/>
    <x v="0"/>
    <s v="Germany"/>
    <s v="C70444"/>
    <n v="46"/>
    <s v="Other"/>
    <x v="3"/>
    <x v="4"/>
    <s v="Y"/>
    <s v="Success"/>
    <x v="0"/>
    <x v="0"/>
    <x v="2"/>
  </r>
  <r>
    <s v="TX1002881"/>
    <x v="144"/>
    <x v="3"/>
    <d v="1899-12-30T08:07:03"/>
    <n v="93.25"/>
    <s v="USD"/>
    <s v="M1236"/>
    <x v="4"/>
    <s v="Poland"/>
    <s v="C74930"/>
    <n v="18"/>
    <s v="F"/>
    <x v="1"/>
    <x v="5"/>
    <s v="Y"/>
    <s v="Success"/>
    <x v="0"/>
    <x v="0"/>
    <x v="0"/>
  </r>
  <r>
    <s v="TX1000820"/>
    <x v="91"/>
    <x v="4"/>
    <d v="1899-12-30T18:57:31"/>
    <n v="93.16"/>
    <s v="USD"/>
    <s v="M1435"/>
    <x v="9"/>
    <s v="Australia"/>
    <s v="C69734"/>
    <n v="67"/>
    <s v="M"/>
    <x v="4"/>
    <x v="2"/>
    <s v="Y"/>
    <s v="Success"/>
    <x v="0"/>
    <x v="0"/>
    <x v="3"/>
  </r>
  <r>
    <s v="TX1001220"/>
    <x v="81"/>
    <x v="0"/>
    <d v="1899-12-30T13:59:28"/>
    <n v="93.15"/>
    <s v="USD"/>
    <s v="M1624"/>
    <x v="5"/>
    <s v="India"/>
    <s v="C69348"/>
    <n v="39"/>
    <s v="Other"/>
    <x v="3"/>
    <x v="3"/>
    <s v="Y"/>
    <s v="Success"/>
    <x v="0"/>
    <x v="0"/>
    <x v="1"/>
  </r>
  <r>
    <s v="TX1001983"/>
    <x v="71"/>
    <x v="5"/>
    <d v="1899-12-30T03:03:51"/>
    <n v="93.11"/>
    <s v="USD"/>
    <s v="M1153"/>
    <x v="6"/>
    <s v="United States"/>
    <s v="C68268"/>
    <n v="31"/>
    <s v="Other"/>
    <x v="2"/>
    <x v="3"/>
    <s v="Y"/>
    <s v="Success"/>
    <x v="1"/>
    <x v="1"/>
    <x v="1"/>
  </r>
  <r>
    <s v="TX1002812"/>
    <x v="4"/>
    <x v="3"/>
    <d v="1899-12-30T10:16:03"/>
    <n v="93.07"/>
    <s v="USD"/>
    <s v="M1836"/>
    <x v="3"/>
    <s v="Canada"/>
    <s v="C79519"/>
    <n v="65"/>
    <s v="M"/>
    <x v="12"/>
    <x v="5"/>
    <s v="Y"/>
    <s v="Success"/>
    <x v="1"/>
    <x v="1"/>
    <x v="3"/>
  </r>
  <r>
    <s v="TX1001321"/>
    <x v="108"/>
    <x v="0"/>
    <d v="1899-12-30T05:05:22"/>
    <n v="93.04"/>
    <s v="USD"/>
    <s v="M1901"/>
    <x v="7"/>
    <s v="Nigeria"/>
    <s v="C58929"/>
    <n v="53"/>
    <s v="Other"/>
    <x v="11"/>
    <x v="1"/>
    <s v="Y"/>
    <s v="Success"/>
    <x v="0"/>
    <x v="0"/>
    <x v="2"/>
  </r>
  <r>
    <s v="TX1001281"/>
    <x v="123"/>
    <x v="0"/>
    <d v="1899-12-30T22:26:06"/>
    <n v="93.03"/>
    <s v="USD"/>
    <s v="M1887"/>
    <x v="4"/>
    <s v="France"/>
    <s v="C81231"/>
    <n v="72"/>
    <s v="F"/>
    <x v="11"/>
    <x v="0"/>
    <s v="Y"/>
    <s v="Success"/>
    <x v="0"/>
    <x v="0"/>
    <x v="3"/>
  </r>
  <r>
    <s v="TX1000061"/>
    <x v="85"/>
    <x v="1"/>
    <d v="1899-12-30T15:11:49"/>
    <n v="92.95"/>
    <s v="USD"/>
    <s v="M1012"/>
    <x v="9"/>
    <s v="Norway"/>
    <s v="C64567"/>
    <n v="58"/>
    <s v="Other"/>
    <x v="6"/>
    <x v="0"/>
    <s v="Y"/>
    <s v="Success"/>
    <x v="0"/>
    <x v="0"/>
    <x v="2"/>
  </r>
  <r>
    <s v="TX1000675"/>
    <x v="113"/>
    <x v="4"/>
    <d v="1899-12-30T02:48:48"/>
    <n v="92.93"/>
    <s v="USD"/>
    <s v="M1399"/>
    <x v="8"/>
    <s v="Poland"/>
    <s v="C75551"/>
    <n v="36"/>
    <s v="M"/>
    <x v="5"/>
    <x v="2"/>
    <s v="Y"/>
    <s v="Success"/>
    <x v="0"/>
    <x v="0"/>
    <x v="1"/>
  </r>
  <r>
    <s v="TX1002395"/>
    <x v="82"/>
    <x v="2"/>
    <d v="1899-12-30T23:38:39"/>
    <n v="92.87"/>
    <s v="USD"/>
    <s v="M1042"/>
    <x v="6"/>
    <s v="France"/>
    <s v="C59988"/>
    <n v="64"/>
    <s v="F"/>
    <x v="4"/>
    <x v="4"/>
    <s v="Y"/>
    <s v="Success"/>
    <x v="0"/>
    <x v="0"/>
    <x v="3"/>
  </r>
  <r>
    <s v="TX1002601"/>
    <x v="173"/>
    <x v="3"/>
    <d v="1899-12-30T10:52:22"/>
    <n v="92.81"/>
    <s v="USD"/>
    <s v="M1275"/>
    <x v="6"/>
    <s v="Nigeria"/>
    <s v="C95476"/>
    <n v="37"/>
    <s v="Other"/>
    <x v="10"/>
    <x v="4"/>
    <s v="Y"/>
    <s v="Success"/>
    <x v="0"/>
    <x v="0"/>
    <x v="1"/>
  </r>
  <r>
    <s v="TX1000419"/>
    <x v="149"/>
    <x v="1"/>
    <d v="1899-12-30T14:45:13"/>
    <n v="92.77"/>
    <s v="USD"/>
    <s v="M1801"/>
    <x v="4"/>
    <s v="India"/>
    <s v="C59083"/>
    <n v="61"/>
    <s v="Other"/>
    <x v="2"/>
    <x v="2"/>
    <s v="Y"/>
    <s v="Success"/>
    <x v="0"/>
    <x v="0"/>
    <x v="3"/>
  </r>
  <r>
    <s v="TX1000491"/>
    <x v="57"/>
    <x v="4"/>
    <d v="1899-12-30T04:59:48"/>
    <n v="92.67"/>
    <s v="USD"/>
    <s v="M1554"/>
    <x v="4"/>
    <s v="South Africa"/>
    <s v="C86546"/>
    <n v="45"/>
    <s v="F"/>
    <x v="2"/>
    <x v="1"/>
    <s v="Y"/>
    <s v="Success"/>
    <x v="0"/>
    <x v="0"/>
    <x v="2"/>
  </r>
  <r>
    <s v="TX1000007"/>
    <x v="146"/>
    <x v="1"/>
    <d v="1899-12-30T01:10:28"/>
    <n v="92.47"/>
    <s v="USD"/>
    <s v="M1692"/>
    <x v="8"/>
    <s v="Australia"/>
    <s v="C81731"/>
    <n v="32"/>
    <s v="F"/>
    <x v="4"/>
    <x v="1"/>
    <s v="Y"/>
    <s v="Success"/>
    <x v="0"/>
    <x v="0"/>
    <x v="1"/>
  </r>
  <r>
    <s v="TX1001405"/>
    <x v="60"/>
    <x v="0"/>
    <d v="1899-12-30T19:18:29"/>
    <n v="92.39"/>
    <s v="USD"/>
    <s v="M1845"/>
    <x v="4"/>
    <s v="Sweden"/>
    <s v="C98915"/>
    <n v="60"/>
    <s v="F"/>
    <x v="14"/>
    <x v="0"/>
    <s v="Y"/>
    <s v="Success"/>
    <x v="0"/>
    <x v="0"/>
    <x v="3"/>
  </r>
  <r>
    <s v="TX1002130"/>
    <x v="135"/>
    <x v="2"/>
    <d v="1899-12-30T04:17:08"/>
    <n v="92.36"/>
    <s v="USD"/>
    <s v="M1945"/>
    <x v="6"/>
    <s v="Norway"/>
    <s v="C72413"/>
    <n v="73"/>
    <s v="M"/>
    <x v="11"/>
    <x v="3"/>
    <s v="Y"/>
    <s v="Success"/>
    <x v="0"/>
    <x v="0"/>
    <x v="3"/>
  </r>
  <r>
    <s v="TX1001679"/>
    <x v="134"/>
    <x v="5"/>
    <d v="1899-12-30T14:37:26"/>
    <n v="92.29"/>
    <s v="USD"/>
    <s v="M1896"/>
    <x v="8"/>
    <s v="Canada"/>
    <s v="C99118"/>
    <n v="27"/>
    <s v="F"/>
    <x v="6"/>
    <x v="5"/>
    <s v="Y"/>
    <s v="Success"/>
    <x v="0"/>
    <x v="0"/>
    <x v="1"/>
  </r>
  <r>
    <s v="TX1001579"/>
    <x v="161"/>
    <x v="5"/>
    <d v="1899-12-30T13:13:37"/>
    <n v="92.27"/>
    <s v="USD"/>
    <s v="M1703"/>
    <x v="5"/>
    <s v="France"/>
    <s v="C94724"/>
    <n v="61"/>
    <s v="F"/>
    <x v="12"/>
    <x v="1"/>
    <s v="Y"/>
    <s v="Success"/>
    <x v="0"/>
    <x v="0"/>
    <x v="3"/>
  </r>
  <r>
    <s v="TX1002133"/>
    <x v="135"/>
    <x v="2"/>
    <d v="1899-12-30T08:16:40"/>
    <n v="92.16"/>
    <s v="USD"/>
    <s v="M1000"/>
    <x v="3"/>
    <s v="France"/>
    <s v="C58531"/>
    <n v="60"/>
    <s v="Other"/>
    <x v="12"/>
    <x v="3"/>
    <s v="Y"/>
    <s v="Success"/>
    <x v="0"/>
    <x v="0"/>
    <x v="3"/>
  </r>
  <r>
    <s v="TX1001611"/>
    <x v="66"/>
    <x v="5"/>
    <d v="1899-12-30T21:14:44"/>
    <n v="92.11"/>
    <s v="USD"/>
    <s v="M1806"/>
    <x v="2"/>
    <s v="India"/>
    <s v="C74078"/>
    <n v="67"/>
    <s v="F"/>
    <x v="13"/>
    <x v="4"/>
    <s v="Y"/>
    <s v="Success"/>
    <x v="0"/>
    <x v="0"/>
    <x v="3"/>
  </r>
  <r>
    <s v="TX1001194"/>
    <x v="107"/>
    <x v="0"/>
    <d v="1899-12-30T03:16:10"/>
    <n v="91.94"/>
    <s v="USD"/>
    <s v="M1717"/>
    <x v="9"/>
    <s v="Norway"/>
    <s v="C78392"/>
    <n v="46"/>
    <s v="M"/>
    <x v="6"/>
    <x v="4"/>
    <s v="Y"/>
    <s v="Success"/>
    <x v="0"/>
    <x v="0"/>
    <x v="2"/>
  </r>
  <r>
    <s v="TX1000138"/>
    <x v="30"/>
    <x v="1"/>
    <d v="1899-12-30T08:25:03"/>
    <n v="91.85"/>
    <s v="USD"/>
    <s v="M1445"/>
    <x v="0"/>
    <s v="Poland"/>
    <s v="C91912"/>
    <n v="32"/>
    <s v="M"/>
    <x v="10"/>
    <x v="1"/>
    <s v="Y"/>
    <s v="Success"/>
    <x v="0"/>
    <x v="0"/>
    <x v="1"/>
  </r>
  <r>
    <s v="TX1000097"/>
    <x v="37"/>
    <x v="1"/>
    <d v="1899-12-30T22:59:46"/>
    <n v="91.79"/>
    <s v="USD"/>
    <s v="M1845"/>
    <x v="9"/>
    <s v="Norway"/>
    <s v="C64609"/>
    <n v="56"/>
    <s v="F"/>
    <x v="8"/>
    <x v="3"/>
    <s v="Y"/>
    <s v="Success"/>
    <x v="1"/>
    <x v="1"/>
    <x v="2"/>
  </r>
  <r>
    <s v="TX1001156"/>
    <x v="165"/>
    <x v="0"/>
    <d v="1899-12-30T22:56:39"/>
    <n v="91.67"/>
    <s v="USD"/>
    <s v="M1256"/>
    <x v="4"/>
    <s v="India"/>
    <s v="C59201"/>
    <n v="41"/>
    <s v="F"/>
    <x v="8"/>
    <x v="3"/>
    <s v="Y"/>
    <s v="Success"/>
    <x v="0"/>
    <x v="0"/>
    <x v="2"/>
  </r>
  <r>
    <s v="TX1001868"/>
    <x v="117"/>
    <x v="5"/>
    <d v="1899-12-30T06:26:56"/>
    <n v="91.61"/>
    <s v="USD"/>
    <s v="M1146"/>
    <x v="5"/>
    <s v="Kenya"/>
    <s v="C93418"/>
    <n v="72"/>
    <s v="F"/>
    <x v="11"/>
    <x v="3"/>
    <s v="Y"/>
    <s v="Success"/>
    <x v="0"/>
    <x v="0"/>
    <x v="3"/>
  </r>
  <r>
    <s v="TX1002057"/>
    <x v="33"/>
    <x v="2"/>
    <d v="1899-12-30T12:33:35"/>
    <n v="91.54"/>
    <s v="USD"/>
    <s v="M1266"/>
    <x v="8"/>
    <s v="Poland"/>
    <s v="C53394"/>
    <n v="50"/>
    <s v="Other"/>
    <x v="5"/>
    <x v="3"/>
    <s v="Y"/>
    <s v="Success"/>
    <x v="0"/>
    <x v="0"/>
    <x v="2"/>
  </r>
  <r>
    <s v="TX1000309"/>
    <x v="157"/>
    <x v="1"/>
    <d v="1899-12-30T18:10:44"/>
    <n v="91.48"/>
    <s v="USD"/>
    <s v="M1334"/>
    <x v="4"/>
    <s v="Nigeria"/>
    <s v="C60291"/>
    <n v="65"/>
    <s v="M"/>
    <x v="13"/>
    <x v="5"/>
    <s v="N"/>
    <s v="Success"/>
    <x v="0"/>
    <x v="0"/>
    <x v="3"/>
  </r>
  <r>
    <s v="TX1000168"/>
    <x v="6"/>
    <x v="1"/>
    <d v="1899-12-30T04:14:10"/>
    <n v="91.48"/>
    <s v="USD"/>
    <s v="M1708"/>
    <x v="3"/>
    <s v="Netherlands"/>
    <s v="C98055"/>
    <n v="41"/>
    <s v="M"/>
    <x v="3"/>
    <x v="3"/>
    <s v="Y"/>
    <s v="Success"/>
    <x v="0"/>
    <x v="0"/>
    <x v="2"/>
  </r>
  <r>
    <s v="TX1000234"/>
    <x v="88"/>
    <x v="1"/>
    <d v="1899-12-30T11:01:00"/>
    <n v="91.47"/>
    <s v="USD"/>
    <s v="M1501"/>
    <x v="1"/>
    <s v="United Kingdom"/>
    <s v="C91180"/>
    <n v="71"/>
    <s v="M"/>
    <x v="10"/>
    <x v="3"/>
    <s v="Y"/>
    <s v="Success"/>
    <x v="0"/>
    <x v="0"/>
    <x v="3"/>
  </r>
  <r>
    <s v="TX1000116"/>
    <x v="179"/>
    <x v="1"/>
    <d v="1899-12-30T23:35:23"/>
    <n v="91.47"/>
    <s v="USD"/>
    <s v="M1664"/>
    <x v="5"/>
    <s v="India"/>
    <s v="C96120"/>
    <n v="65"/>
    <s v="F"/>
    <x v="7"/>
    <x v="0"/>
    <s v="Y"/>
    <s v="Success"/>
    <x v="0"/>
    <x v="0"/>
    <x v="3"/>
  </r>
  <r>
    <s v="TX1002432"/>
    <x v="46"/>
    <x v="2"/>
    <d v="1899-12-30T21:08:15"/>
    <n v="91.26"/>
    <s v="USD"/>
    <s v="M1376"/>
    <x v="6"/>
    <s v="Spain"/>
    <s v="C87434"/>
    <n v="43"/>
    <s v="Other"/>
    <x v="14"/>
    <x v="1"/>
    <s v="Y"/>
    <s v="Success"/>
    <x v="0"/>
    <x v="0"/>
    <x v="2"/>
  </r>
  <r>
    <s v="TX1000295"/>
    <x v="55"/>
    <x v="1"/>
    <d v="1899-12-30T16:06:45"/>
    <n v="91.23"/>
    <s v="USD"/>
    <s v="M1635"/>
    <x v="2"/>
    <s v="India"/>
    <s v="C72257"/>
    <n v="51"/>
    <s v="F"/>
    <x v="7"/>
    <x v="5"/>
    <s v="Y"/>
    <s v="Success"/>
    <x v="0"/>
    <x v="0"/>
    <x v="2"/>
  </r>
  <r>
    <s v="TX1000053"/>
    <x v="85"/>
    <x v="1"/>
    <d v="1899-12-30T08:13:03"/>
    <n v="91.22"/>
    <s v="USD"/>
    <s v="M1759"/>
    <x v="3"/>
    <s v="India"/>
    <s v="C50830"/>
    <n v="40"/>
    <s v="Other"/>
    <x v="3"/>
    <x v="3"/>
    <s v="Y"/>
    <s v="Success"/>
    <x v="0"/>
    <x v="0"/>
    <x v="2"/>
  </r>
  <r>
    <s v="TX1001053"/>
    <x v="104"/>
    <x v="0"/>
    <d v="1899-12-30T15:32:54"/>
    <n v="91.15"/>
    <s v="USD"/>
    <s v="M1720"/>
    <x v="3"/>
    <s v="Poland"/>
    <s v="C78782"/>
    <n v="67"/>
    <s v="Other"/>
    <x v="11"/>
    <x v="3"/>
    <s v="Y"/>
    <s v="Success"/>
    <x v="0"/>
    <x v="0"/>
    <x v="3"/>
  </r>
  <r>
    <s v="TX1001447"/>
    <x v="92"/>
    <x v="0"/>
    <d v="1899-12-30T20:36:56"/>
    <n v="90.92"/>
    <s v="USD"/>
    <s v="M1559"/>
    <x v="9"/>
    <s v="United Kingdom"/>
    <s v="C71634"/>
    <n v="45"/>
    <s v="M"/>
    <x v="0"/>
    <x v="1"/>
    <s v="Y"/>
    <s v="Success"/>
    <x v="0"/>
    <x v="0"/>
    <x v="2"/>
  </r>
  <r>
    <s v="TX1000834"/>
    <x v="114"/>
    <x v="4"/>
    <d v="1899-12-30T02:33:29"/>
    <n v="90.58"/>
    <s v="USD"/>
    <s v="M1963"/>
    <x v="7"/>
    <s v="Nigeria"/>
    <s v="C63192"/>
    <n v="20"/>
    <s v="F"/>
    <x v="9"/>
    <x v="1"/>
    <s v="Y"/>
    <s v="Success"/>
    <x v="0"/>
    <x v="0"/>
    <x v="0"/>
  </r>
  <r>
    <s v="TX1000189"/>
    <x v="49"/>
    <x v="1"/>
    <d v="1899-12-30T13:34:07"/>
    <n v="90.56"/>
    <s v="USD"/>
    <s v="M1619"/>
    <x v="9"/>
    <s v="Australia"/>
    <s v="C82647"/>
    <n v="44"/>
    <s v="Other"/>
    <x v="7"/>
    <x v="1"/>
    <s v="N"/>
    <s v="Success"/>
    <x v="0"/>
    <x v="0"/>
    <x v="2"/>
  </r>
  <r>
    <s v="TX1001521"/>
    <x v="58"/>
    <x v="5"/>
    <d v="1899-12-30T14:54:58"/>
    <n v="90.42"/>
    <s v="USD"/>
    <s v="M1938"/>
    <x v="5"/>
    <s v="Norway"/>
    <s v="C80171"/>
    <n v="118"/>
    <s v="F"/>
    <x v="2"/>
    <x v="4"/>
    <s v="Y"/>
    <s v="Success"/>
    <x v="0"/>
    <x v="0"/>
    <x v="3"/>
  </r>
  <r>
    <s v="TX1002172"/>
    <x v="112"/>
    <x v="2"/>
    <d v="1899-12-30T05:10:22"/>
    <n v="90.34"/>
    <s v="USD"/>
    <s v="M1408"/>
    <x v="8"/>
    <s v="Poland"/>
    <s v="C61109"/>
    <n v="46"/>
    <s v="M"/>
    <x v="2"/>
    <x v="1"/>
    <s v="Y"/>
    <s v="Success"/>
    <x v="0"/>
    <x v="0"/>
    <x v="2"/>
  </r>
  <r>
    <s v="TX1001002"/>
    <x v="35"/>
    <x v="0"/>
    <d v="1899-12-30T11:39:27"/>
    <n v="90.26"/>
    <s v="USD"/>
    <s v="M1277"/>
    <x v="1"/>
    <s v="Nigeria"/>
    <s v="C51682"/>
    <n v="26"/>
    <s v="M"/>
    <x v="2"/>
    <x v="4"/>
    <s v="Y"/>
    <s v="Success"/>
    <x v="0"/>
    <x v="0"/>
    <x v="1"/>
  </r>
  <r>
    <s v="TX1001891"/>
    <x v="53"/>
    <x v="5"/>
    <d v="1899-12-30T19:02:03"/>
    <n v="90.22"/>
    <s v="USD"/>
    <s v="M1950"/>
    <x v="9"/>
    <s v="Canada"/>
    <s v="C73267"/>
    <n v="25"/>
    <s v="M"/>
    <x v="14"/>
    <x v="1"/>
    <s v="Y"/>
    <s v="Success"/>
    <x v="0"/>
    <x v="0"/>
    <x v="1"/>
  </r>
  <r>
    <s v="TX1002778"/>
    <x v="169"/>
    <x v="3"/>
    <d v="1899-12-30T15:23:29"/>
    <n v="90.21"/>
    <s v="USD"/>
    <s v="M1674"/>
    <x v="0"/>
    <s v="India"/>
    <s v="C88196"/>
    <n v="53"/>
    <s v="M"/>
    <x v="5"/>
    <x v="2"/>
    <s v="Y"/>
    <s v="Success"/>
    <x v="1"/>
    <x v="1"/>
    <x v="2"/>
  </r>
  <r>
    <s v="TX1002731"/>
    <x v="131"/>
    <x v="3"/>
    <d v="1899-12-30T11:47:40"/>
    <n v="90.11"/>
    <s v="USD"/>
    <s v="M1463"/>
    <x v="8"/>
    <s v="France"/>
    <s v="C76967"/>
    <n v="56"/>
    <s v="M"/>
    <x v="2"/>
    <x v="4"/>
    <s v="N"/>
    <s v="Success"/>
    <x v="0"/>
    <x v="0"/>
    <x v="2"/>
  </r>
  <r>
    <s v="TX1000487"/>
    <x v="57"/>
    <x v="4"/>
    <d v="1899-12-30T02:51:28"/>
    <n v="89.91"/>
    <s v="USD"/>
    <s v="M1036"/>
    <x v="2"/>
    <s v="India"/>
    <s v="C73412"/>
    <n v="29"/>
    <s v="M"/>
    <x v="3"/>
    <x v="4"/>
    <s v="Y"/>
    <s v="Success"/>
    <x v="0"/>
    <x v="0"/>
    <x v="1"/>
  </r>
  <r>
    <s v="TX1000919"/>
    <x v="68"/>
    <x v="4"/>
    <d v="1899-12-30T17:21:01"/>
    <n v="89.9"/>
    <s v="USD"/>
    <s v="M1001"/>
    <x v="3"/>
    <s v="Spain"/>
    <s v="C75629"/>
    <n v="22"/>
    <s v="F"/>
    <x v="12"/>
    <x v="3"/>
    <s v="Y"/>
    <s v="Success"/>
    <x v="0"/>
    <x v="0"/>
    <x v="0"/>
  </r>
  <r>
    <s v="TX1002075"/>
    <x v="140"/>
    <x v="2"/>
    <d v="1899-12-30T06:13:10"/>
    <n v="89.89"/>
    <s v="USD"/>
    <s v="M1725"/>
    <x v="2"/>
    <s v="Nigeria"/>
    <s v="C69045"/>
    <n v="51"/>
    <s v="M"/>
    <x v="2"/>
    <x v="4"/>
    <s v="Y"/>
    <s v="Success"/>
    <x v="0"/>
    <x v="0"/>
    <x v="2"/>
  </r>
  <r>
    <s v="TX1000069"/>
    <x v="44"/>
    <x v="1"/>
    <d v="1899-12-30T02:27:23"/>
    <n v="89.88"/>
    <s v="USD"/>
    <s v="M1255"/>
    <x v="7"/>
    <s v="France"/>
    <s v="C66820"/>
    <n v="46"/>
    <s v="Other"/>
    <x v="13"/>
    <x v="5"/>
    <s v="Y"/>
    <s v="Success"/>
    <x v="0"/>
    <x v="0"/>
    <x v="2"/>
  </r>
  <r>
    <s v="TX1001635"/>
    <x v="143"/>
    <x v="5"/>
    <d v="1899-12-30T02:42:36"/>
    <n v="89.76"/>
    <s v="USD"/>
    <s v="M1108"/>
    <x v="9"/>
    <s v="Australia"/>
    <s v="C64306"/>
    <n v="18"/>
    <s v="M"/>
    <x v="7"/>
    <x v="4"/>
    <s v="N"/>
    <s v="Success"/>
    <x v="0"/>
    <x v="0"/>
    <x v="0"/>
  </r>
  <r>
    <s v="TX1001236"/>
    <x v="128"/>
    <x v="0"/>
    <d v="1899-12-30T14:13:28"/>
    <n v="89.72"/>
    <s v="USD"/>
    <s v="M1851"/>
    <x v="1"/>
    <s v="Norway"/>
    <s v="C72504"/>
    <n v="54"/>
    <s v="M"/>
    <x v="7"/>
    <x v="0"/>
    <s v="Y"/>
    <s v="Success"/>
    <x v="0"/>
    <x v="0"/>
    <x v="2"/>
  </r>
  <r>
    <s v="TX1000603"/>
    <x v="163"/>
    <x v="4"/>
    <d v="1899-12-30T15:18:40"/>
    <n v="89.49"/>
    <s v="USD"/>
    <s v="M1103"/>
    <x v="3"/>
    <s v="United States"/>
    <s v="C58650"/>
    <n v="46"/>
    <s v="F"/>
    <x v="2"/>
    <x v="3"/>
    <s v="Y"/>
    <s v="Success"/>
    <x v="0"/>
    <x v="0"/>
    <x v="2"/>
  </r>
  <r>
    <s v="TX1002904"/>
    <x v="180"/>
    <x v="3"/>
    <d v="1899-12-30T07:21:42"/>
    <n v="89.27"/>
    <s v="USD"/>
    <s v="M1743"/>
    <x v="6"/>
    <s v="Nigeria"/>
    <s v="C72406"/>
    <n v="48"/>
    <s v="M"/>
    <x v="12"/>
    <x v="2"/>
    <s v="Y"/>
    <s v="Success"/>
    <x v="0"/>
    <x v="0"/>
    <x v="2"/>
  </r>
  <r>
    <s v="TX1002086"/>
    <x v="140"/>
    <x v="2"/>
    <d v="1899-12-30T20:41:13"/>
    <n v="89.02"/>
    <s v="USD"/>
    <s v="M1942"/>
    <x v="1"/>
    <s v="Nigeria"/>
    <s v="C72352"/>
    <n v="43"/>
    <s v="Other"/>
    <x v="13"/>
    <x v="0"/>
    <s v="N"/>
    <s v="Success"/>
    <x v="0"/>
    <x v="0"/>
    <x v="2"/>
  </r>
  <r>
    <s v="TX1002213"/>
    <x v="24"/>
    <x v="2"/>
    <d v="1899-12-30T05:50:37"/>
    <n v="88.67"/>
    <s v="USD"/>
    <s v="M1843"/>
    <x v="1"/>
    <s v="South Africa"/>
    <s v="C68889"/>
    <n v="36"/>
    <s v="F"/>
    <x v="8"/>
    <x v="5"/>
    <s v="Y"/>
    <s v="Success"/>
    <x v="0"/>
    <x v="0"/>
    <x v="1"/>
  </r>
  <r>
    <s v="TX1000442"/>
    <x v="151"/>
    <x v="1"/>
    <d v="1899-12-30T05:48:20"/>
    <n v="88.62"/>
    <s v="USD"/>
    <s v="M1566"/>
    <x v="6"/>
    <s v="Kenya"/>
    <s v="C96828"/>
    <n v="72"/>
    <s v="F"/>
    <x v="3"/>
    <x v="3"/>
    <s v="Y"/>
    <s v="Success"/>
    <x v="0"/>
    <x v="0"/>
    <x v="3"/>
  </r>
  <r>
    <s v="TX1002528"/>
    <x v="23"/>
    <x v="3"/>
    <d v="1899-12-30T05:07:35"/>
    <n v="88.53"/>
    <s v="USD"/>
    <s v="M1541"/>
    <x v="5"/>
    <s v="Norway"/>
    <s v="C88387"/>
    <n v="71"/>
    <s v="Other"/>
    <x v="9"/>
    <x v="4"/>
    <s v="N"/>
    <s v="Success"/>
    <x v="0"/>
    <x v="0"/>
    <x v="3"/>
  </r>
  <r>
    <s v="TX1001854"/>
    <x v="15"/>
    <x v="5"/>
    <d v="1899-12-30T10:12:37"/>
    <n v="88.48"/>
    <s v="USD"/>
    <s v="M1688"/>
    <x v="6"/>
    <s v="South Africa"/>
    <s v="C54872"/>
    <n v="63"/>
    <s v="F"/>
    <x v="6"/>
    <x v="0"/>
    <s v="Y"/>
    <s v="Success"/>
    <x v="0"/>
    <x v="0"/>
    <x v="3"/>
  </r>
  <r>
    <s v="TX1002889"/>
    <x v="144"/>
    <x v="3"/>
    <d v="1899-12-30T23:30:31"/>
    <n v="88.45"/>
    <s v="USD"/>
    <s v="M1931"/>
    <x v="6"/>
    <s v="Nigeria"/>
    <s v="C53019"/>
    <n v="67"/>
    <s v="M"/>
    <x v="11"/>
    <x v="5"/>
    <s v="Y"/>
    <s v="Success"/>
    <x v="0"/>
    <x v="0"/>
    <x v="3"/>
  </r>
  <r>
    <s v="TX1001731"/>
    <x v="70"/>
    <x v="5"/>
    <d v="1899-12-30T09:59:47"/>
    <n v="88.21"/>
    <s v="USD"/>
    <s v="M1696"/>
    <x v="0"/>
    <s v="Norway"/>
    <s v="C85275"/>
    <n v="41"/>
    <s v="Other"/>
    <x v="10"/>
    <x v="5"/>
    <s v="Y"/>
    <s v="Success"/>
    <x v="0"/>
    <x v="0"/>
    <x v="2"/>
  </r>
  <r>
    <s v="TX1000512"/>
    <x v="63"/>
    <x v="4"/>
    <d v="1899-12-30T02:23:39"/>
    <n v="88.19"/>
    <s v="USD"/>
    <s v="M1483"/>
    <x v="3"/>
    <s v="Spain"/>
    <s v="C99140"/>
    <n v="70"/>
    <s v="M"/>
    <x v="9"/>
    <x v="5"/>
    <s v="Y"/>
    <s v="Success"/>
    <x v="0"/>
    <x v="0"/>
    <x v="3"/>
  </r>
  <r>
    <s v="TX1001720"/>
    <x v="70"/>
    <x v="5"/>
    <d v="1899-12-30T00:59:39"/>
    <n v="88.13"/>
    <s v="USD"/>
    <s v="M1515"/>
    <x v="2"/>
    <s v="Sweden"/>
    <s v="C62170"/>
    <n v="18"/>
    <s v="F"/>
    <x v="10"/>
    <x v="2"/>
    <s v="Y"/>
    <s v="Success"/>
    <x v="0"/>
    <x v="0"/>
    <x v="0"/>
  </r>
  <r>
    <s v="TX1002956"/>
    <x v="118"/>
    <x v="3"/>
    <d v="1899-12-30T17:01:13"/>
    <n v="88.08"/>
    <s v="USD"/>
    <s v="M1304"/>
    <x v="9"/>
    <s v="Australia"/>
    <s v="C96325"/>
    <n v="68"/>
    <s v="M"/>
    <x v="6"/>
    <x v="3"/>
    <s v="Y"/>
    <s v="Success"/>
    <x v="0"/>
    <x v="0"/>
    <x v="3"/>
  </r>
  <r>
    <s v="TX1000933"/>
    <x v="80"/>
    <x v="4"/>
    <d v="1899-12-30T15:56:30"/>
    <n v="88.07"/>
    <s v="USD"/>
    <s v="M1542"/>
    <x v="3"/>
    <s v="Netherlands"/>
    <s v="C57823"/>
    <n v="45"/>
    <s v="M"/>
    <x v="3"/>
    <x v="0"/>
    <s v="Y"/>
    <s v="Success"/>
    <x v="0"/>
    <x v="0"/>
    <x v="2"/>
  </r>
  <r>
    <s v="TX1001608"/>
    <x v="66"/>
    <x v="5"/>
    <d v="1899-12-30T16:05:46"/>
    <n v="87.91"/>
    <s v="USD"/>
    <s v="M1296"/>
    <x v="7"/>
    <s v="Canada"/>
    <s v="C79333"/>
    <n v="57"/>
    <s v="F"/>
    <x v="11"/>
    <x v="2"/>
    <s v="Y"/>
    <s v="Success"/>
    <x v="0"/>
    <x v="0"/>
    <x v="2"/>
  </r>
  <r>
    <s v="TX1000243"/>
    <x v="88"/>
    <x v="1"/>
    <d v="1899-12-30T20:43:26"/>
    <n v="87.79"/>
    <s v="USD"/>
    <s v="M1163"/>
    <x v="8"/>
    <s v="United States"/>
    <s v="C51909"/>
    <n v="29"/>
    <s v="Other"/>
    <x v="9"/>
    <x v="4"/>
    <s v="Y"/>
    <s v="Success"/>
    <x v="0"/>
    <x v="0"/>
    <x v="1"/>
  </r>
  <r>
    <s v="TX1001230"/>
    <x v="128"/>
    <x v="0"/>
    <d v="1899-12-30T04:31:22"/>
    <n v="87.73"/>
    <s v="USD"/>
    <s v="M1451"/>
    <x v="0"/>
    <s v="Australia"/>
    <s v="C77968"/>
    <n v="21"/>
    <s v="Other"/>
    <x v="11"/>
    <x v="1"/>
    <s v="Y"/>
    <s v="Success"/>
    <x v="0"/>
    <x v="0"/>
    <x v="0"/>
  </r>
  <r>
    <s v="TX1000449"/>
    <x v="151"/>
    <x v="1"/>
    <d v="1899-12-30T11:55:04"/>
    <n v="87.7"/>
    <s v="USD"/>
    <s v="M1751"/>
    <x v="3"/>
    <s v="Netherlands"/>
    <s v="C88637"/>
    <n v="75"/>
    <s v="M"/>
    <x v="7"/>
    <x v="0"/>
    <s v="Y"/>
    <s v="Success"/>
    <x v="0"/>
    <x v="0"/>
    <x v="3"/>
  </r>
  <r>
    <s v="TX1000242"/>
    <x v="88"/>
    <x v="1"/>
    <d v="1899-12-30T20:31:52"/>
    <n v="87.64"/>
    <s v="USD"/>
    <s v="M1850"/>
    <x v="7"/>
    <s v="Poland"/>
    <s v="C63340"/>
    <n v="28"/>
    <s v="F"/>
    <x v="14"/>
    <x v="0"/>
    <s v="N"/>
    <s v="Success"/>
    <x v="0"/>
    <x v="0"/>
    <x v="1"/>
  </r>
  <r>
    <s v="TX1001517"/>
    <x v="58"/>
    <x v="5"/>
    <d v="1899-12-30T11:17:13"/>
    <n v="87.38"/>
    <s v="USD"/>
    <s v="M1608"/>
    <x v="5"/>
    <s v="Canada"/>
    <s v="C56089"/>
    <n v="72"/>
    <s v="F"/>
    <x v="12"/>
    <x v="0"/>
    <s v="Y"/>
    <s v="Success"/>
    <x v="0"/>
    <x v="0"/>
    <x v="3"/>
  </r>
  <r>
    <s v="TX1002554"/>
    <x v="13"/>
    <x v="3"/>
    <d v="1899-12-30T18:44:18"/>
    <n v="87.34"/>
    <s v="USD"/>
    <s v="M1951"/>
    <x v="7"/>
    <s v="Poland"/>
    <s v="C92536"/>
    <n v="42"/>
    <s v="M"/>
    <x v="6"/>
    <x v="1"/>
    <s v="Y"/>
    <s v="Success"/>
    <x v="0"/>
    <x v="0"/>
    <x v="2"/>
  </r>
  <r>
    <s v="TX1000964"/>
    <x v="16"/>
    <x v="0"/>
    <d v="1899-12-30T07:58:10"/>
    <n v="87.22"/>
    <s v="USD"/>
    <s v="M1532"/>
    <x v="5"/>
    <s v="Poland"/>
    <s v="C82994"/>
    <n v="30"/>
    <s v="Other"/>
    <x v="3"/>
    <x v="5"/>
    <s v="Y"/>
    <s v="Success"/>
    <x v="0"/>
    <x v="0"/>
    <x v="1"/>
  </r>
  <r>
    <s v="TX1002341"/>
    <x v="14"/>
    <x v="2"/>
    <d v="1899-12-30T02:52:48"/>
    <n v="87.21"/>
    <s v="USD"/>
    <s v="M1625"/>
    <x v="4"/>
    <s v="Sweden"/>
    <s v="C68390"/>
    <n v="45"/>
    <s v="M"/>
    <x v="4"/>
    <x v="5"/>
    <s v="N"/>
    <s v="Success"/>
    <x v="0"/>
    <x v="0"/>
    <x v="2"/>
  </r>
  <r>
    <s v="TX1002701"/>
    <x v="89"/>
    <x v="3"/>
    <d v="1899-12-30T23:03:12"/>
    <n v="87.1"/>
    <s v="USD"/>
    <s v="M1244"/>
    <x v="0"/>
    <s v="Kenya"/>
    <s v="C95069"/>
    <n v="45"/>
    <s v="Other"/>
    <x v="11"/>
    <x v="5"/>
    <s v="Y"/>
    <s v="Success"/>
    <x v="0"/>
    <x v="0"/>
    <x v="2"/>
  </r>
  <r>
    <s v="TX1000433"/>
    <x v="148"/>
    <x v="1"/>
    <d v="1899-12-30T10:26:18"/>
    <n v="86.87"/>
    <s v="USD"/>
    <s v="M1870"/>
    <x v="6"/>
    <s v="Kenya"/>
    <s v="C53627"/>
    <n v="45"/>
    <s v="M"/>
    <x v="3"/>
    <x v="0"/>
    <s v="Y"/>
    <s v="Success"/>
    <x v="0"/>
    <x v="0"/>
    <x v="2"/>
  </r>
  <r>
    <s v="TX1002810"/>
    <x v="4"/>
    <x v="3"/>
    <d v="1899-12-30T08:52:53"/>
    <n v="86.79"/>
    <s v="USD"/>
    <s v="M1500"/>
    <x v="7"/>
    <s v="Nigeria"/>
    <s v="C95241"/>
    <n v="27"/>
    <s v="Other"/>
    <x v="12"/>
    <x v="4"/>
    <s v="Y"/>
    <s v="Success"/>
    <x v="0"/>
    <x v="0"/>
    <x v="1"/>
  </r>
  <r>
    <s v="TX1001973"/>
    <x v="121"/>
    <x v="5"/>
    <d v="1899-12-30T11:52:17"/>
    <n v="86.73"/>
    <s v="USD"/>
    <s v="M1259"/>
    <x v="0"/>
    <s v="United States"/>
    <s v="C95614"/>
    <n v="54"/>
    <s v="Other"/>
    <x v="10"/>
    <x v="4"/>
    <s v="Y"/>
    <s v="Success"/>
    <x v="0"/>
    <x v="0"/>
    <x v="2"/>
  </r>
  <r>
    <s v="TX1002060"/>
    <x v="33"/>
    <x v="2"/>
    <d v="1899-12-30T14:26:08"/>
    <n v="86.72"/>
    <s v="USD"/>
    <s v="M1969"/>
    <x v="5"/>
    <s v="Sweden"/>
    <s v="C88788"/>
    <n v="33"/>
    <s v="M"/>
    <x v="11"/>
    <x v="4"/>
    <s v="Y"/>
    <s v="Success"/>
    <x v="0"/>
    <x v="0"/>
    <x v="1"/>
  </r>
  <r>
    <s v="TX1001456"/>
    <x v="61"/>
    <x v="0"/>
    <d v="1899-12-30T04:46:57"/>
    <n v="86.66"/>
    <s v="USD"/>
    <s v="M1619"/>
    <x v="7"/>
    <s v="Norway"/>
    <s v="C51321"/>
    <n v="54"/>
    <s v="F"/>
    <x v="9"/>
    <x v="0"/>
    <s v="N"/>
    <s v="Success"/>
    <x v="0"/>
    <x v="0"/>
    <x v="2"/>
  </r>
  <r>
    <s v="TX1000036"/>
    <x v="109"/>
    <x v="1"/>
    <d v="1899-12-30T17:17:56"/>
    <n v="86.66"/>
    <s v="USD"/>
    <s v="M1264"/>
    <x v="6"/>
    <s v="Canada"/>
    <s v="C98945"/>
    <n v="46"/>
    <s v="F"/>
    <x v="13"/>
    <x v="2"/>
    <s v="Y"/>
    <s v="Success"/>
    <x v="0"/>
    <x v="0"/>
    <x v="2"/>
  </r>
  <r>
    <s v="TX1000614"/>
    <x v="159"/>
    <x v="4"/>
    <d v="1899-12-30T06:50:18"/>
    <n v="86.53"/>
    <s v="USD"/>
    <s v="M1633"/>
    <x v="2"/>
    <s v="Australia"/>
    <s v="C99265"/>
    <n v="27"/>
    <s v="M"/>
    <x v="3"/>
    <x v="0"/>
    <s v="Y"/>
    <s v="Success"/>
    <x v="0"/>
    <x v="0"/>
    <x v="1"/>
  </r>
  <r>
    <s v="TX1002417"/>
    <x v="46"/>
    <x v="2"/>
    <d v="1899-12-30T07:45:24"/>
    <n v="86.2"/>
    <s v="USD"/>
    <s v="M1464"/>
    <x v="9"/>
    <s v="United Kingdom"/>
    <s v="C55261"/>
    <n v="22"/>
    <s v="M"/>
    <x v="11"/>
    <x v="3"/>
    <s v="N"/>
    <s v="Success"/>
    <x v="0"/>
    <x v="0"/>
    <x v="0"/>
  </r>
  <r>
    <s v="TX1002412"/>
    <x v="46"/>
    <x v="2"/>
    <d v="1899-12-30T02:44:26"/>
    <n v="85.92"/>
    <s v="USD"/>
    <s v="M1851"/>
    <x v="6"/>
    <s v="United States"/>
    <s v="C92532"/>
    <n v="34"/>
    <s v="F"/>
    <x v="11"/>
    <x v="1"/>
    <s v="Y"/>
    <s v="Success"/>
    <x v="0"/>
    <x v="0"/>
    <x v="1"/>
  </r>
  <r>
    <s v="TX1000367"/>
    <x v="1"/>
    <x v="1"/>
    <d v="1899-12-30T19:36:03"/>
    <n v="85.85"/>
    <s v="USD"/>
    <s v="M1412"/>
    <x v="7"/>
    <s v="Netherlands"/>
    <s v="C84522"/>
    <n v="24"/>
    <s v="F"/>
    <x v="13"/>
    <x v="4"/>
    <s v="Y"/>
    <s v="Success"/>
    <x v="0"/>
    <x v="0"/>
    <x v="0"/>
  </r>
  <r>
    <s v="TX1000648"/>
    <x v="20"/>
    <x v="4"/>
    <d v="1899-12-30T13:07:35"/>
    <n v="85.7"/>
    <s v="USD"/>
    <s v="M1109"/>
    <x v="9"/>
    <s v="Germany"/>
    <s v="C93569"/>
    <n v="42"/>
    <s v="M"/>
    <x v="12"/>
    <x v="1"/>
    <s v="N"/>
    <s v="Success"/>
    <x v="0"/>
    <x v="0"/>
    <x v="2"/>
  </r>
  <r>
    <s v="TX1002320"/>
    <x v="97"/>
    <x v="2"/>
    <d v="1899-12-30T19:34:38"/>
    <n v="85.68"/>
    <s v="USD"/>
    <s v="M1761"/>
    <x v="3"/>
    <s v="France"/>
    <s v="C57344"/>
    <n v="55"/>
    <s v="F"/>
    <x v="3"/>
    <x v="3"/>
    <s v="Y"/>
    <s v="Success"/>
    <x v="0"/>
    <x v="0"/>
    <x v="2"/>
  </r>
  <r>
    <s v="TX1001819"/>
    <x v="162"/>
    <x v="5"/>
    <d v="1899-12-30T06:51:11"/>
    <n v="85.59"/>
    <s v="USD"/>
    <s v="M1126"/>
    <x v="4"/>
    <s v="South Africa"/>
    <s v="C60609"/>
    <n v="44"/>
    <s v="M"/>
    <x v="0"/>
    <x v="2"/>
    <s v="Y"/>
    <s v="Success"/>
    <x v="0"/>
    <x v="0"/>
    <x v="2"/>
  </r>
  <r>
    <s v="TX1000399"/>
    <x v="100"/>
    <x v="1"/>
    <d v="1899-12-30T18:26:12"/>
    <n v="85.32"/>
    <s v="USD"/>
    <s v="M1637"/>
    <x v="7"/>
    <s v="Australia"/>
    <s v="C75103"/>
    <n v="58"/>
    <s v="M"/>
    <x v="10"/>
    <x v="5"/>
    <s v="Y"/>
    <s v="Success"/>
    <x v="0"/>
    <x v="0"/>
    <x v="2"/>
  </r>
  <r>
    <s v="TX1002565"/>
    <x v="52"/>
    <x v="3"/>
    <d v="1899-12-30T11:44:02"/>
    <n v="85.13"/>
    <s v="USD"/>
    <s v="M1148"/>
    <x v="7"/>
    <s v="Nigeria"/>
    <s v="C72895"/>
    <n v="70"/>
    <s v="Other"/>
    <x v="11"/>
    <x v="0"/>
    <s v="Y"/>
    <s v="Success"/>
    <x v="0"/>
    <x v="0"/>
    <x v="3"/>
  </r>
  <r>
    <s v="TX1000140"/>
    <x v="30"/>
    <x v="1"/>
    <d v="1899-12-30T09:26:41"/>
    <n v="85.03"/>
    <s v="USD"/>
    <s v="M1782"/>
    <x v="2"/>
    <s v="Sweden"/>
    <s v="C95477"/>
    <n v="69"/>
    <s v="F"/>
    <x v="13"/>
    <x v="5"/>
    <s v="Y"/>
    <s v="Success"/>
    <x v="0"/>
    <x v="0"/>
    <x v="3"/>
  </r>
  <r>
    <s v="TX1001943"/>
    <x v="78"/>
    <x v="5"/>
    <d v="1899-12-30T00:14:10"/>
    <n v="84.96"/>
    <s v="USD"/>
    <s v="M1586"/>
    <x v="2"/>
    <s v="Kenya"/>
    <s v="C80357"/>
    <n v="57"/>
    <s v="F"/>
    <x v="1"/>
    <x v="2"/>
    <s v="N"/>
    <s v="Success"/>
    <x v="0"/>
    <x v="0"/>
    <x v="2"/>
  </r>
  <r>
    <s v="TX1002948"/>
    <x v="118"/>
    <x v="3"/>
    <d v="1899-12-30T02:45:29"/>
    <n v="84.91"/>
    <s v="USD"/>
    <s v="M1965"/>
    <x v="5"/>
    <s v="Canada"/>
    <s v="C97043"/>
    <n v="67"/>
    <s v="F"/>
    <x v="10"/>
    <x v="3"/>
    <s v="Y"/>
    <s v="Success"/>
    <x v="0"/>
    <x v="0"/>
    <x v="3"/>
  </r>
  <r>
    <s v="TX1001203"/>
    <x v="107"/>
    <x v="0"/>
    <d v="1899-12-30T18:37:51"/>
    <n v="84.83"/>
    <s v="USD"/>
    <s v="M1455"/>
    <x v="5"/>
    <s v="United Kingdom"/>
    <s v="C69532"/>
    <n v="31"/>
    <s v="Other"/>
    <x v="4"/>
    <x v="5"/>
    <s v="Y"/>
    <s v="Success"/>
    <x v="0"/>
    <x v="0"/>
    <x v="1"/>
  </r>
  <r>
    <s v="TX1001435"/>
    <x v="92"/>
    <x v="0"/>
    <d v="1899-12-30T02:49:22"/>
    <n v="84.77"/>
    <s v="USD"/>
    <s v="M1915"/>
    <x v="4"/>
    <s v="Germany"/>
    <s v="C74217"/>
    <n v="71"/>
    <s v="Other"/>
    <x v="5"/>
    <x v="4"/>
    <s v="Y"/>
    <s v="Success"/>
    <x v="0"/>
    <x v="0"/>
    <x v="3"/>
  </r>
  <r>
    <s v="TX1001695"/>
    <x v="27"/>
    <x v="5"/>
    <d v="1899-12-30T13:30:08"/>
    <n v="84.69"/>
    <s v="USD"/>
    <s v="M1417"/>
    <x v="9"/>
    <s v="France"/>
    <s v="C87268"/>
    <n v="25"/>
    <s v="M"/>
    <x v="11"/>
    <x v="5"/>
    <s v="Y"/>
    <s v="Success"/>
    <x v="0"/>
    <x v="0"/>
    <x v="1"/>
  </r>
  <r>
    <s v="TX1002343"/>
    <x v="14"/>
    <x v="2"/>
    <d v="1899-12-30T05:29:29"/>
    <n v="84.65"/>
    <s v="USD"/>
    <s v="M1101"/>
    <x v="7"/>
    <s v="India"/>
    <s v="C70961"/>
    <n v="37"/>
    <s v="M"/>
    <x v="5"/>
    <x v="2"/>
    <s v="Y"/>
    <s v="Success"/>
    <x v="0"/>
    <x v="0"/>
    <x v="1"/>
  </r>
  <r>
    <s v="TX1002681"/>
    <x v="34"/>
    <x v="3"/>
    <d v="1899-12-30T18:35:04"/>
    <n v="84.34"/>
    <s v="USD"/>
    <s v="M1833"/>
    <x v="8"/>
    <s v="United States"/>
    <s v="C83564"/>
    <n v="34"/>
    <s v="Other"/>
    <x v="6"/>
    <x v="2"/>
    <s v="Y"/>
    <s v="Success"/>
    <x v="0"/>
    <x v="0"/>
    <x v="1"/>
  </r>
  <r>
    <s v="TX1001184"/>
    <x v="120"/>
    <x v="0"/>
    <d v="1899-12-30T11:41:24"/>
    <n v="84.29"/>
    <s v="USD"/>
    <s v="M1211"/>
    <x v="6"/>
    <s v="Australia"/>
    <s v="C80832"/>
    <n v="62"/>
    <s v="M"/>
    <x v="6"/>
    <x v="2"/>
    <s v="Y"/>
    <s v="Success"/>
    <x v="0"/>
    <x v="0"/>
    <x v="3"/>
  </r>
  <r>
    <s v="TX1001383"/>
    <x v="54"/>
    <x v="0"/>
    <d v="1899-12-30T19:09:30"/>
    <n v="84.26"/>
    <s v="USD"/>
    <s v="M1107"/>
    <x v="3"/>
    <s v="Poland"/>
    <s v="C55013"/>
    <n v="72"/>
    <s v="M"/>
    <x v="3"/>
    <x v="2"/>
    <s v="Y"/>
    <s v="Success"/>
    <x v="0"/>
    <x v="0"/>
    <x v="3"/>
  </r>
  <r>
    <s v="TX1002249"/>
    <x v="69"/>
    <x v="2"/>
    <d v="1899-12-30T10:31:13"/>
    <n v="84.21"/>
    <s v="USD"/>
    <s v="M1301"/>
    <x v="7"/>
    <s v="Germany"/>
    <s v="C58488"/>
    <n v="40"/>
    <s v="F"/>
    <x v="11"/>
    <x v="2"/>
    <s v="Y"/>
    <s v="Success"/>
    <x v="0"/>
    <x v="0"/>
    <x v="2"/>
  </r>
  <r>
    <s v="TX1000267"/>
    <x v="32"/>
    <x v="1"/>
    <d v="1899-12-30T02:31:53"/>
    <n v="84.01"/>
    <s v="USD"/>
    <s v="M1961"/>
    <x v="5"/>
    <s v="South Africa"/>
    <s v="C95712"/>
    <n v="48"/>
    <s v="F"/>
    <x v="10"/>
    <x v="5"/>
    <s v="N"/>
    <s v="Success"/>
    <x v="0"/>
    <x v="0"/>
    <x v="2"/>
  </r>
  <r>
    <s v="TX1002188"/>
    <x v="112"/>
    <x v="2"/>
    <d v="1899-12-30T20:38:54"/>
    <n v="83.84"/>
    <s v="USD"/>
    <s v="M1200"/>
    <x v="3"/>
    <s v="India"/>
    <s v="C98193"/>
    <n v="35"/>
    <s v="Other"/>
    <x v="2"/>
    <x v="0"/>
    <s v="Y"/>
    <s v="Success"/>
    <x v="0"/>
    <x v="0"/>
    <x v="1"/>
  </r>
  <r>
    <s v="TX1002832"/>
    <x v="86"/>
    <x v="3"/>
    <d v="1899-12-30T13:02:54"/>
    <n v="83.8"/>
    <s v="USD"/>
    <s v="M1045"/>
    <x v="1"/>
    <s v="Kenya"/>
    <s v="C91397"/>
    <n v="48"/>
    <s v="M"/>
    <x v="4"/>
    <x v="2"/>
    <s v="Y"/>
    <s v="Success"/>
    <x v="0"/>
    <x v="0"/>
    <x v="2"/>
  </r>
  <r>
    <s v="TX1001380"/>
    <x v="54"/>
    <x v="0"/>
    <d v="1899-12-30T10:06:15"/>
    <n v="83.77"/>
    <s v="USD"/>
    <s v="M1336"/>
    <x v="2"/>
    <s v="Nigeria"/>
    <s v="C61927"/>
    <n v="62"/>
    <s v="Other"/>
    <x v="11"/>
    <x v="1"/>
    <s v="Y"/>
    <s v="Success"/>
    <x v="0"/>
    <x v="0"/>
    <x v="3"/>
  </r>
  <r>
    <s v="TX1000323"/>
    <x v="95"/>
    <x v="1"/>
    <d v="1899-12-30T10:22:00"/>
    <n v="83.75"/>
    <s v="USD"/>
    <s v="M1393"/>
    <x v="1"/>
    <s v="Germany"/>
    <s v="C92011"/>
    <n v="25"/>
    <s v="F"/>
    <x v="0"/>
    <x v="0"/>
    <s v="Y"/>
    <s v="Success"/>
    <x v="0"/>
    <x v="0"/>
    <x v="1"/>
  </r>
  <r>
    <s v="TX1002328"/>
    <x v="119"/>
    <x v="2"/>
    <d v="1899-12-30T13:35:52"/>
    <n v="83.73"/>
    <s v="USD"/>
    <s v="M1576"/>
    <x v="8"/>
    <s v="France"/>
    <s v="C63188"/>
    <n v="31"/>
    <s v="M"/>
    <x v="11"/>
    <x v="1"/>
    <s v="Y"/>
    <s v="Success"/>
    <x v="0"/>
    <x v="0"/>
    <x v="1"/>
  </r>
  <r>
    <s v="TX1000843"/>
    <x v="114"/>
    <x v="4"/>
    <d v="1899-12-30T12:28:03"/>
    <n v="83.72"/>
    <s v="USD"/>
    <s v="M1673"/>
    <x v="4"/>
    <s v="Sweden"/>
    <s v="C85407"/>
    <n v="59"/>
    <s v="F"/>
    <x v="8"/>
    <x v="3"/>
    <s v="Y"/>
    <s v="Success"/>
    <x v="0"/>
    <x v="0"/>
    <x v="2"/>
  </r>
  <r>
    <s v="TX1000934"/>
    <x v="80"/>
    <x v="4"/>
    <d v="1899-12-30T19:01:40"/>
    <n v="83.68"/>
    <s v="USD"/>
    <s v="M1524"/>
    <x v="7"/>
    <s v="Sweden"/>
    <s v="C90341"/>
    <n v="30"/>
    <s v="Other"/>
    <x v="7"/>
    <x v="0"/>
    <s v="Y"/>
    <s v="Success"/>
    <x v="0"/>
    <x v="0"/>
    <x v="1"/>
  </r>
  <r>
    <s v="TX1000719"/>
    <x v="106"/>
    <x v="4"/>
    <d v="1899-12-30T17:35:19"/>
    <n v="83.66"/>
    <s v="USD"/>
    <s v="M1566"/>
    <x v="1"/>
    <s v="France"/>
    <s v="C51587"/>
    <n v="63"/>
    <s v="M"/>
    <x v="14"/>
    <x v="2"/>
    <s v="Y"/>
    <s v="Success"/>
    <x v="0"/>
    <x v="0"/>
    <x v="3"/>
  </r>
  <r>
    <s v="TX1002214"/>
    <x v="24"/>
    <x v="2"/>
    <d v="1899-12-30T06:10:53"/>
    <n v="83.66"/>
    <s v="USD"/>
    <s v="M1291"/>
    <x v="7"/>
    <s v="Norway"/>
    <s v="C63999"/>
    <n v="58"/>
    <s v="F"/>
    <x v="2"/>
    <x v="3"/>
    <s v="Y"/>
    <s v="Success"/>
    <x v="0"/>
    <x v="0"/>
    <x v="2"/>
  </r>
  <r>
    <s v="TX1001440"/>
    <x v="92"/>
    <x v="0"/>
    <d v="1899-12-30T13:49:07"/>
    <n v="83.54"/>
    <s v="USD"/>
    <s v="M1376"/>
    <x v="6"/>
    <s v="India"/>
    <s v="C80797"/>
    <n v="27"/>
    <s v="Other"/>
    <x v="9"/>
    <x v="4"/>
    <s v="Y"/>
    <s v="Success"/>
    <x v="0"/>
    <x v="0"/>
    <x v="1"/>
  </r>
  <r>
    <s v="TX1002020"/>
    <x v="115"/>
    <x v="2"/>
    <d v="1899-12-30T08:48:54"/>
    <n v="83.4"/>
    <s v="USD"/>
    <s v="M1758"/>
    <x v="8"/>
    <s v="South Africa"/>
    <s v="C75018"/>
    <n v="34"/>
    <s v="F"/>
    <x v="3"/>
    <x v="2"/>
    <s v="Y"/>
    <s v="Success"/>
    <x v="0"/>
    <x v="0"/>
    <x v="1"/>
  </r>
  <r>
    <s v="TX1000176"/>
    <x v="6"/>
    <x v="1"/>
    <d v="1899-12-30T17:24:26"/>
    <n v="83.38"/>
    <s v="USD"/>
    <s v="M1306"/>
    <x v="2"/>
    <s v="Netherlands"/>
    <s v="C94446"/>
    <n v="61"/>
    <s v="F"/>
    <x v="4"/>
    <x v="1"/>
    <s v="Y"/>
    <s v="Success"/>
    <x v="0"/>
    <x v="0"/>
    <x v="3"/>
  </r>
  <r>
    <s v="TX1002683"/>
    <x v="89"/>
    <x v="3"/>
    <d v="1899-12-30T01:05:06"/>
    <n v="83.23"/>
    <s v="USD"/>
    <s v="M1309"/>
    <x v="2"/>
    <s v="France"/>
    <s v="C77653"/>
    <n v="27"/>
    <s v="M"/>
    <x v="8"/>
    <x v="5"/>
    <s v="Y"/>
    <s v="Success"/>
    <x v="0"/>
    <x v="0"/>
    <x v="1"/>
  </r>
  <r>
    <s v="TX1001699"/>
    <x v="27"/>
    <x v="5"/>
    <d v="1899-12-30T15:57:31"/>
    <n v="83.23"/>
    <s v="USD"/>
    <s v="M1481"/>
    <x v="6"/>
    <s v="Poland"/>
    <s v="C98293"/>
    <n v="64"/>
    <s v="F"/>
    <x v="5"/>
    <x v="0"/>
    <s v="Y"/>
    <s v="Success"/>
    <x v="0"/>
    <x v="0"/>
    <x v="3"/>
  </r>
  <r>
    <s v="TX1002739"/>
    <x v="136"/>
    <x v="3"/>
    <d v="1899-12-30T12:01:34"/>
    <n v="82.97"/>
    <s v="USD"/>
    <s v="M1002"/>
    <x v="9"/>
    <s v="Australia"/>
    <s v="C69278"/>
    <n v="60"/>
    <s v="Other"/>
    <x v="5"/>
    <x v="0"/>
    <s v="Y"/>
    <s v="Success"/>
    <x v="0"/>
    <x v="0"/>
    <x v="3"/>
  </r>
  <r>
    <s v="TX1001813"/>
    <x v="133"/>
    <x v="5"/>
    <d v="1899-12-30T23:21:18"/>
    <n v="82.97"/>
    <s v="USD"/>
    <s v="M1510"/>
    <x v="0"/>
    <s v="Sweden"/>
    <s v="C71358"/>
    <n v="66"/>
    <s v="M"/>
    <x v="14"/>
    <x v="3"/>
    <s v="Y"/>
    <s v="Success"/>
    <x v="0"/>
    <x v="0"/>
    <x v="3"/>
  </r>
  <r>
    <s v="TX1002220"/>
    <x v="24"/>
    <x v="2"/>
    <d v="1899-12-30T11:29:19"/>
    <n v="82.97"/>
    <s v="USD"/>
    <s v="M1190"/>
    <x v="7"/>
    <s v="Norway"/>
    <s v="C73761"/>
    <n v="25"/>
    <s v="Other"/>
    <x v="13"/>
    <x v="2"/>
    <s v="Y"/>
    <s v="Success"/>
    <x v="0"/>
    <x v="0"/>
    <x v="1"/>
  </r>
  <r>
    <s v="TX1001742"/>
    <x v="175"/>
    <x v="5"/>
    <d v="1899-12-30T01:16:20"/>
    <n v="82.88"/>
    <s v="USD"/>
    <s v="M1131"/>
    <x v="2"/>
    <s v="Poland"/>
    <s v="C53067"/>
    <n v="21"/>
    <s v="F"/>
    <x v="0"/>
    <x v="3"/>
    <s v="Y"/>
    <s v="Success"/>
    <x v="0"/>
    <x v="0"/>
    <x v="0"/>
  </r>
  <r>
    <s v="TX1000312"/>
    <x v="157"/>
    <x v="1"/>
    <d v="1899-12-30T19:10:00"/>
    <n v="82.84"/>
    <s v="USD"/>
    <s v="M1377"/>
    <x v="7"/>
    <s v="Sweden"/>
    <s v="C56895"/>
    <n v="28"/>
    <s v="F"/>
    <x v="11"/>
    <x v="0"/>
    <s v="Y"/>
    <s v="Success"/>
    <x v="0"/>
    <x v="0"/>
    <x v="1"/>
  </r>
  <r>
    <s v="TX1001915"/>
    <x v="155"/>
    <x v="5"/>
    <d v="1899-12-30T06:10:49"/>
    <n v="82.79"/>
    <s v="USD"/>
    <s v="M1301"/>
    <x v="3"/>
    <s v="Norway"/>
    <s v="C50365"/>
    <n v="46"/>
    <s v="Other"/>
    <x v="1"/>
    <x v="4"/>
    <s v="Y"/>
    <s v="Success"/>
    <x v="0"/>
    <x v="0"/>
    <x v="2"/>
  </r>
  <r>
    <s v="TX1000871"/>
    <x v="51"/>
    <x v="4"/>
    <d v="1899-12-30T05:17:10"/>
    <n v="82.78"/>
    <s v="USD"/>
    <s v="M1859"/>
    <x v="1"/>
    <s v="Canada"/>
    <s v="C91282"/>
    <n v="69"/>
    <s v="Other"/>
    <x v="6"/>
    <x v="2"/>
    <s v="Y"/>
    <s v="Success"/>
    <x v="0"/>
    <x v="0"/>
    <x v="3"/>
  </r>
  <r>
    <s v="TX1000601"/>
    <x v="163"/>
    <x v="4"/>
    <d v="1899-12-30T13:00:48"/>
    <n v="82.71"/>
    <s v="USD"/>
    <s v="M1131"/>
    <x v="2"/>
    <s v="Norway"/>
    <s v="C94252"/>
    <n v="50"/>
    <s v="M"/>
    <x v="10"/>
    <x v="1"/>
    <s v="Y"/>
    <s v="Success"/>
    <x v="0"/>
    <x v="0"/>
    <x v="2"/>
  </r>
  <r>
    <s v="TX1001755"/>
    <x v="175"/>
    <x v="5"/>
    <d v="1899-12-30T22:16:37"/>
    <n v="82.65"/>
    <s v="USD"/>
    <s v="M1792"/>
    <x v="7"/>
    <s v="Kenya"/>
    <s v="C97617"/>
    <n v="67"/>
    <s v="Other"/>
    <x v="10"/>
    <x v="5"/>
    <s v="Y"/>
    <s v="Success"/>
    <x v="0"/>
    <x v="0"/>
    <x v="3"/>
  </r>
  <r>
    <s v="TX1000913"/>
    <x v="68"/>
    <x v="4"/>
    <d v="1899-12-30T09:09:55"/>
    <n v="82.63"/>
    <s v="USD"/>
    <s v="M1191"/>
    <x v="3"/>
    <s v="Netherlands"/>
    <s v="C50637"/>
    <n v="64"/>
    <s v="F"/>
    <x v="14"/>
    <x v="3"/>
    <s v="Y"/>
    <s v="Success"/>
    <x v="0"/>
    <x v="0"/>
    <x v="3"/>
  </r>
  <r>
    <s v="TX1000446"/>
    <x v="151"/>
    <x v="1"/>
    <d v="1899-12-30T09:34:28"/>
    <n v="82.58"/>
    <s v="USD"/>
    <s v="M1573"/>
    <x v="0"/>
    <s v="India"/>
    <s v="C73743"/>
    <n v="44"/>
    <s v="M"/>
    <x v="7"/>
    <x v="5"/>
    <s v="Y"/>
    <s v="Success"/>
    <x v="0"/>
    <x v="0"/>
    <x v="2"/>
  </r>
  <r>
    <s v="TX1002224"/>
    <x v="24"/>
    <x v="2"/>
    <d v="1899-12-30T17:43:09"/>
    <n v="82.54"/>
    <s v="USD"/>
    <s v="M1112"/>
    <x v="3"/>
    <s v="Nigeria"/>
    <s v="C56870"/>
    <n v="37"/>
    <s v="M"/>
    <x v="10"/>
    <x v="0"/>
    <s v="Y"/>
    <s v="Success"/>
    <x v="0"/>
    <x v="0"/>
    <x v="1"/>
  </r>
  <r>
    <s v="TX1001707"/>
    <x v="142"/>
    <x v="5"/>
    <d v="1899-12-30T05:54:04"/>
    <n v="82.45"/>
    <s v="USD"/>
    <s v="M1243"/>
    <x v="0"/>
    <s v="Canada"/>
    <s v="C78634"/>
    <n v="74"/>
    <s v="M"/>
    <x v="8"/>
    <x v="0"/>
    <s v="Y"/>
    <s v="Success"/>
    <x v="0"/>
    <x v="0"/>
    <x v="3"/>
  </r>
  <r>
    <s v="TX1002971"/>
    <x v="141"/>
    <x v="3"/>
    <d v="1899-12-30T16:04:50"/>
    <n v="82.39"/>
    <s v="USD"/>
    <s v="M1840"/>
    <x v="6"/>
    <s v="Canada"/>
    <s v="C73728"/>
    <n v="30"/>
    <s v="M"/>
    <x v="4"/>
    <x v="4"/>
    <s v="Y"/>
    <s v="Success"/>
    <x v="0"/>
    <x v="0"/>
    <x v="1"/>
  </r>
  <r>
    <s v="TX1002344"/>
    <x v="14"/>
    <x v="2"/>
    <d v="1899-12-30T06:13:01"/>
    <n v="82.36"/>
    <s v="USD"/>
    <s v="M1701"/>
    <x v="5"/>
    <s v="Netherlands"/>
    <s v="C58021"/>
    <n v="60"/>
    <s v="M"/>
    <x v="13"/>
    <x v="1"/>
    <s v="Y"/>
    <s v="Success"/>
    <x v="0"/>
    <x v="0"/>
    <x v="3"/>
  </r>
  <r>
    <s v="TX1000122"/>
    <x v="5"/>
    <x v="1"/>
    <d v="1899-12-30T03:33:39"/>
    <n v="82.32"/>
    <s v="USD"/>
    <s v="M1726"/>
    <x v="9"/>
    <s v="Australia"/>
    <s v="C84245"/>
    <n v="13"/>
    <s v="Other"/>
    <x v="4"/>
    <x v="1"/>
    <s v="Y"/>
    <s v="Success"/>
    <x v="0"/>
    <x v="0"/>
    <x v="0"/>
  </r>
  <r>
    <s v="TX1000447"/>
    <x v="151"/>
    <x v="1"/>
    <d v="1899-12-30T09:41:19"/>
    <n v="82.29"/>
    <s v="USD"/>
    <s v="M1506"/>
    <x v="6"/>
    <s v="Spain"/>
    <s v="C61790"/>
    <n v="34"/>
    <s v="Other"/>
    <x v="8"/>
    <x v="2"/>
    <s v="Y"/>
    <s v="Success"/>
    <x v="1"/>
    <x v="1"/>
    <x v="1"/>
  </r>
  <r>
    <s v="TX1000020"/>
    <x v="171"/>
    <x v="1"/>
    <d v="1899-12-30T02:26:38"/>
    <n v="82.24"/>
    <s v="USD"/>
    <s v="M1188"/>
    <x v="0"/>
    <s v="South Africa"/>
    <s v="C65792"/>
    <n v="69"/>
    <s v="F"/>
    <x v="0"/>
    <x v="4"/>
    <s v="Y"/>
    <s v="Success"/>
    <x v="0"/>
    <x v="0"/>
    <x v="3"/>
  </r>
  <r>
    <s v="TX1001989"/>
    <x v="71"/>
    <x v="5"/>
    <d v="1899-12-30T14:44:35"/>
    <n v="82.16"/>
    <s v="USD"/>
    <s v="M1275"/>
    <x v="3"/>
    <s v="Australia"/>
    <s v="C87078"/>
    <n v="21"/>
    <s v="F"/>
    <x v="6"/>
    <x v="0"/>
    <s v="Y"/>
    <s v="Success"/>
    <x v="0"/>
    <x v="0"/>
    <x v="0"/>
  </r>
  <r>
    <s v="TX1001944"/>
    <x v="78"/>
    <x v="5"/>
    <d v="1899-12-30T00:39:03"/>
    <n v="82.02"/>
    <s v="USD"/>
    <s v="M1242"/>
    <x v="2"/>
    <s v="United States"/>
    <s v="C63296"/>
    <n v="42"/>
    <s v="M"/>
    <x v="5"/>
    <x v="1"/>
    <s v="N"/>
    <s v="Success"/>
    <x v="0"/>
    <x v="0"/>
    <x v="2"/>
  </r>
  <r>
    <s v="TX1000498"/>
    <x v="57"/>
    <x v="4"/>
    <d v="1899-12-30T11:34:28"/>
    <n v="81.86"/>
    <s v="USD"/>
    <s v="M1394"/>
    <x v="7"/>
    <s v="Sweden"/>
    <s v="C77334"/>
    <n v="63"/>
    <s v="Other"/>
    <x v="14"/>
    <x v="0"/>
    <s v="Y"/>
    <s v="Success"/>
    <x v="0"/>
    <x v="0"/>
    <x v="3"/>
  </r>
  <r>
    <s v="TX1002050"/>
    <x v="33"/>
    <x v="2"/>
    <d v="1899-12-30T03:33:32"/>
    <n v="81.86"/>
    <s v="USD"/>
    <s v="M1871"/>
    <x v="0"/>
    <s v="Nigeria"/>
    <s v="C54587"/>
    <n v="53"/>
    <s v="F"/>
    <x v="11"/>
    <x v="0"/>
    <s v="Y"/>
    <s v="Success"/>
    <x v="0"/>
    <x v="0"/>
    <x v="2"/>
  </r>
  <r>
    <s v="TX1000202"/>
    <x v="49"/>
    <x v="1"/>
    <d v="1899-12-30T23:15:30"/>
    <n v="81.7"/>
    <s v="USD"/>
    <s v="M1669"/>
    <x v="0"/>
    <s v="South Africa"/>
    <s v="C94438"/>
    <n v="32"/>
    <s v="M"/>
    <x v="1"/>
    <x v="3"/>
    <s v="Y"/>
    <s v="Success"/>
    <x v="0"/>
    <x v="0"/>
    <x v="1"/>
  </r>
  <r>
    <s v="TX1000114"/>
    <x v="179"/>
    <x v="1"/>
    <d v="1899-12-30T22:48:01"/>
    <n v="81.62"/>
    <s v="USD"/>
    <s v="M1564"/>
    <x v="8"/>
    <s v="Canada"/>
    <s v="C85368"/>
    <n v="32"/>
    <s v="Other"/>
    <x v="8"/>
    <x v="1"/>
    <s v="Y"/>
    <s v="Success"/>
    <x v="0"/>
    <x v="0"/>
    <x v="1"/>
  </r>
  <r>
    <s v="TX1000701"/>
    <x v="62"/>
    <x v="4"/>
    <d v="1899-12-30T10:40:56"/>
    <n v="81.61"/>
    <s v="USD"/>
    <s v="M1811"/>
    <x v="9"/>
    <s v="France"/>
    <s v="C50147"/>
    <n v="28"/>
    <s v="M"/>
    <x v="11"/>
    <x v="3"/>
    <s v="Y"/>
    <s v="Success"/>
    <x v="0"/>
    <x v="0"/>
    <x v="1"/>
  </r>
  <r>
    <s v="TX1002884"/>
    <x v="144"/>
    <x v="3"/>
    <d v="1899-12-30T11:16:18"/>
    <n v="81.55"/>
    <s v="USD"/>
    <s v="M1675"/>
    <x v="4"/>
    <s v="South Africa"/>
    <s v="C74715"/>
    <n v="54"/>
    <s v="Other"/>
    <x v="6"/>
    <x v="5"/>
    <s v="Y"/>
    <s v="Success"/>
    <x v="0"/>
    <x v="0"/>
    <x v="2"/>
  </r>
  <r>
    <s v="TX1001909"/>
    <x v="147"/>
    <x v="5"/>
    <d v="1899-12-30T23:21:53"/>
    <n v="81.17"/>
    <s v="USD"/>
    <s v="M1665"/>
    <x v="5"/>
    <s v="Norway"/>
    <s v="C55571"/>
    <n v="64"/>
    <s v="M"/>
    <x v="9"/>
    <x v="1"/>
    <s v="N"/>
    <s v="Success"/>
    <x v="0"/>
    <x v="0"/>
    <x v="3"/>
  </r>
  <r>
    <s v="TX1000531"/>
    <x v="105"/>
    <x v="4"/>
    <d v="1899-12-30T02:01:04"/>
    <n v="80.89"/>
    <s v="USD"/>
    <s v="M1688"/>
    <x v="3"/>
    <s v="United Kingdom"/>
    <s v="C79057"/>
    <n v="58"/>
    <s v="M"/>
    <x v="3"/>
    <x v="1"/>
    <s v="Y"/>
    <s v="Success"/>
    <x v="0"/>
    <x v="0"/>
    <x v="2"/>
  </r>
  <r>
    <s v="TX1000035"/>
    <x v="109"/>
    <x v="1"/>
    <d v="1899-12-30T16:23:56"/>
    <n v="80.760000000000005"/>
    <s v="USD"/>
    <s v="M1708"/>
    <x v="4"/>
    <s v="Canada"/>
    <s v="C52409"/>
    <n v="52"/>
    <s v="Other"/>
    <x v="14"/>
    <x v="4"/>
    <s v="Y"/>
    <s v="Success"/>
    <x v="0"/>
    <x v="0"/>
    <x v="2"/>
  </r>
  <r>
    <s v="TX1000093"/>
    <x v="37"/>
    <x v="1"/>
    <d v="1899-12-30T17:13:43"/>
    <n v="80.650000000000006"/>
    <s v="USD"/>
    <s v="M1706"/>
    <x v="1"/>
    <s v="Sweden"/>
    <s v="C77639"/>
    <n v="62"/>
    <s v="Other"/>
    <x v="1"/>
    <x v="5"/>
    <s v="Y"/>
    <s v="Success"/>
    <x v="0"/>
    <x v="0"/>
    <x v="3"/>
  </r>
  <r>
    <s v="TX1002222"/>
    <x v="24"/>
    <x v="2"/>
    <d v="1899-12-30T15:03:18"/>
    <n v="80.64"/>
    <s v="USD"/>
    <s v="M1745"/>
    <x v="4"/>
    <s v="Kenya"/>
    <s v="C55376"/>
    <n v="59"/>
    <s v="F"/>
    <x v="14"/>
    <x v="0"/>
    <s v="Y"/>
    <s v="Success"/>
    <x v="0"/>
    <x v="0"/>
    <x v="2"/>
  </r>
  <r>
    <s v="TX1002806"/>
    <x v="4"/>
    <x v="3"/>
    <d v="1899-12-30T07:21:43"/>
    <n v="80.59"/>
    <s v="USD"/>
    <s v="M1872"/>
    <x v="5"/>
    <s v="Australia"/>
    <s v="C91258"/>
    <n v="55"/>
    <s v="F"/>
    <x v="9"/>
    <x v="2"/>
    <s v="Y"/>
    <s v="Success"/>
    <x v="0"/>
    <x v="0"/>
    <x v="2"/>
  </r>
  <r>
    <s v="TX1002644"/>
    <x v="41"/>
    <x v="3"/>
    <d v="1899-12-30T00:05:02"/>
    <n v="80.55"/>
    <s v="USD"/>
    <s v="M1577"/>
    <x v="6"/>
    <s v="Norway"/>
    <s v="C60528"/>
    <n v="52"/>
    <s v="M"/>
    <x v="3"/>
    <x v="0"/>
    <s v="Y"/>
    <s v="Success"/>
    <x v="0"/>
    <x v="0"/>
    <x v="2"/>
  </r>
  <r>
    <s v="TX1000528"/>
    <x v="63"/>
    <x v="4"/>
    <d v="1899-12-30T23:31:31"/>
    <n v="80.11"/>
    <s v="USD"/>
    <s v="M1199"/>
    <x v="3"/>
    <s v="Norway"/>
    <s v="C94602"/>
    <n v="40"/>
    <s v="Other"/>
    <x v="7"/>
    <x v="5"/>
    <s v="Y"/>
    <s v="Success"/>
    <x v="0"/>
    <x v="0"/>
    <x v="2"/>
  </r>
  <r>
    <s v="TX1001556"/>
    <x v="29"/>
    <x v="5"/>
    <d v="1899-12-30T02:16:42"/>
    <n v="79.959999999999994"/>
    <s v="USD"/>
    <s v="M1123"/>
    <x v="8"/>
    <s v="Norway"/>
    <s v="C61036"/>
    <n v="71"/>
    <s v="M"/>
    <x v="9"/>
    <x v="3"/>
    <s v="N"/>
    <s v="Success"/>
    <x v="0"/>
    <x v="0"/>
    <x v="3"/>
  </r>
  <r>
    <s v="TX1000313"/>
    <x v="157"/>
    <x v="1"/>
    <d v="1899-12-30T19:43:50"/>
    <n v="79.94"/>
    <s v="USD"/>
    <s v="M1117"/>
    <x v="3"/>
    <s v="France"/>
    <s v="C93928"/>
    <n v="53"/>
    <s v="Other"/>
    <x v="11"/>
    <x v="3"/>
    <s v="Y"/>
    <s v="Success"/>
    <x v="0"/>
    <x v="0"/>
    <x v="2"/>
  </r>
  <r>
    <s v="TX1001314"/>
    <x v="48"/>
    <x v="0"/>
    <d v="1899-12-30T22:56:27"/>
    <n v="79.92"/>
    <s v="USD"/>
    <s v="M1856"/>
    <x v="9"/>
    <s v="India"/>
    <s v="C51753"/>
    <n v="36"/>
    <s v="F"/>
    <x v="4"/>
    <x v="4"/>
    <s v="Y"/>
    <s v="Success"/>
    <x v="0"/>
    <x v="0"/>
    <x v="1"/>
  </r>
  <r>
    <s v="TX1001348"/>
    <x v="74"/>
    <x v="0"/>
    <d v="1899-12-30T17:55:17"/>
    <n v="79.92"/>
    <s v="USD"/>
    <s v="M1785"/>
    <x v="8"/>
    <s v="Sweden"/>
    <s v="C65391"/>
    <n v="21"/>
    <s v="Other"/>
    <x v="0"/>
    <x v="0"/>
    <s v="Y"/>
    <s v="Success"/>
    <x v="0"/>
    <x v="0"/>
    <x v="0"/>
  </r>
  <r>
    <s v="TX1001012"/>
    <x v="35"/>
    <x v="0"/>
    <d v="1899-12-30T23:05:42"/>
    <n v="79.849999999999994"/>
    <s v="USD"/>
    <s v="M1849"/>
    <x v="9"/>
    <s v="France"/>
    <s v="C52884"/>
    <n v="59"/>
    <s v="Other"/>
    <x v="13"/>
    <x v="1"/>
    <s v="Y"/>
    <s v="Success"/>
    <x v="0"/>
    <x v="0"/>
    <x v="2"/>
  </r>
  <r>
    <s v="TX1001060"/>
    <x v="47"/>
    <x v="0"/>
    <d v="1899-12-30T00:48:04"/>
    <n v="79.7"/>
    <s v="USD"/>
    <s v="M1143"/>
    <x v="4"/>
    <s v="Norway"/>
    <s v="C53443"/>
    <n v="26"/>
    <s v="F"/>
    <x v="11"/>
    <x v="4"/>
    <s v="Y"/>
    <s v="Success"/>
    <x v="0"/>
    <x v="0"/>
    <x v="1"/>
  </r>
  <r>
    <s v="TX1001182"/>
    <x v="120"/>
    <x v="0"/>
    <d v="1899-12-30T09:52:23"/>
    <n v="79.64"/>
    <s v="USD"/>
    <s v="M1264"/>
    <x v="7"/>
    <s v="Norway"/>
    <s v="C63625"/>
    <n v="24"/>
    <s v="F"/>
    <x v="13"/>
    <x v="5"/>
    <s v="Y"/>
    <s v="Success"/>
    <x v="0"/>
    <x v="0"/>
    <x v="0"/>
  </r>
  <r>
    <s v="TX1002648"/>
    <x v="41"/>
    <x v="3"/>
    <d v="1899-12-30T03:49:25"/>
    <n v="79.63"/>
    <s v="USD"/>
    <s v="M1171"/>
    <x v="8"/>
    <s v="United States"/>
    <s v="C89717"/>
    <n v="25"/>
    <s v="Other"/>
    <x v="1"/>
    <x v="2"/>
    <s v="Y"/>
    <s v="Success"/>
    <x v="0"/>
    <x v="0"/>
    <x v="1"/>
  </r>
  <r>
    <s v="TX1001696"/>
    <x v="27"/>
    <x v="5"/>
    <d v="1899-12-30T14:39:21"/>
    <n v="79.59"/>
    <s v="USD"/>
    <s v="M1083"/>
    <x v="3"/>
    <s v="Poland"/>
    <s v="C96466"/>
    <n v="75"/>
    <s v="F"/>
    <x v="3"/>
    <x v="3"/>
    <s v="Y"/>
    <s v="Success"/>
    <x v="0"/>
    <x v="0"/>
    <x v="3"/>
  </r>
  <r>
    <s v="TX1002768"/>
    <x v="169"/>
    <x v="3"/>
    <d v="1899-12-30T00:54:11"/>
    <n v="79.36"/>
    <s v="USD"/>
    <s v="M1176"/>
    <x v="9"/>
    <s v="Germany"/>
    <s v="C52603"/>
    <n v="37"/>
    <s v="M"/>
    <x v="12"/>
    <x v="1"/>
    <s v="N"/>
    <s v="Success"/>
    <x v="0"/>
    <x v="0"/>
    <x v="1"/>
  </r>
  <r>
    <s v="TX1002651"/>
    <x v="41"/>
    <x v="3"/>
    <d v="1899-12-30T11:55:50"/>
    <n v="79.23"/>
    <s v="USD"/>
    <s v="M1538"/>
    <x v="8"/>
    <s v="Netherlands"/>
    <s v="C90920"/>
    <n v="74"/>
    <s v="F"/>
    <x v="2"/>
    <x v="1"/>
    <s v="Y"/>
    <s v="Success"/>
    <x v="0"/>
    <x v="0"/>
    <x v="3"/>
  </r>
  <r>
    <s v="TX1002909"/>
    <x v="96"/>
    <x v="3"/>
    <d v="1899-12-30T00:51:09"/>
    <n v="79.2"/>
    <s v="USD"/>
    <s v="M1356"/>
    <x v="4"/>
    <s v="Poland"/>
    <s v="C80982"/>
    <n v="49"/>
    <s v="F"/>
    <x v="9"/>
    <x v="2"/>
    <s v="Y"/>
    <s v="Success"/>
    <x v="0"/>
    <x v="0"/>
    <x v="2"/>
  </r>
  <r>
    <s v="TX1000155"/>
    <x v="42"/>
    <x v="1"/>
    <d v="1899-12-30T06:56:50"/>
    <n v="79.180000000000007"/>
    <s v="USD"/>
    <s v="M1516"/>
    <x v="7"/>
    <s v="United Kingdom"/>
    <s v="C78307"/>
    <n v="23"/>
    <s v="F"/>
    <x v="7"/>
    <x v="3"/>
    <s v="Y"/>
    <s v="Success"/>
    <x v="0"/>
    <x v="0"/>
    <x v="0"/>
  </r>
  <r>
    <s v="TX1002899"/>
    <x v="137"/>
    <x v="3"/>
    <d v="1899-12-30T17:49:14"/>
    <n v="79.010000000000005"/>
    <s v="USD"/>
    <s v="M1432"/>
    <x v="6"/>
    <s v="Canada"/>
    <s v="C96102"/>
    <n v="55"/>
    <s v="F"/>
    <x v="10"/>
    <x v="3"/>
    <s v="Y"/>
    <s v="Success"/>
    <x v="0"/>
    <x v="0"/>
    <x v="2"/>
  </r>
  <r>
    <s v="TX1000841"/>
    <x v="114"/>
    <x v="4"/>
    <d v="1899-12-30T09:49:10"/>
    <n v="78.930000000000007"/>
    <s v="USD"/>
    <s v="M1345"/>
    <x v="1"/>
    <s v="Kenya"/>
    <s v="C86397"/>
    <n v="54"/>
    <s v="Other"/>
    <x v="11"/>
    <x v="4"/>
    <s v="Y"/>
    <s v="Success"/>
    <x v="0"/>
    <x v="0"/>
    <x v="2"/>
  </r>
  <r>
    <s v="TX1001919"/>
    <x v="155"/>
    <x v="5"/>
    <d v="1899-12-30T08:10:20"/>
    <n v="78.819999999999993"/>
    <s v="USD"/>
    <s v="M1881"/>
    <x v="0"/>
    <s v="Kenya"/>
    <s v="C55937"/>
    <n v="43"/>
    <s v="M"/>
    <x v="1"/>
    <x v="0"/>
    <s v="N"/>
    <s v="Success"/>
    <x v="0"/>
    <x v="0"/>
    <x v="2"/>
  </r>
  <r>
    <s v="TX1001774"/>
    <x v="72"/>
    <x v="5"/>
    <d v="1899-12-30T18:22:58"/>
    <n v="78.760000000000005"/>
    <s v="USD"/>
    <s v="M1524"/>
    <x v="7"/>
    <s v="United Kingdom"/>
    <s v="C51487"/>
    <n v="21"/>
    <s v="F"/>
    <x v="11"/>
    <x v="0"/>
    <s v="N"/>
    <s v="Success"/>
    <x v="0"/>
    <x v="0"/>
    <x v="0"/>
  </r>
  <r>
    <s v="TX1002695"/>
    <x v="89"/>
    <x v="3"/>
    <d v="1899-12-30T18:59:15"/>
    <n v="78.760000000000005"/>
    <s v="USD"/>
    <s v="M1626"/>
    <x v="2"/>
    <s v="Australia"/>
    <s v="C63667"/>
    <n v="52"/>
    <s v="Other"/>
    <x v="8"/>
    <x v="2"/>
    <s v="Y"/>
    <s v="Success"/>
    <x v="0"/>
    <x v="0"/>
    <x v="2"/>
  </r>
  <r>
    <s v="TX1000268"/>
    <x v="32"/>
    <x v="1"/>
    <d v="1899-12-30T03:41:24"/>
    <n v="78.680000000000007"/>
    <s v="USD"/>
    <s v="M1668"/>
    <x v="5"/>
    <s v="Sweden"/>
    <s v="C80954"/>
    <n v="36"/>
    <s v="Other"/>
    <x v="8"/>
    <x v="4"/>
    <s v="Y"/>
    <s v="Success"/>
    <x v="0"/>
    <x v="0"/>
    <x v="1"/>
  </r>
  <r>
    <s v="TX1000775"/>
    <x v="18"/>
    <x v="4"/>
    <d v="1899-12-30T13:07:42"/>
    <n v="78.599999999999994"/>
    <s v="USD"/>
    <s v="M1075"/>
    <x v="9"/>
    <s v="Spain"/>
    <s v="C92421"/>
    <n v="63"/>
    <s v="M"/>
    <x v="8"/>
    <x v="5"/>
    <s v="Y"/>
    <s v="Success"/>
    <x v="0"/>
    <x v="0"/>
    <x v="3"/>
  </r>
  <r>
    <s v="TX1002307"/>
    <x v="156"/>
    <x v="2"/>
    <d v="1899-12-30T22:27:39"/>
    <n v="78.58"/>
    <s v="USD"/>
    <s v="M1602"/>
    <x v="9"/>
    <s v="Germany"/>
    <s v="C73308"/>
    <n v="27"/>
    <s v="F"/>
    <x v="8"/>
    <x v="5"/>
    <s v="Y"/>
    <s v="Success"/>
    <x v="0"/>
    <x v="0"/>
    <x v="1"/>
  </r>
  <r>
    <s v="TX1001330"/>
    <x v="108"/>
    <x v="0"/>
    <d v="1899-12-30T21:58:37"/>
    <n v="78.34"/>
    <s v="USD"/>
    <s v="M1543"/>
    <x v="1"/>
    <s v="Spain"/>
    <s v="C89960"/>
    <n v="62"/>
    <s v="M"/>
    <x v="1"/>
    <x v="3"/>
    <s v="Y"/>
    <s v="Success"/>
    <x v="0"/>
    <x v="0"/>
    <x v="3"/>
  </r>
  <r>
    <s v="TX1000247"/>
    <x v="152"/>
    <x v="1"/>
    <d v="1899-12-30T02:03:04"/>
    <n v="78.31"/>
    <s v="USD"/>
    <s v="M1939"/>
    <x v="8"/>
    <s v="Germany"/>
    <s v="C55914"/>
    <n v="73"/>
    <s v="M"/>
    <x v="0"/>
    <x v="2"/>
    <s v="Y"/>
    <s v="Success"/>
    <x v="0"/>
    <x v="0"/>
    <x v="3"/>
  </r>
  <r>
    <s v="TX1000064"/>
    <x v="85"/>
    <x v="1"/>
    <d v="1899-12-30T18:22:38"/>
    <n v="78.290000000000006"/>
    <s v="USD"/>
    <s v="M1326"/>
    <x v="2"/>
    <s v="United Kingdom"/>
    <s v="C51920"/>
    <n v="48"/>
    <s v="Other"/>
    <x v="2"/>
    <x v="0"/>
    <s v="Y"/>
    <s v="Success"/>
    <x v="0"/>
    <x v="0"/>
    <x v="2"/>
  </r>
  <r>
    <s v="TX1002062"/>
    <x v="33"/>
    <x v="2"/>
    <d v="1899-12-30T16:38:58"/>
    <n v="78.290000000000006"/>
    <s v="USD"/>
    <s v="M1338"/>
    <x v="5"/>
    <s v="Sweden"/>
    <s v="C96464"/>
    <n v="42"/>
    <s v="M"/>
    <x v="0"/>
    <x v="0"/>
    <s v="Y"/>
    <s v="Success"/>
    <x v="0"/>
    <x v="0"/>
    <x v="2"/>
  </r>
  <r>
    <s v="TX1001320"/>
    <x v="108"/>
    <x v="0"/>
    <d v="1899-12-30T05:01:48"/>
    <n v="78.22"/>
    <s v="USD"/>
    <s v="M1718"/>
    <x v="7"/>
    <s v="Spain"/>
    <s v="C65822"/>
    <n v="66"/>
    <s v="F"/>
    <x v="0"/>
    <x v="0"/>
    <s v="N"/>
    <s v="Success"/>
    <x v="0"/>
    <x v="0"/>
    <x v="3"/>
  </r>
  <r>
    <s v="TX1000281"/>
    <x v="55"/>
    <x v="1"/>
    <d v="1899-12-30T04:22:23"/>
    <n v="78.06"/>
    <s v="USD"/>
    <s v="M1046"/>
    <x v="1"/>
    <s v="Netherlands"/>
    <s v="C68178"/>
    <n v="54"/>
    <s v="Other"/>
    <x v="4"/>
    <x v="3"/>
    <s v="Y"/>
    <s v="Success"/>
    <x v="0"/>
    <x v="0"/>
    <x v="2"/>
  </r>
  <r>
    <s v="TX1000289"/>
    <x v="55"/>
    <x v="1"/>
    <d v="1899-12-30T12:55:54"/>
    <n v="77.959999999999994"/>
    <s v="USD"/>
    <s v="M1008"/>
    <x v="7"/>
    <s v="South Africa"/>
    <s v="C74279"/>
    <n v="19"/>
    <s v="F"/>
    <x v="14"/>
    <x v="3"/>
    <s v="Y"/>
    <s v="Success"/>
    <x v="0"/>
    <x v="0"/>
    <x v="0"/>
  </r>
  <r>
    <s v="TX1000849"/>
    <x v="12"/>
    <x v="4"/>
    <d v="1899-12-30T06:59:20"/>
    <n v="77.88"/>
    <s v="USD"/>
    <s v="M1893"/>
    <x v="1"/>
    <s v="United States"/>
    <s v="C94409"/>
    <n v="22"/>
    <s v="M"/>
    <x v="5"/>
    <x v="1"/>
    <s v="N"/>
    <s v="Success"/>
    <x v="0"/>
    <x v="0"/>
    <x v="0"/>
  </r>
  <r>
    <s v="TX1000763"/>
    <x v="10"/>
    <x v="4"/>
    <d v="1899-12-30T20:34:23"/>
    <n v="77.790000000000006"/>
    <s v="USD"/>
    <s v="M1567"/>
    <x v="5"/>
    <s v="Norway"/>
    <s v="C91651"/>
    <n v="29"/>
    <s v="F"/>
    <x v="5"/>
    <x v="4"/>
    <s v="Y"/>
    <s v="Success"/>
    <x v="0"/>
    <x v="0"/>
    <x v="1"/>
  </r>
  <r>
    <s v="TX1000695"/>
    <x v="62"/>
    <x v="4"/>
    <d v="1899-12-30T03:52:12"/>
    <n v="77.510000000000005"/>
    <s v="USD"/>
    <s v="M1164"/>
    <x v="2"/>
    <s v="Netherlands"/>
    <s v="C89439"/>
    <n v="51"/>
    <s v="Other"/>
    <x v="3"/>
    <x v="1"/>
    <s v="Y"/>
    <s v="Success"/>
    <x v="0"/>
    <x v="0"/>
    <x v="2"/>
  </r>
  <r>
    <s v="TX1001653"/>
    <x v="39"/>
    <x v="5"/>
    <d v="1899-12-30T10:53:49"/>
    <n v="77.489999999999995"/>
    <s v="USD"/>
    <s v="M1043"/>
    <x v="3"/>
    <s v="India"/>
    <s v="C64433"/>
    <n v="64"/>
    <s v="F"/>
    <x v="5"/>
    <x v="0"/>
    <s v="Y"/>
    <s v="Success"/>
    <x v="1"/>
    <x v="1"/>
    <x v="3"/>
  </r>
  <r>
    <s v="TX1000994"/>
    <x v="35"/>
    <x v="0"/>
    <d v="1899-12-30T01:24:28"/>
    <n v="77.38"/>
    <s v="USD"/>
    <s v="M1971"/>
    <x v="2"/>
    <s v="Australia"/>
    <s v="C76750"/>
    <n v="55"/>
    <s v="Other"/>
    <x v="14"/>
    <x v="5"/>
    <s v="Y"/>
    <s v="Success"/>
    <x v="0"/>
    <x v="0"/>
    <x v="2"/>
  </r>
  <r>
    <s v="TX1000252"/>
    <x v="152"/>
    <x v="1"/>
    <d v="1899-12-30T07:03:56"/>
    <n v="77.03"/>
    <s v="USD"/>
    <s v="M1220"/>
    <x v="8"/>
    <s v="Netherlands"/>
    <s v="C94380"/>
    <n v="19"/>
    <s v="F"/>
    <x v="12"/>
    <x v="5"/>
    <s v="Y"/>
    <s v="Success"/>
    <x v="0"/>
    <x v="0"/>
    <x v="0"/>
  </r>
  <r>
    <s v="TX1002459"/>
    <x v="154"/>
    <x v="2"/>
    <d v="1899-12-30T06:54:17"/>
    <n v="76.98"/>
    <s v="USD"/>
    <s v="M1303"/>
    <x v="3"/>
    <s v="Sweden"/>
    <s v="C71472"/>
    <n v="71"/>
    <s v="M"/>
    <x v="4"/>
    <x v="4"/>
    <s v="N"/>
    <s v="Success"/>
    <x v="0"/>
    <x v="0"/>
    <x v="3"/>
  </r>
  <r>
    <s v="TX1000345"/>
    <x v="43"/>
    <x v="1"/>
    <d v="1899-12-30T13:53:49"/>
    <n v="76.97"/>
    <s v="USD"/>
    <s v="M1085"/>
    <x v="8"/>
    <s v="Poland"/>
    <s v="C77875"/>
    <n v="58"/>
    <s v="Other"/>
    <x v="12"/>
    <x v="3"/>
    <s v="Y"/>
    <s v="Success"/>
    <x v="0"/>
    <x v="0"/>
    <x v="2"/>
  </r>
  <r>
    <s v="TX1000545"/>
    <x v="122"/>
    <x v="4"/>
    <d v="1899-12-30T02:39:31"/>
    <n v="76.88"/>
    <s v="USD"/>
    <s v="M1187"/>
    <x v="7"/>
    <s v="Germany"/>
    <s v="C73275"/>
    <n v="23"/>
    <s v="M"/>
    <x v="12"/>
    <x v="2"/>
    <s v="N"/>
    <s v="Success"/>
    <x v="0"/>
    <x v="0"/>
    <x v="0"/>
  </r>
  <r>
    <s v="TX1002892"/>
    <x v="137"/>
    <x v="3"/>
    <d v="1899-12-30T06:00:44"/>
    <n v="76.86"/>
    <s v="USD"/>
    <s v="M1619"/>
    <x v="7"/>
    <s v="United Kingdom"/>
    <s v="C95512"/>
    <n v="32"/>
    <s v="Other"/>
    <x v="12"/>
    <x v="1"/>
    <s v="Y"/>
    <s v="Success"/>
    <x v="0"/>
    <x v="0"/>
    <x v="1"/>
  </r>
  <r>
    <s v="TX1001976"/>
    <x v="121"/>
    <x v="5"/>
    <d v="1899-12-30T21:55:30"/>
    <n v="76.86"/>
    <s v="USD"/>
    <s v="M1282"/>
    <x v="1"/>
    <s v="Australia"/>
    <s v="C53156"/>
    <n v="34"/>
    <s v="M"/>
    <x v="4"/>
    <x v="1"/>
    <s v="Y"/>
    <s v="Success"/>
    <x v="0"/>
    <x v="0"/>
    <x v="1"/>
  </r>
  <r>
    <s v="TX1000707"/>
    <x v="62"/>
    <x v="4"/>
    <d v="1899-12-30T21:33:43"/>
    <n v="76.81"/>
    <s v="USD"/>
    <s v="M1582"/>
    <x v="9"/>
    <s v="Kenya"/>
    <s v="C94106"/>
    <n v="67"/>
    <s v="Other"/>
    <x v="2"/>
    <x v="1"/>
    <s v="Y"/>
    <s v="Success"/>
    <x v="0"/>
    <x v="0"/>
    <x v="3"/>
  </r>
  <r>
    <s v="TX1001484"/>
    <x v="0"/>
    <x v="0"/>
    <d v="1899-12-30T12:28:12"/>
    <n v="76.8"/>
    <s v="USD"/>
    <s v="M1185"/>
    <x v="9"/>
    <s v="Australia"/>
    <s v="C94275"/>
    <n v="30"/>
    <s v="F"/>
    <x v="5"/>
    <x v="2"/>
    <s v="Y"/>
    <s v="Success"/>
    <x v="0"/>
    <x v="0"/>
    <x v="1"/>
  </r>
  <r>
    <s v="TX1002052"/>
    <x v="33"/>
    <x v="2"/>
    <d v="1899-12-30T07:43:42"/>
    <n v="76.680000000000007"/>
    <s v="USD"/>
    <s v="M1553"/>
    <x v="9"/>
    <s v="Norway"/>
    <s v="C54997"/>
    <n v="75"/>
    <s v="F"/>
    <x v="0"/>
    <x v="0"/>
    <s v="Y"/>
    <s v="Success"/>
    <x v="0"/>
    <x v="0"/>
    <x v="3"/>
  </r>
  <r>
    <s v="TX1002404"/>
    <x v="90"/>
    <x v="2"/>
    <d v="1899-12-30T14:26:33"/>
    <n v="76.67"/>
    <s v="USD"/>
    <s v="M1417"/>
    <x v="0"/>
    <s v="United States"/>
    <s v="C61151"/>
    <n v="51"/>
    <s v="F"/>
    <x v="14"/>
    <x v="5"/>
    <s v="Y"/>
    <s v="Success"/>
    <x v="0"/>
    <x v="0"/>
    <x v="2"/>
  </r>
  <r>
    <s v="TX1000600"/>
    <x v="163"/>
    <x v="4"/>
    <d v="1899-12-30T12:04:45"/>
    <n v="76.61"/>
    <s v="USD"/>
    <s v="M1088"/>
    <x v="1"/>
    <s v="Germany"/>
    <s v="C85634"/>
    <n v="58"/>
    <s v="M"/>
    <x v="10"/>
    <x v="2"/>
    <s v="Y"/>
    <s v="Success"/>
    <x v="0"/>
    <x v="0"/>
    <x v="2"/>
  </r>
  <r>
    <s v="TX1002280"/>
    <x v="79"/>
    <x v="2"/>
    <d v="1899-12-30T03:51:26"/>
    <n v="76.44"/>
    <s v="USD"/>
    <s v="M1698"/>
    <x v="4"/>
    <s v="India"/>
    <s v="C93936"/>
    <n v="41"/>
    <s v="M"/>
    <x v="5"/>
    <x v="0"/>
    <s v="Y"/>
    <s v="Success"/>
    <x v="0"/>
    <x v="0"/>
    <x v="2"/>
  </r>
  <r>
    <s v="TX1000720"/>
    <x v="106"/>
    <x v="4"/>
    <d v="1899-12-30T18:33:26"/>
    <n v="76.400000000000006"/>
    <s v="USD"/>
    <s v="M1333"/>
    <x v="3"/>
    <s v="Australia"/>
    <s v="C55913"/>
    <n v="47"/>
    <s v="F"/>
    <x v="0"/>
    <x v="3"/>
    <s v="Y"/>
    <s v="Success"/>
    <x v="0"/>
    <x v="0"/>
    <x v="2"/>
  </r>
  <r>
    <s v="TX1000096"/>
    <x v="37"/>
    <x v="1"/>
    <d v="1899-12-30T20:37:14"/>
    <n v="76.349999999999994"/>
    <s v="USD"/>
    <s v="M1454"/>
    <x v="2"/>
    <s v="South Africa"/>
    <s v="C55768"/>
    <n v="49"/>
    <s v="Other"/>
    <x v="14"/>
    <x v="4"/>
    <s v="Y"/>
    <s v="Success"/>
    <x v="0"/>
    <x v="0"/>
    <x v="2"/>
  </r>
  <r>
    <s v="TX1002105"/>
    <x v="158"/>
    <x v="2"/>
    <d v="1899-12-30T17:44:27"/>
    <n v="76.25"/>
    <s v="USD"/>
    <s v="M1365"/>
    <x v="5"/>
    <s v="United States"/>
    <s v="C71748"/>
    <n v="74"/>
    <s v="Other"/>
    <x v="2"/>
    <x v="4"/>
    <s v="Y"/>
    <s v="Success"/>
    <x v="0"/>
    <x v="0"/>
    <x v="3"/>
  </r>
  <r>
    <s v="TX1000428"/>
    <x v="148"/>
    <x v="1"/>
    <d v="1899-12-30T02:57:08"/>
    <n v="76.150000000000006"/>
    <s v="USD"/>
    <s v="M1204"/>
    <x v="6"/>
    <s v="Germany"/>
    <s v="C82184"/>
    <n v="28"/>
    <s v="F"/>
    <x v="9"/>
    <x v="0"/>
    <s v="Y"/>
    <s v="Success"/>
    <x v="0"/>
    <x v="0"/>
    <x v="1"/>
  </r>
  <r>
    <s v="TX1002523"/>
    <x v="9"/>
    <x v="2"/>
    <d v="1899-12-30T22:47:43"/>
    <n v="75.989999999999995"/>
    <s v="USD"/>
    <s v="M1303"/>
    <x v="0"/>
    <s v="Netherlands"/>
    <s v="C77801"/>
    <n v="38"/>
    <s v="Other"/>
    <x v="0"/>
    <x v="2"/>
    <s v="Y"/>
    <s v="Success"/>
    <x v="0"/>
    <x v="0"/>
    <x v="1"/>
  </r>
  <r>
    <s v="TX1001691"/>
    <x v="27"/>
    <x v="5"/>
    <d v="1899-12-30T08:09:59"/>
    <n v="75.760000000000005"/>
    <s v="USD"/>
    <s v="M1505"/>
    <x v="9"/>
    <s v="Sweden"/>
    <s v="C54530"/>
    <n v="61"/>
    <s v="F"/>
    <x v="4"/>
    <x v="4"/>
    <s v="N"/>
    <s v="Success"/>
    <x v="0"/>
    <x v="0"/>
    <x v="3"/>
  </r>
  <r>
    <s v="TX1002308"/>
    <x v="156"/>
    <x v="2"/>
    <d v="1899-12-30T23:28:57"/>
    <n v="75.709999999999994"/>
    <s v="USD"/>
    <s v="M1085"/>
    <x v="2"/>
    <s v="Norway"/>
    <s v="C92926"/>
    <n v="36"/>
    <s v="Other"/>
    <x v="7"/>
    <x v="2"/>
    <s v="Y"/>
    <s v="Success"/>
    <x v="0"/>
    <x v="0"/>
    <x v="1"/>
  </r>
  <r>
    <s v="TX1002951"/>
    <x v="118"/>
    <x v="3"/>
    <d v="1899-12-30T07:40:13"/>
    <n v="75.66"/>
    <s v="USD"/>
    <s v="M1109"/>
    <x v="8"/>
    <s v="Kenya"/>
    <s v="C66152"/>
    <n v="39"/>
    <s v="F"/>
    <x v="2"/>
    <x v="5"/>
    <s v="Y"/>
    <s v="Success"/>
    <x v="0"/>
    <x v="0"/>
    <x v="1"/>
  </r>
  <r>
    <s v="TX1000107"/>
    <x v="179"/>
    <x v="1"/>
    <d v="1899-12-30T11:53:03"/>
    <n v="75.62"/>
    <s v="USD"/>
    <s v="M1044"/>
    <x v="8"/>
    <s v="Spain"/>
    <s v="C92698"/>
    <n v="28"/>
    <s v="Other"/>
    <x v="3"/>
    <x v="4"/>
    <s v="Y"/>
    <s v="Success"/>
    <x v="0"/>
    <x v="0"/>
    <x v="1"/>
  </r>
  <r>
    <s v="TX1002478"/>
    <x v="19"/>
    <x v="2"/>
    <d v="1899-12-30T13:47:26"/>
    <n v="75.5"/>
    <s v="USD"/>
    <s v="M1381"/>
    <x v="4"/>
    <s v="United States"/>
    <s v="C62280"/>
    <n v="45"/>
    <s v="M"/>
    <x v="10"/>
    <x v="1"/>
    <s v="Y"/>
    <s v="Success"/>
    <x v="0"/>
    <x v="0"/>
    <x v="2"/>
  </r>
  <r>
    <s v="TX1001290"/>
    <x v="125"/>
    <x v="0"/>
    <d v="1899-12-30T10:43:53"/>
    <n v="75.489999999999995"/>
    <s v="USD"/>
    <s v="M1056"/>
    <x v="6"/>
    <s v="United Kingdom"/>
    <s v="C72730"/>
    <n v="26"/>
    <s v="M"/>
    <x v="9"/>
    <x v="5"/>
    <s v="Y"/>
    <s v="Success"/>
    <x v="0"/>
    <x v="0"/>
    <x v="1"/>
  </r>
  <r>
    <s v="TX1002467"/>
    <x v="154"/>
    <x v="2"/>
    <d v="1899-12-30T23:46:25"/>
    <n v="75.36"/>
    <s v="USD"/>
    <s v="M1888"/>
    <x v="7"/>
    <s v="Netherlands"/>
    <s v="C95215"/>
    <n v="45"/>
    <s v="Other"/>
    <x v="11"/>
    <x v="5"/>
    <s v="Y"/>
    <s v="Success"/>
    <x v="1"/>
    <x v="1"/>
    <x v="2"/>
  </r>
  <r>
    <s v="TX1000014"/>
    <x v="146"/>
    <x v="1"/>
    <d v="1899-12-30T17:09:35"/>
    <n v="75.349999999999994"/>
    <s v="USD"/>
    <s v="M1775"/>
    <x v="0"/>
    <s v="Sweden"/>
    <s v="C93522"/>
    <n v="56"/>
    <s v="M"/>
    <x v="3"/>
    <x v="2"/>
    <s v="Y"/>
    <s v="Success"/>
    <x v="0"/>
    <x v="0"/>
    <x v="2"/>
  </r>
  <r>
    <s v="TX1002978"/>
    <x v="116"/>
    <x v="3"/>
    <d v="1899-12-30T02:26:01"/>
    <n v="75.28"/>
    <s v="USD"/>
    <s v="M1052"/>
    <x v="5"/>
    <s v="Nigeria"/>
    <s v="C72988"/>
    <n v="24"/>
    <s v="F"/>
    <x v="10"/>
    <x v="4"/>
    <s v="Y"/>
    <s v="Success"/>
    <x v="1"/>
    <x v="1"/>
    <x v="0"/>
  </r>
  <r>
    <s v="TX1000959"/>
    <x v="16"/>
    <x v="0"/>
    <d v="1899-12-30T04:41:37"/>
    <n v="74.97"/>
    <s v="USD"/>
    <s v="M1928"/>
    <x v="9"/>
    <s v="Nigeria"/>
    <s v="C61944"/>
    <n v="54"/>
    <s v="M"/>
    <x v="0"/>
    <x v="2"/>
    <s v="Y"/>
    <s v="Success"/>
    <x v="0"/>
    <x v="0"/>
    <x v="2"/>
  </r>
  <r>
    <s v="TX1002374"/>
    <x v="160"/>
    <x v="2"/>
    <d v="1899-12-30T04:56:43"/>
    <n v="74.760000000000005"/>
    <s v="USD"/>
    <s v="M1141"/>
    <x v="3"/>
    <s v="Nigeria"/>
    <s v="C75771"/>
    <n v="64"/>
    <s v="M"/>
    <x v="7"/>
    <x v="1"/>
    <s v="Y"/>
    <s v="Success"/>
    <x v="0"/>
    <x v="0"/>
    <x v="3"/>
  </r>
  <r>
    <s v="TX1002142"/>
    <x v="135"/>
    <x v="2"/>
    <d v="1899-12-30T18:31:22"/>
    <n v="74.59"/>
    <s v="USD"/>
    <s v="M1114"/>
    <x v="9"/>
    <s v="Nigeria"/>
    <s v="C56883"/>
    <n v="58"/>
    <s v="F"/>
    <x v="8"/>
    <x v="2"/>
    <s v="Y"/>
    <s v="Success"/>
    <x v="1"/>
    <x v="1"/>
    <x v="2"/>
  </r>
  <r>
    <s v="TX1000324"/>
    <x v="95"/>
    <x v="1"/>
    <d v="1899-12-30T10:47:52"/>
    <n v="74.27"/>
    <s v="USD"/>
    <s v="M1394"/>
    <x v="4"/>
    <s v="Netherlands"/>
    <s v="C66173"/>
    <n v="58"/>
    <s v="Other"/>
    <x v="14"/>
    <x v="4"/>
    <s v="Y"/>
    <s v="Success"/>
    <x v="0"/>
    <x v="0"/>
    <x v="2"/>
  </r>
  <r>
    <s v="TX1000560"/>
    <x v="172"/>
    <x v="4"/>
    <d v="1899-12-30T09:55:12"/>
    <n v="74.25"/>
    <s v="USD"/>
    <s v="M1824"/>
    <x v="8"/>
    <s v="United States"/>
    <s v="C52788"/>
    <n v="32"/>
    <s v="F"/>
    <x v="5"/>
    <x v="3"/>
    <s v="N"/>
    <s v="Success"/>
    <x v="0"/>
    <x v="0"/>
    <x v="1"/>
  </r>
  <r>
    <s v="TX1002741"/>
    <x v="136"/>
    <x v="3"/>
    <d v="1899-12-30T14:52:25"/>
    <n v="74.19"/>
    <s v="USD"/>
    <s v="M1666"/>
    <x v="0"/>
    <s v="Germany"/>
    <s v="C57486"/>
    <n v="50"/>
    <s v="Other"/>
    <x v="1"/>
    <x v="4"/>
    <s v="Y"/>
    <s v="Success"/>
    <x v="1"/>
    <x v="1"/>
    <x v="2"/>
  </r>
  <r>
    <s v="TX1000894"/>
    <x v="8"/>
    <x v="4"/>
    <d v="1899-12-30T11:34:27"/>
    <n v="73.98"/>
    <s v="USD"/>
    <s v="M1252"/>
    <x v="7"/>
    <s v="Poland"/>
    <s v="C71909"/>
    <n v="49"/>
    <s v="Other"/>
    <x v="5"/>
    <x v="1"/>
    <s v="Y"/>
    <s v="Success"/>
    <x v="0"/>
    <x v="0"/>
    <x v="2"/>
  </r>
  <r>
    <s v="TX1002906"/>
    <x v="180"/>
    <x v="3"/>
    <d v="1899-12-30T17:59:51"/>
    <n v="73.84"/>
    <s v="USD"/>
    <s v="M1238"/>
    <x v="5"/>
    <s v="Australia"/>
    <s v="C54154"/>
    <n v="50"/>
    <s v="Other"/>
    <x v="2"/>
    <x v="1"/>
    <s v="Y"/>
    <s v="Success"/>
    <x v="1"/>
    <x v="1"/>
    <x v="2"/>
  </r>
  <r>
    <s v="TX1002610"/>
    <x v="94"/>
    <x v="3"/>
    <d v="1899-12-30T02:04:57"/>
    <n v="73.58"/>
    <s v="USD"/>
    <s v="M1217"/>
    <x v="1"/>
    <s v="Norway"/>
    <s v="C67617"/>
    <n v="75"/>
    <s v="M"/>
    <x v="13"/>
    <x v="3"/>
    <s v="Y"/>
    <s v="Success"/>
    <x v="0"/>
    <x v="0"/>
    <x v="3"/>
  </r>
  <r>
    <s v="TX1001511"/>
    <x v="98"/>
    <x v="5"/>
    <d v="1899-12-30T23:38:41"/>
    <n v="73.540000000000006"/>
    <s v="USD"/>
    <s v="M1361"/>
    <x v="5"/>
    <s v="Australia"/>
    <s v="C72033"/>
    <n v="29"/>
    <s v="M"/>
    <x v="13"/>
    <x v="0"/>
    <s v="Y"/>
    <s v="Success"/>
    <x v="0"/>
    <x v="0"/>
    <x v="1"/>
  </r>
  <r>
    <s v="TX1000354"/>
    <x v="1"/>
    <x v="1"/>
    <d v="1899-12-30T04:34:31"/>
    <n v="73.53"/>
    <s v="USD"/>
    <s v="M1275"/>
    <x v="7"/>
    <s v="South Africa"/>
    <s v="C93009"/>
    <n v="45"/>
    <s v="M"/>
    <x v="2"/>
    <x v="3"/>
    <s v="Y"/>
    <s v="Success"/>
    <x v="0"/>
    <x v="0"/>
    <x v="2"/>
  </r>
  <r>
    <s v="TX1000354"/>
    <x v="1"/>
    <x v="1"/>
    <d v="1899-12-30T04:34:31"/>
    <n v="73.53"/>
    <s v="USD"/>
    <s v="M1275"/>
    <x v="7"/>
    <s v="South Africa"/>
    <s v="C93009"/>
    <n v="45"/>
    <s v="M"/>
    <x v="2"/>
    <x v="3"/>
    <s v="Y"/>
    <s v="Success"/>
    <x v="0"/>
    <x v="0"/>
    <x v="2"/>
  </r>
  <r>
    <s v="TX1002037"/>
    <x v="138"/>
    <x v="2"/>
    <d v="1899-12-30T11:30:00"/>
    <n v="73.52"/>
    <s v="USD"/>
    <s v="M1308"/>
    <x v="0"/>
    <s v="Nigeria"/>
    <s v="C63905"/>
    <n v="61"/>
    <s v="Other"/>
    <x v="10"/>
    <x v="3"/>
    <s v="Y"/>
    <s v="Success"/>
    <x v="0"/>
    <x v="0"/>
    <x v="3"/>
  </r>
  <r>
    <s v="TX1000147"/>
    <x v="30"/>
    <x v="1"/>
    <d v="1899-12-30T16:54:06"/>
    <n v="73.45"/>
    <s v="USD"/>
    <s v="M1064"/>
    <x v="0"/>
    <s v="Norway"/>
    <s v="C75394"/>
    <n v="27"/>
    <s v="Other"/>
    <x v="12"/>
    <x v="1"/>
    <s v="Y"/>
    <s v="Success"/>
    <x v="1"/>
    <x v="1"/>
    <x v="1"/>
  </r>
  <r>
    <s v="TX1001648"/>
    <x v="39"/>
    <x v="5"/>
    <d v="1899-12-30T00:24:41"/>
    <n v="73.400000000000006"/>
    <s v="USD"/>
    <s v="M1950"/>
    <x v="6"/>
    <s v="United Kingdom"/>
    <s v="C75885"/>
    <n v="36"/>
    <s v="M"/>
    <x v="7"/>
    <x v="0"/>
    <s v="Y"/>
    <s v="Success"/>
    <x v="0"/>
    <x v="0"/>
    <x v="1"/>
  </r>
  <r>
    <s v="TX1001617"/>
    <x v="127"/>
    <x v="5"/>
    <d v="1899-12-30T04:13:11"/>
    <n v="73.31"/>
    <s v="USD"/>
    <s v="M1751"/>
    <x v="1"/>
    <s v="Poland"/>
    <s v="C95595"/>
    <n v="15"/>
    <s v="F"/>
    <x v="3"/>
    <x v="0"/>
    <s v="Y"/>
    <s v="Success"/>
    <x v="0"/>
    <x v="0"/>
    <x v="0"/>
  </r>
  <r>
    <s v="TX1000881"/>
    <x v="51"/>
    <x v="4"/>
    <d v="1899-12-30T14:49:09"/>
    <n v="73.290000000000006"/>
    <s v="USD"/>
    <s v="M1465"/>
    <x v="8"/>
    <s v="Germany"/>
    <s v="C80907"/>
    <n v="67"/>
    <s v="M"/>
    <x v="12"/>
    <x v="2"/>
    <s v="N"/>
    <s v="Success"/>
    <x v="0"/>
    <x v="0"/>
    <x v="3"/>
  </r>
  <r>
    <s v="TX1000246"/>
    <x v="152"/>
    <x v="1"/>
    <d v="1899-12-30T01:51:10"/>
    <n v="73.239999999999995"/>
    <s v="USD"/>
    <s v="M1021"/>
    <x v="2"/>
    <s v="Kenya"/>
    <s v="C98460"/>
    <n v="68"/>
    <s v="Other"/>
    <x v="11"/>
    <x v="1"/>
    <s v="Y"/>
    <s v="Success"/>
    <x v="0"/>
    <x v="0"/>
    <x v="3"/>
  </r>
  <r>
    <s v="TX1000566"/>
    <x v="172"/>
    <x v="4"/>
    <d v="1899-12-30T16:23:45"/>
    <n v="73.11"/>
    <s v="USD"/>
    <s v="M1458"/>
    <x v="9"/>
    <s v="South Africa"/>
    <s v="C94024"/>
    <n v="74"/>
    <s v="F"/>
    <x v="6"/>
    <x v="5"/>
    <s v="Y"/>
    <s v="Success"/>
    <x v="0"/>
    <x v="0"/>
    <x v="3"/>
  </r>
  <r>
    <s v="TX1001238"/>
    <x v="128"/>
    <x v="0"/>
    <d v="1899-12-30T15:42:08"/>
    <n v="72.97"/>
    <s v="USD"/>
    <s v="M1627"/>
    <x v="8"/>
    <s v="Poland"/>
    <s v="C96423"/>
    <n v="67"/>
    <s v="F"/>
    <x v="3"/>
    <x v="2"/>
    <s v="Y"/>
    <s v="Success"/>
    <x v="0"/>
    <x v="0"/>
    <x v="3"/>
  </r>
  <r>
    <s v="TX1002044"/>
    <x v="138"/>
    <x v="2"/>
    <d v="1899-12-30T20:17:06"/>
    <n v="72.89"/>
    <s v="USD"/>
    <s v="M1206"/>
    <x v="3"/>
    <s v="Netherlands"/>
    <s v="C58690"/>
    <n v="47"/>
    <s v="M"/>
    <x v="7"/>
    <x v="2"/>
    <s v="Y"/>
    <s v="Success"/>
    <x v="0"/>
    <x v="0"/>
    <x v="2"/>
  </r>
  <r>
    <s v="TX1000149"/>
    <x v="30"/>
    <x v="1"/>
    <d v="1899-12-30T20:53:59"/>
    <n v="72.819999999999993"/>
    <s v="USD"/>
    <s v="M1841"/>
    <x v="5"/>
    <s v="Sweden"/>
    <s v="C96427"/>
    <n v="64"/>
    <s v="M"/>
    <x v="9"/>
    <x v="1"/>
    <s v="Y"/>
    <s v="Success"/>
    <x v="0"/>
    <x v="0"/>
    <x v="3"/>
  </r>
  <r>
    <s v="TX1000370"/>
    <x v="1"/>
    <x v="1"/>
    <d v="1899-12-30T21:27:05"/>
    <n v="72.739999999999995"/>
    <s v="USD"/>
    <s v="M1044"/>
    <x v="2"/>
    <s v="United States"/>
    <s v="C61669"/>
    <n v="45"/>
    <s v="M"/>
    <x v="0"/>
    <x v="3"/>
    <s v="Y"/>
    <s v="Success"/>
    <x v="0"/>
    <x v="0"/>
    <x v="2"/>
  </r>
  <r>
    <s v="TX1001646"/>
    <x v="143"/>
    <x v="5"/>
    <d v="1899-12-30T18:56:53"/>
    <n v="72.69"/>
    <s v="USD"/>
    <s v="M1724"/>
    <x v="5"/>
    <s v="Nigeria"/>
    <s v="C55680"/>
    <n v="53"/>
    <s v="Other"/>
    <x v="11"/>
    <x v="3"/>
    <s v="Y"/>
    <s v="Success"/>
    <x v="0"/>
    <x v="0"/>
    <x v="2"/>
  </r>
  <r>
    <s v="TX1000092"/>
    <x v="37"/>
    <x v="1"/>
    <d v="1899-12-30T17:03:42"/>
    <n v="72.680000000000007"/>
    <s v="USD"/>
    <s v="M1118"/>
    <x v="7"/>
    <s v="Norway"/>
    <s v="C99689"/>
    <n v="12"/>
    <s v="Other"/>
    <x v="14"/>
    <x v="5"/>
    <s v="Y"/>
    <s v="Success"/>
    <x v="0"/>
    <x v="0"/>
    <x v="0"/>
  </r>
  <r>
    <s v="TX1001669"/>
    <x v="176"/>
    <x v="5"/>
    <d v="1899-12-30T18:08:16"/>
    <n v="72.67"/>
    <s v="USD"/>
    <s v="M1323"/>
    <x v="7"/>
    <s v="Germany"/>
    <s v="C74155"/>
    <n v="32"/>
    <s v="F"/>
    <x v="10"/>
    <x v="0"/>
    <s v="Y"/>
    <s v="Success"/>
    <x v="0"/>
    <x v="0"/>
    <x v="1"/>
  </r>
  <r>
    <s v="TX1002823"/>
    <x v="86"/>
    <x v="3"/>
    <d v="1899-12-30T02:51:51"/>
    <n v="72.52"/>
    <s v="USD"/>
    <s v="M1613"/>
    <x v="3"/>
    <s v="Canada"/>
    <s v="C67093"/>
    <n v="45"/>
    <s v="M"/>
    <x v="12"/>
    <x v="2"/>
    <s v="Y"/>
    <s v="Success"/>
    <x v="0"/>
    <x v="0"/>
    <x v="2"/>
  </r>
  <r>
    <s v="TX1000260"/>
    <x v="152"/>
    <x v="1"/>
    <d v="1899-12-30T19:35:28"/>
    <n v="72.45"/>
    <s v="USD"/>
    <s v="M1376"/>
    <x v="0"/>
    <s v="United Kingdom"/>
    <s v="C82087"/>
    <n v="56"/>
    <s v="F"/>
    <x v="6"/>
    <x v="2"/>
    <s v="Y"/>
    <s v="Success"/>
    <x v="1"/>
    <x v="1"/>
    <x v="2"/>
  </r>
  <r>
    <s v="TX1000260"/>
    <x v="152"/>
    <x v="1"/>
    <d v="1899-12-30T19:35:28"/>
    <n v="72.45"/>
    <s v="USD"/>
    <s v="M1376"/>
    <x v="0"/>
    <s v="United Kingdom"/>
    <s v="C82087"/>
    <n v="56"/>
    <s v="F"/>
    <x v="6"/>
    <x v="2"/>
    <s v="Y"/>
    <s v="Success"/>
    <x v="1"/>
    <x v="1"/>
    <x v="2"/>
  </r>
  <r>
    <s v="TX1002875"/>
    <x v="144"/>
    <x v="3"/>
    <d v="1899-12-30T02:57:43"/>
    <n v="72.27"/>
    <s v="USD"/>
    <s v="M1726"/>
    <x v="4"/>
    <s v="Canada"/>
    <s v="C74167"/>
    <n v="35"/>
    <s v="Other"/>
    <x v="3"/>
    <x v="3"/>
    <s v="N"/>
    <s v="Success"/>
    <x v="0"/>
    <x v="0"/>
    <x v="1"/>
  </r>
  <r>
    <s v="TX1001154"/>
    <x v="165"/>
    <x v="0"/>
    <d v="1899-12-30T20:37:23"/>
    <n v="72.239999999999995"/>
    <s v="USD"/>
    <s v="M1152"/>
    <x v="0"/>
    <s v="Nigeria"/>
    <s v="C94279"/>
    <n v="25"/>
    <s v="Other"/>
    <x v="1"/>
    <x v="0"/>
    <s v="Y"/>
    <s v="Success"/>
    <x v="0"/>
    <x v="0"/>
    <x v="1"/>
  </r>
  <r>
    <s v="TX1001204"/>
    <x v="81"/>
    <x v="0"/>
    <d v="1899-12-30T00:48:10"/>
    <n v="72.06"/>
    <s v="USD"/>
    <s v="M1297"/>
    <x v="8"/>
    <s v="France"/>
    <s v="C66001"/>
    <n v="60"/>
    <s v="F"/>
    <x v="2"/>
    <x v="5"/>
    <s v="N"/>
    <s v="Success"/>
    <x v="0"/>
    <x v="0"/>
    <x v="3"/>
  </r>
  <r>
    <s v="TX1000226"/>
    <x v="88"/>
    <x v="1"/>
    <d v="1899-12-30T02:31:56"/>
    <n v="71.84"/>
    <s v="USD"/>
    <s v="M1542"/>
    <x v="7"/>
    <s v="Canada"/>
    <s v="C62701"/>
    <n v="66"/>
    <s v="M"/>
    <x v="3"/>
    <x v="1"/>
    <s v="N"/>
    <s v="Success"/>
    <x v="0"/>
    <x v="0"/>
    <x v="3"/>
  </r>
  <r>
    <s v="TX1001622"/>
    <x v="127"/>
    <x v="5"/>
    <d v="1899-12-30T15:49:51"/>
    <n v="71.739999999999995"/>
    <s v="USD"/>
    <s v="M1076"/>
    <x v="8"/>
    <s v="United Kingdom"/>
    <s v="C77005"/>
    <n v="63"/>
    <s v="Other"/>
    <x v="11"/>
    <x v="1"/>
    <s v="N"/>
    <s v="Success"/>
    <x v="0"/>
    <x v="0"/>
    <x v="3"/>
  </r>
  <r>
    <s v="TX1002907"/>
    <x v="180"/>
    <x v="3"/>
    <d v="1899-12-30T20:48:31"/>
    <n v="71.67"/>
    <s v="USD"/>
    <s v="M1862"/>
    <x v="8"/>
    <s v="United States"/>
    <s v="C60338"/>
    <n v="50"/>
    <s v="Other"/>
    <x v="0"/>
    <x v="2"/>
    <s v="Y"/>
    <s v="Success"/>
    <x v="0"/>
    <x v="0"/>
    <x v="2"/>
  </r>
  <r>
    <s v="TX1001075"/>
    <x v="47"/>
    <x v="0"/>
    <d v="1899-12-30T22:08:25"/>
    <n v="71.540000000000006"/>
    <s v="USD"/>
    <s v="M1969"/>
    <x v="0"/>
    <s v="India"/>
    <s v="C56652"/>
    <n v="62"/>
    <s v="F"/>
    <x v="6"/>
    <x v="4"/>
    <s v="N"/>
    <s v="Success"/>
    <x v="0"/>
    <x v="0"/>
    <x v="3"/>
  </r>
  <r>
    <s v="TX1001170"/>
    <x v="40"/>
    <x v="0"/>
    <d v="1899-12-30T20:39:55"/>
    <n v="71.52"/>
    <s v="USD"/>
    <s v="M1759"/>
    <x v="4"/>
    <s v="Sweden"/>
    <s v="C75013"/>
    <n v="19"/>
    <s v="F"/>
    <x v="2"/>
    <x v="2"/>
    <s v="Y"/>
    <s v="Success"/>
    <x v="0"/>
    <x v="0"/>
    <x v="0"/>
  </r>
  <r>
    <s v="TX1002782"/>
    <x v="101"/>
    <x v="3"/>
    <d v="1899-12-30T02:01:50"/>
    <n v="71.45"/>
    <s v="USD"/>
    <s v="M1297"/>
    <x v="9"/>
    <s v="France"/>
    <s v="C52562"/>
    <n v="65"/>
    <s v="M"/>
    <x v="8"/>
    <x v="2"/>
    <s v="Y"/>
    <s v="Success"/>
    <x v="1"/>
    <x v="1"/>
    <x v="3"/>
  </r>
  <r>
    <s v="TX1001800"/>
    <x v="133"/>
    <x v="5"/>
    <d v="1899-12-30T01:28:13"/>
    <n v="71.290000000000006"/>
    <s v="USD"/>
    <s v="M1446"/>
    <x v="5"/>
    <s v="France"/>
    <s v="C86567"/>
    <n v="41"/>
    <s v="M"/>
    <x v="8"/>
    <x v="0"/>
    <s v="Y"/>
    <s v="Success"/>
    <x v="0"/>
    <x v="0"/>
    <x v="2"/>
  </r>
  <r>
    <s v="TX1000191"/>
    <x v="49"/>
    <x v="1"/>
    <d v="1899-12-30T14:48:46"/>
    <n v="71.23"/>
    <s v="USD"/>
    <s v="M1171"/>
    <x v="9"/>
    <s v="Netherlands"/>
    <s v="C89166"/>
    <n v="21"/>
    <s v="Other"/>
    <x v="10"/>
    <x v="0"/>
    <s v="Y"/>
    <s v="Success"/>
    <x v="0"/>
    <x v="0"/>
    <x v="0"/>
  </r>
  <r>
    <s v="TX1002539"/>
    <x v="23"/>
    <x v="3"/>
    <d v="1899-12-30T16:50:57"/>
    <n v="71.09"/>
    <s v="USD"/>
    <s v="M1772"/>
    <x v="0"/>
    <s v="Norway"/>
    <s v="C80173"/>
    <n v="62"/>
    <s v="Other"/>
    <x v="1"/>
    <x v="1"/>
    <s v="Y"/>
    <s v="Success"/>
    <x v="0"/>
    <x v="0"/>
    <x v="3"/>
  </r>
  <r>
    <s v="TX1002729"/>
    <x v="131"/>
    <x v="3"/>
    <d v="1899-12-30T07:38:19"/>
    <n v="70.87"/>
    <s v="USD"/>
    <s v="M1253"/>
    <x v="1"/>
    <s v="Kenya"/>
    <s v="C61060"/>
    <n v="70"/>
    <s v="Other"/>
    <x v="13"/>
    <x v="5"/>
    <s v="Y"/>
    <s v="Success"/>
    <x v="0"/>
    <x v="0"/>
    <x v="3"/>
  </r>
  <r>
    <s v="TX1001931"/>
    <x v="73"/>
    <x v="5"/>
    <d v="1899-12-30T02:49:06"/>
    <n v="70.64"/>
    <s v="USD"/>
    <s v="M1313"/>
    <x v="5"/>
    <s v="Netherlands"/>
    <s v="C89071"/>
    <n v="53"/>
    <s v="M"/>
    <x v="2"/>
    <x v="4"/>
    <s v="Y"/>
    <s v="Success"/>
    <x v="0"/>
    <x v="0"/>
    <x v="2"/>
  </r>
  <r>
    <s v="TX1001836"/>
    <x v="139"/>
    <x v="5"/>
    <d v="1899-12-30T12:49:04"/>
    <n v="69.97"/>
    <s v="USD"/>
    <s v="M1887"/>
    <x v="4"/>
    <s v="Nigeria"/>
    <s v="C83071"/>
    <n v="18"/>
    <s v="Other"/>
    <x v="2"/>
    <x v="5"/>
    <s v="Y"/>
    <s v="Success"/>
    <x v="0"/>
    <x v="0"/>
    <x v="0"/>
  </r>
  <r>
    <s v="TX1001055"/>
    <x v="104"/>
    <x v="0"/>
    <d v="1899-12-30T18:18:14"/>
    <n v="69.73"/>
    <s v="USD"/>
    <s v="M1290"/>
    <x v="7"/>
    <s v="Spain"/>
    <s v="C91098"/>
    <n v="57"/>
    <s v="M"/>
    <x v="13"/>
    <x v="4"/>
    <s v="Y"/>
    <s v="Success"/>
    <x v="0"/>
    <x v="0"/>
    <x v="2"/>
  </r>
  <r>
    <s v="TX1000101"/>
    <x v="179"/>
    <x v="1"/>
    <d v="1899-12-30T04:25:38"/>
    <n v="69.709999999999994"/>
    <s v="USD"/>
    <s v="M1665"/>
    <x v="3"/>
    <s v="Canada"/>
    <s v="C85552"/>
    <n v="40"/>
    <s v="Other"/>
    <x v="10"/>
    <x v="0"/>
    <s v="Y"/>
    <s v="Success"/>
    <x v="0"/>
    <x v="0"/>
    <x v="2"/>
  </r>
  <r>
    <s v="TX1002263"/>
    <x v="38"/>
    <x v="2"/>
    <d v="1899-12-30T05:27:30"/>
    <n v="69.66"/>
    <s v="USD"/>
    <s v="M1328"/>
    <x v="9"/>
    <s v="Australia"/>
    <s v="C52909"/>
    <n v="61"/>
    <s v="F"/>
    <x v="4"/>
    <x v="2"/>
    <s v="Y"/>
    <s v="Success"/>
    <x v="0"/>
    <x v="0"/>
    <x v="3"/>
  </r>
  <r>
    <s v="TX1002248"/>
    <x v="69"/>
    <x v="2"/>
    <d v="1899-12-30T09:24:25"/>
    <n v="69.56"/>
    <s v="USD"/>
    <s v="M1342"/>
    <x v="5"/>
    <s v="Sweden"/>
    <s v="C50079"/>
    <n v="36"/>
    <s v="Other"/>
    <x v="11"/>
    <x v="0"/>
    <s v="Y"/>
    <s v="Success"/>
    <x v="0"/>
    <x v="0"/>
    <x v="1"/>
  </r>
  <r>
    <s v="TX1001096"/>
    <x v="129"/>
    <x v="0"/>
    <d v="1899-12-30T02:38:33"/>
    <n v="69.55"/>
    <s v="USD"/>
    <s v="M1585"/>
    <x v="8"/>
    <s v="Netherlands"/>
    <s v="C51366"/>
    <n v="65"/>
    <s v="M"/>
    <x v="9"/>
    <x v="2"/>
    <s v="Y"/>
    <s v="Success"/>
    <x v="0"/>
    <x v="0"/>
    <x v="3"/>
  </r>
  <r>
    <s v="TX1001723"/>
    <x v="70"/>
    <x v="5"/>
    <d v="1899-12-30T04:31:15"/>
    <n v="69.52"/>
    <s v="USD"/>
    <s v="M1438"/>
    <x v="8"/>
    <s v="Netherlands"/>
    <s v="C77555"/>
    <n v="60"/>
    <s v="F"/>
    <x v="4"/>
    <x v="0"/>
    <s v="Y"/>
    <s v="Success"/>
    <x v="0"/>
    <x v="0"/>
    <x v="3"/>
  </r>
  <r>
    <s v="TX1000653"/>
    <x v="20"/>
    <x v="4"/>
    <d v="1899-12-30T19:36:58"/>
    <n v="69.510000000000005"/>
    <s v="USD"/>
    <s v="M1932"/>
    <x v="2"/>
    <s v="Germany"/>
    <s v="C67652"/>
    <n v="44"/>
    <s v="F"/>
    <x v="14"/>
    <x v="0"/>
    <s v="Y"/>
    <s v="Success"/>
    <x v="0"/>
    <x v="0"/>
    <x v="2"/>
  </r>
  <r>
    <s v="TX1000877"/>
    <x v="51"/>
    <x v="4"/>
    <d v="1899-12-30T13:00:29"/>
    <n v="69.489999999999995"/>
    <s v="USD"/>
    <s v="M1140"/>
    <x v="5"/>
    <s v="Spain"/>
    <s v="C77883"/>
    <n v="25"/>
    <s v="Other"/>
    <x v="1"/>
    <x v="1"/>
    <s v="Y"/>
    <s v="Success"/>
    <x v="0"/>
    <x v="0"/>
    <x v="1"/>
  </r>
  <r>
    <s v="TX1002568"/>
    <x v="52"/>
    <x v="3"/>
    <d v="1899-12-30T15:03:43"/>
    <n v="69.319999999999993"/>
    <s v="USD"/>
    <s v="M1208"/>
    <x v="3"/>
    <s v="Sweden"/>
    <s v="C78482"/>
    <n v="26"/>
    <s v="F"/>
    <x v="0"/>
    <x v="4"/>
    <s v="Y"/>
    <s v="Success"/>
    <x v="0"/>
    <x v="0"/>
    <x v="1"/>
  </r>
  <r>
    <s v="TX1000193"/>
    <x v="49"/>
    <x v="1"/>
    <d v="1899-12-30T16:06:47"/>
    <n v="69.23"/>
    <s v="USD"/>
    <s v="M1148"/>
    <x v="2"/>
    <s v="Spain"/>
    <s v="C60102"/>
    <n v="42"/>
    <s v="M"/>
    <x v="14"/>
    <x v="2"/>
    <s v="Y"/>
    <s v="Success"/>
    <x v="0"/>
    <x v="0"/>
    <x v="2"/>
  </r>
  <r>
    <s v="TX1001431"/>
    <x v="150"/>
    <x v="0"/>
    <d v="1899-12-30T18:49:14"/>
    <n v="69.22"/>
    <s v="USD"/>
    <s v="M1409"/>
    <x v="1"/>
    <s v="France"/>
    <s v="C58006"/>
    <n v="66"/>
    <s v="Other"/>
    <x v="7"/>
    <x v="0"/>
    <s v="Y"/>
    <s v="Success"/>
    <x v="0"/>
    <x v="0"/>
    <x v="3"/>
  </r>
  <r>
    <s v="TX1002790"/>
    <x v="101"/>
    <x v="3"/>
    <d v="1899-12-30T14:38:54"/>
    <n v="69.12"/>
    <s v="USD"/>
    <s v="M1961"/>
    <x v="2"/>
    <s v="South Africa"/>
    <s v="C92151"/>
    <n v="23"/>
    <s v="M"/>
    <x v="14"/>
    <x v="4"/>
    <s v="Y"/>
    <s v="Success"/>
    <x v="0"/>
    <x v="0"/>
    <x v="0"/>
  </r>
  <r>
    <s v="TX1001024"/>
    <x v="22"/>
    <x v="0"/>
    <d v="1899-12-30T01:51:16"/>
    <n v="69.08"/>
    <s v="USD"/>
    <s v="M1948"/>
    <x v="1"/>
    <s v="France"/>
    <s v="C78601"/>
    <n v="53"/>
    <s v="M"/>
    <x v="6"/>
    <x v="4"/>
    <s v="Y"/>
    <s v="Success"/>
    <x v="0"/>
    <x v="0"/>
    <x v="2"/>
  </r>
  <r>
    <s v="TX1000889"/>
    <x v="8"/>
    <x v="4"/>
    <d v="1899-12-30T05:47:02"/>
    <n v="69"/>
    <s v="USD"/>
    <s v="M1793"/>
    <x v="7"/>
    <s v="Australia"/>
    <s v="C66106"/>
    <n v="23"/>
    <s v="F"/>
    <x v="0"/>
    <x v="1"/>
    <s v="Y"/>
    <s v="Success"/>
    <x v="0"/>
    <x v="0"/>
    <x v="0"/>
  </r>
  <r>
    <s v="TX1001422"/>
    <x v="150"/>
    <x v="0"/>
    <d v="1899-12-30T11:14:46"/>
    <n v="68.989999999999995"/>
    <s v="USD"/>
    <s v="M1746"/>
    <x v="7"/>
    <s v="Norway"/>
    <s v="C84385"/>
    <n v="61"/>
    <s v="Other"/>
    <x v="4"/>
    <x v="0"/>
    <s v="Y"/>
    <s v="Success"/>
    <x v="0"/>
    <x v="0"/>
    <x v="3"/>
  </r>
  <r>
    <s v="TX1001721"/>
    <x v="70"/>
    <x v="5"/>
    <d v="1899-12-30T02:04:22"/>
    <n v="68.98"/>
    <s v="USD"/>
    <s v="M1945"/>
    <x v="4"/>
    <s v="Germany"/>
    <s v="C87761"/>
    <n v="41"/>
    <s v="M"/>
    <x v="8"/>
    <x v="3"/>
    <s v="Y"/>
    <s v="Success"/>
    <x v="0"/>
    <x v="0"/>
    <x v="2"/>
  </r>
  <r>
    <s v="TX1000184"/>
    <x v="49"/>
    <x v="1"/>
    <d v="1899-12-30T05:13:37"/>
    <n v="68.8"/>
    <s v="USD"/>
    <s v="M1803"/>
    <x v="4"/>
    <s v="Australia"/>
    <s v="C72426"/>
    <n v="22"/>
    <s v="Other"/>
    <x v="0"/>
    <x v="3"/>
    <s v="Y"/>
    <s v="Success"/>
    <x v="0"/>
    <x v="0"/>
    <x v="0"/>
  </r>
  <r>
    <s v="TX1002505"/>
    <x v="28"/>
    <x v="2"/>
    <d v="1899-12-30T20:19:50"/>
    <n v="68.709999999999994"/>
    <s v="USD"/>
    <s v="M1204"/>
    <x v="3"/>
    <s v="Netherlands"/>
    <s v="C80344"/>
    <n v="62"/>
    <s v="Other"/>
    <x v="2"/>
    <x v="5"/>
    <s v="Y"/>
    <s v="Success"/>
    <x v="0"/>
    <x v="0"/>
    <x v="3"/>
  </r>
  <r>
    <s v="TX1002451"/>
    <x v="67"/>
    <x v="2"/>
    <d v="1899-12-30T23:18:19"/>
    <n v="68.61"/>
    <s v="USD"/>
    <s v="M1867"/>
    <x v="3"/>
    <s v="South Africa"/>
    <s v="C56345"/>
    <n v="74"/>
    <s v="Other"/>
    <x v="1"/>
    <x v="5"/>
    <s v="Y"/>
    <s v="Success"/>
    <x v="0"/>
    <x v="0"/>
    <x v="3"/>
  </r>
  <r>
    <s v="TX1000802"/>
    <x v="170"/>
    <x v="4"/>
    <d v="1899-12-30T00:34:38"/>
    <n v="68.59"/>
    <s v="USD"/>
    <s v="M1547"/>
    <x v="2"/>
    <s v="Norway"/>
    <s v="C64152"/>
    <n v="27"/>
    <s v="Other"/>
    <x v="0"/>
    <x v="0"/>
    <s v="Y"/>
    <s v="Success"/>
    <x v="0"/>
    <x v="0"/>
    <x v="1"/>
  </r>
  <r>
    <s v="TX1002033"/>
    <x v="138"/>
    <x v="2"/>
    <d v="1899-12-30T04:48:25"/>
    <n v="68.5"/>
    <s v="USD"/>
    <s v="M1075"/>
    <x v="0"/>
    <s v="Poland"/>
    <s v="C83623"/>
    <n v="52"/>
    <s v="Other"/>
    <x v="0"/>
    <x v="5"/>
    <s v="Y"/>
    <s v="Success"/>
    <x v="0"/>
    <x v="0"/>
    <x v="2"/>
  </r>
  <r>
    <s v="TX1001639"/>
    <x v="143"/>
    <x v="5"/>
    <d v="1899-12-30T06:25:58"/>
    <n v="68.36"/>
    <s v="USD"/>
    <s v="M1377"/>
    <x v="6"/>
    <s v="South Africa"/>
    <s v="C92019"/>
    <n v="35"/>
    <s v="M"/>
    <x v="12"/>
    <x v="5"/>
    <s v="Y"/>
    <s v="Success"/>
    <x v="0"/>
    <x v="0"/>
    <x v="1"/>
  </r>
  <r>
    <s v="TX1001941"/>
    <x v="73"/>
    <x v="5"/>
    <d v="1899-12-30T22:38:26"/>
    <n v="68.31"/>
    <s v="USD"/>
    <s v="M1608"/>
    <x v="2"/>
    <s v="Germany"/>
    <s v="C97356"/>
    <n v="52"/>
    <s v="M"/>
    <x v="10"/>
    <x v="5"/>
    <s v="Y"/>
    <s v="Success"/>
    <x v="0"/>
    <x v="0"/>
    <x v="2"/>
  </r>
  <r>
    <s v="TX1002943"/>
    <x v="45"/>
    <x v="3"/>
    <d v="1899-12-30T21:01:57"/>
    <n v="68.16"/>
    <s v="USD"/>
    <s v="M1197"/>
    <x v="1"/>
    <s v="Nigeria"/>
    <s v="C67182"/>
    <n v="33"/>
    <s v="M"/>
    <x v="0"/>
    <x v="0"/>
    <s v="Y"/>
    <s v="Success"/>
    <x v="0"/>
    <x v="0"/>
    <x v="1"/>
  </r>
  <r>
    <s v="TX1002898"/>
    <x v="137"/>
    <x v="3"/>
    <d v="1899-12-30T16:03:19"/>
    <n v="68.11"/>
    <s v="USD"/>
    <s v="M1632"/>
    <x v="2"/>
    <s v="Sweden"/>
    <s v="C60175"/>
    <n v="32"/>
    <s v="F"/>
    <x v="4"/>
    <x v="4"/>
    <s v="N"/>
    <s v="Success"/>
    <x v="0"/>
    <x v="0"/>
    <x v="1"/>
  </r>
  <r>
    <s v="TX1002079"/>
    <x v="140"/>
    <x v="2"/>
    <d v="1899-12-30T08:36:41"/>
    <n v="67.8"/>
    <s v="USD"/>
    <s v="M1190"/>
    <x v="5"/>
    <s v="United States"/>
    <s v="C70808"/>
    <n v="71"/>
    <s v="Other"/>
    <x v="14"/>
    <x v="3"/>
    <s v="Y"/>
    <s v="Success"/>
    <x v="0"/>
    <x v="0"/>
    <x v="3"/>
  </r>
  <r>
    <s v="TX1001493"/>
    <x v="98"/>
    <x v="5"/>
    <d v="1899-12-30T03:12:27"/>
    <n v="67.8"/>
    <s v="USD"/>
    <s v="M1054"/>
    <x v="2"/>
    <s v="Germany"/>
    <s v="C54575"/>
    <n v="49"/>
    <s v="F"/>
    <x v="1"/>
    <x v="2"/>
    <s v="Y"/>
    <s v="Success"/>
    <x v="0"/>
    <x v="0"/>
    <x v="2"/>
  </r>
  <r>
    <s v="TX1000223"/>
    <x v="31"/>
    <x v="1"/>
    <d v="1899-12-30T22:27:29"/>
    <n v="67.75"/>
    <s v="USD"/>
    <s v="M1384"/>
    <x v="7"/>
    <s v="Kenya"/>
    <s v="C76834"/>
    <n v="47"/>
    <s v="Other"/>
    <x v="7"/>
    <x v="5"/>
    <s v="Y"/>
    <s v="Success"/>
    <x v="0"/>
    <x v="0"/>
    <x v="2"/>
  </r>
  <r>
    <s v="TX1001768"/>
    <x v="72"/>
    <x v="5"/>
    <d v="1899-12-30T14:06:47"/>
    <n v="67.739999999999995"/>
    <s v="USD"/>
    <s v="M1144"/>
    <x v="3"/>
    <s v="Norway"/>
    <s v="C94246"/>
    <n v="20"/>
    <s v="Other"/>
    <x v="14"/>
    <x v="0"/>
    <s v="Y"/>
    <s v="Success"/>
    <x v="0"/>
    <x v="0"/>
    <x v="0"/>
  </r>
  <r>
    <s v="TX1000453"/>
    <x v="151"/>
    <x v="1"/>
    <d v="1899-12-30T18:00:05"/>
    <n v="67.73"/>
    <s v="USD"/>
    <s v="M1688"/>
    <x v="7"/>
    <s v="Netherlands"/>
    <s v="C95084"/>
    <n v="63"/>
    <s v="Other"/>
    <x v="2"/>
    <x v="5"/>
    <s v="Y"/>
    <s v="Success"/>
    <x v="0"/>
    <x v="0"/>
    <x v="3"/>
  </r>
  <r>
    <s v="TX1001766"/>
    <x v="72"/>
    <x v="5"/>
    <d v="1899-12-30T13:47:10"/>
    <n v="67.61"/>
    <s v="USD"/>
    <s v="M1374"/>
    <x v="7"/>
    <s v="South Africa"/>
    <s v="C99896"/>
    <n v="41"/>
    <s v="M"/>
    <x v="9"/>
    <x v="0"/>
    <s v="Y"/>
    <s v="Success"/>
    <x v="0"/>
    <x v="0"/>
    <x v="2"/>
  </r>
  <r>
    <s v="TX1002761"/>
    <x v="7"/>
    <x v="3"/>
    <d v="1899-12-30T18:25:56"/>
    <n v="67.5"/>
    <s v="USD"/>
    <s v="M1566"/>
    <x v="5"/>
    <s v="Australia"/>
    <s v="C79073"/>
    <n v="71"/>
    <s v="M"/>
    <x v="7"/>
    <x v="5"/>
    <s v="N"/>
    <s v="Success"/>
    <x v="0"/>
    <x v="0"/>
    <x v="3"/>
  </r>
  <r>
    <s v="TX1002354"/>
    <x v="14"/>
    <x v="2"/>
    <d v="1899-12-30T14:08:00"/>
    <n v="67.42"/>
    <s v="USD"/>
    <s v="M1290"/>
    <x v="4"/>
    <s v="Kenya"/>
    <s v="C96766"/>
    <n v="58"/>
    <s v="Other"/>
    <x v="10"/>
    <x v="1"/>
    <s v="Y"/>
    <s v="Success"/>
    <x v="0"/>
    <x v="0"/>
    <x v="2"/>
  </r>
  <r>
    <s v="TX1002938"/>
    <x v="45"/>
    <x v="3"/>
    <d v="1899-12-30T10:36:38"/>
    <n v="67.290000000000006"/>
    <s v="USD"/>
    <s v="M1616"/>
    <x v="6"/>
    <s v="Kenya"/>
    <s v="C72518"/>
    <n v="49"/>
    <s v="Other"/>
    <x v="13"/>
    <x v="5"/>
    <s v="Y"/>
    <s v="Success"/>
    <x v="1"/>
    <x v="1"/>
    <x v="2"/>
  </r>
  <r>
    <s v="TX1000004"/>
    <x v="177"/>
    <x v="1"/>
    <d v="1899-12-30T20:35:11"/>
    <n v="67.28"/>
    <s v="USD"/>
    <s v="M1620"/>
    <x v="0"/>
    <s v="United States"/>
    <s v="C71493"/>
    <n v="57"/>
    <s v="Other"/>
    <x v="9"/>
    <x v="1"/>
    <s v="Y"/>
    <s v="Success"/>
    <x v="0"/>
    <x v="0"/>
    <x v="2"/>
  </r>
  <r>
    <s v="TX1002114"/>
    <x v="21"/>
    <x v="2"/>
    <d v="1899-12-30T03:55:12"/>
    <n v="67.260000000000005"/>
    <s v="USD"/>
    <s v="M1128"/>
    <x v="0"/>
    <s v="Norway"/>
    <s v="C76978"/>
    <n v="31"/>
    <s v="M"/>
    <x v="10"/>
    <x v="1"/>
    <s v="Y"/>
    <s v="Success"/>
    <x v="0"/>
    <x v="0"/>
    <x v="1"/>
  </r>
  <r>
    <s v="TX1002614"/>
    <x v="94"/>
    <x v="3"/>
    <d v="1899-12-30T03:34:36"/>
    <n v="67.260000000000005"/>
    <s v="USD"/>
    <s v="M1301"/>
    <x v="1"/>
    <s v="United Kingdom"/>
    <s v="C74141"/>
    <n v="37"/>
    <s v="F"/>
    <x v="12"/>
    <x v="3"/>
    <s v="Y"/>
    <s v="Success"/>
    <x v="0"/>
    <x v="0"/>
    <x v="1"/>
  </r>
  <r>
    <s v="TX1002401"/>
    <x v="90"/>
    <x v="2"/>
    <d v="1899-12-30T11:05:28"/>
    <n v="67.17"/>
    <s v="USD"/>
    <s v="M1408"/>
    <x v="6"/>
    <s v="South Africa"/>
    <s v="C82524"/>
    <n v="40"/>
    <s v="Other"/>
    <x v="7"/>
    <x v="4"/>
    <s v="Y"/>
    <s v="Success"/>
    <x v="0"/>
    <x v="0"/>
    <x v="2"/>
  </r>
  <r>
    <s v="TX1000737"/>
    <x v="111"/>
    <x v="4"/>
    <d v="1899-12-30T14:09:48"/>
    <n v="67.099999999999994"/>
    <s v="USD"/>
    <s v="M1294"/>
    <x v="5"/>
    <s v="Canada"/>
    <s v="C68058"/>
    <n v="25"/>
    <s v="Other"/>
    <x v="11"/>
    <x v="4"/>
    <s v="Y"/>
    <s v="Success"/>
    <x v="0"/>
    <x v="0"/>
    <x v="1"/>
  </r>
  <r>
    <s v="TX1001734"/>
    <x v="70"/>
    <x v="5"/>
    <d v="1899-12-30T12:01:37"/>
    <n v="66.930000000000007"/>
    <s v="USD"/>
    <s v="M1974"/>
    <x v="4"/>
    <s v="United States"/>
    <s v="C60671"/>
    <n v="24"/>
    <s v="Other"/>
    <x v="1"/>
    <x v="0"/>
    <s v="Y"/>
    <s v="Success"/>
    <x v="0"/>
    <x v="0"/>
    <x v="0"/>
  </r>
  <r>
    <s v="TX1001913"/>
    <x v="155"/>
    <x v="5"/>
    <d v="1899-12-30T03:42:49"/>
    <n v="66.73"/>
    <s v="USD"/>
    <s v="M1174"/>
    <x v="4"/>
    <s v="South Africa"/>
    <s v="C98366"/>
    <n v="20"/>
    <s v="F"/>
    <x v="12"/>
    <x v="3"/>
    <s v="Y"/>
    <s v="Success"/>
    <x v="0"/>
    <x v="0"/>
    <x v="0"/>
  </r>
  <r>
    <s v="TX1001148"/>
    <x v="165"/>
    <x v="0"/>
    <d v="1899-12-30T18:43:07"/>
    <n v="66.73"/>
    <s v="USD"/>
    <s v="M1389"/>
    <x v="4"/>
    <s v="Spain"/>
    <s v="C85977"/>
    <n v="73"/>
    <s v="Other"/>
    <x v="11"/>
    <x v="3"/>
    <s v="Y"/>
    <s v="Success"/>
    <x v="0"/>
    <x v="0"/>
    <x v="3"/>
  </r>
  <r>
    <s v="TX1000118"/>
    <x v="5"/>
    <x v="1"/>
    <d v="1899-12-30T00:19:34"/>
    <n v="66.709999999999994"/>
    <s v="USD"/>
    <s v="M1691"/>
    <x v="1"/>
    <s v="South Africa"/>
    <s v="C63808"/>
    <n v="33"/>
    <s v="M"/>
    <x v="5"/>
    <x v="0"/>
    <s v="Y"/>
    <s v="Success"/>
    <x v="0"/>
    <x v="0"/>
    <x v="1"/>
  </r>
  <r>
    <s v="TX1000829"/>
    <x v="91"/>
    <x v="4"/>
    <d v="1899-12-30T23:57:29"/>
    <n v="66.66"/>
    <s v="USD"/>
    <s v="M1583"/>
    <x v="7"/>
    <s v="Australia"/>
    <s v="C97244"/>
    <n v="46"/>
    <s v="Other"/>
    <x v="10"/>
    <x v="1"/>
    <s v="Y"/>
    <s v="Success"/>
    <x v="1"/>
    <x v="1"/>
    <x v="2"/>
  </r>
  <r>
    <s v="TX1002497"/>
    <x v="28"/>
    <x v="2"/>
    <d v="1899-12-30T10:59:33"/>
    <n v="66.64"/>
    <s v="USD"/>
    <s v="M1422"/>
    <x v="1"/>
    <s v="Spain"/>
    <s v="C53833"/>
    <n v="64"/>
    <s v="Other"/>
    <x v="14"/>
    <x v="3"/>
    <s v="Y"/>
    <s v="Success"/>
    <x v="0"/>
    <x v="0"/>
    <x v="3"/>
  </r>
  <r>
    <s v="TX1001619"/>
    <x v="127"/>
    <x v="5"/>
    <d v="1899-12-30T08:45:47"/>
    <n v="66.58"/>
    <s v="USD"/>
    <s v="M1189"/>
    <x v="7"/>
    <s v="South Africa"/>
    <s v="C73839"/>
    <n v="49"/>
    <s v="Other"/>
    <x v="5"/>
    <x v="0"/>
    <s v="Y"/>
    <s v="Success"/>
    <x v="0"/>
    <x v="0"/>
    <x v="2"/>
  </r>
  <r>
    <s v="TX1000887"/>
    <x v="51"/>
    <x v="4"/>
    <d v="1899-12-30T20:00:27"/>
    <n v="66.39"/>
    <s v="USD"/>
    <s v="M1532"/>
    <x v="3"/>
    <s v="Canada"/>
    <s v="C98620"/>
    <n v="22"/>
    <s v="F"/>
    <x v="8"/>
    <x v="0"/>
    <s v="Y"/>
    <s v="Success"/>
    <x v="0"/>
    <x v="0"/>
    <x v="0"/>
  </r>
  <r>
    <s v="TX1001863"/>
    <x v="117"/>
    <x v="5"/>
    <d v="1899-12-30T01:13:18"/>
    <n v="66.17"/>
    <s v="USD"/>
    <s v="M1458"/>
    <x v="8"/>
    <s v="Poland"/>
    <s v="C51169"/>
    <n v="38"/>
    <s v="Other"/>
    <x v="4"/>
    <x v="3"/>
    <s v="Y"/>
    <s v="Success"/>
    <x v="0"/>
    <x v="0"/>
    <x v="1"/>
  </r>
  <r>
    <s v="TX1001638"/>
    <x v="143"/>
    <x v="5"/>
    <d v="1899-12-30T05:16:44"/>
    <n v="66.11"/>
    <s v="USD"/>
    <s v="M1950"/>
    <x v="6"/>
    <s v="Netherlands"/>
    <s v="C64347"/>
    <n v="71"/>
    <s v="F"/>
    <x v="8"/>
    <x v="1"/>
    <s v="N"/>
    <s v="Success"/>
    <x v="0"/>
    <x v="0"/>
    <x v="3"/>
  </r>
  <r>
    <s v="TX1002321"/>
    <x v="97"/>
    <x v="2"/>
    <d v="1899-12-30T20:44:07"/>
    <n v="66.03"/>
    <s v="USD"/>
    <s v="M1609"/>
    <x v="4"/>
    <s v="France"/>
    <s v="C71419"/>
    <n v="65"/>
    <s v="M"/>
    <x v="0"/>
    <x v="3"/>
    <s v="Y"/>
    <s v="Success"/>
    <x v="0"/>
    <x v="0"/>
    <x v="3"/>
  </r>
  <r>
    <s v="TX1000987"/>
    <x v="102"/>
    <x v="0"/>
    <d v="1899-12-30T18:29:21"/>
    <n v="65.92"/>
    <s v="USD"/>
    <s v="M1019"/>
    <x v="1"/>
    <s v="United States"/>
    <s v="C83838"/>
    <n v="54"/>
    <s v="M"/>
    <x v="14"/>
    <x v="3"/>
    <s v="Y"/>
    <s v="Success"/>
    <x v="0"/>
    <x v="0"/>
    <x v="2"/>
  </r>
  <r>
    <s v="TX1002092"/>
    <x v="158"/>
    <x v="2"/>
    <d v="1899-12-30T00:52:13"/>
    <n v="65.83"/>
    <s v="USD"/>
    <s v="M1711"/>
    <x v="2"/>
    <s v="United Kingdom"/>
    <s v="C80446"/>
    <n v="58"/>
    <s v="F"/>
    <x v="3"/>
    <x v="2"/>
    <s v="Y"/>
    <s v="Success"/>
    <x v="0"/>
    <x v="0"/>
    <x v="2"/>
  </r>
  <r>
    <s v="TX1000509"/>
    <x v="63"/>
    <x v="4"/>
    <d v="1899-12-30T00:38:37"/>
    <n v="65.81"/>
    <s v="USD"/>
    <s v="M1609"/>
    <x v="4"/>
    <s v="Sweden"/>
    <s v="C97609"/>
    <n v="72"/>
    <s v="F"/>
    <x v="2"/>
    <x v="5"/>
    <s v="Y"/>
    <s v="Success"/>
    <x v="0"/>
    <x v="0"/>
    <x v="3"/>
  </r>
  <r>
    <s v="TX1001409"/>
    <x v="60"/>
    <x v="0"/>
    <d v="1899-12-30T22:39:34"/>
    <n v="65.680000000000007"/>
    <s v="USD"/>
    <s v="M1702"/>
    <x v="5"/>
    <s v="Canada"/>
    <s v="C72129"/>
    <n v="25"/>
    <s v="M"/>
    <x v="7"/>
    <x v="4"/>
    <s v="Y"/>
    <s v="Success"/>
    <x v="0"/>
    <x v="0"/>
    <x v="1"/>
  </r>
  <r>
    <s v="TX1001141"/>
    <x v="165"/>
    <x v="0"/>
    <d v="1899-12-30T05:34:32"/>
    <n v="65.650000000000006"/>
    <s v="USD"/>
    <s v="M1938"/>
    <x v="2"/>
    <s v="Poland"/>
    <s v="C96800"/>
    <n v="55"/>
    <s v="Other"/>
    <x v="11"/>
    <x v="1"/>
    <s v="Y"/>
    <s v="Success"/>
    <x v="0"/>
    <x v="0"/>
    <x v="2"/>
  </r>
  <r>
    <s v="TX1001286"/>
    <x v="125"/>
    <x v="0"/>
    <d v="1899-12-30T04:17:31"/>
    <n v="65.569999999999993"/>
    <s v="USD"/>
    <s v="M1207"/>
    <x v="3"/>
    <s v="Australia"/>
    <s v="C86881"/>
    <n v="45"/>
    <s v="M"/>
    <x v="8"/>
    <x v="3"/>
    <s v="Y"/>
    <s v="Success"/>
    <x v="0"/>
    <x v="0"/>
    <x v="2"/>
  </r>
  <r>
    <s v="TX1002591"/>
    <x v="103"/>
    <x v="3"/>
    <d v="1899-12-30T15:35:52"/>
    <n v="65.55"/>
    <s v="USD"/>
    <s v="M1157"/>
    <x v="4"/>
    <s v="Norway"/>
    <s v="C89045"/>
    <n v="51"/>
    <s v="M"/>
    <x v="8"/>
    <x v="2"/>
    <s v="Y"/>
    <s v="Success"/>
    <x v="0"/>
    <x v="0"/>
    <x v="2"/>
  </r>
  <r>
    <s v="TX1001758"/>
    <x v="72"/>
    <x v="5"/>
    <d v="1899-12-30T04:15:13"/>
    <n v="65.44"/>
    <s v="USD"/>
    <s v="M1650"/>
    <x v="7"/>
    <s v="South Africa"/>
    <s v="C68971"/>
    <n v="28"/>
    <s v="F"/>
    <x v="13"/>
    <x v="4"/>
    <s v="Y"/>
    <s v="Success"/>
    <x v="0"/>
    <x v="0"/>
    <x v="1"/>
  </r>
  <r>
    <s v="TX1002779"/>
    <x v="169"/>
    <x v="3"/>
    <d v="1899-12-30T17:47:58"/>
    <n v="65.400000000000006"/>
    <s v="USD"/>
    <s v="M1984"/>
    <x v="8"/>
    <s v="Canada"/>
    <s v="C54700"/>
    <n v="22"/>
    <s v="F"/>
    <x v="2"/>
    <x v="2"/>
    <s v="Y"/>
    <s v="Success"/>
    <x v="0"/>
    <x v="0"/>
    <x v="0"/>
  </r>
  <r>
    <s v="TX1001034"/>
    <x v="22"/>
    <x v="0"/>
    <d v="1899-12-30T12:24:00"/>
    <n v="65.17"/>
    <s v="USD"/>
    <s v="M1505"/>
    <x v="5"/>
    <s v="India"/>
    <s v="C61281"/>
    <n v="91"/>
    <s v="F"/>
    <x v="3"/>
    <x v="2"/>
    <s v="Y"/>
    <s v="Success"/>
    <x v="0"/>
    <x v="0"/>
    <x v="3"/>
  </r>
  <r>
    <s v="TX1000478"/>
    <x v="124"/>
    <x v="4"/>
    <d v="1899-12-30T11:20:52"/>
    <n v="65.150000000000006"/>
    <s v="USD"/>
    <s v="M1367"/>
    <x v="9"/>
    <s v="United States"/>
    <s v="C77617"/>
    <n v="29"/>
    <s v="F"/>
    <x v="12"/>
    <x v="5"/>
    <s v="Y"/>
    <s v="Success"/>
    <x v="0"/>
    <x v="0"/>
    <x v="1"/>
  </r>
  <r>
    <s v="TX1002745"/>
    <x v="136"/>
    <x v="3"/>
    <d v="1899-12-30T17:07:09"/>
    <n v="65.069999999999993"/>
    <s v="USD"/>
    <s v="M1635"/>
    <x v="3"/>
    <s v="Nigeria"/>
    <s v="C67555"/>
    <n v="27"/>
    <s v="Other"/>
    <x v="13"/>
    <x v="2"/>
    <s v="N"/>
    <s v="Success"/>
    <x v="0"/>
    <x v="0"/>
    <x v="1"/>
  </r>
  <r>
    <s v="TX1002758"/>
    <x v="7"/>
    <x v="3"/>
    <d v="1899-12-30T12:00:50"/>
    <n v="65.06"/>
    <s v="USD"/>
    <s v="M1526"/>
    <x v="4"/>
    <s v="Kenya"/>
    <s v="C82521"/>
    <n v="26"/>
    <s v="Other"/>
    <x v="10"/>
    <x v="5"/>
    <s v="Y"/>
    <s v="Success"/>
    <x v="0"/>
    <x v="0"/>
    <x v="1"/>
  </r>
  <r>
    <s v="TX1000558"/>
    <x v="172"/>
    <x v="4"/>
    <d v="1899-12-30T08:01:39"/>
    <n v="65.010000000000005"/>
    <s v="USD"/>
    <s v="M1923"/>
    <x v="7"/>
    <s v="Poland"/>
    <s v="C65313"/>
    <n v="45"/>
    <s v="M"/>
    <x v="7"/>
    <x v="4"/>
    <s v="Y"/>
    <s v="Success"/>
    <x v="0"/>
    <x v="0"/>
    <x v="2"/>
  </r>
  <r>
    <s v="TX1002127"/>
    <x v="135"/>
    <x v="2"/>
    <d v="1899-12-30T01:19:03"/>
    <n v="64.930000000000007"/>
    <s v="USD"/>
    <s v="M1481"/>
    <x v="1"/>
    <s v="Norway"/>
    <s v="C79811"/>
    <n v="37"/>
    <s v="M"/>
    <x v="3"/>
    <x v="5"/>
    <s v="Y"/>
    <s v="Success"/>
    <x v="0"/>
    <x v="0"/>
    <x v="1"/>
  </r>
  <r>
    <s v="TX1002365"/>
    <x v="77"/>
    <x v="2"/>
    <d v="1899-12-30T15:54:19"/>
    <n v="64.849999999999994"/>
    <s v="USD"/>
    <s v="M1738"/>
    <x v="6"/>
    <s v="Norway"/>
    <s v="C57896"/>
    <n v="50"/>
    <s v="Other"/>
    <x v="11"/>
    <x v="3"/>
    <s v="Y"/>
    <s v="Success"/>
    <x v="0"/>
    <x v="0"/>
    <x v="2"/>
  </r>
  <r>
    <s v="TX1000141"/>
    <x v="30"/>
    <x v="1"/>
    <d v="1899-12-30T12:08:15"/>
    <n v="64.81"/>
    <s v="USD"/>
    <s v="M1992"/>
    <x v="0"/>
    <s v="Kenya"/>
    <s v="C62185"/>
    <n v="46"/>
    <s v="Other"/>
    <x v="1"/>
    <x v="5"/>
    <s v="N"/>
    <s v="Success"/>
    <x v="0"/>
    <x v="0"/>
    <x v="2"/>
  </r>
  <r>
    <s v="TX1000237"/>
    <x v="88"/>
    <x v="1"/>
    <d v="1899-12-30T15:34:14"/>
    <n v="64.78"/>
    <s v="USD"/>
    <s v="M1046"/>
    <x v="3"/>
    <s v="Norway"/>
    <s v="C74013"/>
    <n v="75"/>
    <s v="Other"/>
    <x v="2"/>
    <x v="2"/>
    <s v="Y"/>
    <s v="Success"/>
    <x v="0"/>
    <x v="0"/>
    <x v="3"/>
  </r>
  <r>
    <s v="TX1000552"/>
    <x v="122"/>
    <x v="4"/>
    <d v="1899-12-30T21:41:30"/>
    <n v="64.739999999999995"/>
    <s v="USD"/>
    <s v="M1584"/>
    <x v="2"/>
    <s v="Kenya"/>
    <s v="C52964"/>
    <n v="36"/>
    <s v="M"/>
    <x v="0"/>
    <x v="5"/>
    <s v="Y"/>
    <s v="Success"/>
    <x v="0"/>
    <x v="0"/>
    <x v="1"/>
  </r>
  <r>
    <s v="TX1001373"/>
    <x v="54"/>
    <x v="0"/>
    <d v="1899-12-30T01:34:44"/>
    <n v="64.73"/>
    <s v="USD"/>
    <s v="M1814"/>
    <x v="1"/>
    <s v="Germany"/>
    <s v="C89237"/>
    <n v="57"/>
    <s v="Other"/>
    <x v="13"/>
    <x v="0"/>
    <s v="Y"/>
    <s v="Success"/>
    <x v="0"/>
    <x v="0"/>
    <x v="2"/>
  </r>
  <r>
    <s v="TX1002073"/>
    <x v="140"/>
    <x v="2"/>
    <d v="1899-12-30T03:15:51"/>
    <n v="64.72"/>
    <s v="USD"/>
    <s v="M1286"/>
    <x v="1"/>
    <s v="Spain"/>
    <s v="C89531"/>
    <n v="55"/>
    <s v="Other"/>
    <x v="8"/>
    <x v="0"/>
    <s v="Y"/>
    <s v="Success"/>
    <x v="0"/>
    <x v="0"/>
    <x v="2"/>
  </r>
  <r>
    <s v="TX1000586"/>
    <x v="153"/>
    <x v="4"/>
    <d v="1899-12-30T07:54:06"/>
    <n v="64.569999999999993"/>
    <s v="USD"/>
    <s v="M1405"/>
    <x v="9"/>
    <s v="Canada"/>
    <s v="C68981"/>
    <n v="53"/>
    <s v="M"/>
    <x v="1"/>
    <x v="5"/>
    <s v="Y"/>
    <s v="Success"/>
    <x v="0"/>
    <x v="0"/>
    <x v="2"/>
  </r>
  <r>
    <s v="TX1000855"/>
    <x v="12"/>
    <x v="4"/>
    <d v="1899-12-30T12:40:31"/>
    <n v="64.459999999999994"/>
    <s v="USD"/>
    <s v="M1933"/>
    <x v="5"/>
    <s v="Australia"/>
    <s v="C60067"/>
    <n v="45"/>
    <s v="M"/>
    <x v="0"/>
    <x v="2"/>
    <s v="Y"/>
    <s v="Success"/>
    <x v="0"/>
    <x v="0"/>
    <x v="2"/>
  </r>
  <r>
    <s v="TX1000393"/>
    <x v="100"/>
    <x v="1"/>
    <d v="1899-12-30T12:40:11"/>
    <n v="64.31"/>
    <s v="USD"/>
    <s v="M1236"/>
    <x v="7"/>
    <s v="Netherlands"/>
    <s v="C58279"/>
    <n v="71"/>
    <s v="Other"/>
    <x v="0"/>
    <x v="1"/>
    <s v="Y"/>
    <s v="Success"/>
    <x v="0"/>
    <x v="0"/>
    <x v="3"/>
  </r>
  <r>
    <s v="TX1000301"/>
    <x v="157"/>
    <x v="1"/>
    <d v="1899-12-30T06:43:39"/>
    <n v="64.27"/>
    <s v="USD"/>
    <s v="M1943"/>
    <x v="9"/>
    <s v="Sweden"/>
    <s v="C90372"/>
    <n v="27"/>
    <s v="F"/>
    <x v="11"/>
    <x v="4"/>
    <s v="Y"/>
    <s v="Success"/>
    <x v="0"/>
    <x v="0"/>
    <x v="1"/>
  </r>
  <r>
    <s v="TX1002203"/>
    <x v="64"/>
    <x v="2"/>
    <d v="1899-12-30T17:21:21"/>
    <n v="64.17"/>
    <s v="USD"/>
    <s v="M1495"/>
    <x v="6"/>
    <s v="United States"/>
    <s v="C86155"/>
    <n v="59"/>
    <s v="Other"/>
    <x v="5"/>
    <x v="0"/>
    <s v="N"/>
    <s v="Success"/>
    <x v="0"/>
    <x v="0"/>
    <x v="2"/>
  </r>
  <r>
    <s v="TX1001586"/>
    <x v="84"/>
    <x v="5"/>
    <d v="1899-12-30T00:18:46"/>
    <n v="63.73"/>
    <s v="USD"/>
    <s v="M1210"/>
    <x v="7"/>
    <s v="India"/>
    <s v="C72056"/>
    <n v="71"/>
    <s v="M"/>
    <x v="14"/>
    <x v="5"/>
    <s v="Y"/>
    <s v="Success"/>
    <x v="0"/>
    <x v="0"/>
    <x v="3"/>
  </r>
  <r>
    <s v="TX1002935"/>
    <x v="45"/>
    <x v="3"/>
    <d v="1899-12-30T07:52:42"/>
    <n v="63.71"/>
    <s v="USD"/>
    <s v="M1805"/>
    <x v="4"/>
    <s v="Kenya"/>
    <s v="C55854"/>
    <n v="41"/>
    <s v="Other"/>
    <x v="2"/>
    <x v="1"/>
    <s v="Y"/>
    <s v="Success"/>
    <x v="0"/>
    <x v="0"/>
    <x v="2"/>
  </r>
  <r>
    <s v="TX1000435"/>
    <x v="148"/>
    <x v="1"/>
    <d v="1899-12-30T17:09:47"/>
    <n v="63.51"/>
    <s v="USD"/>
    <s v="M1299"/>
    <x v="3"/>
    <s v="Australia"/>
    <s v="C76071"/>
    <n v="34"/>
    <s v="Other"/>
    <x v="11"/>
    <x v="2"/>
    <s v="Y"/>
    <s v="Success"/>
    <x v="0"/>
    <x v="0"/>
    <x v="1"/>
  </r>
  <r>
    <s v="TX1002751"/>
    <x v="7"/>
    <x v="3"/>
    <d v="1899-12-30T01:24:07"/>
    <n v="63.51"/>
    <s v="USD"/>
    <s v="M1102"/>
    <x v="3"/>
    <s v="Poland"/>
    <s v="C80186"/>
    <n v="39"/>
    <s v="M"/>
    <x v="14"/>
    <x v="0"/>
    <s v="N"/>
    <s v="Success"/>
    <x v="0"/>
    <x v="0"/>
    <x v="1"/>
  </r>
  <r>
    <s v="TX1000564"/>
    <x v="172"/>
    <x v="4"/>
    <d v="1899-12-30T15:14:48"/>
    <n v="63.35"/>
    <s v="USD"/>
    <s v="M1154"/>
    <x v="6"/>
    <s v="Germany"/>
    <s v="C54326"/>
    <n v="71"/>
    <s v="F"/>
    <x v="10"/>
    <x v="1"/>
    <s v="Y"/>
    <s v="Success"/>
    <x v="0"/>
    <x v="0"/>
    <x v="3"/>
  </r>
  <r>
    <s v="TX1001304"/>
    <x v="48"/>
    <x v="0"/>
    <d v="1899-12-30T07:08:55"/>
    <n v="63.26"/>
    <s v="USD"/>
    <s v="M1231"/>
    <x v="9"/>
    <s v="South Africa"/>
    <s v="C95327"/>
    <n v="54"/>
    <s v="Other"/>
    <x v="14"/>
    <x v="2"/>
    <s v="Y"/>
    <s v="Success"/>
    <x v="0"/>
    <x v="0"/>
    <x v="2"/>
  </r>
  <r>
    <s v="TX1001588"/>
    <x v="84"/>
    <x v="5"/>
    <d v="1899-12-30T04:30:06"/>
    <n v="63.22"/>
    <s v="USD"/>
    <s v="M1625"/>
    <x v="8"/>
    <s v="Germany"/>
    <s v="C98140"/>
    <n v="35"/>
    <s v="F"/>
    <x v="2"/>
    <x v="5"/>
    <s v="Y"/>
    <s v="Success"/>
    <x v="0"/>
    <x v="0"/>
    <x v="1"/>
  </r>
  <r>
    <s v="TX1001526"/>
    <x v="58"/>
    <x v="5"/>
    <d v="1899-12-30T19:41:34"/>
    <n v="63.11"/>
    <s v="USD"/>
    <s v="M1490"/>
    <x v="5"/>
    <s v="India"/>
    <s v="C64472"/>
    <n v="27"/>
    <s v="M"/>
    <x v="6"/>
    <x v="2"/>
    <s v="N"/>
    <s v="Success"/>
    <x v="0"/>
    <x v="0"/>
    <x v="1"/>
  </r>
  <r>
    <s v="TX1000530"/>
    <x v="105"/>
    <x v="4"/>
    <d v="1899-12-30T00:49:53"/>
    <n v="63.01"/>
    <s v="USD"/>
    <s v="M1982"/>
    <x v="7"/>
    <s v="Kenya"/>
    <s v="C99490"/>
    <n v="66"/>
    <s v="M"/>
    <x v="13"/>
    <x v="5"/>
    <s v="Y"/>
    <s v="Success"/>
    <x v="0"/>
    <x v="0"/>
    <x v="3"/>
  </r>
  <r>
    <s v="TX1000462"/>
    <x v="25"/>
    <x v="1"/>
    <d v="1899-12-30T09:49:16"/>
    <n v="62.81"/>
    <s v="USD"/>
    <s v="M1645"/>
    <x v="7"/>
    <s v="India"/>
    <s v="C86758"/>
    <n v="33"/>
    <s v="M"/>
    <x v="5"/>
    <x v="2"/>
    <s v="Y"/>
    <s v="Success"/>
    <x v="0"/>
    <x v="0"/>
    <x v="1"/>
  </r>
  <r>
    <s v="TX1002880"/>
    <x v="144"/>
    <x v="3"/>
    <d v="1899-12-30T07:37:37"/>
    <n v="62.43"/>
    <s v="USD"/>
    <s v="M1453"/>
    <x v="8"/>
    <s v="Spain"/>
    <s v="C68875"/>
    <n v="22"/>
    <s v="Other"/>
    <x v="13"/>
    <x v="3"/>
    <s v="Y"/>
    <s v="Success"/>
    <x v="0"/>
    <x v="0"/>
    <x v="0"/>
  </r>
  <r>
    <s v="TX1002166"/>
    <x v="112"/>
    <x v="2"/>
    <d v="1899-12-30T00:24:27"/>
    <n v="62.39"/>
    <s v="USD"/>
    <s v="M1840"/>
    <x v="6"/>
    <s v="Australia"/>
    <s v="C73301"/>
    <n v="21"/>
    <s v="F"/>
    <x v="3"/>
    <x v="2"/>
    <s v="Y"/>
    <s v="Success"/>
    <x v="0"/>
    <x v="0"/>
    <x v="0"/>
  </r>
  <r>
    <s v="TX1002705"/>
    <x v="130"/>
    <x v="3"/>
    <d v="1899-12-30T01:02:33"/>
    <n v="62.1"/>
    <s v="USD"/>
    <s v="M1347"/>
    <x v="6"/>
    <s v="South Africa"/>
    <s v="C69109"/>
    <n v="69"/>
    <s v="F"/>
    <x v="3"/>
    <x v="1"/>
    <s v="Y"/>
    <s v="Success"/>
    <x v="0"/>
    <x v="0"/>
    <x v="3"/>
  </r>
  <r>
    <s v="TX1000809"/>
    <x v="170"/>
    <x v="4"/>
    <d v="1899-12-30T16:42:51"/>
    <n v="61.93"/>
    <s v="USD"/>
    <s v="M1581"/>
    <x v="4"/>
    <s v="France"/>
    <s v="C50559"/>
    <n v="30"/>
    <s v="M"/>
    <x v="9"/>
    <x v="5"/>
    <s v="Y"/>
    <s v="Success"/>
    <x v="0"/>
    <x v="0"/>
    <x v="1"/>
  </r>
  <r>
    <s v="TX1001713"/>
    <x v="142"/>
    <x v="5"/>
    <d v="1899-12-30T15:42:31"/>
    <n v="61.87"/>
    <s v="USD"/>
    <s v="M1395"/>
    <x v="7"/>
    <s v="Norway"/>
    <s v="C70675"/>
    <n v="20"/>
    <s v="M"/>
    <x v="6"/>
    <x v="0"/>
    <s v="Y"/>
    <s v="Success"/>
    <x v="0"/>
    <x v="0"/>
    <x v="0"/>
  </r>
  <r>
    <s v="TX1000764"/>
    <x v="10"/>
    <x v="4"/>
    <d v="1899-12-30T21:11:26"/>
    <n v="61.8"/>
    <s v="USD"/>
    <s v="M1346"/>
    <x v="3"/>
    <s v="Norway"/>
    <s v="C62898"/>
    <n v="30"/>
    <s v="M"/>
    <x v="0"/>
    <x v="3"/>
    <s v="Y"/>
    <s v="Success"/>
    <x v="0"/>
    <x v="0"/>
    <x v="1"/>
  </r>
  <r>
    <s v="TX1000040"/>
    <x v="167"/>
    <x v="1"/>
    <d v="1899-12-30T05:16:09"/>
    <n v="61.77"/>
    <s v="USD"/>
    <s v="M1710"/>
    <x v="3"/>
    <s v="Canada"/>
    <s v="C75458"/>
    <n v="29"/>
    <s v="F"/>
    <x v="14"/>
    <x v="0"/>
    <s v="Y"/>
    <s v="Success"/>
    <x v="0"/>
    <x v="0"/>
    <x v="1"/>
  </r>
  <r>
    <s v="TX1001662"/>
    <x v="176"/>
    <x v="5"/>
    <d v="1899-12-30T02:33:46"/>
    <n v="61.76"/>
    <s v="USD"/>
    <s v="M1471"/>
    <x v="3"/>
    <s v="France"/>
    <s v="C62425"/>
    <n v="58"/>
    <s v="Other"/>
    <x v="14"/>
    <x v="3"/>
    <s v="Y"/>
    <s v="Success"/>
    <x v="0"/>
    <x v="0"/>
    <x v="2"/>
  </r>
  <r>
    <s v="TX1002021"/>
    <x v="115"/>
    <x v="2"/>
    <d v="1899-12-30T08:52:17"/>
    <n v="61.76"/>
    <s v="USD"/>
    <s v="M1065"/>
    <x v="7"/>
    <s v="Sweden"/>
    <s v="C75980"/>
    <n v="43"/>
    <s v="M"/>
    <x v="10"/>
    <x v="3"/>
    <s v="Y"/>
    <s v="Success"/>
    <x v="0"/>
    <x v="0"/>
    <x v="2"/>
  </r>
  <r>
    <s v="TX1002292"/>
    <x v="156"/>
    <x v="2"/>
    <d v="1899-12-30T00:08:02"/>
    <n v="61.73"/>
    <s v="USD"/>
    <s v="M1316"/>
    <x v="0"/>
    <s v="India"/>
    <s v="C69163"/>
    <n v="74"/>
    <s v="Other"/>
    <x v="4"/>
    <x v="0"/>
    <s v="Y"/>
    <s v="Success"/>
    <x v="0"/>
    <x v="0"/>
    <x v="3"/>
  </r>
  <r>
    <s v="TX1002449"/>
    <x v="67"/>
    <x v="2"/>
    <d v="1899-12-30T20:09:11"/>
    <n v="61.61"/>
    <s v="USD"/>
    <s v="M1385"/>
    <x v="5"/>
    <s v="South Africa"/>
    <s v="C67744"/>
    <n v="19"/>
    <s v="F"/>
    <x v="3"/>
    <x v="4"/>
    <s v="Y"/>
    <s v="Success"/>
    <x v="0"/>
    <x v="0"/>
    <x v="0"/>
  </r>
  <r>
    <s v="TX1001968"/>
    <x v="121"/>
    <x v="5"/>
    <d v="1899-12-30T02:17:08"/>
    <n v="61.52"/>
    <s v="USD"/>
    <s v="M1866"/>
    <x v="4"/>
    <s v="France"/>
    <s v="C98893"/>
    <n v="59"/>
    <s v="F"/>
    <x v="10"/>
    <x v="1"/>
    <s v="Y"/>
    <s v="Success"/>
    <x v="0"/>
    <x v="0"/>
    <x v="2"/>
  </r>
  <r>
    <s v="TX1000599"/>
    <x v="163"/>
    <x v="4"/>
    <d v="1899-12-30T11:08:32"/>
    <n v="61.45"/>
    <s v="USD"/>
    <s v="M1650"/>
    <x v="2"/>
    <s v="Australia"/>
    <s v="C52744"/>
    <n v="40"/>
    <s v="M"/>
    <x v="12"/>
    <x v="3"/>
    <s v="Y"/>
    <s v="Success"/>
    <x v="0"/>
    <x v="0"/>
    <x v="2"/>
  </r>
  <r>
    <s v="TX1001980"/>
    <x v="71"/>
    <x v="5"/>
    <d v="1899-12-30T00:26:07"/>
    <n v="61.45"/>
    <s v="USD"/>
    <s v="M1660"/>
    <x v="7"/>
    <s v="Australia"/>
    <s v="C67726"/>
    <n v="31"/>
    <s v="M"/>
    <x v="2"/>
    <x v="4"/>
    <s v="Y"/>
    <s v="Success"/>
    <x v="0"/>
    <x v="0"/>
    <x v="1"/>
  </r>
  <r>
    <s v="TX1002132"/>
    <x v="135"/>
    <x v="2"/>
    <d v="1899-12-30T06:25:13"/>
    <n v="61.4"/>
    <s v="USD"/>
    <s v="M1467"/>
    <x v="8"/>
    <s v="South Africa"/>
    <s v="C97126"/>
    <n v="24"/>
    <s v="F"/>
    <x v="3"/>
    <x v="5"/>
    <s v="Y"/>
    <s v="Success"/>
    <x v="0"/>
    <x v="0"/>
    <x v="0"/>
  </r>
  <r>
    <s v="TX1000321"/>
    <x v="95"/>
    <x v="1"/>
    <d v="1899-12-30T07:35:57"/>
    <n v="61.32"/>
    <s v="USD"/>
    <s v="M1206"/>
    <x v="8"/>
    <s v="Norway"/>
    <s v="C81534"/>
    <n v="28"/>
    <s v="F"/>
    <x v="10"/>
    <x v="2"/>
    <s v="Y"/>
    <s v="Success"/>
    <x v="0"/>
    <x v="0"/>
    <x v="1"/>
  </r>
  <r>
    <s v="TX1001445"/>
    <x v="92"/>
    <x v="0"/>
    <d v="1899-12-30T18:10:14"/>
    <n v="61.29"/>
    <s v="USD"/>
    <s v="M1541"/>
    <x v="0"/>
    <s v="Canada"/>
    <s v="C65492"/>
    <n v="40"/>
    <s v="M"/>
    <x v="7"/>
    <x v="2"/>
    <s v="Y"/>
    <s v="Success"/>
    <x v="0"/>
    <x v="0"/>
    <x v="2"/>
  </r>
  <r>
    <s v="TX1002885"/>
    <x v="144"/>
    <x v="3"/>
    <d v="1899-12-30T12:47:13"/>
    <n v="61.05"/>
    <s v="USD"/>
    <s v="M1113"/>
    <x v="4"/>
    <s v="Netherlands"/>
    <s v="C66767"/>
    <n v="61"/>
    <s v="F"/>
    <x v="8"/>
    <x v="1"/>
    <s v="N"/>
    <s v="Success"/>
    <x v="1"/>
    <x v="1"/>
    <x v="3"/>
  </r>
  <r>
    <s v="TX1001444"/>
    <x v="92"/>
    <x v="0"/>
    <d v="1899-12-30T16:51:38"/>
    <n v="60.73"/>
    <s v="USD"/>
    <s v="M1705"/>
    <x v="6"/>
    <s v="Canada"/>
    <s v="C78867"/>
    <n v="68"/>
    <s v="Other"/>
    <x v="2"/>
    <x v="5"/>
    <s v="Y"/>
    <s v="Success"/>
    <x v="0"/>
    <x v="0"/>
    <x v="3"/>
  </r>
  <r>
    <s v="TX1002506"/>
    <x v="28"/>
    <x v="2"/>
    <d v="1899-12-30T21:16:16"/>
    <n v="60.66"/>
    <s v="USD"/>
    <s v="M1406"/>
    <x v="8"/>
    <s v="Nigeria"/>
    <s v="C90240"/>
    <n v="50"/>
    <s v="F"/>
    <x v="1"/>
    <x v="4"/>
    <s v="Y"/>
    <s v="Success"/>
    <x v="0"/>
    <x v="0"/>
    <x v="2"/>
  </r>
  <r>
    <s v="TX1000624"/>
    <x v="65"/>
    <x v="4"/>
    <d v="1899-12-30T05:47:34"/>
    <n v="60.6"/>
    <s v="USD"/>
    <s v="M1498"/>
    <x v="6"/>
    <s v="Sweden"/>
    <s v="C51051"/>
    <n v="46"/>
    <s v="Other"/>
    <x v="4"/>
    <x v="3"/>
    <s v="N"/>
    <s v="Success"/>
    <x v="0"/>
    <x v="0"/>
    <x v="2"/>
  </r>
  <r>
    <s v="TX1000028"/>
    <x v="109"/>
    <x v="1"/>
    <d v="1899-12-30T04:25:56"/>
    <n v="60.56"/>
    <s v="USD"/>
    <s v="M1869"/>
    <x v="4"/>
    <s v="Poland"/>
    <s v="C85426"/>
    <n v="62"/>
    <s v="Other"/>
    <x v="6"/>
    <x v="0"/>
    <s v="Y"/>
    <s v="Success"/>
    <x v="0"/>
    <x v="0"/>
    <x v="3"/>
  </r>
  <r>
    <s v="TX1001264"/>
    <x v="76"/>
    <x v="0"/>
    <d v="1899-12-30T21:41:26"/>
    <n v="60.48"/>
    <s v="USD"/>
    <s v="M1107"/>
    <x v="7"/>
    <s v="Kenya"/>
    <s v="C81727"/>
    <n v="74"/>
    <s v="F"/>
    <x v="2"/>
    <x v="1"/>
    <s v="Y"/>
    <s v="Success"/>
    <x v="0"/>
    <x v="0"/>
    <x v="3"/>
  </r>
  <r>
    <s v="TX1002146"/>
    <x v="135"/>
    <x v="2"/>
    <d v="1899-12-30T22:24:54"/>
    <n v="60.27"/>
    <s v="USD"/>
    <s v="M1045"/>
    <x v="3"/>
    <s v="Nigeria"/>
    <s v="C77942"/>
    <n v="63"/>
    <s v="F"/>
    <x v="14"/>
    <x v="0"/>
    <s v="Y"/>
    <s v="Success"/>
    <x v="0"/>
    <x v="0"/>
    <x v="3"/>
  </r>
  <r>
    <s v="TX1002566"/>
    <x v="52"/>
    <x v="3"/>
    <d v="1899-12-30T12:14:57"/>
    <n v="60.2"/>
    <s v="USD"/>
    <s v="M1863"/>
    <x v="6"/>
    <s v="India"/>
    <s v="C71021"/>
    <n v="119"/>
    <s v="F"/>
    <x v="4"/>
    <x v="0"/>
    <s v="Y"/>
    <s v="Success"/>
    <x v="0"/>
    <x v="0"/>
    <x v="3"/>
  </r>
  <r>
    <s v="TX1002775"/>
    <x v="169"/>
    <x v="3"/>
    <d v="1899-12-30T10:33:18"/>
    <n v="60.17"/>
    <s v="USD"/>
    <s v="M1295"/>
    <x v="3"/>
    <s v="Netherlands"/>
    <s v="C94387"/>
    <n v="73"/>
    <s v="F"/>
    <x v="1"/>
    <x v="1"/>
    <s v="Y"/>
    <s v="Success"/>
    <x v="0"/>
    <x v="0"/>
    <x v="3"/>
  </r>
  <r>
    <s v="TX1001186"/>
    <x v="120"/>
    <x v="0"/>
    <d v="1899-12-30T13:44:37"/>
    <n v="60.01"/>
    <s v="USD"/>
    <s v="M1277"/>
    <x v="3"/>
    <s v="Poland"/>
    <s v="C93788"/>
    <n v="71"/>
    <s v="F"/>
    <x v="1"/>
    <x v="3"/>
    <s v="Y"/>
    <s v="Success"/>
    <x v="0"/>
    <x v="0"/>
    <x v="3"/>
  </r>
  <r>
    <s v="TX1001322"/>
    <x v="108"/>
    <x v="0"/>
    <d v="1899-12-30T06:21:11"/>
    <n v="59.9"/>
    <s v="USD"/>
    <s v="M1369"/>
    <x v="1"/>
    <s v="Kenya"/>
    <s v="C65124"/>
    <n v="48"/>
    <s v="Other"/>
    <x v="9"/>
    <x v="4"/>
    <s v="Y"/>
    <s v="Success"/>
    <x v="0"/>
    <x v="0"/>
    <x v="2"/>
  </r>
  <r>
    <s v="TX1001129"/>
    <x v="3"/>
    <x v="0"/>
    <d v="1899-12-30T04:35:28"/>
    <n v="59.9"/>
    <s v="USD"/>
    <s v="M1386"/>
    <x v="0"/>
    <s v="Norway"/>
    <s v="C65370"/>
    <n v="57"/>
    <s v="Other"/>
    <x v="2"/>
    <x v="5"/>
    <s v="Y"/>
    <s v="Success"/>
    <x v="0"/>
    <x v="0"/>
    <x v="2"/>
  </r>
  <r>
    <s v="TX1001397"/>
    <x v="60"/>
    <x v="0"/>
    <d v="1899-12-30T11:28:28"/>
    <n v="59.87"/>
    <s v="USD"/>
    <s v="M1823"/>
    <x v="6"/>
    <s v="Kenya"/>
    <s v="C93569"/>
    <n v="74"/>
    <s v="F"/>
    <x v="10"/>
    <x v="5"/>
    <s v="Y"/>
    <s v="Success"/>
    <x v="0"/>
    <x v="0"/>
    <x v="3"/>
  </r>
  <r>
    <s v="TX1000440"/>
    <x v="151"/>
    <x v="1"/>
    <d v="1899-12-30T02:08:31"/>
    <n v="59.87"/>
    <s v="USD"/>
    <s v="M1280"/>
    <x v="5"/>
    <s v="Germany"/>
    <s v="C93203"/>
    <n v="18"/>
    <s v="M"/>
    <x v="12"/>
    <x v="0"/>
    <s v="N"/>
    <s v="Success"/>
    <x v="1"/>
    <x v="1"/>
    <x v="0"/>
  </r>
  <r>
    <s v="TX1002042"/>
    <x v="138"/>
    <x v="2"/>
    <d v="1899-12-30T19:00:57"/>
    <n v="59.57"/>
    <s v="USD"/>
    <s v="M1167"/>
    <x v="7"/>
    <s v="Sweden"/>
    <s v="C62930"/>
    <n v="71"/>
    <s v="F"/>
    <x v="7"/>
    <x v="0"/>
    <s v="Y"/>
    <s v="Success"/>
    <x v="0"/>
    <x v="0"/>
    <x v="3"/>
  </r>
  <r>
    <s v="TX1002453"/>
    <x v="154"/>
    <x v="2"/>
    <d v="1899-12-30T00:37:50"/>
    <n v="59.56"/>
    <s v="USD"/>
    <s v="M1487"/>
    <x v="4"/>
    <s v="Spain"/>
    <s v="C60402"/>
    <n v="35"/>
    <s v="M"/>
    <x v="8"/>
    <x v="1"/>
    <s v="Y"/>
    <s v="Success"/>
    <x v="0"/>
    <x v="0"/>
    <x v="1"/>
  </r>
  <r>
    <s v="TX1000708"/>
    <x v="62"/>
    <x v="4"/>
    <d v="1899-12-30T23:34:11"/>
    <n v="59.54"/>
    <s v="USD"/>
    <s v="M1136"/>
    <x v="0"/>
    <s v="Netherlands"/>
    <s v="C87752"/>
    <n v="32"/>
    <s v="M"/>
    <x v="3"/>
    <x v="0"/>
    <s v="Y"/>
    <s v="Success"/>
    <x v="0"/>
    <x v="0"/>
    <x v="1"/>
  </r>
  <r>
    <s v="TX1001732"/>
    <x v="70"/>
    <x v="5"/>
    <d v="1899-12-30T10:11:03"/>
    <n v="59.41"/>
    <s v="USD"/>
    <s v="M1480"/>
    <x v="3"/>
    <s v="Netherlands"/>
    <s v="C75829"/>
    <n v="33"/>
    <s v="M"/>
    <x v="8"/>
    <x v="2"/>
    <s v="N"/>
    <s v="Success"/>
    <x v="0"/>
    <x v="0"/>
    <x v="1"/>
  </r>
  <r>
    <s v="TX1002827"/>
    <x v="86"/>
    <x v="3"/>
    <d v="1899-12-30T09:20:32"/>
    <n v="59.36"/>
    <s v="USD"/>
    <s v="M1539"/>
    <x v="5"/>
    <s v="France"/>
    <s v="C76633"/>
    <n v="32"/>
    <s v="F"/>
    <x v="13"/>
    <x v="3"/>
    <s v="Y"/>
    <s v="Success"/>
    <x v="0"/>
    <x v="0"/>
    <x v="1"/>
  </r>
  <r>
    <s v="TX1000044"/>
    <x v="167"/>
    <x v="1"/>
    <d v="1899-12-30T11:28:10"/>
    <n v="59.23"/>
    <s v="USD"/>
    <s v="M1526"/>
    <x v="7"/>
    <s v="United States"/>
    <s v="C99158"/>
    <n v="73"/>
    <s v="Other"/>
    <x v="5"/>
    <x v="3"/>
    <s v="N"/>
    <s v="Success"/>
    <x v="0"/>
    <x v="0"/>
    <x v="3"/>
  </r>
  <r>
    <s v="TX1000670"/>
    <x v="17"/>
    <x v="4"/>
    <d v="1899-12-30T19:15:51"/>
    <n v="59.14"/>
    <s v="USD"/>
    <s v="M1558"/>
    <x v="3"/>
    <s v="Australia"/>
    <s v="C93787"/>
    <n v="67"/>
    <s v="M"/>
    <x v="5"/>
    <x v="5"/>
    <s v="Y"/>
    <s v="Success"/>
    <x v="0"/>
    <x v="0"/>
    <x v="3"/>
  </r>
  <r>
    <s v="TX1001835"/>
    <x v="139"/>
    <x v="5"/>
    <d v="1899-12-30T09:57:30"/>
    <n v="58.99"/>
    <s v="USD"/>
    <s v="M1518"/>
    <x v="0"/>
    <s v="Norway"/>
    <s v="C58101"/>
    <n v="52"/>
    <s v="F"/>
    <x v="14"/>
    <x v="3"/>
    <s v="Y"/>
    <s v="Success"/>
    <x v="0"/>
    <x v="0"/>
    <x v="2"/>
  </r>
  <r>
    <s v="TX1001229"/>
    <x v="128"/>
    <x v="0"/>
    <d v="1899-12-30T02:10:26"/>
    <n v="58.94"/>
    <s v="USD"/>
    <s v="M1950"/>
    <x v="3"/>
    <s v="Nigeria"/>
    <s v="C79082"/>
    <n v="25"/>
    <s v="Other"/>
    <x v="7"/>
    <x v="2"/>
    <s v="Y"/>
    <s v="Success"/>
    <x v="0"/>
    <x v="0"/>
    <x v="1"/>
  </r>
  <r>
    <s v="TX1001786"/>
    <x v="26"/>
    <x v="5"/>
    <d v="1899-12-30T05:03:06"/>
    <n v="58.82"/>
    <s v="USD"/>
    <s v="M1599"/>
    <x v="3"/>
    <s v="Netherlands"/>
    <s v="C54236"/>
    <n v="29"/>
    <s v="M"/>
    <x v="14"/>
    <x v="1"/>
    <s v="Y"/>
    <s v="Success"/>
    <x v="0"/>
    <x v="0"/>
    <x v="1"/>
  </r>
  <r>
    <s v="TX1001901"/>
    <x v="147"/>
    <x v="5"/>
    <d v="1899-12-30T10:43:55"/>
    <n v="58.73"/>
    <s v="USD"/>
    <s v="M1691"/>
    <x v="6"/>
    <s v="Netherlands"/>
    <s v="C81566"/>
    <n v="36"/>
    <s v="M"/>
    <x v="3"/>
    <x v="0"/>
    <s v="Y"/>
    <s v="Success"/>
    <x v="0"/>
    <x v="0"/>
    <x v="1"/>
  </r>
  <r>
    <s v="TX1002415"/>
    <x v="46"/>
    <x v="2"/>
    <d v="1899-12-30T04:36:18"/>
    <n v="58.42"/>
    <s v="USD"/>
    <s v="M1043"/>
    <x v="4"/>
    <s v="United States"/>
    <s v="C85390"/>
    <n v="30"/>
    <s v="Other"/>
    <x v="12"/>
    <x v="5"/>
    <s v="Y"/>
    <s v="Success"/>
    <x v="0"/>
    <x v="0"/>
    <x v="1"/>
  </r>
  <r>
    <s v="TX1001474"/>
    <x v="61"/>
    <x v="0"/>
    <d v="1899-12-30T22:45:51"/>
    <n v="58.4"/>
    <s v="USD"/>
    <s v="M1215"/>
    <x v="6"/>
    <s v="India"/>
    <s v="C60497"/>
    <n v="34"/>
    <s v="Other"/>
    <x v="1"/>
    <x v="2"/>
    <s v="Y"/>
    <s v="Success"/>
    <x v="0"/>
    <x v="0"/>
    <x v="1"/>
  </r>
  <r>
    <s v="TX1002152"/>
    <x v="2"/>
    <x v="2"/>
    <d v="1899-12-30T04:34:04"/>
    <n v="58.3"/>
    <s v="USD"/>
    <s v="M1129"/>
    <x v="8"/>
    <s v="United Kingdom"/>
    <s v="C77379"/>
    <n v="29"/>
    <s v="Other"/>
    <x v="14"/>
    <x v="0"/>
    <s v="Y"/>
    <s v="Success"/>
    <x v="0"/>
    <x v="0"/>
    <x v="1"/>
  </r>
  <r>
    <s v="TX1000349"/>
    <x v="43"/>
    <x v="1"/>
    <d v="1899-12-30T20:59:55"/>
    <n v="58.08"/>
    <s v="USD"/>
    <s v="M1735"/>
    <x v="6"/>
    <s v="Germany"/>
    <s v="C91656"/>
    <n v="38"/>
    <s v="M"/>
    <x v="14"/>
    <x v="4"/>
    <s v="Y"/>
    <s v="Success"/>
    <x v="0"/>
    <x v="0"/>
    <x v="1"/>
  </r>
  <r>
    <s v="TX1002749"/>
    <x v="136"/>
    <x v="3"/>
    <d v="1899-12-30T19:50:01"/>
    <n v="58.06"/>
    <s v="USD"/>
    <s v="M1010"/>
    <x v="4"/>
    <s v="India"/>
    <s v="C69621"/>
    <n v="41"/>
    <s v="Other"/>
    <x v="7"/>
    <x v="0"/>
    <s v="Y"/>
    <s v="Success"/>
    <x v="0"/>
    <x v="0"/>
    <x v="2"/>
  </r>
  <r>
    <s v="TX1000856"/>
    <x v="12"/>
    <x v="4"/>
    <d v="1899-12-30T13:45:16"/>
    <n v="57.88"/>
    <s v="USD"/>
    <s v="M1946"/>
    <x v="4"/>
    <s v="United Kingdom"/>
    <s v="C52755"/>
    <n v="62"/>
    <s v="Other"/>
    <x v="13"/>
    <x v="5"/>
    <s v="Y"/>
    <s v="Success"/>
    <x v="0"/>
    <x v="0"/>
    <x v="3"/>
  </r>
  <r>
    <s v="TX1001040"/>
    <x v="22"/>
    <x v="0"/>
    <d v="1899-12-30T23:19:34"/>
    <n v="57.85"/>
    <s v="USD"/>
    <s v="M1374"/>
    <x v="7"/>
    <s v="Poland"/>
    <s v="C70235"/>
    <n v="61"/>
    <s v="Other"/>
    <x v="8"/>
    <x v="5"/>
    <s v="Y"/>
    <s v="Success"/>
    <x v="0"/>
    <x v="0"/>
    <x v="3"/>
  </r>
  <r>
    <s v="TX1002509"/>
    <x v="9"/>
    <x v="2"/>
    <d v="1899-12-30T01:22:48"/>
    <n v="57.75"/>
    <s v="USD"/>
    <s v="M1993"/>
    <x v="2"/>
    <s v="Poland"/>
    <s v="C94243"/>
    <n v="38"/>
    <s v="Other"/>
    <x v="2"/>
    <x v="3"/>
    <s v="Y"/>
    <s v="Success"/>
    <x v="0"/>
    <x v="0"/>
    <x v="1"/>
  </r>
  <r>
    <s v="TX1001637"/>
    <x v="143"/>
    <x v="5"/>
    <d v="1899-12-30T03:21:25"/>
    <n v="57.72"/>
    <s v="USD"/>
    <s v="M1303"/>
    <x v="4"/>
    <s v="Netherlands"/>
    <s v="C63152"/>
    <n v="38"/>
    <s v="M"/>
    <x v="9"/>
    <x v="0"/>
    <s v="Y"/>
    <s v="Success"/>
    <x v="0"/>
    <x v="0"/>
    <x v="1"/>
  </r>
  <r>
    <s v="TX1000698"/>
    <x v="62"/>
    <x v="4"/>
    <d v="1899-12-30T07:28:20"/>
    <n v="57.67"/>
    <s v="USD"/>
    <s v="M1462"/>
    <x v="6"/>
    <s v="Poland"/>
    <s v="C66392"/>
    <n v="27"/>
    <s v="F"/>
    <x v="8"/>
    <x v="2"/>
    <s v="Y"/>
    <s v="Success"/>
    <x v="0"/>
    <x v="0"/>
    <x v="1"/>
  </r>
  <r>
    <s v="TX1001628"/>
    <x v="143"/>
    <x v="5"/>
    <d v="1899-12-30T00:04:00"/>
    <n v="57.48"/>
    <s v="USD"/>
    <s v="M1062"/>
    <x v="3"/>
    <s v="Spain"/>
    <s v="C68552"/>
    <n v="21"/>
    <s v="F"/>
    <x v="12"/>
    <x v="1"/>
    <s v="Y"/>
    <s v="Success"/>
    <x v="0"/>
    <x v="0"/>
    <x v="0"/>
  </r>
  <r>
    <s v="TX1001562"/>
    <x v="29"/>
    <x v="5"/>
    <d v="1899-12-30T13:53:57"/>
    <n v="57.45"/>
    <s v="USD"/>
    <s v="M1352"/>
    <x v="8"/>
    <s v="United States"/>
    <s v="C78328"/>
    <n v="69"/>
    <s v="Other"/>
    <x v="3"/>
    <x v="0"/>
    <s v="Y"/>
    <s v="Success"/>
    <x v="0"/>
    <x v="0"/>
    <x v="3"/>
  </r>
  <r>
    <s v="TX1002258"/>
    <x v="69"/>
    <x v="2"/>
    <d v="1899-12-30T20:39:59"/>
    <n v="57.43"/>
    <s v="USD"/>
    <s v="M1215"/>
    <x v="6"/>
    <s v="Sweden"/>
    <s v="C91585"/>
    <n v="73"/>
    <s v="F"/>
    <x v="2"/>
    <x v="4"/>
    <s v="Y"/>
    <s v="Success"/>
    <x v="0"/>
    <x v="0"/>
    <x v="3"/>
  </r>
  <r>
    <s v="TX1000338"/>
    <x v="43"/>
    <x v="1"/>
    <d v="1899-12-30T05:44:41"/>
    <n v="57.32"/>
    <s v="USD"/>
    <s v="M1876"/>
    <x v="0"/>
    <s v="Nigeria"/>
    <s v="C56377"/>
    <n v="69"/>
    <s v="M"/>
    <x v="9"/>
    <x v="3"/>
    <s v="Y"/>
    <s v="Success"/>
    <x v="0"/>
    <x v="0"/>
    <x v="3"/>
  </r>
  <r>
    <s v="TX1001210"/>
    <x v="81"/>
    <x v="0"/>
    <d v="1899-12-30T05:05:42"/>
    <n v="57.12"/>
    <s v="USD"/>
    <s v="M1918"/>
    <x v="3"/>
    <s v="Spain"/>
    <s v="C97317"/>
    <n v="71"/>
    <s v="F"/>
    <x v="6"/>
    <x v="0"/>
    <s v="Y"/>
    <s v="Success"/>
    <x v="0"/>
    <x v="0"/>
    <x v="3"/>
  </r>
  <r>
    <s v="TX1000250"/>
    <x v="152"/>
    <x v="1"/>
    <d v="1899-12-30T04:13:25"/>
    <n v="57.08"/>
    <s v="USD"/>
    <s v="M1376"/>
    <x v="3"/>
    <s v="Nigeria"/>
    <s v="C74728"/>
    <n v="19"/>
    <s v="Other"/>
    <x v="14"/>
    <x v="0"/>
    <s v="Y"/>
    <s v="Success"/>
    <x v="0"/>
    <x v="0"/>
    <x v="0"/>
  </r>
  <r>
    <s v="TX1000860"/>
    <x v="12"/>
    <x v="4"/>
    <d v="1899-12-30T19:05:17"/>
    <n v="57.07"/>
    <s v="USD"/>
    <s v="M1793"/>
    <x v="7"/>
    <s v="Australia"/>
    <s v="C78530"/>
    <n v="25"/>
    <s v="Other"/>
    <x v="5"/>
    <x v="3"/>
    <s v="Y"/>
    <s v="Success"/>
    <x v="1"/>
    <x v="1"/>
    <x v="1"/>
  </r>
  <r>
    <s v="TX1000593"/>
    <x v="163"/>
    <x v="4"/>
    <d v="1899-12-30T01:57:51"/>
    <n v="57.03"/>
    <s v="USD"/>
    <s v="M1024"/>
    <x v="8"/>
    <s v="Norway"/>
    <s v="C62325"/>
    <n v="110"/>
    <s v="M"/>
    <x v="9"/>
    <x v="0"/>
    <s v="N"/>
    <s v="Success"/>
    <x v="0"/>
    <x v="0"/>
    <x v="3"/>
  </r>
  <r>
    <s v="TX1002916"/>
    <x v="96"/>
    <x v="3"/>
    <d v="1899-12-30T05:12:36"/>
    <n v="56.81"/>
    <s v="USD"/>
    <s v="M1206"/>
    <x v="0"/>
    <s v="Australia"/>
    <s v="C99460"/>
    <n v="30"/>
    <s v="Other"/>
    <x v="5"/>
    <x v="1"/>
    <s v="Y"/>
    <s v="Success"/>
    <x v="0"/>
    <x v="0"/>
    <x v="1"/>
  </r>
  <r>
    <s v="TX1002409"/>
    <x v="90"/>
    <x v="2"/>
    <d v="1899-12-30T19:59:19"/>
    <n v="56.68"/>
    <s v="USD"/>
    <s v="M1334"/>
    <x v="0"/>
    <s v="Sweden"/>
    <s v="C62414"/>
    <n v="20"/>
    <s v="F"/>
    <x v="5"/>
    <x v="0"/>
    <s v="Y"/>
    <s v="Success"/>
    <x v="0"/>
    <x v="0"/>
    <x v="0"/>
  </r>
  <r>
    <s v="TX1000630"/>
    <x v="65"/>
    <x v="4"/>
    <d v="1899-12-30T13:20:28"/>
    <n v="56.51"/>
    <s v="USD"/>
    <s v="M1231"/>
    <x v="9"/>
    <s v="Nigeria"/>
    <s v="C81679"/>
    <n v="64"/>
    <s v="F"/>
    <x v="1"/>
    <x v="0"/>
    <s v="Y"/>
    <s v="Success"/>
    <x v="0"/>
    <x v="0"/>
    <x v="3"/>
  </r>
  <r>
    <s v="TX1001740"/>
    <x v="70"/>
    <x v="5"/>
    <d v="1899-12-30T23:24:40"/>
    <n v="56.43"/>
    <s v="USD"/>
    <s v="M1908"/>
    <x v="2"/>
    <s v="Germany"/>
    <s v="C65637"/>
    <n v="28"/>
    <s v="F"/>
    <x v="1"/>
    <x v="3"/>
    <s v="Y"/>
    <s v="Success"/>
    <x v="0"/>
    <x v="0"/>
    <x v="1"/>
  </r>
  <r>
    <s v="TX1000192"/>
    <x v="49"/>
    <x v="1"/>
    <d v="1899-12-30T15:33:18"/>
    <n v="56.29"/>
    <s v="USD"/>
    <s v="M1287"/>
    <x v="8"/>
    <s v="Norway"/>
    <s v="C66839"/>
    <n v="45"/>
    <s v="M"/>
    <x v="7"/>
    <x v="5"/>
    <s v="Y"/>
    <s v="Success"/>
    <x v="0"/>
    <x v="0"/>
    <x v="2"/>
  </r>
  <r>
    <s v="TX1000903"/>
    <x v="8"/>
    <x v="4"/>
    <d v="1899-12-30T22:03:44"/>
    <n v="56.13"/>
    <s v="USD"/>
    <s v="M1747"/>
    <x v="0"/>
    <s v="South Africa"/>
    <s v="C59897"/>
    <n v="54"/>
    <s v="F"/>
    <x v="11"/>
    <x v="5"/>
    <s v="Y"/>
    <s v="Success"/>
    <x v="0"/>
    <x v="0"/>
    <x v="2"/>
  </r>
  <r>
    <s v="TX1002299"/>
    <x v="156"/>
    <x v="2"/>
    <d v="1899-12-30T08:14:50"/>
    <n v="56.13"/>
    <s v="USD"/>
    <s v="M1641"/>
    <x v="9"/>
    <s v="Norway"/>
    <s v="C51600"/>
    <n v="66"/>
    <s v="F"/>
    <x v="11"/>
    <x v="4"/>
    <s v="Y"/>
    <s v="Success"/>
    <x v="0"/>
    <x v="0"/>
    <x v="3"/>
  </r>
  <r>
    <s v="TX1002736"/>
    <x v="136"/>
    <x v="3"/>
    <d v="1899-12-30T03:10:44"/>
    <n v="56.12"/>
    <s v="USD"/>
    <s v="M1271"/>
    <x v="1"/>
    <s v="South Africa"/>
    <s v="C98302"/>
    <n v="75"/>
    <s v="M"/>
    <x v="10"/>
    <x v="3"/>
    <s v="N"/>
    <s v="Success"/>
    <x v="0"/>
    <x v="0"/>
    <x v="3"/>
  </r>
  <r>
    <s v="TX1000113"/>
    <x v="179"/>
    <x v="1"/>
    <d v="1899-12-30T18:05:38"/>
    <n v="56.06"/>
    <s v="USD"/>
    <s v="M1339"/>
    <x v="1"/>
    <s v="South Africa"/>
    <s v="C79186"/>
    <n v="29"/>
    <s v="Other"/>
    <x v="7"/>
    <x v="4"/>
    <s v="Y"/>
    <s v="Success"/>
    <x v="0"/>
    <x v="0"/>
    <x v="1"/>
  </r>
  <r>
    <s v="TX1001041"/>
    <x v="22"/>
    <x v="0"/>
    <d v="1899-12-30T23:54:59"/>
    <n v="56.01"/>
    <s v="USD"/>
    <s v="M1662"/>
    <x v="6"/>
    <s v="United States"/>
    <s v="C78138"/>
    <n v="42"/>
    <s v="Other"/>
    <x v="7"/>
    <x v="1"/>
    <s v="Y"/>
    <s v="Success"/>
    <x v="0"/>
    <x v="0"/>
    <x v="2"/>
  </r>
  <r>
    <s v="TX1001208"/>
    <x v="81"/>
    <x v="0"/>
    <d v="1899-12-30T03:33:39"/>
    <n v="55.97"/>
    <s v="USD"/>
    <s v="M1238"/>
    <x v="6"/>
    <s v="Kenya"/>
    <s v="C97840"/>
    <n v="36"/>
    <s v="M"/>
    <x v="2"/>
    <x v="1"/>
    <s v="Y"/>
    <s v="Success"/>
    <x v="0"/>
    <x v="0"/>
    <x v="1"/>
  </r>
  <r>
    <s v="TX1002275"/>
    <x v="38"/>
    <x v="2"/>
    <d v="1899-12-30T21:55:53"/>
    <n v="55.88"/>
    <s v="USD"/>
    <s v="M1246"/>
    <x v="0"/>
    <s v="France"/>
    <s v="C64654"/>
    <n v="50"/>
    <s v="Other"/>
    <x v="12"/>
    <x v="0"/>
    <s v="Y"/>
    <s v="Success"/>
    <x v="0"/>
    <x v="0"/>
    <x v="2"/>
  </r>
  <r>
    <s v="TX1000123"/>
    <x v="5"/>
    <x v="1"/>
    <d v="1899-12-30T08:02:10"/>
    <n v="55.84"/>
    <s v="USD"/>
    <s v="M1423"/>
    <x v="0"/>
    <s v="Sweden"/>
    <s v="C86540"/>
    <n v="34"/>
    <s v="F"/>
    <x v="7"/>
    <x v="1"/>
    <s v="Y"/>
    <s v="Success"/>
    <x v="0"/>
    <x v="0"/>
    <x v="1"/>
  </r>
  <r>
    <s v="TX1002569"/>
    <x v="52"/>
    <x v="3"/>
    <d v="1899-12-30T15:28:27"/>
    <n v="55.81"/>
    <s v="USD"/>
    <s v="M1482"/>
    <x v="8"/>
    <s v="Kenya"/>
    <s v="C79698"/>
    <n v="68"/>
    <s v="F"/>
    <x v="11"/>
    <x v="5"/>
    <s v="Y"/>
    <s v="Success"/>
    <x v="0"/>
    <x v="0"/>
    <x v="3"/>
  </r>
  <r>
    <s v="TX1000081"/>
    <x v="44"/>
    <x v="1"/>
    <d v="1899-12-30T16:49:21"/>
    <n v="55.8"/>
    <s v="USD"/>
    <s v="M1470"/>
    <x v="8"/>
    <s v="United Kingdom"/>
    <s v="C80585"/>
    <n v="55"/>
    <s v="M"/>
    <x v="1"/>
    <x v="0"/>
    <s v="Y"/>
    <s v="Success"/>
    <x v="0"/>
    <x v="0"/>
    <x v="2"/>
  </r>
  <r>
    <s v="TX1001809"/>
    <x v="133"/>
    <x v="5"/>
    <d v="1899-12-30T14:17:21"/>
    <n v="55.56"/>
    <s v="USD"/>
    <s v="M1924"/>
    <x v="7"/>
    <s v="Sweden"/>
    <s v="C90687"/>
    <n v="51"/>
    <s v="F"/>
    <x v="2"/>
    <x v="1"/>
    <s v="Y"/>
    <s v="Success"/>
    <x v="1"/>
    <x v="1"/>
    <x v="2"/>
  </r>
  <r>
    <s v="TX1002534"/>
    <x v="23"/>
    <x v="3"/>
    <d v="1899-12-30T13:28:39"/>
    <n v="55.53"/>
    <s v="USD"/>
    <s v="M1443"/>
    <x v="8"/>
    <s v="Sweden"/>
    <s v="C88271"/>
    <n v="19"/>
    <s v="Other"/>
    <x v="1"/>
    <x v="3"/>
    <s v="Y"/>
    <s v="Success"/>
    <x v="0"/>
    <x v="0"/>
    <x v="0"/>
  </r>
  <r>
    <s v="TX1000079"/>
    <x v="44"/>
    <x v="1"/>
    <d v="1899-12-30T13:52:38"/>
    <n v="55.52"/>
    <s v="USD"/>
    <s v="M1650"/>
    <x v="7"/>
    <s v="Poland"/>
    <s v="C52002"/>
    <n v="73"/>
    <s v="F"/>
    <x v="7"/>
    <x v="0"/>
    <s v="Y"/>
    <s v="Success"/>
    <x v="0"/>
    <x v="0"/>
    <x v="3"/>
  </r>
  <r>
    <s v="TX1000762"/>
    <x v="10"/>
    <x v="4"/>
    <d v="1899-12-30T19:49:04"/>
    <n v="55.37"/>
    <s v="USD"/>
    <s v="M1735"/>
    <x v="4"/>
    <s v="Sweden"/>
    <s v="C67243"/>
    <n v="27"/>
    <s v="Other"/>
    <x v="6"/>
    <x v="5"/>
    <s v="Y"/>
    <s v="Success"/>
    <x v="0"/>
    <x v="0"/>
    <x v="1"/>
  </r>
  <r>
    <s v="TX1001458"/>
    <x v="61"/>
    <x v="0"/>
    <d v="1899-12-30T06:46:33"/>
    <n v="55.36"/>
    <s v="USD"/>
    <s v="M1579"/>
    <x v="5"/>
    <s v="Kenya"/>
    <s v="C76472"/>
    <n v="45"/>
    <s v="Other"/>
    <x v="4"/>
    <x v="3"/>
    <s v="Y"/>
    <s v="Success"/>
    <x v="0"/>
    <x v="0"/>
    <x v="2"/>
  </r>
  <r>
    <s v="TX1000592"/>
    <x v="153"/>
    <x v="4"/>
    <d v="1899-12-30T22:54:09"/>
    <n v="55.35"/>
    <s v="USD"/>
    <s v="M1576"/>
    <x v="1"/>
    <s v="India"/>
    <s v="C97935"/>
    <n v="42"/>
    <s v="M"/>
    <x v="1"/>
    <x v="2"/>
    <s v="Y"/>
    <s v="Success"/>
    <x v="1"/>
    <x v="1"/>
    <x v="2"/>
  </r>
  <r>
    <s v="TX1000581"/>
    <x v="36"/>
    <x v="4"/>
    <d v="1899-12-30T19:37:24"/>
    <n v="55.28"/>
    <s v="USD"/>
    <s v="M1321"/>
    <x v="2"/>
    <s v="Spain"/>
    <s v="C85147"/>
    <n v="56"/>
    <s v="Other"/>
    <x v="6"/>
    <x v="1"/>
    <s v="Y"/>
    <s v="Success"/>
    <x v="0"/>
    <x v="0"/>
    <x v="2"/>
  </r>
  <r>
    <s v="TX1001233"/>
    <x v="128"/>
    <x v="0"/>
    <d v="1899-12-30T07:50:43"/>
    <n v="55.24"/>
    <s v="USD"/>
    <s v="M1599"/>
    <x v="3"/>
    <s v="Spain"/>
    <s v="C75752"/>
    <n v="35"/>
    <s v="Other"/>
    <x v="9"/>
    <x v="2"/>
    <s v="Y"/>
    <s v="Success"/>
    <x v="0"/>
    <x v="0"/>
    <x v="1"/>
  </r>
  <r>
    <s v="TX1001769"/>
    <x v="72"/>
    <x v="5"/>
    <d v="1899-12-30T15:33:56"/>
    <n v="55.22"/>
    <s v="USD"/>
    <s v="M1900"/>
    <x v="8"/>
    <s v="United Kingdom"/>
    <s v="C79323"/>
    <n v="66"/>
    <s v="Other"/>
    <x v="8"/>
    <x v="3"/>
    <s v="Y"/>
    <s v="Success"/>
    <x v="0"/>
    <x v="0"/>
    <x v="3"/>
  </r>
  <r>
    <s v="TX1000835"/>
    <x v="114"/>
    <x v="4"/>
    <d v="1899-12-30T02:38:30"/>
    <n v="55.21"/>
    <s v="USD"/>
    <s v="M1475"/>
    <x v="1"/>
    <s v="India"/>
    <s v="C57203"/>
    <n v="54"/>
    <s v="Other"/>
    <x v="13"/>
    <x v="5"/>
    <s v="Y"/>
    <s v="Success"/>
    <x v="0"/>
    <x v="0"/>
    <x v="2"/>
  </r>
  <r>
    <s v="TX1002436"/>
    <x v="67"/>
    <x v="2"/>
    <d v="1899-12-30T01:31:24"/>
    <n v="55.05"/>
    <s v="USD"/>
    <s v="M1068"/>
    <x v="6"/>
    <s v="Spain"/>
    <s v="C65459"/>
    <n v="44"/>
    <s v="Other"/>
    <x v="11"/>
    <x v="0"/>
    <s v="Y"/>
    <s v="Success"/>
    <x v="0"/>
    <x v="0"/>
    <x v="2"/>
  </r>
  <r>
    <s v="TX1002240"/>
    <x v="93"/>
    <x v="2"/>
    <d v="1899-12-30T19:47:54"/>
    <n v="55.04"/>
    <s v="USD"/>
    <s v="M1148"/>
    <x v="7"/>
    <s v="Norway"/>
    <s v="C62185"/>
    <n v="69"/>
    <s v="Other"/>
    <x v="4"/>
    <x v="0"/>
    <s v="Y"/>
    <s v="Success"/>
    <x v="0"/>
    <x v="0"/>
    <x v="3"/>
  </r>
  <r>
    <s v="TX1002480"/>
    <x v="19"/>
    <x v="2"/>
    <d v="1899-12-30T14:42:16"/>
    <n v="54.92"/>
    <s v="USD"/>
    <s v="M1332"/>
    <x v="6"/>
    <s v="Norway"/>
    <s v="C62205"/>
    <n v="36"/>
    <s v="M"/>
    <x v="13"/>
    <x v="3"/>
    <s v="Y"/>
    <s v="Success"/>
    <x v="0"/>
    <x v="0"/>
    <x v="1"/>
  </r>
  <r>
    <s v="TX1001832"/>
    <x v="139"/>
    <x v="5"/>
    <d v="1899-12-30T04:23:47"/>
    <n v="54.78"/>
    <s v="USD"/>
    <s v="M1126"/>
    <x v="6"/>
    <s v="France"/>
    <s v="C62535"/>
    <n v="23"/>
    <s v="Other"/>
    <x v="11"/>
    <x v="5"/>
    <s v="Y"/>
    <s v="Success"/>
    <x v="0"/>
    <x v="0"/>
    <x v="0"/>
  </r>
  <r>
    <s v="TX1002252"/>
    <x v="69"/>
    <x v="2"/>
    <d v="1899-12-30T13:06:00"/>
    <n v="54.6"/>
    <s v="USD"/>
    <s v="M1681"/>
    <x v="2"/>
    <s v="Canada"/>
    <s v="C90326"/>
    <n v="34"/>
    <s v="Other"/>
    <x v="13"/>
    <x v="5"/>
    <s v="Y"/>
    <s v="Success"/>
    <x v="0"/>
    <x v="0"/>
    <x v="1"/>
  </r>
  <r>
    <s v="TX1001971"/>
    <x v="121"/>
    <x v="5"/>
    <d v="1899-12-30T08:15:32"/>
    <n v="54.57"/>
    <s v="USD"/>
    <s v="M1672"/>
    <x v="2"/>
    <s v="Poland"/>
    <s v="C94633"/>
    <n v="24"/>
    <s v="Other"/>
    <x v="7"/>
    <x v="1"/>
    <s v="Y"/>
    <s v="Success"/>
    <x v="1"/>
    <x v="1"/>
    <x v="0"/>
  </r>
  <r>
    <s v="TX1002786"/>
    <x v="101"/>
    <x v="3"/>
    <d v="1899-12-30T10:45:44"/>
    <n v="54.38"/>
    <s v="USD"/>
    <s v="M1405"/>
    <x v="4"/>
    <s v="Netherlands"/>
    <s v="C54228"/>
    <n v="53"/>
    <s v="Other"/>
    <x v="6"/>
    <x v="2"/>
    <s v="Y"/>
    <s v="Success"/>
    <x v="0"/>
    <x v="0"/>
    <x v="2"/>
  </r>
  <r>
    <s v="TX1002368"/>
    <x v="77"/>
    <x v="2"/>
    <d v="1899-12-30T17:54:09"/>
    <n v="54.25"/>
    <s v="USD"/>
    <s v="M1348"/>
    <x v="7"/>
    <s v="Spain"/>
    <s v="C81466"/>
    <n v="49"/>
    <s v="Other"/>
    <x v="7"/>
    <x v="2"/>
    <s v="Y"/>
    <s v="Success"/>
    <x v="0"/>
    <x v="0"/>
    <x v="2"/>
  </r>
  <r>
    <s v="TX1002720"/>
    <x v="130"/>
    <x v="3"/>
    <d v="1899-12-30T15:54:53"/>
    <n v="54.21"/>
    <s v="USD"/>
    <s v="M1502"/>
    <x v="5"/>
    <s v="Poland"/>
    <s v="C81999"/>
    <n v="26"/>
    <s v="M"/>
    <x v="2"/>
    <x v="4"/>
    <s v="Y"/>
    <s v="Success"/>
    <x v="0"/>
    <x v="0"/>
    <x v="1"/>
  </r>
  <r>
    <s v="TX1001928"/>
    <x v="155"/>
    <x v="5"/>
    <d v="1899-12-30T19:59:19"/>
    <n v="54.18"/>
    <s v="USD"/>
    <s v="M1094"/>
    <x v="8"/>
    <s v="India"/>
    <s v="C58334"/>
    <n v="45"/>
    <s v="Other"/>
    <x v="0"/>
    <x v="4"/>
    <s v="Y"/>
    <s v="Success"/>
    <x v="0"/>
    <x v="0"/>
    <x v="2"/>
  </r>
  <r>
    <s v="TX1001765"/>
    <x v="72"/>
    <x v="5"/>
    <d v="1899-12-30T11:48:42"/>
    <n v="54.12"/>
    <s v="USD"/>
    <s v="M1790"/>
    <x v="6"/>
    <s v="France"/>
    <s v="C94147"/>
    <n v="52"/>
    <s v="Other"/>
    <x v="13"/>
    <x v="3"/>
    <s v="Y"/>
    <s v="Success"/>
    <x v="0"/>
    <x v="0"/>
    <x v="2"/>
  </r>
  <r>
    <s v="TX1002054"/>
    <x v="33"/>
    <x v="2"/>
    <d v="1899-12-30T08:36:08"/>
    <n v="54.11"/>
    <s v="USD"/>
    <s v="M1529"/>
    <x v="4"/>
    <s v="Norway"/>
    <s v="C56107"/>
    <n v="64"/>
    <s v="Other"/>
    <x v="8"/>
    <x v="5"/>
    <s v="Y"/>
    <s v="Success"/>
    <x v="0"/>
    <x v="0"/>
    <x v="3"/>
  </r>
  <r>
    <s v="TX1000665"/>
    <x v="17"/>
    <x v="4"/>
    <d v="1899-12-30T09:19:44"/>
    <n v="53.96"/>
    <s v="USD"/>
    <s v="M1693"/>
    <x v="0"/>
    <s v="Spain"/>
    <s v="C88776"/>
    <n v="74"/>
    <s v="F"/>
    <x v="5"/>
    <x v="0"/>
    <s v="Y"/>
    <s v="Success"/>
    <x v="0"/>
    <x v="0"/>
    <x v="3"/>
  </r>
  <r>
    <s v="TX1002141"/>
    <x v="135"/>
    <x v="2"/>
    <d v="1899-12-30T16:40:56"/>
    <n v="53.9"/>
    <s v="USD"/>
    <s v="M1468"/>
    <x v="1"/>
    <s v="Kenya"/>
    <s v="C94911"/>
    <n v="42"/>
    <s v="M"/>
    <x v="6"/>
    <x v="1"/>
    <s v="Y"/>
    <s v="Success"/>
    <x v="0"/>
    <x v="0"/>
    <x v="2"/>
  </r>
  <r>
    <s v="TX1002799"/>
    <x v="101"/>
    <x v="3"/>
    <d v="1899-12-30T20:37:29"/>
    <n v="53.78"/>
    <s v="USD"/>
    <s v="M1903"/>
    <x v="4"/>
    <s v="Sweden"/>
    <s v="C73907"/>
    <n v="61"/>
    <s v="Other"/>
    <x v="8"/>
    <x v="4"/>
    <s v="Y"/>
    <s v="Success"/>
    <x v="0"/>
    <x v="0"/>
    <x v="3"/>
  </r>
  <r>
    <s v="TX1001667"/>
    <x v="176"/>
    <x v="5"/>
    <d v="1899-12-30T08:42:20"/>
    <n v="53.73"/>
    <s v="USD"/>
    <s v="M1656"/>
    <x v="8"/>
    <s v="United States"/>
    <s v="C55311"/>
    <n v="72"/>
    <s v="Other"/>
    <x v="4"/>
    <x v="1"/>
    <s v="Y"/>
    <s v="Success"/>
    <x v="0"/>
    <x v="0"/>
    <x v="3"/>
  </r>
  <r>
    <s v="TX1001848"/>
    <x v="15"/>
    <x v="5"/>
    <d v="1899-12-30T05:19:36"/>
    <n v="53.66"/>
    <s v="USD"/>
    <s v="M1085"/>
    <x v="8"/>
    <s v="Nigeria"/>
    <s v="C52031"/>
    <n v="31"/>
    <s v="F"/>
    <x v="5"/>
    <x v="4"/>
    <s v="Y"/>
    <s v="Success"/>
    <x v="0"/>
    <x v="0"/>
    <x v="1"/>
  </r>
  <r>
    <s v="TX1001478"/>
    <x v="0"/>
    <x v="0"/>
    <d v="1899-12-30T05:42:50"/>
    <n v="53.66"/>
    <s v="USD"/>
    <s v="M1744"/>
    <x v="8"/>
    <s v="Australia"/>
    <s v="C86858"/>
    <n v="73"/>
    <s v="F"/>
    <x v="2"/>
    <x v="4"/>
    <s v="Y"/>
    <s v="Success"/>
    <x v="0"/>
    <x v="0"/>
    <x v="3"/>
  </r>
  <r>
    <s v="TX1002733"/>
    <x v="131"/>
    <x v="3"/>
    <d v="1899-12-30T17:44:42"/>
    <n v="53.58"/>
    <s v="USD"/>
    <s v="M1204"/>
    <x v="4"/>
    <s v="Nigeria"/>
    <s v="C82145"/>
    <n v="19"/>
    <s v="Other"/>
    <x v="11"/>
    <x v="1"/>
    <s v="Y"/>
    <s v="Success"/>
    <x v="0"/>
    <x v="0"/>
    <x v="0"/>
  </r>
  <r>
    <s v="TX1001752"/>
    <x v="175"/>
    <x v="5"/>
    <d v="1899-12-30T13:51:56"/>
    <n v="53.47"/>
    <s v="USD"/>
    <s v="M1569"/>
    <x v="4"/>
    <s v="South Africa"/>
    <s v="C57233"/>
    <n v="62"/>
    <s v="M"/>
    <x v="3"/>
    <x v="4"/>
    <s v="Y"/>
    <s v="Success"/>
    <x v="0"/>
    <x v="0"/>
    <x v="3"/>
  </r>
  <r>
    <s v="TX1001052"/>
    <x v="104"/>
    <x v="0"/>
    <d v="1899-12-30T13:42:04"/>
    <n v="53.42"/>
    <s v="USD"/>
    <s v="M1300"/>
    <x v="9"/>
    <s v="Spain"/>
    <s v="C99891"/>
    <n v="72"/>
    <s v="F"/>
    <x v="12"/>
    <x v="4"/>
    <s v="Y"/>
    <s v="Success"/>
    <x v="0"/>
    <x v="0"/>
    <x v="3"/>
  </r>
  <r>
    <s v="TX1000073"/>
    <x v="44"/>
    <x v="1"/>
    <d v="1899-12-30T03:58:12"/>
    <n v="53.4"/>
    <s v="USD"/>
    <s v="M1275"/>
    <x v="2"/>
    <s v="Kenya"/>
    <s v="C59904"/>
    <n v="40"/>
    <s v="Other"/>
    <x v="13"/>
    <x v="0"/>
    <s v="Y"/>
    <s v="Success"/>
    <x v="0"/>
    <x v="0"/>
    <x v="2"/>
  </r>
  <r>
    <s v="TX1001358"/>
    <x v="50"/>
    <x v="0"/>
    <d v="1899-12-30T07:17:01"/>
    <n v="53.31"/>
    <s v="USD"/>
    <s v="M1532"/>
    <x v="3"/>
    <s v="Netherlands"/>
    <s v="C98616"/>
    <n v="60"/>
    <s v="M"/>
    <x v="13"/>
    <x v="0"/>
    <s v="Y"/>
    <s v="Success"/>
    <x v="0"/>
    <x v="0"/>
    <x v="3"/>
  </r>
  <r>
    <s v="TX1001957"/>
    <x v="78"/>
    <x v="5"/>
    <d v="1899-12-30T15:34:34"/>
    <n v="53.25"/>
    <s v="USD"/>
    <s v="M1597"/>
    <x v="6"/>
    <s v="Sweden"/>
    <s v="C80434"/>
    <n v="41"/>
    <s v="M"/>
    <x v="10"/>
    <x v="4"/>
    <s v="Y"/>
    <s v="Success"/>
    <x v="0"/>
    <x v="0"/>
    <x v="2"/>
  </r>
  <r>
    <s v="TX1001572"/>
    <x v="161"/>
    <x v="5"/>
    <d v="1899-12-30T00:45:28"/>
    <n v="53.1"/>
    <s v="USD"/>
    <s v="M1563"/>
    <x v="1"/>
    <s v="Canada"/>
    <s v="C79203"/>
    <n v="22"/>
    <s v="F"/>
    <x v="7"/>
    <x v="0"/>
    <s v="Y"/>
    <s v="Success"/>
    <x v="1"/>
    <x v="1"/>
    <x v="0"/>
  </r>
  <r>
    <s v="TX1002440"/>
    <x v="67"/>
    <x v="2"/>
    <d v="1899-12-30T08:02:56"/>
    <n v="53"/>
    <s v="USD"/>
    <s v="M1904"/>
    <x v="1"/>
    <s v="Spain"/>
    <s v="C71890"/>
    <n v="45"/>
    <s v="F"/>
    <x v="11"/>
    <x v="5"/>
    <s v="Y"/>
    <s v="Success"/>
    <x v="0"/>
    <x v="0"/>
    <x v="2"/>
  </r>
  <r>
    <s v="TX1001955"/>
    <x v="78"/>
    <x v="5"/>
    <d v="1899-12-30T10:40:59"/>
    <n v="52.95"/>
    <s v="USD"/>
    <s v="M1359"/>
    <x v="4"/>
    <s v="France"/>
    <s v="C57666"/>
    <n v="31"/>
    <s v="F"/>
    <x v="12"/>
    <x v="4"/>
    <s v="Y"/>
    <s v="Success"/>
    <x v="0"/>
    <x v="0"/>
    <x v="1"/>
  </r>
  <r>
    <s v="TX1002917"/>
    <x v="96"/>
    <x v="3"/>
    <d v="1899-12-30T07:13:37"/>
    <n v="52.84"/>
    <s v="USD"/>
    <s v="M1565"/>
    <x v="7"/>
    <s v="United States"/>
    <s v="C77184"/>
    <n v="42"/>
    <s v="F"/>
    <x v="3"/>
    <x v="3"/>
    <s v="Y"/>
    <s v="Success"/>
    <x v="0"/>
    <x v="0"/>
    <x v="2"/>
  </r>
  <r>
    <s v="TX1002169"/>
    <x v="112"/>
    <x v="2"/>
    <d v="1899-12-30T01:46:04"/>
    <n v="52.83"/>
    <s v="USD"/>
    <s v="M1504"/>
    <x v="8"/>
    <s v="Sweden"/>
    <s v="C55634"/>
    <n v="21"/>
    <s v="M"/>
    <x v="9"/>
    <x v="3"/>
    <s v="Y"/>
    <s v="Success"/>
    <x v="0"/>
    <x v="0"/>
    <x v="0"/>
  </r>
  <r>
    <s v="TX1000251"/>
    <x v="152"/>
    <x v="1"/>
    <d v="1899-12-30T05:12:56"/>
    <n v="52.77"/>
    <s v="USD"/>
    <s v="M1376"/>
    <x v="3"/>
    <s v="Australia"/>
    <s v="C57690"/>
    <n v="45"/>
    <s v="Other"/>
    <x v="13"/>
    <x v="2"/>
    <s v="Y"/>
    <s v="Success"/>
    <x v="0"/>
    <x v="0"/>
    <x v="2"/>
  </r>
  <r>
    <s v="TX1000882"/>
    <x v="51"/>
    <x v="4"/>
    <d v="1899-12-30T14:55:36"/>
    <n v="52.73"/>
    <s v="USD"/>
    <s v="M1037"/>
    <x v="5"/>
    <s v="United Kingdom"/>
    <s v="C82003"/>
    <n v="51"/>
    <s v="M"/>
    <x v="13"/>
    <x v="4"/>
    <s v="Y"/>
    <s v="Success"/>
    <x v="0"/>
    <x v="0"/>
    <x v="2"/>
  </r>
  <r>
    <s v="TX1002653"/>
    <x v="41"/>
    <x v="3"/>
    <d v="1899-12-30T15:21:40"/>
    <n v="52.7"/>
    <s v="USD"/>
    <s v="M1952"/>
    <x v="7"/>
    <s v="Kenya"/>
    <s v="C58966"/>
    <n v="60"/>
    <s v="F"/>
    <x v="1"/>
    <x v="3"/>
    <s v="N"/>
    <s v="Success"/>
    <x v="1"/>
    <x v="1"/>
    <x v="3"/>
  </r>
  <r>
    <s v="TX1002246"/>
    <x v="69"/>
    <x v="2"/>
    <d v="1899-12-30T03:46:18"/>
    <n v="52.67"/>
    <s v="USD"/>
    <s v="M1620"/>
    <x v="5"/>
    <s v="United Kingdom"/>
    <s v="C55118"/>
    <n v="67"/>
    <s v="Other"/>
    <x v="12"/>
    <x v="4"/>
    <s v="Y"/>
    <s v="Success"/>
    <x v="0"/>
    <x v="0"/>
    <x v="3"/>
  </r>
  <r>
    <s v="TX1002579"/>
    <x v="103"/>
    <x v="3"/>
    <d v="1899-12-30T04:11:11"/>
    <n v="52.57"/>
    <s v="USD"/>
    <s v="M1720"/>
    <x v="7"/>
    <s v="India"/>
    <s v="C76621"/>
    <n v="47"/>
    <s v="Other"/>
    <x v="14"/>
    <x v="4"/>
    <s v="Y"/>
    <s v="Success"/>
    <x v="0"/>
    <x v="0"/>
    <x v="2"/>
  </r>
  <r>
    <s v="TX1001423"/>
    <x v="150"/>
    <x v="0"/>
    <d v="1899-12-30T11:56:02"/>
    <n v="52.3"/>
    <s v="USD"/>
    <s v="M1991"/>
    <x v="7"/>
    <s v="Australia"/>
    <s v="C83085"/>
    <n v="69"/>
    <s v="F"/>
    <x v="5"/>
    <x v="3"/>
    <s v="Y"/>
    <s v="Success"/>
    <x v="0"/>
    <x v="0"/>
    <x v="3"/>
  </r>
  <r>
    <s v="TX1002241"/>
    <x v="93"/>
    <x v="2"/>
    <d v="1899-12-30T21:31:21"/>
    <n v="52.22"/>
    <s v="USD"/>
    <s v="M1464"/>
    <x v="5"/>
    <s v="India"/>
    <s v="C52048"/>
    <n v="33"/>
    <s v="Other"/>
    <x v="3"/>
    <x v="1"/>
    <s v="Y"/>
    <s v="Success"/>
    <x v="0"/>
    <x v="0"/>
    <x v="1"/>
  </r>
  <r>
    <s v="TX1000296"/>
    <x v="55"/>
    <x v="1"/>
    <d v="1899-12-30T16:13:37"/>
    <n v="52"/>
    <s v="USD"/>
    <s v="M1455"/>
    <x v="3"/>
    <s v="United Kingdom"/>
    <s v="C59022"/>
    <n v="45"/>
    <s v="Other"/>
    <x v="14"/>
    <x v="1"/>
    <s v="Y"/>
    <s v="Success"/>
    <x v="0"/>
    <x v="0"/>
    <x v="2"/>
  </r>
  <r>
    <s v="TX1001032"/>
    <x v="22"/>
    <x v="0"/>
    <d v="1899-12-30T11:22:53"/>
    <n v="51.83"/>
    <s v="USD"/>
    <s v="M1478"/>
    <x v="2"/>
    <s v="Australia"/>
    <s v="C85158"/>
    <n v="66"/>
    <s v="Other"/>
    <x v="2"/>
    <x v="0"/>
    <s v="Y"/>
    <s v="Success"/>
    <x v="0"/>
    <x v="0"/>
    <x v="3"/>
  </r>
  <r>
    <s v="TX1001243"/>
    <x v="75"/>
    <x v="0"/>
    <d v="1899-12-30T03:47:53"/>
    <n v="51.64"/>
    <s v="USD"/>
    <s v="M1500"/>
    <x v="6"/>
    <s v="Germany"/>
    <s v="C58158"/>
    <n v="20"/>
    <s v="Other"/>
    <x v="8"/>
    <x v="5"/>
    <s v="Y"/>
    <s v="Success"/>
    <x v="0"/>
    <x v="0"/>
    <x v="0"/>
  </r>
  <r>
    <s v="TX1001733"/>
    <x v="70"/>
    <x v="5"/>
    <d v="1899-12-30T10:17:28"/>
    <n v="51.57"/>
    <s v="USD"/>
    <s v="M1696"/>
    <x v="9"/>
    <s v="United Kingdom"/>
    <s v="C56227"/>
    <n v="44"/>
    <s v="M"/>
    <x v="4"/>
    <x v="2"/>
    <s v="Y"/>
    <s v="Success"/>
    <x v="0"/>
    <x v="0"/>
    <x v="2"/>
  </r>
  <r>
    <s v="TX1001117"/>
    <x v="168"/>
    <x v="0"/>
    <d v="1899-12-30T16:35:32"/>
    <n v="51.37"/>
    <s v="USD"/>
    <s v="M1209"/>
    <x v="6"/>
    <s v="Nigeria"/>
    <s v="C79580"/>
    <n v="50"/>
    <s v="M"/>
    <x v="8"/>
    <x v="0"/>
    <s v="Y"/>
    <s v="Success"/>
    <x v="0"/>
    <x v="0"/>
    <x v="2"/>
  </r>
  <r>
    <s v="TX1000861"/>
    <x v="12"/>
    <x v="4"/>
    <d v="1899-12-30T19:44:21"/>
    <n v="51.33"/>
    <s v="USD"/>
    <s v="M1995"/>
    <x v="7"/>
    <s v="Germany"/>
    <s v="C98020"/>
    <n v="67"/>
    <s v="Other"/>
    <x v="9"/>
    <x v="4"/>
    <s v="Y"/>
    <s v="Success"/>
    <x v="0"/>
    <x v="0"/>
    <x v="3"/>
  </r>
  <r>
    <s v="TX1002919"/>
    <x v="96"/>
    <x v="3"/>
    <d v="1899-12-30T12:30:42"/>
    <n v="51.33"/>
    <s v="USD"/>
    <s v="M1823"/>
    <x v="2"/>
    <s v="Germany"/>
    <s v="C90422"/>
    <n v="37"/>
    <s v="F"/>
    <x v="10"/>
    <x v="0"/>
    <s v="Y"/>
    <s v="Success"/>
    <x v="0"/>
    <x v="0"/>
    <x v="1"/>
  </r>
  <r>
    <s v="TX1000479"/>
    <x v="124"/>
    <x v="4"/>
    <d v="1899-12-30T12:00:57"/>
    <n v="51.26"/>
    <s v="USD"/>
    <s v="M1694"/>
    <x v="4"/>
    <s v="Germany"/>
    <s v="C52629"/>
    <n v="75"/>
    <s v="Other"/>
    <x v="6"/>
    <x v="2"/>
    <s v="Y"/>
    <s v="Success"/>
    <x v="0"/>
    <x v="0"/>
    <x v="3"/>
  </r>
  <r>
    <s v="TX1002697"/>
    <x v="89"/>
    <x v="3"/>
    <d v="1899-12-30T19:26:56"/>
    <n v="51.02"/>
    <s v="USD"/>
    <s v="M1386"/>
    <x v="5"/>
    <s v="Nigeria"/>
    <s v="C75548"/>
    <n v="43"/>
    <s v="M"/>
    <x v="8"/>
    <x v="0"/>
    <s v="Y"/>
    <s v="Success"/>
    <x v="0"/>
    <x v="0"/>
    <x v="2"/>
  </r>
  <r>
    <s v="TX1001634"/>
    <x v="143"/>
    <x v="5"/>
    <d v="1899-12-30T02:40:22"/>
    <n v="50.95"/>
    <s v="USD"/>
    <s v="M1576"/>
    <x v="4"/>
    <s v="Australia"/>
    <s v="C56088"/>
    <n v="63"/>
    <s v="M"/>
    <x v="14"/>
    <x v="4"/>
    <s v="Y"/>
    <s v="Success"/>
    <x v="0"/>
    <x v="0"/>
    <x v="3"/>
  </r>
  <r>
    <s v="TX1001559"/>
    <x v="29"/>
    <x v="5"/>
    <d v="1899-12-30T08:37:03"/>
    <n v="50.89"/>
    <s v="USD"/>
    <s v="M1128"/>
    <x v="3"/>
    <s v="Spain"/>
    <s v="C97613"/>
    <n v="43"/>
    <s v="F"/>
    <x v="9"/>
    <x v="4"/>
    <s v="Y"/>
    <s v="Success"/>
    <x v="0"/>
    <x v="0"/>
    <x v="2"/>
  </r>
  <r>
    <s v="TX1002755"/>
    <x v="7"/>
    <x v="3"/>
    <d v="1899-12-30T06:14:19"/>
    <n v="50.81"/>
    <s v="USD"/>
    <s v="M1429"/>
    <x v="7"/>
    <s v="South Africa"/>
    <s v="C62444"/>
    <n v="25"/>
    <s v="Other"/>
    <x v="7"/>
    <x v="2"/>
    <s v="Y"/>
    <s v="Success"/>
    <x v="0"/>
    <x v="0"/>
    <x v="1"/>
  </r>
  <r>
    <s v="TX1001862"/>
    <x v="15"/>
    <x v="5"/>
    <d v="1899-12-30T23:52:49"/>
    <n v="50.47"/>
    <s v="USD"/>
    <s v="M1096"/>
    <x v="4"/>
    <s v="Canada"/>
    <s v="C73609"/>
    <n v="22"/>
    <s v="Other"/>
    <x v="4"/>
    <x v="3"/>
    <s v="Y"/>
    <s v="Success"/>
    <x v="0"/>
    <x v="0"/>
    <x v="0"/>
  </r>
  <r>
    <s v="TX1000001"/>
    <x v="177"/>
    <x v="1"/>
    <d v="1899-12-30T15:22:11"/>
    <n v="50.34"/>
    <s v="USD"/>
    <s v="M1297"/>
    <x v="4"/>
    <s v="Norway"/>
    <s v="C90329"/>
    <n v="70"/>
    <s v="F"/>
    <x v="0"/>
    <x v="0"/>
    <s v="Y"/>
    <s v="Success"/>
    <x v="0"/>
    <x v="0"/>
    <x v="3"/>
  </r>
  <r>
    <s v="TX1001811"/>
    <x v="133"/>
    <x v="5"/>
    <d v="1899-12-30T19:43:38"/>
    <n v="50.15"/>
    <s v="USD"/>
    <s v="M1781"/>
    <x v="4"/>
    <s v="France"/>
    <s v="C65515"/>
    <n v="63"/>
    <s v="F"/>
    <x v="7"/>
    <x v="2"/>
    <s v="Y"/>
    <s v="Success"/>
    <x v="0"/>
    <x v="0"/>
    <x v="3"/>
  </r>
  <r>
    <s v="TX1000553"/>
    <x v="172"/>
    <x v="4"/>
    <d v="1899-12-30T00:53:15"/>
    <n v="49.99"/>
    <s v="USD"/>
    <s v="M1432"/>
    <x v="2"/>
    <s v="Netherlands"/>
    <s v="C91038"/>
    <n v="35"/>
    <s v="F"/>
    <x v="8"/>
    <x v="4"/>
    <s v="N"/>
    <s v="Success"/>
    <x v="1"/>
    <x v="1"/>
    <x v="1"/>
  </r>
  <r>
    <s v="TX1001227"/>
    <x v="81"/>
    <x v="0"/>
    <d v="1899-12-30T21:46:42"/>
    <n v="49.85"/>
    <s v="USD"/>
    <s v="M1447"/>
    <x v="0"/>
    <s v="Canada"/>
    <s v="C72468"/>
    <n v="71"/>
    <s v="F"/>
    <x v="10"/>
    <x v="2"/>
    <s v="Y"/>
    <s v="Success"/>
    <x v="0"/>
    <x v="0"/>
    <x v="3"/>
  </r>
  <r>
    <s v="TX1001591"/>
    <x v="84"/>
    <x v="5"/>
    <d v="1899-12-30T11:00:49"/>
    <n v="49.81"/>
    <s v="USD"/>
    <s v="M1289"/>
    <x v="9"/>
    <s v="Kenya"/>
    <s v="C78492"/>
    <n v="45"/>
    <s v="Other"/>
    <x v="3"/>
    <x v="0"/>
    <s v="Y"/>
    <s v="Success"/>
    <x v="0"/>
    <x v="0"/>
    <x v="2"/>
  </r>
  <r>
    <s v="TX1001808"/>
    <x v="133"/>
    <x v="5"/>
    <d v="1899-12-30T13:53:13"/>
    <n v="49.7"/>
    <s v="USD"/>
    <s v="M1259"/>
    <x v="8"/>
    <s v="Germany"/>
    <s v="C97367"/>
    <n v="33"/>
    <s v="Other"/>
    <x v="2"/>
    <x v="5"/>
    <s v="Y"/>
    <s v="Success"/>
    <x v="0"/>
    <x v="0"/>
    <x v="1"/>
  </r>
  <r>
    <s v="TX1001969"/>
    <x v="121"/>
    <x v="5"/>
    <d v="1899-12-30T05:26:52"/>
    <n v="49.49"/>
    <s v="USD"/>
    <s v="M1893"/>
    <x v="4"/>
    <s v="Sweden"/>
    <s v="C96049"/>
    <n v="19"/>
    <s v="F"/>
    <x v="9"/>
    <x v="4"/>
    <s v="Y"/>
    <s v="Success"/>
    <x v="0"/>
    <x v="0"/>
    <x v="0"/>
  </r>
  <r>
    <s v="TX1000794"/>
    <x v="110"/>
    <x v="4"/>
    <d v="1899-12-30T11:05:24"/>
    <n v="49.48"/>
    <s v="USD"/>
    <s v="M1150"/>
    <x v="9"/>
    <s v="France"/>
    <s v="C75422"/>
    <n v="54"/>
    <s v="Other"/>
    <x v="1"/>
    <x v="3"/>
    <s v="Y"/>
    <s v="Success"/>
    <x v="0"/>
    <x v="0"/>
    <x v="2"/>
  </r>
  <r>
    <s v="TX1002196"/>
    <x v="64"/>
    <x v="2"/>
    <d v="1899-12-30T09:37:35"/>
    <n v="49.31"/>
    <s v="USD"/>
    <s v="M1506"/>
    <x v="9"/>
    <s v="Kenya"/>
    <s v="C52438"/>
    <n v="64"/>
    <s v="Other"/>
    <x v="6"/>
    <x v="3"/>
    <s v="Y"/>
    <s v="Success"/>
    <x v="0"/>
    <x v="0"/>
    <x v="3"/>
  </r>
  <r>
    <s v="TX1001381"/>
    <x v="54"/>
    <x v="0"/>
    <d v="1899-12-30T12:51:07"/>
    <n v="49.24"/>
    <s v="USD"/>
    <s v="M1416"/>
    <x v="7"/>
    <s v="Spain"/>
    <s v="C54581"/>
    <n v="26"/>
    <s v="Other"/>
    <x v="5"/>
    <x v="3"/>
    <s v="Y"/>
    <s v="Success"/>
    <x v="0"/>
    <x v="0"/>
    <x v="1"/>
  </r>
  <r>
    <s v="TX1001894"/>
    <x v="53"/>
    <x v="5"/>
    <d v="1899-12-30T21:02:37"/>
    <n v="49.16"/>
    <s v="USD"/>
    <s v="M1278"/>
    <x v="3"/>
    <s v="Kenya"/>
    <s v="C96437"/>
    <n v="75"/>
    <s v="F"/>
    <x v="11"/>
    <x v="4"/>
    <s v="Y"/>
    <s v="Success"/>
    <x v="0"/>
    <x v="0"/>
    <x v="3"/>
  </r>
  <r>
    <s v="TX1000265"/>
    <x v="32"/>
    <x v="1"/>
    <d v="1899-12-30T00:37:59"/>
    <n v="49.11"/>
    <s v="USD"/>
    <s v="M1551"/>
    <x v="6"/>
    <s v="India"/>
    <s v="C69720"/>
    <n v="25"/>
    <s v="M"/>
    <x v="0"/>
    <x v="5"/>
    <s v="Y"/>
    <s v="Success"/>
    <x v="0"/>
    <x v="0"/>
    <x v="1"/>
  </r>
  <r>
    <s v="TX1001393"/>
    <x v="60"/>
    <x v="0"/>
    <d v="1899-12-30T05:38:07"/>
    <n v="49.02"/>
    <s v="USD"/>
    <s v="M1887"/>
    <x v="4"/>
    <s v="United States"/>
    <s v="C85671"/>
    <n v="21"/>
    <s v="F"/>
    <x v="0"/>
    <x v="0"/>
    <s v="Y"/>
    <s v="Success"/>
    <x v="0"/>
    <x v="0"/>
    <x v="0"/>
  </r>
  <r>
    <s v="TX1000812"/>
    <x v="91"/>
    <x v="4"/>
    <d v="1899-12-30T01:44:34"/>
    <n v="48.94"/>
    <s v="USD"/>
    <s v="M1854"/>
    <x v="5"/>
    <s v="Norway"/>
    <s v="C93808"/>
    <n v="64"/>
    <s v="F"/>
    <x v="2"/>
    <x v="2"/>
    <s v="Y"/>
    <s v="Success"/>
    <x v="0"/>
    <x v="0"/>
    <x v="3"/>
  </r>
  <r>
    <s v="TX1000009"/>
    <x v="146"/>
    <x v="1"/>
    <d v="1899-12-30T03:49:44"/>
    <n v="48.62"/>
    <s v="USD"/>
    <s v="M1926"/>
    <x v="0"/>
    <s v="United Kingdom"/>
    <s v="C91808"/>
    <n v="48"/>
    <s v="M"/>
    <x v="14"/>
    <x v="5"/>
    <s v="Y"/>
    <s v="Success"/>
    <x v="0"/>
    <x v="0"/>
    <x v="2"/>
  </r>
  <r>
    <s v="TX1001566"/>
    <x v="29"/>
    <x v="5"/>
    <d v="1899-12-30T19:57:23"/>
    <n v="48.3"/>
    <s v="USD"/>
    <s v="M1933"/>
    <x v="2"/>
    <s v="France"/>
    <s v="C54781"/>
    <n v="65"/>
    <s v="F"/>
    <x v="12"/>
    <x v="3"/>
    <s v="Y"/>
    <s v="Success"/>
    <x v="0"/>
    <x v="0"/>
    <x v="3"/>
  </r>
  <r>
    <s v="TX1002514"/>
    <x v="9"/>
    <x v="2"/>
    <d v="1899-12-30T08:09:42"/>
    <n v="48.25"/>
    <s v="USD"/>
    <s v="M1202"/>
    <x v="4"/>
    <s v="United Kingdom"/>
    <s v="C57397"/>
    <n v="26"/>
    <s v="Other"/>
    <x v="14"/>
    <x v="0"/>
    <s v="Y"/>
    <s v="Success"/>
    <x v="0"/>
    <x v="0"/>
    <x v="1"/>
  </r>
  <r>
    <s v="TX1000726"/>
    <x v="111"/>
    <x v="4"/>
    <d v="1899-12-30T02:48:48"/>
    <n v="48.12"/>
    <s v="USD"/>
    <s v="M1817"/>
    <x v="9"/>
    <s v="United Kingdom"/>
    <s v="C51136"/>
    <n v="59"/>
    <s v="M"/>
    <x v="9"/>
    <x v="0"/>
    <s v="Y"/>
    <s v="Success"/>
    <x v="0"/>
    <x v="0"/>
    <x v="2"/>
  </r>
  <r>
    <s v="TX1002598"/>
    <x v="173"/>
    <x v="3"/>
    <d v="1899-12-30T03:23:32"/>
    <n v="48.07"/>
    <s v="USD"/>
    <s v="M1722"/>
    <x v="7"/>
    <s v="India"/>
    <s v="C76530"/>
    <n v="74"/>
    <s v="M"/>
    <x v="12"/>
    <x v="4"/>
    <s v="Y"/>
    <s v="Success"/>
    <x v="0"/>
    <x v="0"/>
    <x v="3"/>
  </r>
  <r>
    <s v="TX1001658"/>
    <x v="39"/>
    <x v="5"/>
    <d v="1899-12-30T20:21:43"/>
    <n v="48.02"/>
    <s v="USD"/>
    <s v="M1110"/>
    <x v="7"/>
    <s v="Sweden"/>
    <s v="C60331"/>
    <n v="75"/>
    <s v="M"/>
    <x v="9"/>
    <x v="2"/>
    <s v="Y"/>
    <s v="Success"/>
    <x v="0"/>
    <x v="0"/>
    <x v="3"/>
  </r>
  <r>
    <s v="TX1000711"/>
    <x v="106"/>
    <x v="4"/>
    <d v="1899-12-30T05:05:54"/>
    <n v="47.97"/>
    <s v="USD"/>
    <s v="M1372"/>
    <x v="6"/>
    <s v="Nigeria"/>
    <s v="C70157"/>
    <n v="70"/>
    <s v="F"/>
    <x v="11"/>
    <x v="4"/>
    <s v="Y"/>
    <s v="Success"/>
    <x v="0"/>
    <x v="0"/>
    <x v="3"/>
  </r>
  <r>
    <s v="TX1000144"/>
    <x v="30"/>
    <x v="1"/>
    <d v="1899-12-30T15:26:28"/>
    <n v="47.96"/>
    <s v="USD"/>
    <s v="M1813"/>
    <x v="8"/>
    <s v="Australia"/>
    <s v="C57841"/>
    <n v="55"/>
    <s v="Other"/>
    <x v="10"/>
    <x v="3"/>
    <s v="Y"/>
    <s v="Success"/>
    <x v="0"/>
    <x v="0"/>
    <x v="2"/>
  </r>
  <r>
    <s v="TX1000432"/>
    <x v="148"/>
    <x v="1"/>
    <d v="1899-12-30T10:06:35"/>
    <n v="47.89"/>
    <s v="USD"/>
    <s v="M1970"/>
    <x v="2"/>
    <s v="Spain"/>
    <s v="C89977"/>
    <n v="22"/>
    <s v="F"/>
    <x v="7"/>
    <x v="3"/>
    <s v="Y"/>
    <s v="Success"/>
    <x v="1"/>
    <x v="1"/>
    <x v="0"/>
  </r>
  <r>
    <s v="TX1000304"/>
    <x v="157"/>
    <x v="1"/>
    <d v="1899-12-30T09:31:17"/>
    <n v="47.52"/>
    <s v="USD"/>
    <s v="M1084"/>
    <x v="8"/>
    <s v="Norway"/>
    <s v="C82883"/>
    <n v="32"/>
    <s v="M"/>
    <x v="6"/>
    <x v="4"/>
    <s v="Y"/>
    <s v="Success"/>
    <x v="0"/>
    <x v="0"/>
    <x v="1"/>
  </r>
  <r>
    <s v="TX1001403"/>
    <x v="60"/>
    <x v="0"/>
    <d v="1899-12-30T14:44:17"/>
    <n v="47.47"/>
    <s v="USD"/>
    <s v="M1408"/>
    <x v="1"/>
    <s v="Kenya"/>
    <s v="C69686"/>
    <n v="22"/>
    <s v="F"/>
    <x v="6"/>
    <x v="4"/>
    <s v="Y"/>
    <s v="Success"/>
    <x v="0"/>
    <x v="0"/>
    <x v="0"/>
  </r>
  <r>
    <s v="TX1000579"/>
    <x v="36"/>
    <x v="4"/>
    <d v="1899-12-30T18:06:57"/>
    <n v="47.45"/>
    <s v="USD"/>
    <s v="M1937"/>
    <x v="1"/>
    <s v="Sweden"/>
    <s v="C68384"/>
    <n v="30"/>
    <s v="M"/>
    <x v="2"/>
    <x v="3"/>
    <s v="Y"/>
    <s v="Success"/>
    <x v="0"/>
    <x v="0"/>
    <x v="1"/>
  </r>
  <r>
    <s v="TX1000982"/>
    <x v="102"/>
    <x v="0"/>
    <d v="1899-12-30T14:04:32"/>
    <n v="47.44"/>
    <s v="USD"/>
    <s v="M1755"/>
    <x v="9"/>
    <s v="Canada"/>
    <s v="C77714"/>
    <n v="43"/>
    <s v="Other"/>
    <x v="12"/>
    <x v="5"/>
    <s v="Y"/>
    <s v="Success"/>
    <x v="0"/>
    <x v="0"/>
    <x v="2"/>
  </r>
  <r>
    <s v="TX1001433"/>
    <x v="150"/>
    <x v="0"/>
    <d v="1899-12-30T23:04:23"/>
    <n v="47.38"/>
    <s v="USD"/>
    <s v="M1482"/>
    <x v="9"/>
    <s v="Kenya"/>
    <s v="C85600"/>
    <n v="34"/>
    <s v="M"/>
    <x v="11"/>
    <x v="3"/>
    <s v="Y"/>
    <s v="Success"/>
    <x v="0"/>
    <x v="0"/>
    <x v="1"/>
  </r>
  <r>
    <s v="TX1000518"/>
    <x v="63"/>
    <x v="4"/>
    <d v="1899-12-30T08:30:56"/>
    <n v="47.36"/>
    <s v="USD"/>
    <s v="M1027"/>
    <x v="3"/>
    <s v="Spain"/>
    <s v="C78812"/>
    <n v="73"/>
    <s v="Other"/>
    <x v="9"/>
    <x v="3"/>
    <s v="Y"/>
    <s v="Success"/>
    <x v="0"/>
    <x v="0"/>
    <x v="3"/>
  </r>
  <r>
    <s v="TX1002115"/>
    <x v="21"/>
    <x v="2"/>
    <d v="1899-12-30T10:01:40"/>
    <n v="47.25"/>
    <s v="USD"/>
    <s v="M1212"/>
    <x v="6"/>
    <s v="Germany"/>
    <s v="C94546"/>
    <n v="74"/>
    <s v="Other"/>
    <x v="13"/>
    <x v="5"/>
    <s v="Y"/>
    <s v="Success"/>
    <x v="0"/>
    <x v="0"/>
    <x v="3"/>
  </r>
  <r>
    <s v="TX1001258"/>
    <x v="76"/>
    <x v="0"/>
    <d v="1899-12-30T16:46:35"/>
    <n v="47.15"/>
    <s v="USD"/>
    <s v="M1236"/>
    <x v="0"/>
    <s v="Norway"/>
    <s v="C69532"/>
    <n v="18"/>
    <s v="F"/>
    <x v="2"/>
    <x v="2"/>
    <s v="Y"/>
    <s v="Success"/>
    <x v="0"/>
    <x v="0"/>
    <x v="0"/>
  </r>
  <r>
    <s v="TX1001714"/>
    <x v="142"/>
    <x v="5"/>
    <d v="1899-12-30T15:58:38"/>
    <n v="47.13"/>
    <s v="USD"/>
    <s v="M1508"/>
    <x v="8"/>
    <s v="United Kingdom"/>
    <s v="C76337"/>
    <n v="20"/>
    <s v="Other"/>
    <x v="7"/>
    <x v="1"/>
    <s v="Y"/>
    <s v="Success"/>
    <x v="0"/>
    <x v="0"/>
    <x v="0"/>
  </r>
  <r>
    <s v="TX1001530"/>
    <x v="83"/>
    <x v="5"/>
    <d v="1899-12-30T01:56:46"/>
    <n v="47.04"/>
    <s v="USD"/>
    <s v="M1542"/>
    <x v="8"/>
    <s v="Netherlands"/>
    <s v="C88191"/>
    <n v="44"/>
    <s v="F"/>
    <x v="10"/>
    <x v="4"/>
    <s v="Y"/>
    <s v="Success"/>
    <x v="0"/>
    <x v="0"/>
    <x v="2"/>
  </r>
  <r>
    <s v="TX1000164"/>
    <x v="42"/>
    <x v="1"/>
    <d v="1899-12-30T21:15:23"/>
    <n v="46.95"/>
    <s v="USD"/>
    <s v="M1081"/>
    <x v="1"/>
    <s v="United States"/>
    <s v="C82920"/>
    <n v="29"/>
    <s v="F"/>
    <x v="10"/>
    <x v="2"/>
    <s v="Y"/>
    <s v="Success"/>
    <x v="0"/>
    <x v="0"/>
    <x v="1"/>
  </r>
  <r>
    <s v="TX1001551"/>
    <x v="145"/>
    <x v="5"/>
    <d v="1899-12-30T11:26:44"/>
    <n v="46.87"/>
    <s v="USD"/>
    <s v="M1637"/>
    <x v="3"/>
    <s v="United States"/>
    <s v="C93490"/>
    <n v="73"/>
    <s v="M"/>
    <x v="4"/>
    <x v="2"/>
    <s v="Y"/>
    <s v="Success"/>
    <x v="0"/>
    <x v="0"/>
    <x v="3"/>
  </r>
  <r>
    <s v="TX1001827"/>
    <x v="162"/>
    <x v="5"/>
    <d v="1899-12-30T17:52:56"/>
    <n v="46.73"/>
    <s v="USD"/>
    <s v="M1617"/>
    <x v="7"/>
    <s v="Poland"/>
    <s v="C61837"/>
    <n v="34"/>
    <s v="F"/>
    <x v="12"/>
    <x v="2"/>
    <s v="Y"/>
    <s v="Success"/>
    <x v="0"/>
    <x v="0"/>
    <x v="1"/>
  </r>
  <r>
    <s v="TX1001091"/>
    <x v="59"/>
    <x v="0"/>
    <d v="1899-12-30T14:47:55"/>
    <n v="46.64"/>
    <s v="USD"/>
    <s v="M1569"/>
    <x v="3"/>
    <s v="Germany"/>
    <s v="C50863"/>
    <n v="51"/>
    <s v="M"/>
    <x v="2"/>
    <x v="0"/>
    <s v="Y"/>
    <s v="Success"/>
    <x v="0"/>
    <x v="0"/>
    <x v="2"/>
  </r>
  <r>
    <s v="TX1001092"/>
    <x v="59"/>
    <x v="0"/>
    <d v="1899-12-30T16:30:34"/>
    <n v="46.41"/>
    <s v="USD"/>
    <s v="M1118"/>
    <x v="6"/>
    <s v="France"/>
    <s v="C93713"/>
    <n v="45"/>
    <s v="F"/>
    <x v="11"/>
    <x v="1"/>
    <s v="Y"/>
    <s v="Success"/>
    <x v="0"/>
    <x v="0"/>
    <x v="2"/>
  </r>
  <r>
    <s v="TX1000750"/>
    <x v="10"/>
    <x v="4"/>
    <d v="1899-12-30T02:33:26"/>
    <n v="46.36"/>
    <s v="USD"/>
    <s v="M1446"/>
    <x v="3"/>
    <s v="Germany"/>
    <s v="C75899"/>
    <n v="46"/>
    <s v="Other"/>
    <x v="7"/>
    <x v="4"/>
    <s v="Y"/>
    <s v="Success"/>
    <x v="0"/>
    <x v="0"/>
    <x v="2"/>
  </r>
  <r>
    <s v="TX1000756"/>
    <x v="10"/>
    <x v="4"/>
    <d v="1899-12-30T09:30:19"/>
    <n v="46.19"/>
    <s v="USD"/>
    <s v="M1568"/>
    <x v="4"/>
    <s v="United Kingdom"/>
    <s v="C77606"/>
    <n v="26"/>
    <s v="M"/>
    <x v="3"/>
    <x v="0"/>
    <s v="Y"/>
    <s v="Success"/>
    <x v="1"/>
    <x v="1"/>
    <x v="1"/>
  </r>
  <r>
    <s v="TX1001054"/>
    <x v="104"/>
    <x v="0"/>
    <d v="1899-12-30T16:36:47"/>
    <n v="46.1"/>
    <s v="USD"/>
    <s v="M1384"/>
    <x v="5"/>
    <s v="India"/>
    <s v="C86044"/>
    <n v="55"/>
    <s v="F"/>
    <x v="4"/>
    <x v="2"/>
    <s v="Y"/>
    <s v="Success"/>
    <x v="0"/>
    <x v="0"/>
    <x v="2"/>
  </r>
  <r>
    <s v="TX1001465"/>
    <x v="61"/>
    <x v="0"/>
    <d v="1899-12-30T15:10:18"/>
    <n v="46.02"/>
    <s v="USD"/>
    <s v="M1833"/>
    <x v="8"/>
    <s v="Spain"/>
    <s v="C95767"/>
    <n v="69"/>
    <s v="Other"/>
    <x v="0"/>
    <x v="2"/>
    <s v="N"/>
    <s v="Success"/>
    <x v="0"/>
    <x v="0"/>
    <x v="3"/>
  </r>
  <r>
    <s v="TX1001001"/>
    <x v="35"/>
    <x v="0"/>
    <d v="1899-12-30T10:32:49"/>
    <n v="45.93"/>
    <s v="USD"/>
    <s v="M1589"/>
    <x v="3"/>
    <s v="Kenya"/>
    <s v="C59608"/>
    <n v="55"/>
    <s v="Other"/>
    <x v="8"/>
    <x v="4"/>
    <s v="Y"/>
    <s v="Success"/>
    <x v="0"/>
    <x v="0"/>
    <x v="2"/>
  </r>
  <r>
    <s v="TX1002384"/>
    <x v="82"/>
    <x v="2"/>
    <d v="1899-12-30T04:20:51"/>
    <n v="45.91"/>
    <s v="USD"/>
    <s v="M1813"/>
    <x v="5"/>
    <s v="United Kingdom"/>
    <s v="C75015"/>
    <n v="63"/>
    <s v="M"/>
    <x v="10"/>
    <x v="2"/>
    <s v="Y"/>
    <s v="Success"/>
    <x v="0"/>
    <x v="0"/>
    <x v="3"/>
  </r>
  <r>
    <s v="TX1000557"/>
    <x v="172"/>
    <x v="4"/>
    <d v="1899-12-30T07:43:51"/>
    <n v="45.82"/>
    <s v="USD"/>
    <s v="M1738"/>
    <x v="1"/>
    <s v="Kenya"/>
    <s v="C78870"/>
    <n v="53"/>
    <s v="M"/>
    <x v="5"/>
    <x v="0"/>
    <s v="Y"/>
    <s v="Success"/>
    <x v="0"/>
    <x v="0"/>
    <x v="2"/>
  </r>
  <r>
    <s v="TX1001180"/>
    <x v="120"/>
    <x v="0"/>
    <d v="1899-12-30T06:49:32"/>
    <n v="45.76"/>
    <s v="USD"/>
    <s v="M1840"/>
    <x v="6"/>
    <s v="Poland"/>
    <s v="C89170"/>
    <n v="27"/>
    <s v="F"/>
    <x v="9"/>
    <x v="1"/>
    <s v="Y"/>
    <s v="Success"/>
    <x v="0"/>
    <x v="0"/>
    <x v="1"/>
  </r>
  <r>
    <s v="TX1000866"/>
    <x v="12"/>
    <x v="4"/>
    <d v="1899-12-30T22:22:19"/>
    <n v="45.54"/>
    <s v="USD"/>
    <s v="M1614"/>
    <x v="7"/>
    <s v="Canada"/>
    <s v="C81252"/>
    <n v="62"/>
    <s v="M"/>
    <x v="13"/>
    <x v="2"/>
    <s v="Y"/>
    <s v="Success"/>
    <x v="0"/>
    <x v="0"/>
    <x v="3"/>
  </r>
  <r>
    <s v="TX1000635"/>
    <x v="178"/>
    <x v="4"/>
    <d v="1899-12-30T04:37:17"/>
    <n v="45.53"/>
    <s v="USD"/>
    <s v="M1402"/>
    <x v="5"/>
    <s v="Poland"/>
    <s v="C60669"/>
    <n v="50"/>
    <s v="F"/>
    <x v="12"/>
    <x v="3"/>
    <s v="Y"/>
    <s v="Success"/>
    <x v="0"/>
    <x v="0"/>
    <x v="2"/>
  </r>
  <r>
    <s v="TX1002081"/>
    <x v="140"/>
    <x v="2"/>
    <d v="1899-12-30T10:53:22"/>
    <n v="45.5"/>
    <s v="USD"/>
    <s v="M1503"/>
    <x v="3"/>
    <s v="France"/>
    <s v="C97037"/>
    <n v="58"/>
    <s v="Other"/>
    <x v="7"/>
    <x v="3"/>
    <s v="Y"/>
    <s v="Success"/>
    <x v="0"/>
    <x v="0"/>
    <x v="2"/>
  </r>
  <r>
    <s v="TX1002883"/>
    <x v="144"/>
    <x v="3"/>
    <d v="1899-12-30T11:12:32"/>
    <n v="45.2"/>
    <s v="USD"/>
    <s v="M1852"/>
    <x v="5"/>
    <s v="Nigeria"/>
    <s v="C70168"/>
    <n v="23"/>
    <s v="Other"/>
    <x v="1"/>
    <x v="4"/>
    <s v="Y"/>
    <s v="Success"/>
    <x v="0"/>
    <x v="0"/>
    <x v="0"/>
  </r>
  <r>
    <s v="TX1001545"/>
    <x v="83"/>
    <x v="5"/>
    <d v="1899-12-30T23:27:33"/>
    <n v="44.98"/>
    <s v="USD"/>
    <s v="M1441"/>
    <x v="5"/>
    <s v="Spain"/>
    <s v="C50529"/>
    <n v="64"/>
    <s v="F"/>
    <x v="2"/>
    <x v="3"/>
    <s v="Y"/>
    <s v="Success"/>
    <x v="0"/>
    <x v="0"/>
    <x v="3"/>
  </r>
  <r>
    <s v="TX1001630"/>
    <x v="143"/>
    <x v="5"/>
    <d v="1899-12-30T01:03:57"/>
    <n v="44.9"/>
    <s v="USD"/>
    <s v="M1451"/>
    <x v="4"/>
    <s v="India"/>
    <s v="C78676"/>
    <n v="39"/>
    <s v="F"/>
    <x v="12"/>
    <x v="0"/>
    <s v="Y"/>
    <s v="Success"/>
    <x v="0"/>
    <x v="0"/>
    <x v="1"/>
  </r>
  <r>
    <s v="TX1001710"/>
    <x v="142"/>
    <x v="5"/>
    <d v="1899-12-30T14:00:42"/>
    <n v="44.75"/>
    <s v="USD"/>
    <s v="M1017"/>
    <x v="6"/>
    <s v="Poland"/>
    <s v="C79084"/>
    <n v="75"/>
    <s v="F"/>
    <x v="2"/>
    <x v="2"/>
    <s v="Y"/>
    <s v="Success"/>
    <x v="0"/>
    <x v="0"/>
    <x v="3"/>
  </r>
  <r>
    <s v="TX1000410"/>
    <x v="149"/>
    <x v="1"/>
    <d v="1899-12-30T03:26:32"/>
    <n v="44.7"/>
    <s v="USD"/>
    <s v="M1036"/>
    <x v="2"/>
    <s v="Germany"/>
    <s v="C65647"/>
    <n v="57"/>
    <s v="Other"/>
    <x v="8"/>
    <x v="2"/>
    <s v="Y"/>
    <s v="Success"/>
    <x v="0"/>
    <x v="0"/>
    <x v="2"/>
  </r>
  <r>
    <s v="TX1001475"/>
    <x v="61"/>
    <x v="0"/>
    <d v="1899-12-30T23:05:52"/>
    <n v="44.45"/>
    <s v="USD"/>
    <s v="M1470"/>
    <x v="1"/>
    <s v="Netherlands"/>
    <s v="C82530"/>
    <n v="42"/>
    <s v="F"/>
    <x v="9"/>
    <x v="1"/>
    <s v="Y"/>
    <s v="Success"/>
    <x v="0"/>
    <x v="0"/>
    <x v="2"/>
  </r>
  <r>
    <s v="TX1000807"/>
    <x v="170"/>
    <x v="4"/>
    <d v="1899-12-30T06:53:12"/>
    <n v="44.42"/>
    <s v="USD"/>
    <s v="M1253"/>
    <x v="0"/>
    <s v="Norway"/>
    <s v="C68081"/>
    <n v="54"/>
    <s v="M"/>
    <x v="4"/>
    <x v="5"/>
    <s v="Y"/>
    <s v="Success"/>
    <x v="0"/>
    <x v="0"/>
    <x v="2"/>
  </r>
  <r>
    <s v="TX1000494"/>
    <x v="57"/>
    <x v="4"/>
    <d v="1899-12-30T05:48:30"/>
    <n v="44.33"/>
    <s v="USD"/>
    <s v="M1788"/>
    <x v="5"/>
    <s v="Poland"/>
    <s v="C56923"/>
    <n v="58"/>
    <s v="F"/>
    <x v="3"/>
    <x v="0"/>
    <s v="Y"/>
    <s v="Success"/>
    <x v="0"/>
    <x v="0"/>
    <x v="2"/>
  </r>
  <r>
    <s v="TX1000997"/>
    <x v="35"/>
    <x v="0"/>
    <d v="1899-12-30T05:10:12"/>
    <n v="44.33"/>
    <s v="USD"/>
    <s v="M1209"/>
    <x v="0"/>
    <s v="Sweden"/>
    <s v="C87677"/>
    <n v="52"/>
    <s v="F"/>
    <x v="5"/>
    <x v="4"/>
    <s v="Y"/>
    <s v="Success"/>
    <x v="0"/>
    <x v="0"/>
    <x v="2"/>
  </r>
  <r>
    <s v="TX1002664"/>
    <x v="132"/>
    <x v="3"/>
    <d v="1899-12-30T13:16:54"/>
    <n v="44.32"/>
    <s v="USD"/>
    <s v="M1444"/>
    <x v="5"/>
    <s v="Canada"/>
    <s v="C73333"/>
    <n v="40"/>
    <s v="F"/>
    <x v="0"/>
    <x v="3"/>
    <s v="Y"/>
    <s v="Success"/>
    <x v="0"/>
    <x v="0"/>
    <x v="2"/>
  </r>
  <r>
    <s v="TX1002238"/>
    <x v="93"/>
    <x v="2"/>
    <d v="1899-12-30T16:45:43"/>
    <n v="44.25"/>
    <s v="USD"/>
    <s v="M1520"/>
    <x v="5"/>
    <s v="Spain"/>
    <s v="C54151"/>
    <n v="44"/>
    <s v="Other"/>
    <x v="9"/>
    <x v="1"/>
    <s v="Y"/>
    <s v="Success"/>
    <x v="0"/>
    <x v="0"/>
    <x v="2"/>
  </r>
  <r>
    <s v="TX1001518"/>
    <x v="58"/>
    <x v="5"/>
    <d v="1899-12-30T12:59:44"/>
    <n v="44.23"/>
    <s v="USD"/>
    <s v="M1342"/>
    <x v="6"/>
    <s v="India"/>
    <s v="C71432"/>
    <n v="27"/>
    <s v="M"/>
    <x v="7"/>
    <x v="1"/>
    <s v="Y"/>
    <s v="Success"/>
    <x v="0"/>
    <x v="0"/>
    <x v="1"/>
  </r>
  <r>
    <s v="TX1002631"/>
    <x v="11"/>
    <x v="3"/>
    <d v="1899-12-30T06:03:47"/>
    <n v="43.99"/>
    <s v="USD"/>
    <s v="M1218"/>
    <x v="1"/>
    <s v="Nigeria"/>
    <s v="C94709"/>
    <n v="37"/>
    <s v="Other"/>
    <x v="14"/>
    <x v="4"/>
    <s v="Y"/>
    <s v="Success"/>
    <x v="0"/>
    <x v="0"/>
    <x v="1"/>
  </r>
  <r>
    <s v="TX1002474"/>
    <x v="19"/>
    <x v="2"/>
    <d v="1899-12-30T05:22:03"/>
    <n v="43.92"/>
    <s v="USD"/>
    <s v="M1232"/>
    <x v="6"/>
    <s v="Kenya"/>
    <s v="C82869"/>
    <n v="67"/>
    <s v="F"/>
    <x v="12"/>
    <x v="2"/>
    <s v="Y"/>
    <s v="Success"/>
    <x v="0"/>
    <x v="0"/>
    <x v="3"/>
  </r>
  <r>
    <s v="TX1002724"/>
    <x v="130"/>
    <x v="3"/>
    <d v="1899-12-30T20:33:15"/>
    <n v="43.78"/>
    <s v="USD"/>
    <s v="M1967"/>
    <x v="8"/>
    <s v="United Kingdom"/>
    <s v="C53889"/>
    <n v="66"/>
    <s v="Other"/>
    <x v="0"/>
    <x v="2"/>
    <s v="Y"/>
    <s v="Success"/>
    <x v="0"/>
    <x v="0"/>
    <x v="3"/>
  </r>
  <r>
    <s v="TX1000386"/>
    <x v="100"/>
    <x v="1"/>
    <d v="1899-12-30T02:16:36"/>
    <n v="43.61"/>
    <s v="USD"/>
    <s v="M1055"/>
    <x v="7"/>
    <s v="Spain"/>
    <s v="C78084"/>
    <n v="40"/>
    <s v="F"/>
    <x v="10"/>
    <x v="2"/>
    <s v="Y"/>
    <s v="Success"/>
    <x v="0"/>
    <x v="0"/>
    <x v="2"/>
  </r>
  <r>
    <s v="TX1000606"/>
    <x v="163"/>
    <x v="4"/>
    <d v="1899-12-30T18:44:39"/>
    <n v="43.61"/>
    <s v="USD"/>
    <s v="M1566"/>
    <x v="0"/>
    <s v="Norway"/>
    <s v="C54647"/>
    <n v="73"/>
    <s v="M"/>
    <x v="10"/>
    <x v="0"/>
    <s v="Y"/>
    <s v="Success"/>
    <x v="0"/>
    <x v="0"/>
    <x v="3"/>
  </r>
  <r>
    <s v="TX1001421"/>
    <x v="150"/>
    <x v="0"/>
    <d v="1899-12-30T09:38:35"/>
    <n v="43.44"/>
    <s v="USD"/>
    <s v="M1547"/>
    <x v="1"/>
    <s v="Netherlands"/>
    <s v="C73540"/>
    <n v="53"/>
    <s v="M"/>
    <x v="14"/>
    <x v="5"/>
    <s v="Y"/>
    <s v="Success"/>
    <x v="0"/>
    <x v="0"/>
    <x v="2"/>
  </r>
  <r>
    <s v="TX1001908"/>
    <x v="147"/>
    <x v="5"/>
    <d v="1899-12-30T21:19:02"/>
    <n v="43.4"/>
    <s v="USD"/>
    <s v="M1648"/>
    <x v="9"/>
    <s v="India"/>
    <s v="C50373"/>
    <n v="28"/>
    <s v="F"/>
    <x v="5"/>
    <x v="4"/>
    <s v="Y"/>
    <s v="Success"/>
    <x v="0"/>
    <x v="0"/>
    <x v="1"/>
  </r>
  <r>
    <s v="TX1001573"/>
    <x v="161"/>
    <x v="5"/>
    <d v="1899-12-30T04:51:07"/>
    <n v="43.4"/>
    <s v="USD"/>
    <s v="M1312"/>
    <x v="3"/>
    <s v="India"/>
    <s v="C52843"/>
    <n v="19"/>
    <s v="F"/>
    <x v="9"/>
    <x v="2"/>
    <s v="Y"/>
    <s v="Success"/>
    <x v="0"/>
    <x v="0"/>
    <x v="0"/>
  </r>
  <r>
    <s v="TX1002583"/>
    <x v="103"/>
    <x v="3"/>
    <d v="1899-12-30T06:50:35"/>
    <n v="43.21"/>
    <s v="USD"/>
    <s v="M1613"/>
    <x v="7"/>
    <s v="Sweden"/>
    <s v="C93207"/>
    <n v="28"/>
    <s v="Other"/>
    <x v="0"/>
    <x v="3"/>
    <s v="Y"/>
    <s v="Success"/>
    <x v="0"/>
    <x v="0"/>
    <x v="1"/>
  </r>
  <r>
    <s v="TX1000409"/>
    <x v="149"/>
    <x v="1"/>
    <d v="1899-12-30T02:37:26"/>
    <n v="43.2"/>
    <s v="USD"/>
    <s v="M1341"/>
    <x v="9"/>
    <s v="South Africa"/>
    <s v="C67864"/>
    <n v="45"/>
    <s v="M"/>
    <x v="12"/>
    <x v="5"/>
    <s v="Y"/>
    <s v="Success"/>
    <x v="0"/>
    <x v="0"/>
    <x v="2"/>
  </r>
  <r>
    <s v="TX1001987"/>
    <x v="71"/>
    <x v="5"/>
    <d v="1899-12-30T13:17:55"/>
    <n v="43.1"/>
    <s v="USD"/>
    <s v="M1450"/>
    <x v="2"/>
    <s v="Australia"/>
    <s v="C85201"/>
    <n v="62"/>
    <s v="F"/>
    <x v="11"/>
    <x v="0"/>
    <s v="Y"/>
    <s v="Success"/>
    <x v="0"/>
    <x v="0"/>
    <x v="3"/>
  </r>
  <r>
    <s v="TX1002795"/>
    <x v="101"/>
    <x v="3"/>
    <d v="1899-12-30T18:52:56"/>
    <n v="43.07"/>
    <s v="USD"/>
    <s v="M1787"/>
    <x v="8"/>
    <s v="Poland"/>
    <s v="C73381"/>
    <n v="42"/>
    <s v="M"/>
    <x v="10"/>
    <x v="3"/>
    <s v="Y"/>
    <s v="Success"/>
    <x v="0"/>
    <x v="0"/>
    <x v="2"/>
  </r>
  <r>
    <s v="TX1002250"/>
    <x v="69"/>
    <x v="2"/>
    <d v="1899-12-30T11:14:30"/>
    <n v="42.81"/>
    <s v="USD"/>
    <s v="M1497"/>
    <x v="0"/>
    <s v="United Kingdom"/>
    <s v="C70229"/>
    <n v="60"/>
    <s v="F"/>
    <x v="7"/>
    <x v="0"/>
    <s v="Y"/>
    <s v="Success"/>
    <x v="0"/>
    <x v="0"/>
    <x v="3"/>
  </r>
  <r>
    <s v="TX1001265"/>
    <x v="76"/>
    <x v="0"/>
    <d v="1899-12-30T22:55:19"/>
    <n v="42.81"/>
    <s v="USD"/>
    <s v="M1696"/>
    <x v="9"/>
    <s v="Sweden"/>
    <s v="C63318"/>
    <n v="61"/>
    <s v="F"/>
    <x v="3"/>
    <x v="1"/>
    <s v="Y"/>
    <s v="Success"/>
    <x v="0"/>
    <x v="0"/>
    <x v="3"/>
  </r>
  <r>
    <s v="TX1001866"/>
    <x v="117"/>
    <x v="5"/>
    <d v="1899-12-30T03:37:46"/>
    <n v="42.72"/>
    <s v="USD"/>
    <s v="M1399"/>
    <x v="1"/>
    <s v="South Africa"/>
    <s v="C58978"/>
    <n v="31"/>
    <s v="Other"/>
    <x v="9"/>
    <x v="1"/>
    <s v="Y"/>
    <s v="Success"/>
    <x v="0"/>
    <x v="0"/>
    <x v="1"/>
  </r>
  <r>
    <s v="TX1000598"/>
    <x v="163"/>
    <x v="4"/>
    <d v="1899-12-30T10:47:02"/>
    <n v="42.64"/>
    <s v="USD"/>
    <s v="M1195"/>
    <x v="9"/>
    <s v="Kenya"/>
    <s v="C52038"/>
    <n v="61"/>
    <s v="M"/>
    <x v="6"/>
    <x v="1"/>
    <s v="Y"/>
    <s v="Success"/>
    <x v="1"/>
    <x v="1"/>
    <x v="3"/>
  </r>
  <r>
    <s v="TX1001272"/>
    <x v="123"/>
    <x v="0"/>
    <d v="1899-12-30T06:56:50"/>
    <n v="42.56"/>
    <s v="USD"/>
    <s v="M1134"/>
    <x v="0"/>
    <s v="Sweden"/>
    <s v="C80931"/>
    <n v="74"/>
    <s v="Other"/>
    <x v="10"/>
    <x v="5"/>
    <s v="Y"/>
    <s v="Success"/>
    <x v="0"/>
    <x v="0"/>
    <x v="3"/>
  </r>
  <r>
    <s v="TX1001261"/>
    <x v="76"/>
    <x v="0"/>
    <d v="1899-12-30T20:10:11"/>
    <n v="42.56"/>
    <s v="USD"/>
    <s v="M1118"/>
    <x v="0"/>
    <s v="South Africa"/>
    <s v="C76457"/>
    <n v="21"/>
    <s v="M"/>
    <x v="13"/>
    <x v="1"/>
    <s v="Y"/>
    <s v="Success"/>
    <x v="0"/>
    <x v="0"/>
    <x v="0"/>
  </r>
  <r>
    <s v="TX1002284"/>
    <x v="79"/>
    <x v="2"/>
    <d v="1899-12-30T11:57:46"/>
    <n v="42.48"/>
    <s v="USD"/>
    <s v="M1240"/>
    <x v="3"/>
    <s v="Germany"/>
    <s v="C55343"/>
    <n v="74"/>
    <s v="M"/>
    <x v="5"/>
    <x v="2"/>
    <s v="Y"/>
    <s v="Success"/>
    <x v="0"/>
    <x v="0"/>
    <x v="3"/>
  </r>
  <r>
    <s v="TX1000730"/>
    <x v="111"/>
    <x v="4"/>
    <d v="1899-12-30T07:30:36"/>
    <n v="42.47"/>
    <s v="USD"/>
    <s v="M1183"/>
    <x v="1"/>
    <s v="Poland"/>
    <s v="C93590"/>
    <n v="66"/>
    <s v="F"/>
    <x v="5"/>
    <x v="4"/>
    <s v="Y"/>
    <s v="Success"/>
    <x v="0"/>
    <x v="0"/>
    <x v="3"/>
  </r>
  <r>
    <s v="TX1000945"/>
    <x v="164"/>
    <x v="4"/>
    <d v="1899-12-30T11:33:29"/>
    <n v="42.44"/>
    <s v="USD"/>
    <s v="M1487"/>
    <x v="4"/>
    <s v="Netherlands"/>
    <s v="C59067"/>
    <n v="45"/>
    <s v="Other"/>
    <x v="3"/>
    <x v="2"/>
    <s v="Y"/>
    <s v="Success"/>
    <x v="0"/>
    <x v="0"/>
    <x v="2"/>
  </r>
  <r>
    <s v="TX1000909"/>
    <x v="68"/>
    <x v="4"/>
    <d v="1899-12-30T05:49:10"/>
    <n v="42.44"/>
    <s v="USD"/>
    <s v="M1656"/>
    <x v="5"/>
    <s v="France"/>
    <s v="C56184"/>
    <n v="59"/>
    <s v="F"/>
    <x v="7"/>
    <x v="1"/>
    <s v="Y"/>
    <s v="Success"/>
    <x v="0"/>
    <x v="0"/>
    <x v="2"/>
  </r>
  <r>
    <s v="TX1002837"/>
    <x v="86"/>
    <x v="3"/>
    <d v="1899-12-30T17:21:51"/>
    <n v="42.38"/>
    <s v="USD"/>
    <s v="M1322"/>
    <x v="1"/>
    <s v="India"/>
    <s v="C91779"/>
    <n v="47"/>
    <s v="F"/>
    <x v="7"/>
    <x v="2"/>
    <s v="Y"/>
    <s v="Success"/>
    <x v="0"/>
    <x v="0"/>
    <x v="2"/>
  </r>
  <r>
    <s v="TX1001592"/>
    <x v="84"/>
    <x v="5"/>
    <d v="1899-12-30T11:27:25"/>
    <n v="42.37"/>
    <s v="USD"/>
    <s v="M1907"/>
    <x v="0"/>
    <s v="France"/>
    <s v="C92702"/>
    <n v="55"/>
    <s v="M"/>
    <x v="5"/>
    <x v="4"/>
    <s v="Y"/>
    <s v="Success"/>
    <x v="0"/>
    <x v="0"/>
    <x v="2"/>
  </r>
  <r>
    <s v="TX1001029"/>
    <x v="22"/>
    <x v="0"/>
    <d v="1899-12-30T06:57:51"/>
    <n v="42.3"/>
    <s v="USD"/>
    <s v="M1446"/>
    <x v="8"/>
    <s v="United Kingdom"/>
    <s v="C58359"/>
    <n v="75"/>
    <s v="F"/>
    <x v="6"/>
    <x v="5"/>
    <s v="Y"/>
    <s v="Success"/>
    <x v="0"/>
    <x v="0"/>
    <x v="3"/>
  </r>
  <r>
    <s v="TX1002156"/>
    <x v="2"/>
    <x v="2"/>
    <d v="1899-12-30T08:19:12"/>
    <n v="42.29"/>
    <s v="USD"/>
    <s v="M1118"/>
    <x v="9"/>
    <s v="United Kingdom"/>
    <s v="C91550"/>
    <n v="72"/>
    <s v="M"/>
    <x v="12"/>
    <x v="4"/>
    <s v="Y"/>
    <s v="Success"/>
    <x v="0"/>
    <x v="0"/>
    <x v="3"/>
  </r>
  <r>
    <s v="TX1000162"/>
    <x v="42"/>
    <x v="1"/>
    <d v="1899-12-30T16:00:45"/>
    <n v="42.14"/>
    <s v="USD"/>
    <s v="M1554"/>
    <x v="6"/>
    <s v="Norway"/>
    <s v="C59051"/>
    <n v="26"/>
    <s v="F"/>
    <x v="0"/>
    <x v="5"/>
    <s v="Y"/>
    <s v="Success"/>
    <x v="0"/>
    <x v="0"/>
    <x v="1"/>
  </r>
  <r>
    <s v="TX1001404"/>
    <x v="60"/>
    <x v="0"/>
    <d v="1899-12-30T14:47:34"/>
    <n v="41.98"/>
    <s v="USD"/>
    <s v="M1781"/>
    <x v="6"/>
    <s v="Germany"/>
    <s v="C67268"/>
    <n v="22"/>
    <s v="F"/>
    <x v="0"/>
    <x v="0"/>
    <s v="Y"/>
    <s v="Success"/>
    <x v="0"/>
    <x v="0"/>
    <x v="0"/>
  </r>
  <r>
    <s v="TX1000900"/>
    <x v="8"/>
    <x v="4"/>
    <d v="1899-12-30T20:33:54"/>
    <n v="41.9"/>
    <s v="USD"/>
    <s v="M1367"/>
    <x v="0"/>
    <s v="United Kingdom"/>
    <s v="C97991"/>
    <n v="46"/>
    <s v="M"/>
    <x v="9"/>
    <x v="1"/>
    <s v="Y"/>
    <s v="Success"/>
    <x v="0"/>
    <x v="0"/>
    <x v="2"/>
  </r>
  <r>
    <s v="TX1000617"/>
    <x v="159"/>
    <x v="4"/>
    <d v="1899-12-30T20:03:28"/>
    <n v="41.89"/>
    <s v="USD"/>
    <s v="M1079"/>
    <x v="2"/>
    <s v="Norway"/>
    <s v="C95805"/>
    <n v="31"/>
    <s v="F"/>
    <x v="2"/>
    <x v="2"/>
    <s v="Y"/>
    <s v="Success"/>
    <x v="0"/>
    <x v="0"/>
    <x v="1"/>
  </r>
  <r>
    <s v="TX1001441"/>
    <x v="92"/>
    <x v="0"/>
    <d v="1899-12-30T15:20:20"/>
    <n v="41.77"/>
    <s v="USD"/>
    <s v="M1969"/>
    <x v="6"/>
    <s v="Germany"/>
    <s v="C83095"/>
    <n v="22"/>
    <s v="F"/>
    <x v="14"/>
    <x v="2"/>
    <s v="Y"/>
    <s v="Success"/>
    <x v="0"/>
    <x v="0"/>
    <x v="0"/>
  </r>
  <r>
    <s v="TX1001115"/>
    <x v="168"/>
    <x v="0"/>
    <d v="1899-12-30T11:38:17"/>
    <n v="41.52"/>
    <s v="USD"/>
    <s v="M1095"/>
    <x v="8"/>
    <s v="South Africa"/>
    <s v="C86405"/>
    <n v="27"/>
    <s v="M"/>
    <x v="11"/>
    <x v="2"/>
    <s v="Y"/>
    <s v="Success"/>
    <x v="0"/>
    <x v="0"/>
    <x v="1"/>
  </r>
  <r>
    <s v="TX1001532"/>
    <x v="83"/>
    <x v="5"/>
    <d v="1899-12-30T06:30:15"/>
    <n v="41.41"/>
    <s v="USD"/>
    <s v="M1323"/>
    <x v="1"/>
    <s v="Netherlands"/>
    <s v="C74137"/>
    <n v="21"/>
    <s v="M"/>
    <x v="7"/>
    <x v="0"/>
    <s v="Y"/>
    <s v="Success"/>
    <x v="0"/>
    <x v="0"/>
    <x v="0"/>
  </r>
  <r>
    <s v="TX1001986"/>
    <x v="71"/>
    <x v="5"/>
    <d v="1899-12-30T12:56:24"/>
    <n v="41.37"/>
    <s v="USD"/>
    <s v="M1418"/>
    <x v="1"/>
    <s v="France"/>
    <s v="C51316"/>
    <n v="58"/>
    <s v="F"/>
    <x v="8"/>
    <x v="4"/>
    <s v="Y"/>
    <s v="Success"/>
    <x v="0"/>
    <x v="0"/>
    <x v="2"/>
  </r>
  <r>
    <s v="TX1001934"/>
    <x v="73"/>
    <x v="5"/>
    <d v="1899-12-30T12:05:14"/>
    <n v="41.3"/>
    <s v="USD"/>
    <s v="M1994"/>
    <x v="1"/>
    <s v="United Kingdom"/>
    <s v="C84728"/>
    <n v="27"/>
    <s v="M"/>
    <x v="11"/>
    <x v="4"/>
    <s v="N"/>
    <s v="Success"/>
    <x v="0"/>
    <x v="0"/>
    <x v="1"/>
  </r>
  <r>
    <s v="TX1001268"/>
    <x v="123"/>
    <x v="0"/>
    <d v="1899-12-30T03:13:19"/>
    <n v="41.14"/>
    <s v="USD"/>
    <s v="M1700"/>
    <x v="6"/>
    <s v="Kenya"/>
    <s v="C59378"/>
    <n v="35"/>
    <s v="F"/>
    <x v="1"/>
    <x v="2"/>
    <s v="N"/>
    <s v="Success"/>
    <x v="0"/>
    <x v="0"/>
    <x v="1"/>
  </r>
  <r>
    <s v="TX1000378"/>
    <x v="56"/>
    <x v="1"/>
    <d v="1899-12-30T09:30:38"/>
    <n v="41.14"/>
    <s v="USD"/>
    <s v="M1087"/>
    <x v="2"/>
    <s v="Australia"/>
    <s v="C52940"/>
    <n v="38"/>
    <s v="M"/>
    <x v="12"/>
    <x v="4"/>
    <s v="Y"/>
    <s v="Success"/>
    <x v="0"/>
    <x v="0"/>
    <x v="1"/>
  </r>
  <r>
    <s v="TX1002191"/>
    <x v="64"/>
    <x v="2"/>
    <d v="1899-12-30T01:45:50"/>
    <n v="41.09"/>
    <s v="USD"/>
    <s v="M1029"/>
    <x v="5"/>
    <s v="United Kingdom"/>
    <s v="C61735"/>
    <n v="29"/>
    <s v="F"/>
    <x v="14"/>
    <x v="0"/>
    <s v="Y"/>
    <s v="Success"/>
    <x v="0"/>
    <x v="0"/>
    <x v="1"/>
  </r>
  <r>
    <s v="TX1001715"/>
    <x v="142"/>
    <x v="5"/>
    <d v="1899-12-30T17:18:46"/>
    <n v="41.02"/>
    <s v="USD"/>
    <s v="M1300"/>
    <x v="3"/>
    <s v="Spain"/>
    <s v="C93273"/>
    <n v="29"/>
    <s v="F"/>
    <x v="14"/>
    <x v="4"/>
    <s v="Y"/>
    <s v="Success"/>
    <x v="0"/>
    <x v="0"/>
    <x v="1"/>
  </r>
  <r>
    <s v="TX1002083"/>
    <x v="140"/>
    <x v="2"/>
    <d v="1899-12-30T17:04:05"/>
    <n v="40.81"/>
    <s v="USD"/>
    <s v="M1255"/>
    <x v="5"/>
    <s v="Nigeria"/>
    <s v="C84566"/>
    <n v="46"/>
    <s v="Other"/>
    <x v="14"/>
    <x v="5"/>
    <s v="Y"/>
    <s v="Success"/>
    <x v="0"/>
    <x v="0"/>
    <x v="2"/>
  </r>
  <r>
    <s v="TX1000102"/>
    <x v="179"/>
    <x v="1"/>
    <d v="1899-12-30T05:54:51"/>
    <n v="40.78"/>
    <s v="USD"/>
    <s v="M1293"/>
    <x v="8"/>
    <s v="United States"/>
    <s v="C54065"/>
    <n v="20"/>
    <s v="F"/>
    <x v="9"/>
    <x v="2"/>
    <s v="Y"/>
    <s v="Success"/>
    <x v="0"/>
    <x v="0"/>
    <x v="0"/>
  </r>
  <r>
    <s v="TX1000208"/>
    <x v="31"/>
    <x v="1"/>
    <d v="1899-12-30T06:55:26"/>
    <n v="40.549999999999997"/>
    <s v="USD"/>
    <s v="M1797"/>
    <x v="7"/>
    <s v="France"/>
    <s v="C64927"/>
    <n v="42"/>
    <s v="M"/>
    <x v="6"/>
    <x v="2"/>
    <s v="Y"/>
    <s v="Success"/>
    <x v="0"/>
    <x v="0"/>
    <x v="2"/>
  </r>
  <r>
    <s v="TX1001930"/>
    <x v="155"/>
    <x v="5"/>
    <d v="1899-12-30T22:00:24"/>
    <n v="40.54"/>
    <s v="USD"/>
    <s v="M1152"/>
    <x v="8"/>
    <s v="Norway"/>
    <s v="C58067"/>
    <n v="57"/>
    <s v="M"/>
    <x v="5"/>
    <x v="3"/>
    <s v="Y"/>
    <s v="Success"/>
    <x v="0"/>
    <x v="0"/>
    <x v="2"/>
  </r>
  <r>
    <s v="TX1002135"/>
    <x v="135"/>
    <x v="2"/>
    <d v="1899-12-30T11:10:18"/>
    <n v="40.520000000000003"/>
    <s v="USD"/>
    <s v="M1327"/>
    <x v="8"/>
    <s v="Norway"/>
    <s v="C97609"/>
    <n v="22"/>
    <s v="F"/>
    <x v="11"/>
    <x v="1"/>
    <s v="Y"/>
    <s v="Success"/>
    <x v="0"/>
    <x v="0"/>
    <x v="0"/>
  </r>
  <r>
    <s v="TX1001135"/>
    <x v="3"/>
    <x v="0"/>
    <d v="1899-12-30T20:19:29"/>
    <n v="40.43"/>
    <s v="USD"/>
    <s v="M1920"/>
    <x v="4"/>
    <s v="Norway"/>
    <s v="C92955"/>
    <n v="71"/>
    <s v="M"/>
    <x v="4"/>
    <x v="4"/>
    <s v="Y"/>
    <s v="Success"/>
    <x v="0"/>
    <x v="0"/>
    <x v="3"/>
  </r>
  <r>
    <s v="TX1002333"/>
    <x v="119"/>
    <x v="2"/>
    <d v="1899-12-30T21:01:11"/>
    <n v="40.340000000000003"/>
    <s v="USD"/>
    <s v="M1403"/>
    <x v="1"/>
    <s v="Nigeria"/>
    <s v="C98273"/>
    <n v="33"/>
    <s v="M"/>
    <x v="8"/>
    <x v="4"/>
    <s v="Y"/>
    <s v="Success"/>
    <x v="0"/>
    <x v="0"/>
    <x v="1"/>
  </r>
  <r>
    <s v="TX1002403"/>
    <x v="90"/>
    <x v="2"/>
    <d v="1899-12-30T13:21:41"/>
    <n v="40.200000000000003"/>
    <s v="USD"/>
    <s v="M1968"/>
    <x v="1"/>
    <s v="Spain"/>
    <s v="C50315"/>
    <n v="37"/>
    <s v="F"/>
    <x v="10"/>
    <x v="0"/>
    <s v="Y"/>
    <s v="Success"/>
    <x v="0"/>
    <x v="0"/>
    <x v="1"/>
  </r>
  <r>
    <s v="TX1001288"/>
    <x v="125"/>
    <x v="0"/>
    <d v="1899-12-30T09:46:53"/>
    <n v="40.090000000000003"/>
    <s v="USD"/>
    <s v="M1409"/>
    <x v="2"/>
    <s v="Kenya"/>
    <s v="C68165"/>
    <n v="55"/>
    <s v="M"/>
    <x v="4"/>
    <x v="3"/>
    <s v="Y"/>
    <s v="Success"/>
    <x v="0"/>
    <x v="0"/>
    <x v="2"/>
  </r>
  <r>
    <s v="TX1000221"/>
    <x v="31"/>
    <x v="1"/>
    <d v="1899-12-30T21:57:09"/>
    <n v="39.950000000000003"/>
    <s v="USD"/>
    <s v="M1869"/>
    <x v="1"/>
    <s v="Poland"/>
    <s v="C94011"/>
    <n v="49"/>
    <s v="F"/>
    <x v="7"/>
    <x v="0"/>
    <s v="Y"/>
    <s v="Success"/>
    <x v="0"/>
    <x v="0"/>
    <x v="2"/>
  </r>
  <r>
    <s v="TX1000339"/>
    <x v="43"/>
    <x v="1"/>
    <d v="1899-12-30T07:31:42"/>
    <n v="39.94"/>
    <s v="USD"/>
    <s v="M1876"/>
    <x v="2"/>
    <s v="India"/>
    <s v="C94454"/>
    <n v="45"/>
    <s v="Other"/>
    <x v="9"/>
    <x v="5"/>
    <s v="Y"/>
    <s v="Success"/>
    <x v="1"/>
    <x v="1"/>
    <x v="2"/>
  </r>
  <r>
    <s v="TX1001797"/>
    <x v="26"/>
    <x v="5"/>
    <d v="1899-12-30T21:00:06"/>
    <n v="39.89"/>
    <s v="USD"/>
    <s v="M1766"/>
    <x v="6"/>
    <s v="Australia"/>
    <s v="C77237"/>
    <n v="74"/>
    <s v="M"/>
    <x v="4"/>
    <x v="0"/>
    <s v="Y"/>
    <s v="Success"/>
    <x v="0"/>
    <x v="0"/>
    <x v="3"/>
  </r>
  <r>
    <s v="TX1002657"/>
    <x v="41"/>
    <x v="3"/>
    <d v="1899-12-30T23:38:55"/>
    <n v="39.880000000000003"/>
    <s v="USD"/>
    <s v="M1971"/>
    <x v="1"/>
    <s v="Nigeria"/>
    <s v="C58503"/>
    <n v="39"/>
    <s v="M"/>
    <x v="3"/>
    <x v="5"/>
    <s v="Y"/>
    <s v="Success"/>
    <x v="0"/>
    <x v="0"/>
    <x v="1"/>
  </r>
  <r>
    <s v="TX1002247"/>
    <x v="69"/>
    <x v="2"/>
    <d v="1899-12-30T06:10:36"/>
    <n v="39.880000000000003"/>
    <s v="USD"/>
    <s v="M1660"/>
    <x v="4"/>
    <s v="Spain"/>
    <s v="C79084"/>
    <n v="65"/>
    <s v="Other"/>
    <x v="0"/>
    <x v="0"/>
    <s v="N"/>
    <s v="Success"/>
    <x v="0"/>
    <x v="0"/>
    <x v="3"/>
  </r>
  <r>
    <s v="TX1002789"/>
    <x v="101"/>
    <x v="3"/>
    <d v="1899-12-30T13:22:18"/>
    <n v="39.869999999999997"/>
    <s v="USD"/>
    <s v="M1846"/>
    <x v="8"/>
    <s v="Norway"/>
    <s v="C64833"/>
    <n v="51"/>
    <s v="F"/>
    <x v="6"/>
    <x v="1"/>
    <s v="Y"/>
    <s v="Success"/>
    <x v="0"/>
    <x v="0"/>
    <x v="2"/>
  </r>
  <r>
    <s v="TX1002324"/>
    <x v="119"/>
    <x v="2"/>
    <d v="1899-12-30T02:03:53"/>
    <n v="39.869999999999997"/>
    <s v="USD"/>
    <s v="M1943"/>
    <x v="8"/>
    <s v="Australia"/>
    <s v="C78337"/>
    <n v="44"/>
    <s v="F"/>
    <x v="9"/>
    <x v="2"/>
    <s v="Y"/>
    <s v="Success"/>
    <x v="0"/>
    <x v="0"/>
    <x v="2"/>
  </r>
  <r>
    <s v="TX1001179"/>
    <x v="120"/>
    <x v="0"/>
    <d v="1899-12-30T05:22:33"/>
    <n v="39.700000000000003"/>
    <s v="USD"/>
    <s v="M1247"/>
    <x v="7"/>
    <s v="South Africa"/>
    <s v="C90233"/>
    <n v="66"/>
    <s v="M"/>
    <x v="12"/>
    <x v="3"/>
    <s v="Y"/>
    <s v="Success"/>
    <x v="0"/>
    <x v="0"/>
    <x v="3"/>
  </r>
  <r>
    <s v="TX1002200"/>
    <x v="64"/>
    <x v="2"/>
    <d v="1899-12-30T13:40:15"/>
    <n v="39.24"/>
    <s v="USD"/>
    <s v="M1246"/>
    <x v="8"/>
    <s v="Germany"/>
    <s v="C75760"/>
    <n v="65"/>
    <s v="F"/>
    <x v="12"/>
    <x v="3"/>
    <s v="N"/>
    <s v="Success"/>
    <x v="0"/>
    <x v="0"/>
    <x v="3"/>
  </r>
  <r>
    <s v="TX1000610"/>
    <x v="159"/>
    <x v="4"/>
    <d v="1899-12-30T00:45:17"/>
    <n v="39.18"/>
    <s v="USD"/>
    <s v="M1692"/>
    <x v="4"/>
    <s v="Germany"/>
    <s v="C67295"/>
    <n v="57"/>
    <s v="M"/>
    <x v="4"/>
    <x v="3"/>
    <s v="Y"/>
    <s v="Success"/>
    <x v="0"/>
    <x v="0"/>
    <x v="2"/>
  </r>
  <r>
    <s v="TX1002851"/>
    <x v="166"/>
    <x v="3"/>
    <d v="1899-12-30T14:28:30"/>
    <n v="39.11"/>
    <s v="USD"/>
    <s v="M1566"/>
    <x v="2"/>
    <s v="India"/>
    <s v="C90478"/>
    <n v="19"/>
    <s v="M"/>
    <x v="5"/>
    <x v="1"/>
    <s v="Y"/>
    <s v="Success"/>
    <x v="0"/>
    <x v="0"/>
    <x v="0"/>
  </r>
  <r>
    <s v="TX1001269"/>
    <x v="123"/>
    <x v="0"/>
    <d v="1899-12-30T03:20:27"/>
    <n v="38.96"/>
    <s v="USD"/>
    <s v="M1330"/>
    <x v="3"/>
    <s v="Australia"/>
    <s v="C70022"/>
    <n v="63"/>
    <s v="M"/>
    <x v="1"/>
    <x v="2"/>
    <s v="Y"/>
    <s v="Success"/>
    <x v="0"/>
    <x v="0"/>
    <x v="3"/>
  </r>
  <r>
    <s v="TX1001123"/>
    <x v="168"/>
    <x v="0"/>
    <d v="1899-12-30T20:15:38"/>
    <n v="38.729999999999997"/>
    <s v="USD"/>
    <s v="M1602"/>
    <x v="5"/>
    <s v="Nigeria"/>
    <s v="C71440"/>
    <n v="41"/>
    <s v="M"/>
    <x v="11"/>
    <x v="0"/>
    <s v="Y"/>
    <s v="Success"/>
    <x v="0"/>
    <x v="0"/>
    <x v="2"/>
  </r>
  <r>
    <s v="TX1001834"/>
    <x v="139"/>
    <x v="5"/>
    <d v="1899-12-30T08:11:25"/>
    <n v="38.44"/>
    <s v="USD"/>
    <s v="M1708"/>
    <x v="3"/>
    <s v="Poland"/>
    <s v="C90521"/>
    <n v="68"/>
    <s v="M"/>
    <x v="5"/>
    <x v="2"/>
    <s v="Y"/>
    <s v="Success"/>
    <x v="0"/>
    <x v="0"/>
    <x v="3"/>
  </r>
  <r>
    <s v="TX1000177"/>
    <x v="6"/>
    <x v="1"/>
    <d v="1899-12-30T18:46:28"/>
    <n v="38.29"/>
    <s v="USD"/>
    <s v="M1801"/>
    <x v="8"/>
    <s v="Netherlands"/>
    <s v="C70611"/>
    <n v="74"/>
    <s v="M"/>
    <x v="2"/>
    <x v="2"/>
    <s v="Y"/>
    <s v="Success"/>
    <x v="0"/>
    <x v="0"/>
    <x v="3"/>
  </r>
  <r>
    <s v="TX1000327"/>
    <x v="95"/>
    <x v="1"/>
    <d v="1899-12-30T11:45:27"/>
    <n v="38.090000000000003"/>
    <s v="USD"/>
    <s v="M1498"/>
    <x v="3"/>
    <s v="Canada"/>
    <s v="C57224"/>
    <n v="21"/>
    <s v="Other"/>
    <x v="5"/>
    <x v="5"/>
    <s v="Y"/>
    <s v="Success"/>
    <x v="0"/>
    <x v="0"/>
    <x v="0"/>
  </r>
  <r>
    <s v="TX1001114"/>
    <x v="168"/>
    <x v="0"/>
    <d v="1899-12-30T10:59:15"/>
    <n v="38.020000000000003"/>
    <s v="USD"/>
    <s v="M1505"/>
    <x v="1"/>
    <s v="Canada"/>
    <s v="C95191"/>
    <n v="18"/>
    <s v="F"/>
    <x v="0"/>
    <x v="1"/>
    <s v="Y"/>
    <s v="Success"/>
    <x v="0"/>
    <x v="0"/>
    <x v="0"/>
  </r>
  <r>
    <s v="TX1002597"/>
    <x v="173"/>
    <x v="3"/>
    <d v="1899-12-30T03:00:07"/>
    <n v="38.01"/>
    <s v="USD"/>
    <s v="M1141"/>
    <x v="1"/>
    <s v="Spain"/>
    <s v="C74907"/>
    <n v="45"/>
    <s v="F"/>
    <x v="11"/>
    <x v="2"/>
    <s v="Y"/>
    <s v="Success"/>
    <x v="0"/>
    <x v="0"/>
    <x v="2"/>
  </r>
  <r>
    <s v="TX1000605"/>
    <x v="163"/>
    <x v="4"/>
    <d v="1899-12-30T17:34:45"/>
    <n v="37.92"/>
    <s v="USD"/>
    <s v="M1237"/>
    <x v="6"/>
    <s v="United States"/>
    <s v="C69683"/>
    <n v="21"/>
    <s v="Other"/>
    <x v="4"/>
    <x v="4"/>
    <s v="Y"/>
    <s v="Success"/>
    <x v="0"/>
    <x v="0"/>
    <x v="0"/>
  </r>
  <r>
    <s v="TX1000879"/>
    <x v="51"/>
    <x v="4"/>
    <d v="1899-12-30T13:28:28"/>
    <n v="37.78"/>
    <s v="USD"/>
    <s v="M1889"/>
    <x v="7"/>
    <s v="Spain"/>
    <s v="C96997"/>
    <n v="27"/>
    <s v="Other"/>
    <x v="10"/>
    <x v="2"/>
    <s v="Y"/>
    <s v="Success"/>
    <x v="0"/>
    <x v="0"/>
    <x v="1"/>
  </r>
  <r>
    <s v="TX1000197"/>
    <x v="49"/>
    <x v="1"/>
    <d v="1899-12-30T20:02:14"/>
    <n v="37.770000000000003"/>
    <s v="USD"/>
    <s v="M1188"/>
    <x v="8"/>
    <s v="Germany"/>
    <s v="C80602"/>
    <n v="35"/>
    <s v="F"/>
    <x v="8"/>
    <x v="3"/>
    <s v="Y"/>
    <s v="Success"/>
    <x v="0"/>
    <x v="0"/>
    <x v="1"/>
  </r>
  <r>
    <s v="TX1001068"/>
    <x v="47"/>
    <x v="0"/>
    <d v="1899-12-30T12:17:01"/>
    <n v="37.65"/>
    <s v="USD"/>
    <s v="M1381"/>
    <x v="4"/>
    <s v="United States"/>
    <s v="C92927"/>
    <n v="45"/>
    <s v="Other"/>
    <x v="8"/>
    <x v="0"/>
    <s v="Y"/>
    <s v="Success"/>
    <x v="0"/>
    <x v="0"/>
    <x v="2"/>
  </r>
  <r>
    <s v="TX1000908"/>
    <x v="68"/>
    <x v="4"/>
    <d v="1899-12-30T05:39:34"/>
    <n v="37.549999999999997"/>
    <s v="USD"/>
    <s v="M1663"/>
    <x v="4"/>
    <s v="Kenya"/>
    <s v="C59441"/>
    <n v="66"/>
    <s v="M"/>
    <x v="5"/>
    <x v="3"/>
    <s v="Y"/>
    <s v="Success"/>
    <x v="0"/>
    <x v="0"/>
    <x v="3"/>
  </r>
  <r>
    <s v="TX1001495"/>
    <x v="98"/>
    <x v="5"/>
    <d v="1899-12-30T04:22:31"/>
    <n v="37.5"/>
    <s v="USD"/>
    <s v="M1778"/>
    <x v="1"/>
    <s v="Kenya"/>
    <s v="C97592"/>
    <n v="66"/>
    <s v="F"/>
    <x v="1"/>
    <x v="2"/>
    <s v="N"/>
    <s v="Success"/>
    <x v="0"/>
    <x v="0"/>
    <x v="3"/>
  </r>
  <r>
    <s v="TX1002985"/>
    <x v="116"/>
    <x v="3"/>
    <d v="1899-12-30T12:55:18"/>
    <n v="37.33"/>
    <s v="USD"/>
    <s v="M1100"/>
    <x v="1"/>
    <s v="Spain"/>
    <s v="C95669"/>
    <n v="36"/>
    <s v="F"/>
    <x v="0"/>
    <x v="5"/>
    <s v="N"/>
    <s v="Success"/>
    <x v="0"/>
    <x v="0"/>
    <x v="1"/>
  </r>
  <r>
    <s v="TX1002382"/>
    <x v="82"/>
    <x v="2"/>
    <d v="1899-12-30T00:26:19"/>
    <n v="37.31"/>
    <s v="USD"/>
    <s v="M1613"/>
    <x v="0"/>
    <s v="France"/>
    <s v="C81182"/>
    <n v="51"/>
    <s v="F"/>
    <x v="1"/>
    <x v="4"/>
    <s v="Y"/>
    <s v="Success"/>
    <x v="0"/>
    <x v="0"/>
    <x v="2"/>
  </r>
  <r>
    <s v="TX1001360"/>
    <x v="50"/>
    <x v="0"/>
    <d v="1899-12-30T09:34:08"/>
    <n v="37.28"/>
    <s v="USD"/>
    <s v="M1664"/>
    <x v="6"/>
    <s v="Poland"/>
    <s v="C65575"/>
    <n v="58"/>
    <s v="M"/>
    <x v="8"/>
    <x v="0"/>
    <s v="Y"/>
    <s v="Success"/>
    <x v="0"/>
    <x v="0"/>
    <x v="2"/>
  </r>
  <r>
    <s v="TX1001078"/>
    <x v="59"/>
    <x v="0"/>
    <d v="1899-12-30T04:17:51"/>
    <n v="37.119999999999997"/>
    <s v="USD"/>
    <s v="M1735"/>
    <x v="8"/>
    <s v="Australia"/>
    <s v="C80157"/>
    <n v="19"/>
    <s v="F"/>
    <x v="14"/>
    <x v="0"/>
    <s v="Y"/>
    <s v="Success"/>
    <x v="0"/>
    <x v="0"/>
    <x v="0"/>
  </r>
  <r>
    <s v="TX1000490"/>
    <x v="57"/>
    <x v="4"/>
    <d v="1899-12-30T04:59:14"/>
    <n v="37.07"/>
    <s v="USD"/>
    <s v="M1005"/>
    <x v="4"/>
    <s v="United Kingdom"/>
    <s v="C51226"/>
    <n v="47"/>
    <s v="Other"/>
    <x v="4"/>
    <x v="3"/>
    <s v="Y"/>
    <s v="Success"/>
    <x v="0"/>
    <x v="0"/>
    <x v="2"/>
  </r>
  <r>
    <s v="TX1002314"/>
    <x v="97"/>
    <x v="2"/>
    <d v="1899-12-30T07:24:11"/>
    <n v="37.049999999999997"/>
    <s v="USD"/>
    <s v="M1078"/>
    <x v="6"/>
    <s v="Poland"/>
    <s v="C91366"/>
    <n v="45"/>
    <s v="F"/>
    <x v="12"/>
    <x v="2"/>
    <s v="Y"/>
    <s v="Success"/>
    <x v="0"/>
    <x v="0"/>
    <x v="2"/>
  </r>
  <r>
    <s v="TX1002180"/>
    <x v="112"/>
    <x v="2"/>
    <d v="1899-12-30T14:41:53"/>
    <n v="36.97"/>
    <s v="USD"/>
    <s v="M1115"/>
    <x v="2"/>
    <s v="France"/>
    <s v="C55521"/>
    <n v="46"/>
    <s v="M"/>
    <x v="13"/>
    <x v="2"/>
    <s v="Y"/>
    <s v="Success"/>
    <x v="0"/>
    <x v="0"/>
    <x v="2"/>
  </r>
  <r>
    <s v="TX1002058"/>
    <x v="33"/>
    <x v="2"/>
    <d v="1899-12-30T14:22:29"/>
    <n v="36.85"/>
    <s v="USD"/>
    <s v="M1440"/>
    <x v="3"/>
    <s v="Norway"/>
    <s v="C84927"/>
    <n v="18"/>
    <s v="F"/>
    <x v="8"/>
    <x v="0"/>
    <s v="Y"/>
    <s v="Success"/>
    <x v="0"/>
    <x v="0"/>
    <x v="0"/>
  </r>
  <r>
    <s v="TX1002017"/>
    <x v="115"/>
    <x v="2"/>
    <d v="1899-12-30T07:30:03"/>
    <n v="36.83"/>
    <s v="USD"/>
    <s v="M1487"/>
    <x v="6"/>
    <s v="United States"/>
    <s v="C67332"/>
    <n v="61"/>
    <s v="Other"/>
    <x v="7"/>
    <x v="4"/>
    <s v="Y"/>
    <s v="Success"/>
    <x v="0"/>
    <x v="0"/>
    <x v="3"/>
  </r>
  <r>
    <s v="TX1001018"/>
    <x v="174"/>
    <x v="0"/>
    <d v="1899-12-30T14:05:30"/>
    <n v="36.67"/>
    <s v="USD"/>
    <s v="M1214"/>
    <x v="6"/>
    <s v="Australia"/>
    <s v="C71390"/>
    <n v="42"/>
    <s v="F"/>
    <x v="8"/>
    <x v="3"/>
    <s v="Y"/>
    <s v="Success"/>
    <x v="0"/>
    <x v="0"/>
    <x v="2"/>
  </r>
  <r>
    <s v="TX1002108"/>
    <x v="158"/>
    <x v="2"/>
    <d v="1899-12-30T22:11:46"/>
    <n v="36.450000000000003"/>
    <s v="USD"/>
    <s v="M1195"/>
    <x v="6"/>
    <s v="Spain"/>
    <s v="C92446"/>
    <n v="47"/>
    <s v="F"/>
    <x v="8"/>
    <x v="4"/>
    <s v="Y"/>
    <s v="Success"/>
    <x v="0"/>
    <x v="0"/>
    <x v="2"/>
  </r>
  <r>
    <s v="TX1002847"/>
    <x v="166"/>
    <x v="3"/>
    <d v="1899-12-30T06:23:05"/>
    <n v="36.409999999999997"/>
    <s v="USD"/>
    <s v="M1092"/>
    <x v="5"/>
    <s v="Sweden"/>
    <s v="C65215"/>
    <n v="44"/>
    <s v="M"/>
    <x v="9"/>
    <x v="4"/>
    <s v="Y"/>
    <s v="Success"/>
    <x v="0"/>
    <x v="0"/>
    <x v="2"/>
  </r>
  <r>
    <s v="TX1001788"/>
    <x v="26"/>
    <x v="5"/>
    <d v="1899-12-30T08:00:48"/>
    <n v="36.4"/>
    <s v="USD"/>
    <s v="M1610"/>
    <x v="9"/>
    <s v="Nigeria"/>
    <s v="C61940"/>
    <n v="39"/>
    <s v="M"/>
    <x v="12"/>
    <x v="0"/>
    <s v="Y"/>
    <s v="Success"/>
    <x v="0"/>
    <x v="0"/>
    <x v="1"/>
  </r>
  <r>
    <s v="TX1000495"/>
    <x v="57"/>
    <x v="4"/>
    <d v="1899-12-30T07:46:42"/>
    <n v="36.35"/>
    <s v="USD"/>
    <s v="M1545"/>
    <x v="5"/>
    <s v="Sweden"/>
    <s v="C80410"/>
    <n v="55"/>
    <s v="Other"/>
    <x v="13"/>
    <x v="2"/>
    <s v="Y"/>
    <s v="Success"/>
    <x v="0"/>
    <x v="0"/>
    <x v="2"/>
  </r>
  <r>
    <s v="TX1000412"/>
    <x v="149"/>
    <x v="1"/>
    <d v="1899-12-30T06:38:38"/>
    <n v="36.33"/>
    <s v="USD"/>
    <s v="M1078"/>
    <x v="3"/>
    <s v="Poland"/>
    <s v="C99824"/>
    <n v="55"/>
    <s v="M"/>
    <x v="10"/>
    <x v="5"/>
    <s v="Y"/>
    <s v="Success"/>
    <x v="0"/>
    <x v="0"/>
    <x v="2"/>
  </r>
  <r>
    <s v="TX1002663"/>
    <x v="132"/>
    <x v="3"/>
    <d v="1899-12-30T10:51:01"/>
    <n v="36.19"/>
    <s v="USD"/>
    <s v="M1603"/>
    <x v="6"/>
    <s v="Canada"/>
    <s v="C75116"/>
    <n v="32"/>
    <s v="M"/>
    <x v="0"/>
    <x v="2"/>
    <s v="Y"/>
    <s v="Success"/>
    <x v="0"/>
    <x v="0"/>
    <x v="1"/>
  </r>
  <r>
    <s v="TX1001918"/>
    <x v="155"/>
    <x v="5"/>
    <d v="1899-12-30T07:18:32"/>
    <n v="36.159999999999997"/>
    <s v="USD"/>
    <s v="M1227"/>
    <x v="6"/>
    <s v="Nigeria"/>
    <s v="C80399"/>
    <n v="75"/>
    <s v="Other"/>
    <x v="14"/>
    <x v="0"/>
    <s v="Y"/>
    <s v="Success"/>
    <x v="0"/>
    <x v="0"/>
    <x v="3"/>
  </r>
  <r>
    <s v="TX1002232"/>
    <x v="93"/>
    <x v="2"/>
    <d v="1899-12-30T09:34:58"/>
    <n v="36.130000000000003"/>
    <s v="USD"/>
    <s v="M1179"/>
    <x v="3"/>
    <s v="Poland"/>
    <s v="C76715"/>
    <n v="73"/>
    <s v="Other"/>
    <x v="2"/>
    <x v="1"/>
    <s v="Y"/>
    <s v="Success"/>
    <x v="0"/>
    <x v="0"/>
    <x v="3"/>
  </r>
  <r>
    <s v="TX1001257"/>
    <x v="76"/>
    <x v="0"/>
    <d v="1899-12-30T15:11:25"/>
    <n v="35.86"/>
    <s v="USD"/>
    <s v="M1068"/>
    <x v="2"/>
    <s v="United Kingdom"/>
    <s v="C91786"/>
    <n v="39"/>
    <s v="M"/>
    <x v="13"/>
    <x v="4"/>
    <s v="Y"/>
    <s v="Success"/>
    <x v="0"/>
    <x v="0"/>
    <x v="1"/>
  </r>
  <r>
    <s v="TX1001035"/>
    <x v="22"/>
    <x v="0"/>
    <d v="1899-12-30T12:26:18"/>
    <n v="35.85"/>
    <s v="USD"/>
    <s v="M1309"/>
    <x v="8"/>
    <s v="India"/>
    <s v="C83573"/>
    <n v="27"/>
    <s v="M"/>
    <x v="11"/>
    <x v="0"/>
    <s v="Y"/>
    <s v="Success"/>
    <x v="0"/>
    <x v="0"/>
    <x v="1"/>
  </r>
  <r>
    <s v="TX1000038"/>
    <x v="167"/>
    <x v="1"/>
    <d v="1899-12-30T01:39:54"/>
    <n v="35.72"/>
    <s v="USD"/>
    <s v="M1573"/>
    <x v="4"/>
    <s v="South Africa"/>
    <s v="C65194"/>
    <n v="60"/>
    <s v="F"/>
    <x v="13"/>
    <x v="4"/>
    <s v="Y"/>
    <s v="Success"/>
    <x v="0"/>
    <x v="0"/>
    <x v="3"/>
  </r>
  <r>
    <s v="TX1001342"/>
    <x v="74"/>
    <x v="0"/>
    <d v="1899-12-30T12:06:45"/>
    <n v="35.700000000000003"/>
    <s v="USD"/>
    <s v="M1891"/>
    <x v="6"/>
    <s v="Australia"/>
    <s v="C73863"/>
    <n v="39"/>
    <s v="M"/>
    <x v="9"/>
    <x v="1"/>
    <s v="Y"/>
    <s v="Success"/>
    <x v="0"/>
    <x v="0"/>
    <x v="1"/>
  </r>
  <r>
    <s v="TX1000742"/>
    <x v="111"/>
    <x v="4"/>
    <d v="1899-12-30T19:54:48"/>
    <n v="35.659999999999997"/>
    <s v="USD"/>
    <s v="M1187"/>
    <x v="6"/>
    <s v="Netherlands"/>
    <s v="C95146"/>
    <n v="55"/>
    <s v="Other"/>
    <x v="0"/>
    <x v="4"/>
    <s v="Y"/>
    <s v="Success"/>
    <x v="0"/>
    <x v="0"/>
    <x v="2"/>
  </r>
  <r>
    <s v="TX1000883"/>
    <x v="51"/>
    <x v="4"/>
    <d v="1899-12-30T15:05:20"/>
    <n v="35.64"/>
    <s v="USD"/>
    <s v="M1292"/>
    <x v="0"/>
    <s v="Nigeria"/>
    <s v="C62055"/>
    <n v="46"/>
    <s v="Other"/>
    <x v="12"/>
    <x v="2"/>
    <s v="Y"/>
    <s v="Success"/>
    <x v="0"/>
    <x v="0"/>
    <x v="2"/>
  </r>
  <r>
    <s v="TX1002304"/>
    <x v="156"/>
    <x v="2"/>
    <d v="1899-12-30T16:51:23"/>
    <n v="35.630000000000003"/>
    <s v="USD"/>
    <s v="M1196"/>
    <x v="4"/>
    <s v="United Kingdom"/>
    <s v="C81102"/>
    <n v="26"/>
    <s v="Other"/>
    <x v="14"/>
    <x v="0"/>
    <s v="Y"/>
    <s v="Success"/>
    <x v="0"/>
    <x v="0"/>
    <x v="1"/>
  </r>
  <r>
    <s v="TX1000104"/>
    <x v="179"/>
    <x v="1"/>
    <d v="1899-12-30T06:37:41"/>
    <n v="35.590000000000003"/>
    <s v="USD"/>
    <s v="M1438"/>
    <x v="8"/>
    <s v="Canada"/>
    <s v="C67317"/>
    <n v="39"/>
    <s v="F"/>
    <x v="8"/>
    <x v="5"/>
    <s v="Y"/>
    <s v="Success"/>
    <x v="0"/>
    <x v="0"/>
    <x v="1"/>
  </r>
  <r>
    <s v="TX1002662"/>
    <x v="132"/>
    <x v="3"/>
    <d v="1899-12-30T10:50:04"/>
    <n v="35.44"/>
    <s v="USD"/>
    <s v="M1983"/>
    <x v="5"/>
    <s v="United States"/>
    <s v="C62510"/>
    <n v="53"/>
    <s v="F"/>
    <x v="6"/>
    <x v="3"/>
    <s v="Y"/>
    <s v="Success"/>
    <x v="0"/>
    <x v="0"/>
    <x v="2"/>
  </r>
  <r>
    <s v="TX1002268"/>
    <x v="38"/>
    <x v="2"/>
    <d v="1899-12-30T14:04:36"/>
    <n v="35.29"/>
    <s v="USD"/>
    <s v="M1852"/>
    <x v="1"/>
    <s v="France"/>
    <s v="C73409"/>
    <n v="47"/>
    <s v="M"/>
    <x v="14"/>
    <x v="4"/>
    <s v="Y"/>
    <s v="Success"/>
    <x v="0"/>
    <x v="0"/>
    <x v="2"/>
  </r>
  <r>
    <s v="TX1001962"/>
    <x v="78"/>
    <x v="5"/>
    <d v="1899-12-30T19:27:39"/>
    <n v="35.130000000000003"/>
    <s v="USD"/>
    <s v="M1625"/>
    <x v="2"/>
    <s v="France"/>
    <s v="C84196"/>
    <n v="21"/>
    <s v="M"/>
    <x v="2"/>
    <x v="4"/>
    <s v="N"/>
    <s v="Success"/>
    <x v="0"/>
    <x v="0"/>
    <x v="0"/>
  </r>
  <r>
    <s v="TX1000696"/>
    <x v="62"/>
    <x v="4"/>
    <d v="1899-12-30T03:53:08"/>
    <n v="35.08"/>
    <s v="USD"/>
    <s v="M1984"/>
    <x v="4"/>
    <s v="India"/>
    <s v="C80617"/>
    <n v="72"/>
    <s v="M"/>
    <x v="14"/>
    <x v="4"/>
    <s v="Y"/>
    <s v="Success"/>
    <x v="0"/>
    <x v="0"/>
    <x v="3"/>
  </r>
  <r>
    <s v="TX1002836"/>
    <x v="86"/>
    <x v="3"/>
    <d v="1899-12-30T15:32:47"/>
    <n v="34.96"/>
    <s v="USD"/>
    <s v="M1763"/>
    <x v="7"/>
    <s v="South Africa"/>
    <s v="C58958"/>
    <n v="34"/>
    <s v="M"/>
    <x v="5"/>
    <x v="4"/>
    <s v="Y"/>
    <s v="Success"/>
    <x v="0"/>
    <x v="0"/>
    <x v="1"/>
  </r>
  <r>
    <s v="TX1001743"/>
    <x v="175"/>
    <x v="5"/>
    <d v="1899-12-30T04:18:37"/>
    <n v="34.909999999999997"/>
    <s v="USD"/>
    <s v="M1053"/>
    <x v="1"/>
    <s v="Germany"/>
    <s v="C68935"/>
    <n v="24"/>
    <s v="Other"/>
    <x v="6"/>
    <x v="2"/>
    <s v="Y"/>
    <s v="Success"/>
    <x v="0"/>
    <x v="0"/>
    <x v="0"/>
  </r>
  <r>
    <s v="TX1001793"/>
    <x v="26"/>
    <x v="5"/>
    <d v="1899-12-30T15:18:00"/>
    <n v="34.89"/>
    <s v="USD"/>
    <s v="M1433"/>
    <x v="0"/>
    <s v="Poland"/>
    <s v="C66055"/>
    <n v="40"/>
    <s v="M"/>
    <x v="13"/>
    <x v="0"/>
    <s v="Y"/>
    <s v="Success"/>
    <x v="0"/>
    <x v="0"/>
    <x v="2"/>
  </r>
  <r>
    <s v="TX1002218"/>
    <x v="24"/>
    <x v="2"/>
    <d v="1899-12-30T09:44:07"/>
    <n v="34.880000000000003"/>
    <s v="USD"/>
    <s v="M1587"/>
    <x v="6"/>
    <s v="United States"/>
    <s v="C57681"/>
    <n v="57"/>
    <s v="M"/>
    <x v="4"/>
    <x v="5"/>
    <s v="Y"/>
    <s v="Success"/>
    <x v="0"/>
    <x v="0"/>
    <x v="2"/>
  </r>
  <r>
    <s v="TX1001164"/>
    <x v="40"/>
    <x v="0"/>
    <d v="1899-12-30T09:04:52"/>
    <n v="34.85"/>
    <s v="USD"/>
    <s v="M1409"/>
    <x v="1"/>
    <s v="Sweden"/>
    <s v="C75991"/>
    <n v="18"/>
    <s v="Other"/>
    <x v="4"/>
    <x v="3"/>
    <s v="N"/>
    <s v="Success"/>
    <x v="0"/>
    <x v="0"/>
    <x v="0"/>
  </r>
  <r>
    <s v="TX1002538"/>
    <x v="23"/>
    <x v="3"/>
    <d v="1899-12-30T16:24:24"/>
    <n v="34.82"/>
    <s v="USD"/>
    <s v="M1584"/>
    <x v="7"/>
    <s v="South Africa"/>
    <s v="C79500"/>
    <n v="18"/>
    <s v="F"/>
    <x v="7"/>
    <x v="4"/>
    <s v="Y"/>
    <s v="Success"/>
    <x v="0"/>
    <x v="0"/>
    <x v="0"/>
  </r>
  <r>
    <s v="TX1002636"/>
    <x v="11"/>
    <x v="3"/>
    <d v="1899-12-30T11:11:09"/>
    <n v="34.799999999999997"/>
    <s v="USD"/>
    <s v="M1399"/>
    <x v="8"/>
    <s v="Canada"/>
    <s v="C50984"/>
    <n v="67"/>
    <s v="F"/>
    <x v="12"/>
    <x v="1"/>
    <s v="Y"/>
    <s v="Success"/>
    <x v="0"/>
    <x v="0"/>
    <x v="3"/>
  </r>
  <r>
    <s v="TX1002158"/>
    <x v="2"/>
    <x v="2"/>
    <d v="1899-12-30T09:43:07"/>
    <n v="34.71"/>
    <s v="USD"/>
    <s v="M1184"/>
    <x v="0"/>
    <s v="Poland"/>
    <s v="C69809"/>
    <n v="55"/>
    <s v="M"/>
    <x v="0"/>
    <x v="4"/>
    <s v="Y"/>
    <s v="Success"/>
    <x v="0"/>
    <x v="0"/>
    <x v="2"/>
  </r>
  <r>
    <s v="TX1002958"/>
    <x v="118"/>
    <x v="3"/>
    <d v="1899-12-30T18:47:46"/>
    <n v="34.68"/>
    <s v="USD"/>
    <s v="M1719"/>
    <x v="0"/>
    <s v="Norway"/>
    <s v="C96287"/>
    <n v="62"/>
    <s v="Other"/>
    <x v="12"/>
    <x v="2"/>
    <s v="Y"/>
    <s v="Success"/>
    <x v="0"/>
    <x v="0"/>
    <x v="3"/>
  </r>
  <r>
    <s v="TX1001439"/>
    <x v="92"/>
    <x v="0"/>
    <d v="1899-12-30T13:20:58"/>
    <n v="34.61"/>
    <s v="USD"/>
    <s v="M1360"/>
    <x v="2"/>
    <s v="Sweden"/>
    <s v="C76243"/>
    <n v="54"/>
    <s v="Other"/>
    <x v="13"/>
    <x v="5"/>
    <s v="Y"/>
    <s v="Success"/>
    <x v="0"/>
    <x v="0"/>
    <x v="2"/>
  </r>
  <r>
    <s v="TX1002777"/>
    <x v="169"/>
    <x v="3"/>
    <d v="1899-12-30T14:46:27"/>
    <n v="34.61"/>
    <s v="USD"/>
    <s v="M1073"/>
    <x v="3"/>
    <s v="Norway"/>
    <s v="C85311"/>
    <n v="68"/>
    <s v="M"/>
    <x v="5"/>
    <x v="3"/>
    <s v="Y"/>
    <s v="Success"/>
    <x v="0"/>
    <x v="0"/>
    <x v="3"/>
  </r>
  <r>
    <s v="TX1002363"/>
    <x v="77"/>
    <x v="2"/>
    <d v="1899-12-30T12:20:51"/>
    <n v="34.51"/>
    <s v="USD"/>
    <s v="M1382"/>
    <x v="7"/>
    <s v="Sweden"/>
    <s v="C64611"/>
    <n v="56"/>
    <s v="F"/>
    <x v="10"/>
    <x v="2"/>
    <s v="Y"/>
    <s v="Success"/>
    <x v="1"/>
    <x v="1"/>
    <x v="2"/>
  </r>
  <r>
    <s v="TX1002396"/>
    <x v="82"/>
    <x v="2"/>
    <d v="1899-12-30T23:44:37"/>
    <n v="34.5"/>
    <s v="USD"/>
    <s v="M1832"/>
    <x v="2"/>
    <s v="Kenya"/>
    <s v="C58570"/>
    <n v="33"/>
    <s v="F"/>
    <x v="10"/>
    <x v="5"/>
    <s v="Y"/>
    <s v="Success"/>
    <x v="0"/>
    <x v="0"/>
    <x v="1"/>
  </r>
  <r>
    <s v="TX1002774"/>
    <x v="169"/>
    <x v="3"/>
    <d v="1899-12-30T06:03:37"/>
    <n v="34.42"/>
    <s v="USD"/>
    <s v="M1876"/>
    <x v="4"/>
    <s v="Netherlands"/>
    <s v="C88207"/>
    <n v="66"/>
    <s v="Other"/>
    <x v="14"/>
    <x v="4"/>
    <s v="Y"/>
    <s v="Success"/>
    <x v="0"/>
    <x v="0"/>
    <x v="3"/>
  </r>
  <r>
    <s v="TX1001689"/>
    <x v="27"/>
    <x v="5"/>
    <d v="1899-12-30T05:44:49"/>
    <n v="34.380000000000003"/>
    <s v="USD"/>
    <s v="M1234"/>
    <x v="5"/>
    <s v="Canada"/>
    <s v="C90632"/>
    <n v="41"/>
    <s v="Other"/>
    <x v="5"/>
    <x v="0"/>
    <s v="Y"/>
    <s v="Success"/>
    <x v="0"/>
    <x v="0"/>
    <x v="2"/>
  </r>
  <r>
    <s v="TX1000646"/>
    <x v="20"/>
    <x v="4"/>
    <d v="1899-12-30T11:57:21"/>
    <n v="34.340000000000003"/>
    <s v="USD"/>
    <s v="M1600"/>
    <x v="7"/>
    <s v="Netherlands"/>
    <s v="C64860"/>
    <n v="53"/>
    <s v="F"/>
    <x v="13"/>
    <x v="1"/>
    <s v="Y"/>
    <s v="Success"/>
    <x v="0"/>
    <x v="0"/>
    <x v="2"/>
  </r>
  <r>
    <s v="TX1002416"/>
    <x v="46"/>
    <x v="2"/>
    <d v="1899-12-30T05:27:31"/>
    <n v="34.28"/>
    <s v="USD"/>
    <s v="M1656"/>
    <x v="1"/>
    <s v="Germany"/>
    <s v="C81859"/>
    <n v="47"/>
    <s v="F"/>
    <x v="13"/>
    <x v="1"/>
    <s v="Y"/>
    <s v="Success"/>
    <x v="0"/>
    <x v="0"/>
    <x v="2"/>
  </r>
  <r>
    <s v="TX1001540"/>
    <x v="83"/>
    <x v="5"/>
    <d v="1899-12-30T14:57:11"/>
    <n v="34.28"/>
    <s v="USD"/>
    <s v="M1886"/>
    <x v="7"/>
    <s v="United Kingdom"/>
    <s v="C74143"/>
    <n v="54"/>
    <s v="Other"/>
    <x v="14"/>
    <x v="2"/>
    <s v="Y"/>
    <s v="Success"/>
    <x v="0"/>
    <x v="0"/>
    <x v="2"/>
  </r>
  <r>
    <s v="TX1000218"/>
    <x v="31"/>
    <x v="1"/>
    <d v="1899-12-30T20:24:28"/>
    <n v="34.11"/>
    <s v="USD"/>
    <s v="M1292"/>
    <x v="3"/>
    <s v="United States"/>
    <s v="C96406"/>
    <n v="33"/>
    <s v="M"/>
    <x v="1"/>
    <x v="1"/>
    <s v="Y"/>
    <s v="Success"/>
    <x v="0"/>
    <x v="0"/>
    <x v="1"/>
  </r>
  <r>
    <s v="TX1000115"/>
    <x v="179"/>
    <x v="1"/>
    <d v="1899-12-30T23:11:54"/>
    <n v="34"/>
    <s v="USD"/>
    <s v="M1183"/>
    <x v="2"/>
    <s v="Australia"/>
    <s v="C93215"/>
    <n v="40"/>
    <s v="M"/>
    <x v="11"/>
    <x v="2"/>
    <s v="Y"/>
    <s v="Success"/>
    <x v="0"/>
    <x v="0"/>
    <x v="2"/>
  </r>
  <r>
    <s v="TX1002433"/>
    <x v="46"/>
    <x v="2"/>
    <d v="1899-12-30T23:06:02"/>
    <n v="33.93"/>
    <s v="USD"/>
    <s v="M1787"/>
    <x v="4"/>
    <s v="Nigeria"/>
    <s v="C58056"/>
    <n v="52"/>
    <s v="M"/>
    <x v="7"/>
    <x v="2"/>
    <s v="Y"/>
    <s v="Success"/>
    <x v="0"/>
    <x v="0"/>
    <x v="2"/>
  </r>
  <r>
    <s v="TX1002197"/>
    <x v="64"/>
    <x v="2"/>
    <d v="1899-12-30T11:09:46"/>
    <n v="33.92"/>
    <s v="USD"/>
    <s v="M1254"/>
    <x v="2"/>
    <s v="Nigeria"/>
    <s v="C59575"/>
    <n v="35"/>
    <s v="M"/>
    <x v="0"/>
    <x v="5"/>
    <s v="Y"/>
    <s v="Success"/>
    <x v="0"/>
    <x v="0"/>
    <x v="1"/>
  </r>
  <r>
    <s v="TX1002833"/>
    <x v="86"/>
    <x v="3"/>
    <d v="1899-12-30T13:36:55"/>
    <n v="33.909999999999997"/>
    <s v="USD"/>
    <s v="M1548"/>
    <x v="8"/>
    <s v="South Africa"/>
    <s v="C76512"/>
    <n v="68"/>
    <s v="Other"/>
    <x v="1"/>
    <x v="0"/>
    <s v="Y"/>
    <s v="Success"/>
    <x v="0"/>
    <x v="0"/>
    <x v="3"/>
  </r>
  <r>
    <s v="TX1000015"/>
    <x v="146"/>
    <x v="1"/>
    <d v="1899-12-30T18:59:28"/>
    <n v="33.74"/>
    <s v="USD"/>
    <s v="M1696"/>
    <x v="6"/>
    <s v="Netherlands"/>
    <s v="C88217"/>
    <n v="21"/>
    <s v="F"/>
    <x v="5"/>
    <x v="0"/>
    <s v="Y"/>
    <s v="Success"/>
    <x v="0"/>
    <x v="0"/>
    <x v="0"/>
  </r>
  <r>
    <s v="TX1002421"/>
    <x v="46"/>
    <x v="2"/>
    <d v="1899-12-30T10:40:48"/>
    <n v="33.69"/>
    <s v="USD"/>
    <s v="M1422"/>
    <x v="3"/>
    <s v="India"/>
    <s v="C69331"/>
    <n v="39"/>
    <s v="Other"/>
    <x v="1"/>
    <x v="1"/>
    <s v="Y"/>
    <s v="Success"/>
    <x v="0"/>
    <x v="0"/>
    <x v="1"/>
  </r>
  <r>
    <s v="TX1000408"/>
    <x v="149"/>
    <x v="1"/>
    <d v="1899-12-30T01:12:35"/>
    <n v="33.68"/>
    <s v="USD"/>
    <s v="M1890"/>
    <x v="2"/>
    <s v="Poland"/>
    <s v="C56688"/>
    <n v="33"/>
    <s v="M"/>
    <x v="0"/>
    <x v="2"/>
    <s v="Y"/>
    <s v="Success"/>
    <x v="0"/>
    <x v="0"/>
    <x v="1"/>
  </r>
  <r>
    <s v="TX1000692"/>
    <x v="62"/>
    <x v="4"/>
    <d v="1899-12-30T01:45:41"/>
    <n v="33.68"/>
    <s v="USD"/>
    <s v="M1683"/>
    <x v="0"/>
    <s v="Nigeria"/>
    <s v="C89347"/>
    <n v="21"/>
    <s v="M"/>
    <x v="9"/>
    <x v="2"/>
    <s v="Y"/>
    <s v="Success"/>
    <x v="0"/>
    <x v="0"/>
    <x v="0"/>
  </r>
  <r>
    <s v="TX1000049"/>
    <x v="167"/>
    <x v="1"/>
    <d v="1899-12-30T16:14:15"/>
    <n v="33.659999999999997"/>
    <s v="USD"/>
    <s v="M1766"/>
    <x v="3"/>
    <s v="Spain"/>
    <s v="C76981"/>
    <n v="75"/>
    <s v="M"/>
    <x v="5"/>
    <x v="4"/>
    <s v="Y"/>
    <s v="Success"/>
    <x v="0"/>
    <x v="0"/>
    <x v="3"/>
  </r>
  <r>
    <s v="TX1000236"/>
    <x v="88"/>
    <x v="1"/>
    <d v="1899-12-30T13:48:11"/>
    <n v="33.659999999999997"/>
    <s v="USD"/>
    <s v="M1398"/>
    <x v="1"/>
    <s v="Sweden"/>
    <s v="C57168"/>
    <n v="52"/>
    <s v="Other"/>
    <x v="10"/>
    <x v="2"/>
    <s v="Y"/>
    <s v="Success"/>
    <x v="0"/>
    <x v="0"/>
    <x v="2"/>
  </r>
  <r>
    <s v="TX1000818"/>
    <x v="91"/>
    <x v="4"/>
    <d v="1899-12-30T13:10:09"/>
    <n v="33.56"/>
    <s v="USD"/>
    <s v="M1025"/>
    <x v="0"/>
    <s v="Nigeria"/>
    <s v="C72376"/>
    <n v="46"/>
    <s v="F"/>
    <x v="10"/>
    <x v="5"/>
    <s v="Y"/>
    <s v="Success"/>
    <x v="0"/>
    <x v="0"/>
    <x v="2"/>
  </r>
  <r>
    <s v="TX1002456"/>
    <x v="154"/>
    <x v="2"/>
    <d v="1899-12-30T04:25:29"/>
    <n v="33.44"/>
    <s v="USD"/>
    <s v="M1277"/>
    <x v="9"/>
    <s v="Canada"/>
    <s v="C57450"/>
    <n v="32"/>
    <s v="M"/>
    <x v="13"/>
    <x v="2"/>
    <s v="Y"/>
    <s v="Success"/>
    <x v="0"/>
    <x v="0"/>
    <x v="1"/>
  </r>
  <r>
    <s v="TX1002878"/>
    <x v="144"/>
    <x v="3"/>
    <d v="1899-12-30T05:35:30"/>
    <n v="33.43"/>
    <s v="USD"/>
    <s v="M1574"/>
    <x v="8"/>
    <s v="South Africa"/>
    <s v="C61836"/>
    <n v="22"/>
    <s v="F"/>
    <x v="6"/>
    <x v="4"/>
    <s v="Y"/>
    <s v="Success"/>
    <x v="0"/>
    <x v="0"/>
    <x v="0"/>
  </r>
  <r>
    <s v="TX1000583"/>
    <x v="36"/>
    <x v="4"/>
    <d v="1899-12-30T20:42:51"/>
    <n v="33.42"/>
    <s v="USD"/>
    <s v="M1979"/>
    <x v="9"/>
    <s v="India"/>
    <s v="C53435"/>
    <n v="38"/>
    <s v="Other"/>
    <x v="13"/>
    <x v="0"/>
    <s v="Y"/>
    <s v="Success"/>
    <x v="0"/>
    <x v="0"/>
    <x v="1"/>
  </r>
  <r>
    <s v="TX1000298"/>
    <x v="55"/>
    <x v="1"/>
    <d v="1899-12-30T20:17:41"/>
    <n v="33.29"/>
    <s v="USD"/>
    <s v="M1043"/>
    <x v="1"/>
    <s v="United Kingdom"/>
    <s v="C50242"/>
    <n v="31"/>
    <s v="M"/>
    <x v="10"/>
    <x v="3"/>
    <s v="Y"/>
    <s v="Success"/>
    <x v="0"/>
    <x v="0"/>
    <x v="1"/>
  </r>
  <r>
    <s v="TX1000169"/>
    <x v="6"/>
    <x v="1"/>
    <d v="1899-12-30T05:23:53"/>
    <n v="33.26"/>
    <s v="USD"/>
    <s v="M1787"/>
    <x v="9"/>
    <s v="Nigeria"/>
    <s v="C70189"/>
    <n v="58"/>
    <s v="M"/>
    <x v="6"/>
    <x v="5"/>
    <s v="Y"/>
    <s v="Success"/>
    <x v="0"/>
    <x v="0"/>
    <x v="2"/>
  </r>
  <r>
    <s v="TX1000723"/>
    <x v="106"/>
    <x v="4"/>
    <d v="1899-12-30T22:23:37"/>
    <n v="33.15"/>
    <s v="USD"/>
    <s v="M1020"/>
    <x v="2"/>
    <s v="France"/>
    <s v="C67107"/>
    <n v="49"/>
    <s v="Other"/>
    <x v="8"/>
    <x v="3"/>
    <s v="Y"/>
    <s v="Success"/>
    <x v="0"/>
    <x v="0"/>
    <x v="2"/>
  </r>
  <r>
    <s v="TX1000836"/>
    <x v="114"/>
    <x v="4"/>
    <d v="1899-12-30T07:42:47"/>
    <n v="33.06"/>
    <s v="USD"/>
    <s v="M1306"/>
    <x v="6"/>
    <s v="India"/>
    <s v="C70579"/>
    <n v="53"/>
    <s v="Other"/>
    <x v="4"/>
    <x v="1"/>
    <s v="Y"/>
    <s v="Success"/>
    <x v="0"/>
    <x v="0"/>
    <x v="2"/>
  </r>
  <r>
    <s v="TX1002429"/>
    <x v="46"/>
    <x v="2"/>
    <d v="1899-12-30T18:17:27"/>
    <n v="33.06"/>
    <s v="USD"/>
    <s v="M1580"/>
    <x v="8"/>
    <s v="Sweden"/>
    <s v="C71851"/>
    <n v="73"/>
    <s v="Other"/>
    <x v="13"/>
    <x v="4"/>
    <s v="Y"/>
    <s v="Success"/>
    <x v="1"/>
    <x v="1"/>
    <x v="3"/>
  </r>
  <r>
    <s v="TX1000333"/>
    <x v="95"/>
    <x v="1"/>
    <d v="1899-12-30T20:10:31"/>
    <n v="32.89"/>
    <s v="USD"/>
    <s v="M1784"/>
    <x v="8"/>
    <s v="United Kingdom"/>
    <s v="C97131"/>
    <n v="25"/>
    <s v="Other"/>
    <x v="5"/>
    <x v="0"/>
    <s v="Y"/>
    <s v="Success"/>
    <x v="0"/>
    <x v="0"/>
    <x v="1"/>
  </r>
  <r>
    <s v="TX1002281"/>
    <x v="79"/>
    <x v="2"/>
    <d v="1899-12-30T07:34:53"/>
    <n v="32.86"/>
    <s v="USD"/>
    <s v="M1419"/>
    <x v="2"/>
    <s v="Australia"/>
    <s v="C58611"/>
    <n v="25"/>
    <s v="F"/>
    <x v="13"/>
    <x v="0"/>
    <s v="Y"/>
    <s v="Success"/>
    <x v="0"/>
    <x v="0"/>
    <x v="1"/>
  </r>
  <r>
    <s v="TX1002949"/>
    <x v="118"/>
    <x v="3"/>
    <d v="1899-12-30T03:52:39"/>
    <n v="32.54"/>
    <s v="USD"/>
    <s v="M1352"/>
    <x v="2"/>
    <s v="Canada"/>
    <s v="C97337"/>
    <n v="35"/>
    <s v="M"/>
    <x v="8"/>
    <x v="3"/>
    <s v="Y"/>
    <s v="Success"/>
    <x v="0"/>
    <x v="0"/>
    <x v="1"/>
  </r>
  <r>
    <s v="TX1002997"/>
    <x v="99"/>
    <x v="3"/>
    <d v="1899-12-30T07:04:36"/>
    <n v="32.4"/>
    <s v="USD"/>
    <s v="M1730"/>
    <x v="3"/>
    <s v="Norway"/>
    <s v="C62830"/>
    <n v="70"/>
    <s v="F"/>
    <x v="8"/>
    <x v="2"/>
    <s v="Y"/>
    <s v="Success"/>
    <x v="0"/>
    <x v="0"/>
    <x v="3"/>
  </r>
  <r>
    <s v="TX1000060"/>
    <x v="85"/>
    <x v="1"/>
    <d v="1899-12-30T15:03:23"/>
    <n v="32.369999999999997"/>
    <s v="USD"/>
    <s v="M1713"/>
    <x v="2"/>
    <s v="Kenya"/>
    <s v="C64091"/>
    <n v="33"/>
    <s v="F"/>
    <x v="13"/>
    <x v="0"/>
    <s v="Y"/>
    <s v="Success"/>
    <x v="0"/>
    <x v="0"/>
    <x v="1"/>
  </r>
  <r>
    <s v="TX1000180"/>
    <x v="6"/>
    <x v="1"/>
    <d v="1899-12-30T20:54:23"/>
    <n v="32.340000000000003"/>
    <s v="USD"/>
    <s v="M1981"/>
    <x v="2"/>
    <s v="Canada"/>
    <s v="C83689"/>
    <n v="35"/>
    <s v="M"/>
    <x v="8"/>
    <x v="1"/>
    <s v="Y"/>
    <s v="Success"/>
    <x v="0"/>
    <x v="0"/>
    <x v="1"/>
  </r>
  <r>
    <s v="TX1002065"/>
    <x v="33"/>
    <x v="2"/>
    <d v="1899-12-30T18:21:37"/>
    <n v="32.32"/>
    <s v="USD"/>
    <s v="M1764"/>
    <x v="4"/>
    <s v="Poland"/>
    <s v="C80654"/>
    <n v="45"/>
    <s v="M"/>
    <x v="0"/>
    <x v="5"/>
    <s v="Y"/>
    <s v="Success"/>
    <x v="0"/>
    <x v="0"/>
    <x v="2"/>
  </r>
  <r>
    <s v="TX1000303"/>
    <x v="157"/>
    <x v="1"/>
    <d v="1899-12-30T08:26:06"/>
    <n v="32.28"/>
    <s v="USD"/>
    <s v="M1086"/>
    <x v="3"/>
    <s v="Sweden"/>
    <s v="C55506"/>
    <n v="20"/>
    <s v="F"/>
    <x v="3"/>
    <x v="0"/>
    <s v="Y"/>
    <s v="Success"/>
    <x v="0"/>
    <x v="0"/>
    <x v="0"/>
  </r>
  <r>
    <s v="TX1000858"/>
    <x v="12"/>
    <x v="4"/>
    <d v="1899-12-30T14:14:13"/>
    <n v="32.25"/>
    <s v="USD"/>
    <s v="M1870"/>
    <x v="3"/>
    <s v="India"/>
    <s v="C61330"/>
    <n v="60"/>
    <s v="M"/>
    <x v="8"/>
    <x v="1"/>
    <s v="Y"/>
    <s v="Success"/>
    <x v="0"/>
    <x v="0"/>
    <x v="3"/>
  </r>
  <r>
    <s v="TX1002911"/>
    <x v="96"/>
    <x v="3"/>
    <d v="1899-12-30T01:59:49"/>
    <n v="32.22"/>
    <s v="USD"/>
    <s v="M1427"/>
    <x v="9"/>
    <s v="Kenya"/>
    <s v="C66115"/>
    <n v="73"/>
    <s v="Other"/>
    <x v="4"/>
    <x v="0"/>
    <s v="Y"/>
    <s v="Success"/>
    <x v="0"/>
    <x v="0"/>
    <x v="3"/>
  </r>
  <r>
    <s v="TX1000952"/>
    <x v="164"/>
    <x v="4"/>
    <d v="1899-12-30T18:47:32"/>
    <n v="32.1"/>
    <s v="USD"/>
    <s v="M1746"/>
    <x v="2"/>
    <s v="Norway"/>
    <s v="C86047"/>
    <n v="56"/>
    <s v="M"/>
    <x v="5"/>
    <x v="2"/>
    <s v="Y"/>
    <s v="Success"/>
    <x v="0"/>
    <x v="0"/>
    <x v="2"/>
  </r>
  <r>
    <s v="TX1000986"/>
    <x v="102"/>
    <x v="0"/>
    <d v="1899-12-30T17:45:47"/>
    <n v="32.06"/>
    <s v="USD"/>
    <s v="M1900"/>
    <x v="9"/>
    <s v="United Kingdom"/>
    <s v="C52037"/>
    <n v="75"/>
    <s v="M"/>
    <x v="10"/>
    <x v="5"/>
    <s v="Y"/>
    <s v="Success"/>
    <x v="0"/>
    <x v="0"/>
    <x v="3"/>
  </r>
  <r>
    <s v="TX1001642"/>
    <x v="143"/>
    <x v="5"/>
    <d v="1899-12-30T10:42:26"/>
    <n v="32.01"/>
    <s v="USD"/>
    <s v="M1441"/>
    <x v="4"/>
    <s v="Nigeria"/>
    <s v="C89817"/>
    <n v="61"/>
    <s v="M"/>
    <x v="14"/>
    <x v="0"/>
    <s v="Y"/>
    <s v="Success"/>
    <x v="0"/>
    <x v="0"/>
    <x v="3"/>
  </r>
  <r>
    <s v="TX1002487"/>
    <x v="19"/>
    <x v="2"/>
    <d v="1899-12-30T21:57:09"/>
    <n v="31.68"/>
    <s v="USD"/>
    <s v="M1369"/>
    <x v="1"/>
    <s v="Canada"/>
    <s v="C79644"/>
    <n v="38"/>
    <s v="M"/>
    <x v="13"/>
    <x v="0"/>
    <s v="Y"/>
    <s v="Success"/>
    <x v="0"/>
    <x v="0"/>
    <x v="1"/>
  </r>
  <r>
    <s v="TX1000361"/>
    <x v="1"/>
    <x v="1"/>
    <d v="1899-12-30T16:06:26"/>
    <n v="31.58"/>
    <s v="USD"/>
    <s v="M1428"/>
    <x v="0"/>
    <s v="Netherlands"/>
    <s v="C66549"/>
    <n v="53"/>
    <s v="F"/>
    <x v="0"/>
    <x v="1"/>
    <s v="Y"/>
    <s v="Success"/>
    <x v="0"/>
    <x v="0"/>
    <x v="2"/>
  </r>
  <r>
    <s v="TX1001864"/>
    <x v="117"/>
    <x v="5"/>
    <d v="1899-12-30T01:42:51"/>
    <n v="31.51"/>
    <s v="USD"/>
    <s v="M1969"/>
    <x v="6"/>
    <s v="Netherlands"/>
    <s v="C89737"/>
    <n v="45"/>
    <s v="Other"/>
    <x v="6"/>
    <x v="4"/>
    <s v="Y"/>
    <s v="Success"/>
    <x v="0"/>
    <x v="0"/>
    <x v="2"/>
  </r>
  <r>
    <s v="TX1000631"/>
    <x v="65"/>
    <x v="4"/>
    <d v="1899-12-30T14:08:11"/>
    <n v="31.5"/>
    <s v="USD"/>
    <s v="M1555"/>
    <x v="0"/>
    <s v="France"/>
    <s v="C77043"/>
    <n v="23"/>
    <s v="M"/>
    <x v="5"/>
    <x v="0"/>
    <s v="Y"/>
    <s v="Success"/>
    <x v="0"/>
    <x v="0"/>
    <x v="0"/>
  </r>
  <r>
    <s v="TX1002946"/>
    <x v="45"/>
    <x v="3"/>
    <d v="1899-12-30T23:47:40"/>
    <n v="31.22"/>
    <s v="USD"/>
    <s v="M1528"/>
    <x v="2"/>
    <s v="Kenya"/>
    <s v="C87512"/>
    <n v="48"/>
    <s v="Other"/>
    <x v="7"/>
    <x v="5"/>
    <s v="Y"/>
    <s v="Success"/>
    <x v="0"/>
    <x v="0"/>
    <x v="2"/>
  </r>
  <r>
    <s v="TX1000798"/>
    <x v="110"/>
    <x v="4"/>
    <d v="1899-12-30T17:13:56"/>
    <n v="31.14"/>
    <s v="USD"/>
    <s v="M1402"/>
    <x v="1"/>
    <s v="United Kingdom"/>
    <s v="C58918"/>
    <n v="15"/>
    <s v="F"/>
    <x v="2"/>
    <x v="0"/>
    <s v="Y"/>
    <s v="Success"/>
    <x v="0"/>
    <x v="0"/>
    <x v="0"/>
  </r>
  <r>
    <s v="TX1001463"/>
    <x v="61"/>
    <x v="0"/>
    <d v="1899-12-30T14:50:16"/>
    <n v="31.12"/>
    <s v="USD"/>
    <s v="M1034"/>
    <x v="9"/>
    <s v="Canada"/>
    <s v="C71038"/>
    <n v="56"/>
    <s v="F"/>
    <x v="0"/>
    <x v="4"/>
    <s v="Y"/>
    <s v="Success"/>
    <x v="0"/>
    <x v="0"/>
    <x v="2"/>
  </r>
  <r>
    <s v="TX1002009"/>
    <x v="126"/>
    <x v="2"/>
    <d v="1899-12-30T20:12:22"/>
    <n v="31.02"/>
    <s v="USD"/>
    <s v="M1006"/>
    <x v="1"/>
    <s v="Germany"/>
    <s v="C57362"/>
    <n v="29"/>
    <s v="F"/>
    <x v="5"/>
    <x v="1"/>
    <s v="Y"/>
    <s v="Success"/>
    <x v="0"/>
    <x v="0"/>
    <x v="1"/>
  </r>
  <r>
    <s v="TX1002223"/>
    <x v="24"/>
    <x v="2"/>
    <d v="1899-12-30T15:58:37"/>
    <n v="30.93"/>
    <s v="USD"/>
    <s v="M1227"/>
    <x v="5"/>
    <s v="Spain"/>
    <s v="C60774"/>
    <n v="35"/>
    <s v="F"/>
    <x v="4"/>
    <x v="0"/>
    <s v="Y"/>
    <s v="Success"/>
    <x v="0"/>
    <x v="0"/>
    <x v="1"/>
  </r>
  <r>
    <s v="TX1001747"/>
    <x v="175"/>
    <x v="5"/>
    <d v="1899-12-30T10:17:49"/>
    <n v="30.74"/>
    <s v="USD"/>
    <s v="M1254"/>
    <x v="5"/>
    <s v="United Kingdom"/>
    <s v="C81947"/>
    <n v="74"/>
    <s v="Other"/>
    <x v="11"/>
    <x v="0"/>
    <s v="N"/>
    <s v="Success"/>
    <x v="0"/>
    <x v="0"/>
    <x v="3"/>
  </r>
  <r>
    <s v="TX1002067"/>
    <x v="33"/>
    <x v="2"/>
    <d v="1899-12-30T19:58:52"/>
    <n v="30.66"/>
    <s v="USD"/>
    <s v="M1917"/>
    <x v="8"/>
    <s v="Kenya"/>
    <s v="C94699"/>
    <n v="23"/>
    <s v="Other"/>
    <x v="14"/>
    <x v="0"/>
    <s v="Y"/>
    <s v="Success"/>
    <x v="0"/>
    <x v="0"/>
    <x v="0"/>
  </r>
  <r>
    <s v="TX1001355"/>
    <x v="50"/>
    <x v="0"/>
    <d v="1899-12-30T02:01:46"/>
    <n v="30.61"/>
    <s v="USD"/>
    <s v="M1116"/>
    <x v="1"/>
    <s v="Germany"/>
    <s v="C54826"/>
    <n v="68"/>
    <s v="F"/>
    <x v="7"/>
    <x v="1"/>
    <s v="Y"/>
    <s v="Success"/>
    <x v="0"/>
    <x v="0"/>
    <x v="3"/>
  </r>
  <r>
    <s v="TX1001296"/>
    <x v="125"/>
    <x v="0"/>
    <d v="1899-12-30T19:30:04"/>
    <n v="30.61"/>
    <s v="USD"/>
    <s v="M1570"/>
    <x v="7"/>
    <s v="Canada"/>
    <s v="C88921"/>
    <n v="43"/>
    <s v="Other"/>
    <x v="6"/>
    <x v="2"/>
    <s v="Y"/>
    <s v="Success"/>
    <x v="0"/>
    <x v="0"/>
    <x v="2"/>
  </r>
  <r>
    <s v="TX1002496"/>
    <x v="28"/>
    <x v="2"/>
    <d v="1899-12-30T10:42:32"/>
    <n v="30.56"/>
    <s v="USD"/>
    <s v="M1095"/>
    <x v="3"/>
    <s v="Poland"/>
    <s v="C93601"/>
    <n v="41"/>
    <s v="Other"/>
    <x v="3"/>
    <x v="0"/>
    <s v="Y"/>
    <s v="Success"/>
    <x v="0"/>
    <x v="0"/>
    <x v="2"/>
  </r>
  <r>
    <s v="TX1001805"/>
    <x v="133"/>
    <x v="5"/>
    <d v="1899-12-30T12:17:46"/>
    <n v="30.43"/>
    <s v="USD"/>
    <s v="M1440"/>
    <x v="3"/>
    <s v="Canada"/>
    <s v="C57500"/>
    <n v="96"/>
    <s v="F"/>
    <x v="12"/>
    <x v="5"/>
    <s v="Y"/>
    <s v="Success"/>
    <x v="0"/>
    <x v="0"/>
    <x v="3"/>
  </r>
  <r>
    <s v="TX1001356"/>
    <x v="50"/>
    <x v="0"/>
    <d v="1899-12-30T03:41:46"/>
    <n v="30.35"/>
    <s v="USD"/>
    <s v="M1014"/>
    <x v="4"/>
    <s v="France"/>
    <s v="C51944"/>
    <n v="28"/>
    <s v="M"/>
    <x v="0"/>
    <x v="0"/>
    <s v="Y"/>
    <s v="Success"/>
    <x v="0"/>
    <x v="0"/>
    <x v="1"/>
  </r>
  <r>
    <s v="TX1001859"/>
    <x v="15"/>
    <x v="5"/>
    <d v="1899-12-30T18:00:00"/>
    <n v="30.23"/>
    <s v="USD"/>
    <s v="M1434"/>
    <x v="8"/>
    <s v="France"/>
    <s v="C62342"/>
    <n v="66"/>
    <s v="F"/>
    <x v="7"/>
    <x v="1"/>
    <s v="Y"/>
    <s v="Success"/>
    <x v="0"/>
    <x v="0"/>
    <x v="3"/>
  </r>
  <r>
    <s v="TX1001365"/>
    <x v="50"/>
    <x v="0"/>
    <d v="1899-12-30T19:11:47"/>
    <n v="30.18"/>
    <s v="USD"/>
    <s v="M1724"/>
    <x v="4"/>
    <s v="Germany"/>
    <s v="C57833"/>
    <n v="13"/>
    <s v="F"/>
    <x v="6"/>
    <x v="3"/>
    <s v="Y"/>
    <s v="Success"/>
    <x v="0"/>
    <x v="0"/>
    <x v="0"/>
  </r>
  <r>
    <s v="TX1001165"/>
    <x v="40"/>
    <x v="0"/>
    <d v="1899-12-30T13:20:24"/>
    <n v="30.09"/>
    <s v="USD"/>
    <s v="M1098"/>
    <x v="9"/>
    <s v="India"/>
    <s v="C65963"/>
    <n v="22"/>
    <s v="M"/>
    <x v="9"/>
    <x v="1"/>
    <s v="Y"/>
    <s v="Success"/>
    <x v="0"/>
    <x v="0"/>
    <x v="0"/>
  </r>
  <r>
    <s v="TX1002390"/>
    <x v="82"/>
    <x v="2"/>
    <d v="1899-12-30T12:54:33"/>
    <n v="29.91"/>
    <s v="USD"/>
    <s v="M1135"/>
    <x v="0"/>
    <s v="South Africa"/>
    <s v="C84042"/>
    <n v="43"/>
    <s v="M"/>
    <x v="3"/>
    <x v="0"/>
    <s v="Y"/>
    <s v="Success"/>
    <x v="0"/>
    <x v="0"/>
    <x v="2"/>
  </r>
  <r>
    <s v="TX1001174"/>
    <x v="120"/>
    <x v="0"/>
    <d v="1899-12-30T02:26:18"/>
    <n v="29.85"/>
    <s v="USD"/>
    <s v="M1608"/>
    <x v="7"/>
    <s v="Poland"/>
    <s v="C92195"/>
    <n v="56"/>
    <s v="M"/>
    <x v="12"/>
    <x v="4"/>
    <s v="Y"/>
    <s v="Success"/>
    <x v="0"/>
    <x v="0"/>
    <x v="2"/>
  </r>
  <r>
    <s v="TX1000297"/>
    <x v="55"/>
    <x v="1"/>
    <d v="1899-12-30T17:21:22"/>
    <n v="29.78"/>
    <s v="USD"/>
    <s v="M1838"/>
    <x v="0"/>
    <s v="Norway"/>
    <s v="C53578"/>
    <n v="30"/>
    <s v="M"/>
    <x v="2"/>
    <x v="5"/>
    <s v="Y"/>
    <s v="Success"/>
    <x v="0"/>
    <x v="0"/>
    <x v="1"/>
  </r>
  <r>
    <s v="TX1000110"/>
    <x v="179"/>
    <x v="1"/>
    <d v="1899-12-30T15:38:28"/>
    <n v="29.67"/>
    <s v="USD"/>
    <s v="M1814"/>
    <x v="5"/>
    <s v="Kenya"/>
    <s v="C86275"/>
    <n v="54"/>
    <s v="Other"/>
    <x v="13"/>
    <x v="0"/>
    <s v="Y"/>
    <s v="Success"/>
    <x v="0"/>
    <x v="0"/>
    <x v="2"/>
  </r>
  <r>
    <s v="TX1002276"/>
    <x v="38"/>
    <x v="2"/>
    <d v="1899-12-30T22:54:19"/>
    <n v="29.49"/>
    <s v="USD"/>
    <s v="M1695"/>
    <x v="5"/>
    <s v="India"/>
    <s v="C58503"/>
    <n v="53"/>
    <s v="M"/>
    <x v="10"/>
    <x v="3"/>
    <s v="Y"/>
    <s v="Success"/>
    <x v="0"/>
    <x v="0"/>
    <x v="2"/>
  </r>
  <r>
    <s v="TX1002134"/>
    <x v="135"/>
    <x v="2"/>
    <d v="1899-12-30T10:37:20"/>
    <n v="29.42"/>
    <s v="USD"/>
    <s v="M1917"/>
    <x v="0"/>
    <s v="Kenya"/>
    <s v="C92425"/>
    <n v="65"/>
    <s v="F"/>
    <x v="7"/>
    <x v="2"/>
    <s v="Y"/>
    <s v="Success"/>
    <x v="0"/>
    <x v="0"/>
    <x v="3"/>
  </r>
  <r>
    <s v="TX1000111"/>
    <x v="179"/>
    <x v="1"/>
    <d v="1899-12-30T16:00:02"/>
    <n v="29.35"/>
    <s v="USD"/>
    <s v="M1631"/>
    <x v="8"/>
    <s v="United Kingdom"/>
    <s v="C57511"/>
    <n v="72"/>
    <s v="Other"/>
    <x v="10"/>
    <x v="3"/>
    <s v="Y"/>
    <s v="Success"/>
    <x v="0"/>
    <x v="0"/>
    <x v="3"/>
  </r>
  <r>
    <s v="TX1000852"/>
    <x v="12"/>
    <x v="4"/>
    <d v="1899-12-30T09:56:21"/>
    <n v="29.28"/>
    <s v="USD"/>
    <s v="M1260"/>
    <x v="6"/>
    <s v="United Kingdom"/>
    <s v="C86540"/>
    <n v="36"/>
    <s v="M"/>
    <x v="5"/>
    <x v="4"/>
    <s v="Y"/>
    <s v="Success"/>
    <x v="0"/>
    <x v="0"/>
    <x v="1"/>
  </r>
  <r>
    <s v="TX1002688"/>
    <x v="89"/>
    <x v="3"/>
    <d v="1899-12-30T13:44:49"/>
    <n v="29.23"/>
    <s v="USD"/>
    <s v="M1366"/>
    <x v="7"/>
    <s v="United States"/>
    <s v="C60907"/>
    <n v="69"/>
    <s v="Other"/>
    <x v="7"/>
    <x v="3"/>
    <s v="Y"/>
    <s v="Success"/>
    <x v="0"/>
    <x v="0"/>
    <x v="3"/>
  </r>
  <r>
    <s v="TX1000037"/>
    <x v="109"/>
    <x v="1"/>
    <d v="1899-12-30T21:03:50"/>
    <n v="29.19"/>
    <s v="USD"/>
    <s v="M1466"/>
    <x v="6"/>
    <s v="Canada"/>
    <s v="C81649"/>
    <n v="46"/>
    <s v="F"/>
    <x v="6"/>
    <x v="1"/>
    <s v="Y"/>
    <s v="Success"/>
    <x v="0"/>
    <x v="0"/>
    <x v="2"/>
  </r>
  <r>
    <s v="TX1001134"/>
    <x v="3"/>
    <x v="0"/>
    <d v="1899-12-30T12:23:10"/>
    <n v="29.11"/>
    <s v="USD"/>
    <s v="M1088"/>
    <x v="8"/>
    <s v="Poland"/>
    <s v="C98908"/>
    <n v="19"/>
    <s v="Other"/>
    <x v="4"/>
    <x v="1"/>
    <s v="Y"/>
    <s v="Success"/>
    <x v="0"/>
    <x v="0"/>
    <x v="0"/>
  </r>
  <r>
    <s v="TX1001905"/>
    <x v="147"/>
    <x v="5"/>
    <d v="1899-12-30T16:54:38"/>
    <n v="29"/>
    <s v="USD"/>
    <s v="M1270"/>
    <x v="7"/>
    <s v="Netherlands"/>
    <s v="C50521"/>
    <n v="56"/>
    <s v="F"/>
    <x v="11"/>
    <x v="3"/>
    <s v="Y"/>
    <s v="Success"/>
    <x v="0"/>
    <x v="0"/>
    <x v="2"/>
  </r>
  <r>
    <s v="TX1001554"/>
    <x v="145"/>
    <x v="5"/>
    <d v="1899-12-30T20:25:10"/>
    <n v="28.96"/>
    <s v="USD"/>
    <s v="M1962"/>
    <x v="2"/>
    <s v="Sweden"/>
    <s v="C54413"/>
    <n v="38"/>
    <s v="Other"/>
    <x v="6"/>
    <x v="2"/>
    <s v="Y"/>
    <s v="Success"/>
    <x v="0"/>
    <x v="0"/>
    <x v="1"/>
  </r>
  <r>
    <s v="TX1000613"/>
    <x v="159"/>
    <x v="4"/>
    <d v="1899-12-30T05:21:29"/>
    <n v="28.81"/>
    <s v="USD"/>
    <s v="M1778"/>
    <x v="9"/>
    <s v="Kenya"/>
    <s v="C54605"/>
    <n v="68"/>
    <s v="M"/>
    <x v="0"/>
    <x v="3"/>
    <s v="Y"/>
    <s v="Success"/>
    <x v="1"/>
    <x v="1"/>
    <x v="3"/>
  </r>
  <r>
    <s v="TX1000434"/>
    <x v="148"/>
    <x v="1"/>
    <d v="1899-12-30T14:32:48"/>
    <n v="28.42"/>
    <s v="USD"/>
    <s v="M1925"/>
    <x v="5"/>
    <s v="France"/>
    <s v="C62690"/>
    <n v="23"/>
    <s v="Other"/>
    <x v="1"/>
    <x v="5"/>
    <s v="Y"/>
    <s v="Success"/>
    <x v="0"/>
    <x v="0"/>
    <x v="0"/>
  </r>
  <r>
    <s v="TX1001010"/>
    <x v="35"/>
    <x v="0"/>
    <d v="1899-12-30T22:01:07"/>
    <n v="28.38"/>
    <s v="USD"/>
    <s v="M1454"/>
    <x v="7"/>
    <s v="Germany"/>
    <s v="C75585"/>
    <n v="64"/>
    <s v="M"/>
    <x v="7"/>
    <x v="1"/>
    <s v="Y"/>
    <s v="Success"/>
    <x v="0"/>
    <x v="0"/>
    <x v="3"/>
  </r>
  <r>
    <s v="TX1002977"/>
    <x v="116"/>
    <x v="3"/>
    <d v="1899-12-30T02:04:45"/>
    <n v="28.3"/>
    <s v="USD"/>
    <s v="M1268"/>
    <x v="5"/>
    <s v="Nigeria"/>
    <s v="C59544"/>
    <n v="53"/>
    <s v="M"/>
    <x v="14"/>
    <x v="5"/>
    <s v="Y"/>
    <s v="Success"/>
    <x v="0"/>
    <x v="0"/>
    <x v="2"/>
  </r>
  <r>
    <s v="TX1000227"/>
    <x v="88"/>
    <x v="1"/>
    <d v="1899-12-30T03:21:59"/>
    <n v="28.25"/>
    <s v="USD"/>
    <s v="M1797"/>
    <x v="1"/>
    <s v="Nigeria"/>
    <s v="C72302"/>
    <n v="50"/>
    <s v="M"/>
    <x v="9"/>
    <x v="5"/>
    <s v="Y"/>
    <s v="Success"/>
    <x v="0"/>
    <x v="0"/>
    <x v="2"/>
  </r>
  <r>
    <s v="TX1002765"/>
    <x v="7"/>
    <x v="3"/>
    <d v="1899-12-30T21:17:28"/>
    <n v="28.21"/>
    <s v="USD"/>
    <s v="M1314"/>
    <x v="7"/>
    <s v="Netherlands"/>
    <s v="C59450"/>
    <n v="24"/>
    <s v="M"/>
    <x v="5"/>
    <x v="1"/>
    <s v="Y"/>
    <s v="Success"/>
    <x v="0"/>
    <x v="0"/>
    <x v="0"/>
  </r>
  <r>
    <s v="TX1001664"/>
    <x v="176"/>
    <x v="5"/>
    <d v="1899-12-30T04:48:26"/>
    <n v="27.93"/>
    <s v="USD"/>
    <s v="M1238"/>
    <x v="5"/>
    <s v="Netherlands"/>
    <s v="C99728"/>
    <n v="33"/>
    <s v="Other"/>
    <x v="6"/>
    <x v="0"/>
    <s v="Y"/>
    <s v="Success"/>
    <x v="0"/>
    <x v="0"/>
    <x v="1"/>
  </r>
  <r>
    <s v="TX1002069"/>
    <x v="33"/>
    <x v="2"/>
    <d v="1899-12-30T23:55:21"/>
    <n v="27.9"/>
    <s v="USD"/>
    <s v="M1253"/>
    <x v="7"/>
    <s v="Poland"/>
    <s v="C99930"/>
    <n v="113"/>
    <s v="F"/>
    <x v="6"/>
    <x v="3"/>
    <s v="Y"/>
    <s v="Success"/>
    <x v="0"/>
    <x v="0"/>
    <x v="3"/>
  </r>
  <r>
    <s v="TX1001831"/>
    <x v="139"/>
    <x v="5"/>
    <d v="1899-12-30T03:35:04"/>
    <n v="27.87"/>
    <s v="USD"/>
    <s v="M1827"/>
    <x v="6"/>
    <s v="South Africa"/>
    <s v="C66156"/>
    <n v="37"/>
    <s v="M"/>
    <x v="9"/>
    <x v="2"/>
    <s v="Y"/>
    <s v="Success"/>
    <x v="0"/>
    <x v="0"/>
    <x v="1"/>
  </r>
  <r>
    <s v="TX1001176"/>
    <x v="120"/>
    <x v="0"/>
    <d v="1899-12-30T03:52:51"/>
    <n v="27.83"/>
    <s v="USD"/>
    <s v="M1559"/>
    <x v="4"/>
    <s v="Sweden"/>
    <s v="C72003"/>
    <n v="53"/>
    <s v="Other"/>
    <x v="3"/>
    <x v="3"/>
    <s v="Y"/>
    <s v="Success"/>
    <x v="0"/>
    <x v="0"/>
    <x v="2"/>
  </r>
  <r>
    <s v="TX1001583"/>
    <x v="161"/>
    <x v="5"/>
    <d v="1899-12-30T20:05:52"/>
    <n v="27.79"/>
    <s v="USD"/>
    <s v="M1791"/>
    <x v="0"/>
    <s v="Australia"/>
    <s v="C90210"/>
    <n v="69"/>
    <s v="Other"/>
    <x v="1"/>
    <x v="5"/>
    <s v="Y"/>
    <s v="Success"/>
    <x v="0"/>
    <x v="0"/>
    <x v="3"/>
  </r>
  <r>
    <s v="TX1002957"/>
    <x v="118"/>
    <x v="3"/>
    <d v="1899-12-30T17:51:31"/>
    <n v="27.68"/>
    <s v="USD"/>
    <s v="M1637"/>
    <x v="4"/>
    <s v="Netherlands"/>
    <s v="C64684"/>
    <n v="65"/>
    <s v="F"/>
    <x v="1"/>
    <x v="5"/>
    <s v="Y"/>
    <s v="Success"/>
    <x v="0"/>
    <x v="0"/>
    <x v="3"/>
  </r>
  <r>
    <s v="TX1002362"/>
    <x v="77"/>
    <x v="2"/>
    <d v="1899-12-30T05:30:56"/>
    <n v="27.45"/>
    <s v="USD"/>
    <s v="M1407"/>
    <x v="4"/>
    <s v="Canada"/>
    <s v="C77895"/>
    <n v="51"/>
    <s v="F"/>
    <x v="5"/>
    <x v="4"/>
    <s v="Y"/>
    <s v="Success"/>
    <x v="1"/>
    <x v="1"/>
    <x v="2"/>
  </r>
  <r>
    <s v="TX1002852"/>
    <x v="166"/>
    <x v="3"/>
    <d v="1899-12-30T16:52:25"/>
    <n v="27.44"/>
    <s v="USD"/>
    <s v="M1777"/>
    <x v="1"/>
    <s v="Canada"/>
    <s v="C80955"/>
    <n v="50"/>
    <s v="F"/>
    <x v="3"/>
    <x v="1"/>
    <s v="N"/>
    <s v="Success"/>
    <x v="0"/>
    <x v="0"/>
    <x v="2"/>
  </r>
  <r>
    <s v="TX1000497"/>
    <x v="57"/>
    <x v="4"/>
    <d v="1899-12-30T11:18:07"/>
    <n v="27.4"/>
    <s v="USD"/>
    <s v="M1031"/>
    <x v="6"/>
    <s v="Australia"/>
    <s v="C80223"/>
    <n v="33"/>
    <s v="M"/>
    <x v="10"/>
    <x v="0"/>
    <s v="Y"/>
    <s v="Success"/>
    <x v="0"/>
    <x v="0"/>
    <x v="1"/>
  </r>
  <r>
    <s v="TX1001007"/>
    <x v="35"/>
    <x v="0"/>
    <d v="1899-12-30T18:49:20"/>
    <n v="27.3"/>
    <s v="USD"/>
    <s v="M1194"/>
    <x v="2"/>
    <s v="South Africa"/>
    <s v="C69659"/>
    <n v="75"/>
    <s v="M"/>
    <x v="4"/>
    <x v="2"/>
    <s v="Y"/>
    <s v="Success"/>
    <x v="1"/>
    <x v="1"/>
    <x v="3"/>
  </r>
  <r>
    <s v="TX1001017"/>
    <x v="174"/>
    <x v="0"/>
    <d v="1899-12-30T09:53:01"/>
    <n v="27.09"/>
    <s v="USD"/>
    <s v="M1374"/>
    <x v="0"/>
    <s v="France"/>
    <s v="C51780"/>
    <n v="22"/>
    <s v="F"/>
    <x v="11"/>
    <x v="3"/>
    <s v="Y"/>
    <s v="Success"/>
    <x v="0"/>
    <x v="0"/>
    <x v="0"/>
  </r>
  <r>
    <s v="TX1001396"/>
    <x v="60"/>
    <x v="0"/>
    <d v="1899-12-30T09:02:44"/>
    <n v="27.07"/>
    <s v="USD"/>
    <s v="M1146"/>
    <x v="9"/>
    <s v="South Africa"/>
    <s v="C93826"/>
    <n v="67"/>
    <s v="M"/>
    <x v="13"/>
    <x v="3"/>
    <s v="Y"/>
    <s v="Success"/>
    <x v="0"/>
    <x v="0"/>
    <x v="3"/>
  </r>
  <r>
    <s v="TX1001661"/>
    <x v="176"/>
    <x v="5"/>
    <d v="1899-12-30T01:34:21"/>
    <n v="26.72"/>
    <s v="USD"/>
    <s v="M1098"/>
    <x v="1"/>
    <s v="Kenya"/>
    <s v="C87240"/>
    <n v="39"/>
    <s v="M"/>
    <x v="0"/>
    <x v="2"/>
    <s v="Y"/>
    <s v="Success"/>
    <x v="0"/>
    <x v="0"/>
    <x v="1"/>
  </r>
  <r>
    <s v="TX1002605"/>
    <x v="173"/>
    <x v="3"/>
    <d v="1899-12-30T17:46:36"/>
    <n v="26.7"/>
    <s v="USD"/>
    <s v="M1980"/>
    <x v="9"/>
    <s v="Kenya"/>
    <s v="C94691"/>
    <n v="44"/>
    <s v="Other"/>
    <x v="10"/>
    <x v="3"/>
    <s v="Y"/>
    <s v="Success"/>
    <x v="0"/>
    <x v="0"/>
    <x v="2"/>
  </r>
  <r>
    <s v="TX1000715"/>
    <x v="106"/>
    <x v="4"/>
    <d v="1899-12-30T10:27:40"/>
    <n v="26.65"/>
    <s v="USD"/>
    <s v="M1990"/>
    <x v="7"/>
    <s v="Sweden"/>
    <s v="C95428"/>
    <n v="72"/>
    <s v="M"/>
    <x v="0"/>
    <x v="4"/>
    <s v="Y"/>
    <s v="Success"/>
    <x v="0"/>
    <x v="0"/>
    <x v="3"/>
  </r>
  <r>
    <s v="TX1000960"/>
    <x v="16"/>
    <x v="0"/>
    <d v="1899-12-30T05:00:46"/>
    <n v="26.49"/>
    <s v="USD"/>
    <s v="M1484"/>
    <x v="5"/>
    <s v="United States"/>
    <s v="C93763"/>
    <n v="42"/>
    <s v="M"/>
    <x v="0"/>
    <x v="5"/>
    <s v="Y"/>
    <s v="Success"/>
    <x v="0"/>
    <x v="0"/>
    <x v="2"/>
  </r>
  <r>
    <s v="TX1002353"/>
    <x v="14"/>
    <x v="2"/>
    <d v="1899-12-30T13:39:39"/>
    <n v="26.38"/>
    <s v="USD"/>
    <s v="M1641"/>
    <x v="5"/>
    <s v="India"/>
    <s v="C75124"/>
    <n v="24"/>
    <s v="F"/>
    <x v="12"/>
    <x v="0"/>
    <s v="Y"/>
    <s v="Success"/>
    <x v="0"/>
    <x v="0"/>
    <x v="0"/>
  </r>
  <r>
    <s v="TX1001496"/>
    <x v="98"/>
    <x v="5"/>
    <d v="1899-12-30T04:34:50"/>
    <n v="26.35"/>
    <s v="USD"/>
    <s v="M1612"/>
    <x v="2"/>
    <s v="Canada"/>
    <s v="C69503"/>
    <n v="31"/>
    <s v="M"/>
    <x v="10"/>
    <x v="2"/>
    <s v="Y"/>
    <s v="Success"/>
    <x v="0"/>
    <x v="0"/>
    <x v="1"/>
  </r>
  <r>
    <s v="TX1000805"/>
    <x v="170"/>
    <x v="4"/>
    <d v="1899-12-30T05:23:48"/>
    <n v="26.31"/>
    <s v="USD"/>
    <s v="M1735"/>
    <x v="6"/>
    <s v="Kenya"/>
    <s v="C99761"/>
    <n v="21"/>
    <s v="F"/>
    <x v="12"/>
    <x v="2"/>
    <s v="Y"/>
    <s v="Success"/>
    <x v="0"/>
    <x v="0"/>
    <x v="0"/>
  </r>
  <r>
    <s v="TX1000667"/>
    <x v="17"/>
    <x v="4"/>
    <d v="1899-12-30T11:06:39"/>
    <n v="26.16"/>
    <s v="USD"/>
    <s v="M1621"/>
    <x v="0"/>
    <s v="Spain"/>
    <s v="C54860"/>
    <n v="52"/>
    <s v="M"/>
    <x v="12"/>
    <x v="1"/>
    <s v="Y"/>
    <s v="Success"/>
    <x v="0"/>
    <x v="0"/>
    <x v="2"/>
  </r>
  <r>
    <s v="TX1000958"/>
    <x v="16"/>
    <x v="0"/>
    <d v="1899-12-30T02:24:14"/>
    <n v="26.14"/>
    <s v="USD"/>
    <s v="M1276"/>
    <x v="7"/>
    <s v="United States"/>
    <s v="C87996"/>
    <n v="43"/>
    <s v="F"/>
    <x v="0"/>
    <x v="0"/>
    <s v="Y"/>
    <s v="Success"/>
    <x v="0"/>
    <x v="0"/>
    <x v="2"/>
  </r>
  <r>
    <s v="TX1000996"/>
    <x v="35"/>
    <x v="0"/>
    <d v="1899-12-30T04:49:19"/>
    <n v="26.08"/>
    <s v="USD"/>
    <s v="M1004"/>
    <x v="7"/>
    <s v="Germany"/>
    <s v="C69496"/>
    <n v="43"/>
    <s v="M"/>
    <x v="9"/>
    <x v="0"/>
    <s v="Y"/>
    <s v="Success"/>
    <x v="0"/>
    <x v="0"/>
    <x v="2"/>
  </r>
  <r>
    <s v="TX1000965"/>
    <x v="16"/>
    <x v="0"/>
    <d v="1899-12-30T12:40:51"/>
    <n v="25.94"/>
    <s v="USD"/>
    <s v="M1312"/>
    <x v="6"/>
    <s v="Norway"/>
    <s v="C91788"/>
    <n v="55"/>
    <s v="F"/>
    <x v="5"/>
    <x v="0"/>
    <s v="Y"/>
    <s v="Success"/>
    <x v="0"/>
    <x v="0"/>
    <x v="2"/>
  </r>
  <r>
    <s v="TX1002679"/>
    <x v="34"/>
    <x v="3"/>
    <d v="1899-12-30T16:02:16"/>
    <n v="25.93"/>
    <s v="USD"/>
    <s v="M1745"/>
    <x v="4"/>
    <s v="United Kingdom"/>
    <s v="C85588"/>
    <n v="58"/>
    <s v="M"/>
    <x v="13"/>
    <x v="1"/>
    <s v="Y"/>
    <s v="Success"/>
    <x v="0"/>
    <x v="0"/>
    <x v="2"/>
  </r>
  <r>
    <s v="TX1002901"/>
    <x v="137"/>
    <x v="3"/>
    <d v="1899-12-30T20:48:03"/>
    <n v="25.86"/>
    <s v="USD"/>
    <s v="M1082"/>
    <x v="7"/>
    <s v="Australia"/>
    <s v="C99088"/>
    <n v="43"/>
    <s v="F"/>
    <x v="12"/>
    <x v="3"/>
    <s v="Y"/>
    <s v="Success"/>
    <x v="0"/>
    <x v="0"/>
    <x v="2"/>
  </r>
  <r>
    <s v="TX1001325"/>
    <x v="108"/>
    <x v="0"/>
    <d v="1899-12-30T10:03:01"/>
    <n v="25.85"/>
    <s v="USD"/>
    <s v="M1477"/>
    <x v="6"/>
    <s v="Poland"/>
    <s v="C77046"/>
    <n v="64"/>
    <s v="F"/>
    <x v="6"/>
    <x v="0"/>
    <s v="Y"/>
    <s v="Success"/>
    <x v="0"/>
    <x v="0"/>
    <x v="3"/>
  </r>
  <r>
    <s v="TX1001015"/>
    <x v="174"/>
    <x v="0"/>
    <d v="1899-12-30T03:25:13"/>
    <n v="25.75"/>
    <s v="USD"/>
    <s v="M1574"/>
    <x v="7"/>
    <s v="Netherlands"/>
    <s v="C85915"/>
    <n v="31"/>
    <s v="F"/>
    <x v="0"/>
    <x v="1"/>
    <s v="Y"/>
    <s v="Success"/>
    <x v="0"/>
    <x v="0"/>
    <x v="1"/>
  </r>
  <r>
    <s v="TX1001754"/>
    <x v="175"/>
    <x v="5"/>
    <d v="1899-12-30T21:58:23"/>
    <n v="25.67"/>
    <s v="USD"/>
    <s v="M1579"/>
    <x v="4"/>
    <s v="South Africa"/>
    <s v="C51428"/>
    <n v="71"/>
    <s v="F"/>
    <x v="12"/>
    <x v="0"/>
    <s v="Y"/>
    <s v="Success"/>
    <x v="0"/>
    <x v="0"/>
    <x v="3"/>
  </r>
  <r>
    <s v="TX1001019"/>
    <x v="174"/>
    <x v="0"/>
    <d v="1899-12-30T14:39:33"/>
    <n v="25.5"/>
    <s v="USD"/>
    <s v="M1658"/>
    <x v="0"/>
    <s v="Poland"/>
    <s v="C87721"/>
    <n v="37"/>
    <s v="Other"/>
    <x v="13"/>
    <x v="0"/>
    <s v="Y"/>
    <s v="Success"/>
    <x v="0"/>
    <x v="0"/>
    <x v="1"/>
  </r>
  <r>
    <s v="TX1001259"/>
    <x v="76"/>
    <x v="0"/>
    <d v="1899-12-30T17:06:40"/>
    <n v="25.3"/>
    <s v="USD"/>
    <s v="M1311"/>
    <x v="9"/>
    <s v="Spain"/>
    <s v="C55795"/>
    <n v="54"/>
    <s v="F"/>
    <x v="2"/>
    <x v="0"/>
    <s v="Y"/>
    <s v="Success"/>
    <x v="0"/>
    <x v="0"/>
    <x v="2"/>
  </r>
  <r>
    <s v="TX1000445"/>
    <x v="151"/>
    <x v="1"/>
    <d v="1899-12-30T09:22:38"/>
    <n v="25.13"/>
    <s v="USD"/>
    <s v="M1621"/>
    <x v="1"/>
    <s v="Poland"/>
    <s v="C84370"/>
    <n v="54"/>
    <s v="F"/>
    <x v="0"/>
    <x v="5"/>
    <s v="Y"/>
    <s v="Success"/>
    <x v="0"/>
    <x v="0"/>
    <x v="2"/>
  </r>
  <r>
    <s v="TX1002606"/>
    <x v="173"/>
    <x v="3"/>
    <d v="1899-12-30T17:54:37"/>
    <n v="25.07"/>
    <s v="USD"/>
    <s v="M1638"/>
    <x v="9"/>
    <s v="United Kingdom"/>
    <s v="C70987"/>
    <n v="75"/>
    <s v="M"/>
    <x v="8"/>
    <x v="5"/>
    <s v="Y"/>
    <s v="Success"/>
    <x v="0"/>
    <x v="0"/>
    <x v="3"/>
  </r>
  <r>
    <s v="TX1000284"/>
    <x v="55"/>
    <x v="1"/>
    <d v="1899-12-30T06:19:07"/>
    <n v="25.07"/>
    <s v="USD"/>
    <s v="M1770"/>
    <x v="2"/>
    <s v="Australia"/>
    <s v="C65498"/>
    <n v="25"/>
    <s v="F"/>
    <x v="1"/>
    <x v="1"/>
    <s v="Y"/>
    <s v="Success"/>
    <x v="0"/>
    <x v="0"/>
    <x v="1"/>
  </r>
  <r>
    <s v="TX1000279"/>
    <x v="55"/>
    <x v="1"/>
    <d v="1899-12-30T01:32:47"/>
    <n v="25.05"/>
    <s v="USD"/>
    <s v="M1156"/>
    <x v="7"/>
    <s v="France"/>
    <s v="C69983"/>
    <n v="68"/>
    <s v="M"/>
    <x v="5"/>
    <x v="0"/>
    <s v="Y"/>
    <s v="Success"/>
    <x v="0"/>
    <x v="0"/>
    <x v="3"/>
  </r>
  <r>
    <s v="TX1002562"/>
    <x v="52"/>
    <x v="3"/>
    <d v="1899-12-30T07:25:59"/>
    <n v="25.01"/>
    <s v="USD"/>
    <s v="M1987"/>
    <x v="3"/>
    <s v="France"/>
    <s v="C71981"/>
    <n v="65"/>
    <s v="Other"/>
    <x v="9"/>
    <x v="0"/>
    <s v="Y"/>
    <s v="Success"/>
    <x v="0"/>
    <x v="0"/>
    <x v="3"/>
  </r>
  <r>
    <s v="TX1001476"/>
    <x v="0"/>
    <x v="0"/>
    <d v="1899-12-30T03:58:15"/>
    <n v="24.91"/>
    <s v="USD"/>
    <s v="M1660"/>
    <x v="0"/>
    <s v="United States"/>
    <s v="C57924"/>
    <n v="50"/>
    <s v="F"/>
    <x v="9"/>
    <x v="0"/>
    <s v="Y"/>
    <s v="Success"/>
    <x v="0"/>
    <x v="0"/>
    <x v="2"/>
  </r>
  <r>
    <s v="TX1000654"/>
    <x v="20"/>
    <x v="4"/>
    <d v="1899-12-30T20:08:21"/>
    <n v="24.88"/>
    <s v="USD"/>
    <s v="M1041"/>
    <x v="6"/>
    <s v="United Kingdom"/>
    <s v="C98816"/>
    <n v="31"/>
    <s v="F"/>
    <x v="6"/>
    <x v="0"/>
    <s v="Y"/>
    <s v="Success"/>
    <x v="0"/>
    <x v="0"/>
    <x v="1"/>
  </r>
  <r>
    <s v="TX1001829"/>
    <x v="139"/>
    <x v="5"/>
    <d v="1899-12-30T00:55:38"/>
    <n v="24.83"/>
    <s v="USD"/>
    <s v="M1091"/>
    <x v="5"/>
    <s v="Sweden"/>
    <s v="C82508"/>
    <n v="29"/>
    <s v="F"/>
    <x v="9"/>
    <x v="4"/>
    <s v="Y"/>
    <s v="Success"/>
    <x v="0"/>
    <x v="0"/>
    <x v="1"/>
  </r>
  <r>
    <s v="TX1000402"/>
    <x v="100"/>
    <x v="1"/>
    <d v="1899-12-30T22:47:28"/>
    <n v="24.73"/>
    <s v="USD"/>
    <s v="M1605"/>
    <x v="4"/>
    <s v="United Kingdom"/>
    <s v="C87775"/>
    <n v="45"/>
    <s v="M"/>
    <x v="14"/>
    <x v="0"/>
    <s v="Y"/>
    <s v="Success"/>
    <x v="0"/>
    <x v="0"/>
    <x v="2"/>
  </r>
  <r>
    <s v="TX1002088"/>
    <x v="140"/>
    <x v="2"/>
    <d v="1899-12-30T22:49:49"/>
    <n v="24.67"/>
    <s v="USD"/>
    <s v="M1548"/>
    <x v="6"/>
    <s v="United Kingdom"/>
    <s v="C72947"/>
    <n v="73"/>
    <s v="M"/>
    <x v="0"/>
    <x v="1"/>
    <s v="Y"/>
    <s v="Success"/>
    <x v="0"/>
    <x v="0"/>
    <x v="3"/>
  </r>
  <r>
    <s v="TX1000930"/>
    <x v="80"/>
    <x v="4"/>
    <d v="1899-12-30T12:14:46"/>
    <n v="24.57"/>
    <s v="USD"/>
    <s v="M1761"/>
    <x v="0"/>
    <s v="Nigeria"/>
    <s v="C50274"/>
    <n v="63"/>
    <s v="Other"/>
    <x v="14"/>
    <x v="0"/>
    <s v="Y"/>
    <s v="Success"/>
    <x v="0"/>
    <x v="0"/>
    <x v="3"/>
  </r>
  <r>
    <s v="TX1002744"/>
    <x v="136"/>
    <x v="3"/>
    <d v="1899-12-30T16:25:49"/>
    <n v="24.56"/>
    <s v="USD"/>
    <s v="M1079"/>
    <x v="1"/>
    <s v="Nigeria"/>
    <s v="C66700"/>
    <n v="74"/>
    <s v="F"/>
    <x v="5"/>
    <x v="2"/>
    <s v="Y"/>
    <s v="Success"/>
    <x v="0"/>
    <x v="0"/>
    <x v="3"/>
  </r>
  <r>
    <s v="TX1002210"/>
    <x v="24"/>
    <x v="2"/>
    <d v="1899-12-30T03:18:57"/>
    <n v="24.42"/>
    <s v="USD"/>
    <s v="M1131"/>
    <x v="6"/>
    <s v="Australia"/>
    <s v="C53934"/>
    <n v="41"/>
    <s v="Other"/>
    <x v="13"/>
    <x v="4"/>
    <s v="Y"/>
    <s v="Success"/>
    <x v="0"/>
    <x v="0"/>
    <x v="2"/>
  </r>
  <r>
    <s v="TX1001093"/>
    <x v="59"/>
    <x v="0"/>
    <d v="1899-12-30T17:23:42"/>
    <n v="24.41"/>
    <s v="USD"/>
    <s v="M1979"/>
    <x v="1"/>
    <s v="Canada"/>
    <s v="C52682"/>
    <n v="26"/>
    <s v="Other"/>
    <x v="1"/>
    <x v="4"/>
    <s v="Y"/>
    <s v="Success"/>
    <x v="0"/>
    <x v="0"/>
    <x v="1"/>
  </r>
  <r>
    <s v="TX1002177"/>
    <x v="112"/>
    <x v="2"/>
    <d v="1899-12-30T10:22:01"/>
    <n v="24.36"/>
    <s v="USD"/>
    <s v="M1735"/>
    <x v="7"/>
    <s v="Nigeria"/>
    <s v="C61115"/>
    <n v="64"/>
    <s v="Other"/>
    <x v="3"/>
    <x v="3"/>
    <s v="Y"/>
    <s v="Success"/>
    <x v="0"/>
    <x v="0"/>
    <x v="3"/>
  </r>
  <r>
    <s v="TX1002576"/>
    <x v="103"/>
    <x v="3"/>
    <d v="1899-12-30T01:32:59"/>
    <n v="24.21"/>
    <s v="USD"/>
    <s v="M1777"/>
    <x v="6"/>
    <s v="India"/>
    <s v="C52628"/>
    <n v="61"/>
    <s v="F"/>
    <x v="13"/>
    <x v="4"/>
    <s v="Y"/>
    <s v="Success"/>
    <x v="0"/>
    <x v="0"/>
    <x v="3"/>
  </r>
  <r>
    <s v="TX1002902"/>
    <x v="137"/>
    <x v="3"/>
    <d v="1899-12-30T22:30:41"/>
    <n v="24.13"/>
    <s v="USD"/>
    <s v="M1798"/>
    <x v="9"/>
    <s v="Canada"/>
    <s v="C61589"/>
    <n v="42"/>
    <s v="M"/>
    <x v="10"/>
    <x v="3"/>
    <s v="Y"/>
    <s v="Success"/>
    <x v="0"/>
    <x v="0"/>
    <x v="2"/>
  </r>
  <r>
    <s v="TX1000256"/>
    <x v="152"/>
    <x v="1"/>
    <d v="1899-12-30T09:00:49"/>
    <n v="24.09"/>
    <s v="USD"/>
    <s v="M1452"/>
    <x v="5"/>
    <s v="Netherlands"/>
    <s v="C86756"/>
    <n v="73"/>
    <s v="M"/>
    <x v="6"/>
    <x v="1"/>
    <s v="Y"/>
    <s v="Success"/>
    <x v="0"/>
    <x v="0"/>
    <x v="3"/>
  </r>
  <r>
    <s v="TX1001401"/>
    <x v="60"/>
    <x v="0"/>
    <d v="1899-12-30T14:23:56"/>
    <n v="24.08"/>
    <s v="USD"/>
    <s v="M1026"/>
    <x v="3"/>
    <s v="Australia"/>
    <s v="C55656"/>
    <n v="32"/>
    <s v="M"/>
    <x v="6"/>
    <x v="1"/>
    <s v="Y"/>
    <s v="Success"/>
    <x v="0"/>
    <x v="0"/>
    <x v="1"/>
  </r>
  <r>
    <s v="TX1001451"/>
    <x v="61"/>
    <x v="0"/>
    <d v="1899-12-30T00:12:14"/>
    <n v="24.07"/>
    <s v="USD"/>
    <s v="M1741"/>
    <x v="5"/>
    <s v="Kenya"/>
    <s v="C73346"/>
    <n v="65"/>
    <s v="Other"/>
    <x v="11"/>
    <x v="0"/>
    <s v="Y"/>
    <s v="Success"/>
    <x v="0"/>
    <x v="0"/>
    <x v="3"/>
  </r>
  <r>
    <s v="TX1002288"/>
    <x v="79"/>
    <x v="2"/>
    <d v="1899-12-30T17:06:57"/>
    <n v="23.93"/>
    <s v="USD"/>
    <s v="M1166"/>
    <x v="9"/>
    <s v="India"/>
    <s v="C91167"/>
    <n v="62"/>
    <s v="F"/>
    <x v="7"/>
    <x v="2"/>
    <s v="Y"/>
    <s v="Success"/>
    <x v="0"/>
    <x v="0"/>
    <x v="3"/>
  </r>
  <r>
    <s v="TX1000800"/>
    <x v="110"/>
    <x v="4"/>
    <d v="1899-12-30T20:19:29"/>
    <n v="23.79"/>
    <s v="USD"/>
    <s v="M1231"/>
    <x v="0"/>
    <s v="Kenya"/>
    <s v="C61857"/>
    <n v="59"/>
    <s v="Other"/>
    <x v="8"/>
    <x v="3"/>
    <s v="Y"/>
    <s v="Success"/>
    <x v="0"/>
    <x v="0"/>
    <x v="2"/>
  </r>
  <r>
    <s v="TX1000921"/>
    <x v="68"/>
    <x v="4"/>
    <d v="1899-12-30T17:56:36"/>
    <n v="23.77"/>
    <s v="USD"/>
    <s v="M1475"/>
    <x v="2"/>
    <s v="United States"/>
    <s v="C64356"/>
    <n v="23"/>
    <s v="M"/>
    <x v="3"/>
    <x v="5"/>
    <s v="Y"/>
    <s v="Success"/>
    <x v="0"/>
    <x v="0"/>
    <x v="0"/>
  </r>
  <r>
    <s v="TX1002750"/>
    <x v="7"/>
    <x v="3"/>
    <d v="1899-12-30T01:17:30"/>
    <n v="23.62"/>
    <s v="USD"/>
    <s v="M1863"/>
    <x v="1"/>
    <s v="India"/>
    <s v="C53923"/>
    <n v="60"/>
    <s v="M"/>
    <x v="11"/>
    <x v="3"/>
    <s v="Y"/>
    <s v="Success"/>
    <x v="0"/>
    <x v="0"/>
    <x v="3"/>
  </r>
  <r>
    <s v="TX1001996"/>
    <x v="126"/>
    <x v="2"/>
    <d v="1899-12-30T02:16:02"/>
    <n v="23.55"/>
    <s v="USD"/>
    <s v="M1181"/>
    <x v="6"/>
    <s v="Norway"/>
    <s v="C59211"/>
    <n v="23"/>
    <s v="M"/>
    <x v="3"/>
    <x v="1"/>
    <s v="Y"/>
    <s v="Success"/>
    <x v="0"/>
    <x v="0"/>
    <x v="0"/>
  </r>
  <r>
    <s v="TX1000414"/>
    <x v="149"/>
    <x v="1"/>
    <d v="1899-12-30T08:16:00"/>
    <n v="23.44"/>
    <s v="USD"/>
    <s v="M1021"/>
    <x v="3"/>
    <s v="Nigeria"/>
    <s v="C64434"/>
    <n v="33"/>
    <s v="Other"/>
    <x v="8"/>
    <x v="3"/>
    <s v="Y"/>
    <s v="Success"/>
    <x v="0"/>
    <x v="0"/>
    <x v="1"/>
  </r>
  <r>
    <s v="TX1002732"/>
    <x v="131"/>
    <x v="3"/>
    <d v="1899-12-30T14:44:58"/>
    <n v="23.34"/>
    <s v="USD"/>
    <s v="M1403"/>
    <x v="6"/>
    <s v="Kenya"/>
    <s v="C82705"/>
    <n v="39"/>
    <s v="Other"/>
    <x v="11"/>
    <x v="4"/>
    <s v="Y"/>
    <s v="Success"/>
    <x v="0"/>
    <x v="0"/>
    <x v="1"/>
  </r>
  <r>
    <s v="TX1000538"/>
    <x v="105"/>
    <x v="4"/>
    <d v="1899-12-30T13:52:08"/>
    <n v="23.18"/>
    <s v="USD"/>
    <s v="M1717"/>
    <x v="0"/>
    <s v="Germany"/>
    <s v="C99595"/>
    <n v="22"/>
    <s v="M"/>
    <x v="6"/>
    <x v="4"/>
    <s v="Y"/>
    <s v="Success"/>
    <x v="0"/>
    <x v="0"/>
    <x v="0"/>
  </r>
  <r>
    <s v="TX1002245"/>
    <x v="69"/>
    <x v="2"/>
    <d v="1899-12-30T01:15:26"/>
    <n v="23.08"/>
    <s v="USD"/>
    <s v="M1477"/>
    <x v="8"/>
    <s v="Norway"/>
    <s v="C75298"/>
    <n v="38"/>
    <s v="F"/>
    <x v="11"/>
    <x v="5"/>
    <s v="Y"/>
    <s v="Success"/>
    <x v="0"/>
    <x v="0"/>
    <x v="1"/>
  </r>
  <r>
    <s v="TX1001654"/>
    <x v="39"/>
    <x v="5"/>
    <d v="1899-12-30T14:31:46"/>
    <n v="23.05"/>
    <s v="USD"/>
    <s v="M1479"/>
    <x v="0"/>
    <s v="Nigeria"/>
    <s v="C98290"/>
    <n v="24"/>
    <s v="F"/>
    <x v="11"/>
    <x v="0"/>
    <s v="Y"/>
    <s v="Success"/>
    <x v="1"/>
    <x v="1"/>
    <x v="0"/>
  </r>
  <r>
    <s v="TX1000416"/>
    <x v="149"/>
    <x v="1"/>
    <d v="1899-12-30T11:03:08"/>
    <n v="22.93"/>
    <s v="USD"/>
    <s v="M1949"/>
    <x v="3"/>
    <s v="South Africa"/>
    <s v="C94624"/>
    <n v="60"/>
    <s v="M"/>
    <x v="12"/>
    <x v="2"/>
    <s v="Y"/>
    <s v="Success"/>
    <x v="0"/>
    <x v="0"/>
    <x v="3"/>
  </r>
  <r>
    <s v="TX1000187"/>
    <x v="49"/>
    <x v="1"/>
    <d v="1899-12-30T07:52:34"/>
    <n v="22.83"/>
    <s v="USD"/>
    <s v="M1031"/>
    <x v="6"/>
    <s v="Nigeria"/>
    <s v="C96020"/>
    <n v="43"/>
    <s v="F"/>
    <x v="13"/>
    <x v="0"/>
    <s v="N"/>
    <s v="Success"/>
    <x v="0"/>
    <x v="0"/>
    <x v="2"/>
  </r>
  <r>
    <s v="TX1002510"/>
    <x v="9"/>
    <x v="2"/>
    <d v="1899-12-30T05:14:28"/>
    <n v="22.82"/>
    <s v="USD"/>
    <s v="M1741"/>
    <x v="0"/>
    <s v="United States"/>
    <s v="C62620"/>
    <n v="35"/>
    <s v="F"/>
    <x v="13"/>
    <x v="0"/>
    <s v="Y"/>
    <s v="Success"/>
    <x v="0"/>
    <x v="0"/>
    <x v="1"/>
  </r>
  <r>
    <s v="TX1002622"/>
    <x v="94"/>
    <x v="3"/>
    <d v="1899-12-30T18:33:59"/>
    <n v="22.81"/>
    <s v="USD"/>
    <s v="M1417"/>
    <x v="9"/>
    <s v="France"/>
    <s v="C62366"/>
    <n v="64"/>
    <s v="F"/>
    <x v="14"/>
    <x v="2"/>
    <s v="Y"/>
    <s v="Success"/>
    <x v="0"/>
    <x v="0"/>
    <x v="3"/>
  </r>
  <r>
    <s v="TX1000681"/>
    <x v="113"/>
    <x v="4"/>
    <d v="1899-12-30T08:29:22"/>
    <n v="22.66"/>
    <s v="USD"/>
    <s v="M1236"/>
    <x v="4"/>
    <s v="Canada"/>
    <s v="C81283"/>
    <n v="44"/>
    <s v="M"/>
    <x v="5"/>
    <x v="3"/>
    <s v="Y"/>
    <s v="Success"/>
    <x v="0"/>
    <x v="0"/>
    <x v="2"/>
  </r>
  <r>
    <s v="TX1002386"/>
    <x v="82"/>
    <x v="2"/>
    <d v="1899-12-30T06:55:27"/>
    <n v="22.55"/>
    <s v="USD"/>
    <s v="M1386"/>
    <x v="2"/>
    <s v="Poland"/>
    <s v="C50640"/>
    <n v="22"/>
    <s v="M"/>
    <x v="4"/>
    <x v="4"/>
    <s v="Y"/>
    <s v="Success"/>
    <x v="0"/>
    <x v="0"/>
    <x v="0"/>
  </r>
  <r>
    <s v="TX1002482"/>
    <x v="19"/>
    <x v="2"/>
    <d v="1899-12-30T15:56:56"/>
    <n v="22.47"/>
    <s v="USD"/>
    <s v="M1402"/>
    <x v="6"/>
    <s v="Germany"/>
    <s v="C91095"/>
    <n v="60"/>
    <s v="F"/>
    <x v="10"/>
    <x v="1"/>
    <s v="Y"/>
    <s v="Success"/>
    <x v="0"/>
    <x v="0"/>
    <x v="3"/>
  </r>
  <r>
    <s v="TX1000884"/>
    <x v="51"/>
    <x v="4"/>
    <d v="1899-12-30T15:29:35"/>
    <n v="22.37"/>
    <s v="USD"/>
    <s v="M1299"/>
    <x v="8"/>
    <s v="Norway"/>
    <s v="C75003"/>
    <n v="42"/>
    <s v="M"/>
    <x v="7"/>
    <x v="2"/>
    <s v="Y"/>
    <s v="Success"/>
    <x v="0"/>
    <x v="0"/>
    <x v="2"/>
  </r>
  <r>
    <s v="TX1000353"/>
    <x v="1"/>
    <x v="1"/>
    <d v="1899-12-30T03:32:42"/>
    <n v="22.33"/>
    <s v="USD"/>
    <s v="M1739"/>
    <x v="3"/>
    <s v="Nigeria"/>
    <s v="C73234"/>
    <n v="45"/>
    <s v="F"/>
    <x v="10"/>
    <x v="5"/>
    <s v="Y"/>
    <s v="Success"/>
    <x v="0"/>
    <x v="0"/>
    <x v="2"/>
  </r>
  <r>
    <s v="TX1001940"/>
    <x v="73"/>
    <x v="5"/>
    <d v="1899-12-30T18:16:19"/>
    <n v="22.28"/>
    <s v="USD"/>
    <s v="M1538"/>
    <x v="0"/>
    <s v="South Africa"/>
    <s v="C51515"/>
    <n v="38"/>
    <s v="F"/>
    <x v="3"/>
    <x v="3"/>
    <s v="Y"/>
    <s v="Success"/>
    <x v="0"/>
    <x v="0"/>
    <x v="1"/>
  </r>
  <r>
    <s v="TX1001549"/>
    <x v="145"/>
    <x v="5"/>
    <d v="1899-12-30T07:05:02"/>
    <n v="22.25"/>
    <s v="USD"/>
    <s v="M1558"/>
    <x v="2"/>
    <s v="Nigeria"/>
    <s v="C90061"/>
    <n v="27"/>
    <s v="Other"/>
    <x v="7"/>
    <x v="5"/>
    <s v="Y"/>
    <s v="Success"/>
    <x v="0"/>
    <x v="0"/>
    <x v="1"/>
  </r>
  <r>
    <s v="TX1002204"/>
    <x v="64"/>
    <x v="2"/>
    <d v="1899-12-30T20:36:06"/>
    <n v="22.17"/>
    <s v="USD"/>
    <s v="M1149"/>
    <x v="9"/>
    <s v="Germany"/>
    <s v="C90967"/>
    <n v="33"/>
    <s v="M"/>
    <x v="12"/>
    <x v="1"/>
    <s v="N"/>
    <s v="Success"/>
    <x v="0"/>
    <x v="0"/>
    <x v="1"/>
  </r>
  <r>
    <s v="TX1001897"/>
    <x v="147"/>
    <x v="5"/>
    <d v="1899-12-30T01:19:24"/>
    <n v="22.13"/>
    <s v="USD"/>
    <s v="M1066"/>
    <x v="2"/>
    <s v="India"/>
    <s v="C75532"/>
    <n v="19"/>
    <s v="Other"/>
    <x v="10"/>
    <x v="5"/>
    <s v="Y"/>
    <s v="Success"/>
    <x v="0"/>
    <x v="0"/>
    <x v="0"/>
  </r>
  <r>
    <s v="TX1001581"/>
    <x v="161"/>
    <x v="5"/>
    <d v="1899-12-30T17:12:36"/>
    <n v="22.02"/>
    <s v="USD"/>
    <s v="M1550"/>
    <x v="9"/>
    <s v="Spain"/>
    <s v="C68316"/>
    <n v="37"/>
    <s v="Other"/>
    <x v="13"/>
    <x v="2"/>
    <s v="Y"/>
    <s v="Success"/>
    <x v="0"/>
    <x v="0"/>
    <x v="1"/>
  </r>
  <r>
    <s v="TX1001217"/>
    <x v="81"/>
    <x v="0"/>
    <d v="1899-12-30T11:50:52"/>
    <n v="21.82"/>
    <s v="USD"/>
    <s v="M1656"/>
    <x v="4"/>
    <s v="Netherlands"/>
    <s v="C90360"/>
    <n v="71"/>
    <s v="Other"/>
    <x v="8"/>
    <x v="0"/>
    <s v="N"/>
    <s v="Success"/>
    <x v="0"/>
    <x v="0"/>
    <x v="3"/>
  </r>
  <r>
    <s v="TX1000754"/>
    <x v="10"/>
    <x v="4"/>
    <d v="1899-12-30T07:14:51"/>
    <n v="21.81"/>
    <s v="USD"/>
    <s v="M1334"/>
    <x v="2"/>
    <s v="United States"/>
    <s v="C75855"/>
    <n v="57"/>
    <s v="Other"/>
    <x v="3"/>
    <x v="0"/>
    <s v="Y"/>
    <s v="Success"/>
    <x v="0"/>
    <x v="0"/>
    <x v="2"/>
  </r>
  <r>
    <s v="TX1000407"/>
    <x v="149"/>
    <x v="1"/>
    <d v="1899-12-30T01:03:17"/>
    <n v="21.8"/>
    <s v="USD"/>
    <s v="M1604"/>
    <x v="0"/>
    <s v="Canada"/>
    <s v="C70536"/>
    <n v="27"/>
    <s v="Other"/>
    <x v="6"/>
    <x v="5"/>
    <s v="Y"/>
    <s v="Success"/>
    <x v="0"/>
    <x v="0"/>
    <x v="1"/>
  </r>
  <r>
    <s v="TX1001028"/>
    <x v="22"/>
    <x v="0"/>
    <d v="1899-12-30T04:24:46"/>
    <n v="21.79"/>
    <s v="USD"/>
    <s v="M1715"/>
    <x v="2"/>
    <s v="Poland"/>
    <s v="C81745"/>
    <n v="71"/>
    <s v="Other"/>
    <x v="4"/>
    <x v="4"/>
    <s v="Y"/>
    <s v="Success"/>
    <x v="0"/>
    <x v="0"/>
    <x v="3"/>
  </r>
  <r>
    <s v="TX1001935"/>
    <x v="73"/>
    <x v="5"/>
    <d v="1899-12-30T12:20:26"/>
    <n v="21.76"/>
    <s v="USD"/>
    <s v="M1897"/>
    <x v="4"/>
    <s v="Norway"/>
    <s v="C62328"/>
    <n v="29"/>
    <s v="Other"/>
    <x v="14"/>
    <x v="3"/>
    <s v="Y"/>
    <s v="Success"/>
    <x v="0"/>
    <x v="0"/>
    <x v="1"/>
  </r>
  <r>
    <s v="TX1001333"/>
    <x v="74"/>
    <x v="0"/>
    <d v="1899-12-30T01:14:00"/>
    <n v="21.71"/>
    <s v="USD"/>
    <s v="M1970"/>
    <x v="0"/>
    <s v="Germany"/>
    <s v="C97859"/>
    <n v="18"/>
    <s v="Other"/>
    <x v="1"/>
    <x v="1"/>
    <s v="Y"/>
    <s v="Success"/>
    <x v="0"/>
    <x v="0"/>
    <x v="0"/>
  </r>
  <r>
    <s v="TX1001067"/>
    <x v="47"/>
    <x v="0"/>
    <d v="1899-12-30T07:11:27"/>
    <n v="21.52"/>
    <s v="USD"/>
    <s v="M1327"/>
    <x v="2"/>
    <s v="Australia"/>
    <s v="C59284"/>
    <n v="45"/>
    <s v="F"/>
    <x v="13"/>
    <x v="5"/>
    <s v="Y"/>
    <s v="Success"/>
    <x v="1"/>
    <x v="1"/>
    <x v="2"/>
  </r>
  <r>
    <s v="TX1000404"/>
    <x v="149"/>
    <x v="1"/>
    <d v="1899-12-30T00:48:00"/>
    <n v="21.45"/>
    <s v="USD"/>
    <s v="M1845"/>
    <x v="9"/>
    <s v="United States"/>
    <s v="C56890"/>
    <n v="32"/>
    <s v="M"/>
    <x v="6"/>
    <x v="5"/>
    <s v="Y"/>
    <s v="Success"/>
    <x v="0"/>
    <x v="0"/>
    <x v="1"/>
  </r>
  <r>
    <s v="TX1000369"/>
    <x v="1"/>
    <x v="1"/>
    <d v="1899-12-30T21:26:04"/>
    <n v="21.41"/>
    <s v="USD"/>
    <s v="M1001"/>
    <x v="6"/>
    <s v="Kenya"/>
    <s v="C64855"/>
    <n v="32"/>
    <s v="Other"/>
    <x v="13"/>
    <x v="3"/>
    <s v="Y"/>
    <s v="Success"/>
    <x v="0"/>
    <x v="0"/>
    <x v="1"/>
  </r>
  <r>
    <s v="TX1002486"/>
    <x v="19"/>
    <x v="2"/>
    <d v="1899-12-30T18:50:42"/>
    <n v="21.39"/>
    <s v="USD"/>
    <s v="M1784"/>
    <x v="5"/>
    <s v="Australia"/>
    <s v="C65527"/>
    <n v="75"/>
    <s v="Other"/>
    <x v="2"/>
    <x v="1"/>
    <s v="Y"/>
    <s v="Success"/>
    <x v="0"/>
    <x v="0"/>
    <x v="3"/>
  </r>
  <r>
    <s v="TX1002629"/>
    <x v="11"/>
    <x v="3"/>
    <d v="1899-12-30T03:33:36"/>
    <n v="21.33"/>
    <s v="USD"/>
    <s v="M1324"/>
    <x v="4"/>
    <s v="United States"/>
    <s v="C83258"/>
    <n v="29"/>
    <s v="Other"/>
    <x v="5"/>
    <x v="0"/>
    <s v="N"/>
    <s v="Success"/>
    <x v="0"/>
    <x v="0"/>
    <x v="1"/>
  </r>
  <r>
    <s v="TX1000233"/>
    <x v="88"/>
    <x v="1"/>
    <d v="1899-12-30T10:17:49"/>
    <n v="21.24"/>
    <s v="USD"/>
    <s v="M1066"/>
    <x v="5"/>
    <s v="United Kingdom"/>
    <s v="C72192"/>
    <n v="32"/>
    <s v="F"/>
    <x v="8"/>
    <x v="2"/>
    <s v="Y"/>
    <s v="Success"/>
    <x v="0"/>
    <x v="0"/>
    <x v="1"/>
  </r>
  <r>
    <s v="TX1001049"/>
    <x v="104"/>
    <x v="0"/>
    <d v="1899-12-30T07:55:52"/>
    <n v="21.21"/>
    <s v="USD"/>
    <s v="M1824"/>
    <x v="6"/>
    <s v="India"/>
    <s v="C71161"/>
    <n v="67"/>
    <s v="F"/>
    <x v="10"/>
    <x v="3"/>
    <s v="Y"/>
    <s v="Success"/>
    <x v="0"/>
    <x v="0"/>
    <x v="3"/>
  </r>
  <r>
    <s v="TX1001886"/>
    <x v="53"/>
    <x v="5"/>
    <d v="1899-12-30T12:53:45"/>
    <n v="21.2"/>
    <s v="USD"/>
    <s v="M1985"/>
    <x v="6"/>
    <s v="Sweden"/>
    <s v="C60243"/>
    <n v="48"/>
    <s v="M"/>
    <x v="5"/>
    <x v="1"/>
    <s v="Y"/>
    <s v="Success"/>
    <x v="0"/>
    <x v="0"/>
    <x v="2"/>
  </r>
  <r>
    <s v="TX1002002"/>
    <x v="126"/>
    <x v="2"/>
    <d v="1899-12-30T10:23:19"/>
    <n v="21.13"/>
    <s v="USD"/>
    <s v="M1516"/>
    <x v="9"/>
    <s v="Netherlands"/>
    <s v="C50764"/>
    <n v="45"/>
    <s v="Other"/>
    <x v="12"/>
    <x v="4"/>
    <s v="Y"/>
    <s v="Success"/>
    <x v="0"/>
    <x v="0"/>
    <x v="2"/>
  </r>
  <r>
    <s v="TX1000616"/>
    <x v="159"/>
    <x v="4"/>
    <d v="1899-12-30T18:57:17"/>
    <n v="20.97"/>
    <s v="USD"/>
    <s v="M1729"/>
    <x v="1"/>
    <s v="South Africa"/>
    <s v="C59855"/>
    <n v="42"/>
    <s v="M"/>
    <x v="3"/>
    <x v="1"/>
    <s v="Y"/>
    <s v="Success"/>
    <x v="1"/>
    <x v="1"/>
    <x v="2"/>
  </r>
  <r>
    <s v="TX1000792"/>
    <x v="110"/>
    <x v="4"/>
    <d v="1899-12-30T08:19:50"/>
    <n v="20.88"/>
    <s v="USD"/>
    <s v="M1132"/>
    <x v="1"/>
    <s v="Australia"/>
    <s v="C86093"/>
    <n v="61"/>
    <s v="F"/>
    <x v="14"/>
    <x v="4"/>
    <s v="Y"/>
    <s v="Success"/>
    <x v="0"/>
    <x v="0"/>
    <x v="3"/>
  </r>
  <r>
    <s v="TX1001277"/>
    <x v="123"/>
    <x v="0"/>
    <d v="1899-12-30T12:22:36"/>
    <n v="20.84"/>
    <s v="USD"/>
    <s v="M1373"/>
    <x v="9"/>
    <s v="Netherlands"/>
    <s v="C57003"/>
    <n v="48"/>
    <s v="Other"/>
    <x v="5"/>
    <x v="4"/>
    <s v="Y"/>
    <s v="Success"/>
    <x v="0"/>
    <x v="0"/>
    <x v="2"/>
  </r>
  <r>
    <s v="TX1002666"/>
    <x v="132"/>
    <x v="3"/>
    <d v="1899-12-30T20:40:53"/>
    <n v="20.73"/>
    <s v="USD"/>
    <s v="M1361"/>
    <x v="5"/>
    <s v="Sweden"/>
    <s v="C56348"/>
    <n v="58"/>
    <s v="Other"/>
    <x v="6"/>
    <x v="0"/>
    <s v="Y"/>
    <s v="Success"/>
    <x v="0"/>
    <x v="0"/>
    <x v="2"/>
  </r>
  <r>
    <s v="TX1000277"/>
    <x v="55"/>
    <x v="1"/>
    <d v="1899-12-30T00:45:24"/>
    <n v="20.5"/>
    <s v="USD"/>
    <s v="M1083"/>
    <x v="7"/>
    <s v="Kenya"/>
    <s v="C77845"/>
    <n v="41"/>
    <s v="Other"/>
    <x v="3"/>
    <x v="2"/>
    <s v="Y"/>
    <s v="Success"/>
    <x v="0"/>
    <x v="0"/>
    <x v="2"/>
  </r>
  <r>
    <s v="TX1002921"/>
    <x v="96"/>
    <x v="3"/>
    <d v="1899-12-30T14:54:49"/>
    <n v="20.36"/>
    <s v="USD"/>
    <s v="M1540"/>
    <x v="9"/>
    <s v="India"/>
    <s v="C57262"/>
    <n v="59"/>
    <s v="F"/>
    <x v="12"/>
    <x v="3"/>
    <s v="Y"/>
    <s v="Success"/>
    <x v="0"/>
    <x v="0"/>
    <x v="2"/>
  </r>
  <r>
    <s v="TX1002360"/>
    <x v="77"/>
    <x v="2"/>
    <d v="1899-12-30T03:38:04"/>
    <n v="20.190000000000001"/>
    <s v="USD"/>
    <s v="M1486"/>
    <x v="0"/>
    <s v="Sweden"/>
    <s v="C83306"/>
    <n v="51"/>
    <s v="Other"/>
    <x v="3"/>
    <x v="1"/>
    <s v="Y"/>
    <s v="Success"/>
    <x v="0"/>
    <x v="0"/>
    <x v="2"/>
  </r>
  <r>
    <s v="TX1002025"/>
    <x v="115"/>
    <x v="2"/>
    <d v="1899-12-30T14:22:42"/>
    <n v="20.059999999999999"/>
    <s v="USD"/>
    <s v="M1486"/>
    <x v="3"/>
    <s v="Spain"/>
    <s v="C95786"/>
    <n v="53"/>
    <s v="M"/>
    <x v="3"/>
    <x v="4"/>
    <s v="Y"/>
    <s v="Success"/>
    <x v="0"/>
    <x v="0"/>
    <x v="2"/>
  </r>
  <r>
    <s v="TX1000886"/>
    <x v="51"/>
    <x v="4"/>
    <d v="1899-12-30T17:31:17"/>
    <n v="19.940000000000001"/>
    <s v="USD"/>
    <s v="M1608"/>
    <x v="4"/>
    <s v="Poland"/>
    <s v="C84214"/>
    <n v="42"/>
    <s v="F"/>
    <x v="8"/>
    <x v="0"/>
    <s v="Y"/>
    <s v="Success"/>
    <x v="0"/>
    <x v="0"/>
    <x v="2"/>
  </r>
  <r>
    <s v="TX1002443"/>
    <x v="67"/>
    <x v="2"/>
    <d v="1899-12-30T12:14:18"/>
    <n v="19.829999999999998"/>
    <s v="USD"/>
    <s v="M1972"/>
    <x v="4"/>
    <s v="Poland"/>
    <s v="C81716"/>
    <n v="72"/>
    <s v="Other"/>
    <x v="12"/>
    <x v="0"/>
    <s v="Y"/>
    <s v="Success"/>
    <x v="0"/>
    <x v="0"/>
    <x v="3"/>
  </r>
  <r>
    <s v="TX1001750"/>
    <x v="175"/>
    <x v="5"/>
    <d v="1899-12-30T11:20:23"/>
    <n v="19.72"/>
    <s v="USD"/>
    <s v="M1791"/>
    <x v="8"/>
    <s v="Kenya"/>
    <s v="C72486"/>
    <n v="75"/>
    <s v="Other"/>
    <x v="7"/>
    <x v="4"/>
    <s v="Y"/>
    <s v="Success"/>
    <x v="0"/>
    <x v="0"/>
    <x v="3"/>
  </r>
  <r>
    <s v="TX1000628"/>
    <x v="65"/>
    <x v="4"/>
    <d v="1899-12-30T09:36:12"/>
    <n v="19.54"/>
    <s v="USD"/>
    <s v="M1042"/>
    <x v="9"/>
    <s v="Germany"/>
    <s v="C50793"/>
    <n v="44"/>
    <s v="M"/>
    <x v="13"/>
    <x v="0"/>
    <s v="Y"/>
    <s v="Success"/>
    <x v="1"/>
    <x v="1"/>
    <x v="2"/>
  </r>
  <r>
    <s v="TX1001977"/>
    <x v="121"/>
    <x v="5"/>
    <d v="1899-12-30T22:07:13"/>
    <n v="19.53"/>
    <s v="USD"/>
    <s v="M1074"/>
    <x v="2"/>
    <s v="Poland"/>
    <s v="C60520"/>
    <n v="19"/>
    <s v="Other"/>
    <x v="3"/>
    <x v="2"/>
    <s v="Y"/>
    <s v="Success"/>
    <x v="0"/>
    <x v="0"/>
    <x v="0"/>
  </r>
  <r>
    <s v="TX1000058"/>
    <x v="85"/>
    <x v="1"/>
    <d v="1899-12-30T13:14:37"/>
    <n v="19.510000000000002"/>
    <s v="USD"/>
    <s v="M1532"/>
    <x v="4"/>
    <s v="Netherlands"/>
    <s v="C74411"/>
    <n v="50"/>
    <s v="M"/>
    <x v="14"/>
    <x v="2"/>
    <s v="Y"/>
    <s v="Success"/>
    <x v="0"/>
    <x v="0"/>
    <x v="2"/>
  </r>
  <r>
    <s v="TX1001008"/>
    <x v="35"/>
    <x v="0"/>
    <d v="1899-12-30T19:15:53"/>
    <n v="19.440000000000001"/>
    <s v="USD"/>
    <s v="M1644"/>
    <x v="8"/>
    <s v="Norway"/>
    <s v="C64572"/>
    <n v="27"/>
    <s v="F"/>
    <x v="13"/>
    <x v="4"/>
    <s v="Y"/>
    <s v="Success"/>
    <x v="0"/>
    <x v="0"/>
    <x v="1"/>
  </r>
  <r>
    <s v="TX1000823"/>
    <x v="91"/>
    <x v="4"/>
    <d v="1899-12-30T21:27:40"/>
    <n v="19.239999999999998"/>
    <s v="USD"/>
    <s v="M1999"/>
    <x v="1"/>
    <s v="Kenya"/>
    <s v="C83518"/>
    <n v="25"/>
    <s v="Other"/>
    <x v="4"/>
    <x v="5"/>
    <s v="Y"/>
    <s v="Success"/>
    <x v="0"/>
    <x v="0"/>
    <x v="1"/>
  </r>
  <r>
    <s v="TX1001398"/>
    <x v="60"/>
    <x v="0"/>
    <d v="1899-12-30T12:24:38"/>
    <n v="19.22"/>
    <s v="USD"/>
    <s v="M1291"/>
    <x v="8"/>
    <s v="Kenya"/>
    <s v="C98285"/>
    <n v="45"/>
    <s v="M"/>
    <x v="12"/>
    <x v="3"/>
    <s v="Y"/>
    <s v="Success"/>
    <x v="0"/>
    <x v="0"/>
    <x v="2"/>
  </r>
  <r>
    <s v="TX1000783"/>
    <x v="18"/>
    <x v="4"/>
    <d v="1899-12-30T23:58:45"/>
    <n v="19.2"/>
    <s v="USD"/>
    <s v="M1625"/>
    <x v="3"/>
    <s v="Norway"/>
    <s v="C80397"/>
    <n v="23"/>
    <s v="F"/>
    <x v="5"/>
    <x v="2"/>
    <s v="Y"/>
    <s v="Success"/>
    <x v="0"/>
    <x v="0"/>
    <x v="0"/>
  </r>
  <r>
    <s v="TX1000940"/>
    <x v="80"/>
    <x v="4"/>
    <d v="1899-12-30T23:11:44"/>
    <n v="19.05"/>
    <s v="USD"/>
    <s v="M1017"/>
    <x v="7"/>
    <s v="Spain"/>
    <s v="C99876"/>
    <n v="27"/>
    <s v="F"/>
    <x v="3"/>
    <x v="0"/>
    <s v="Y"/>
    <s v="Success"/>
    <x v="0"/>
    <x v="0"/>
    <x v="1"/>
  </r>
  <r>
    <s v="TX1000779"/>
    <x v="18"/>
    <x v="4"/>
    <d v="1899-12-30T17:21:30"/>
    <n v="18.95"/>
    <s v="USD"/>
    <s v="M1394"/>
    <x v="2"/>
    <s v="United States"/>
    <s v="C54890"/>
    <n v="53"/>
    <s v="M"/>
    <x v="12"/>
    <x v="4"/>
    <s v="Y"/>
    <s v="Success"/>
    <x v="0"/>
    <x v="0"/>
    <x v="2"/>
  </r>
  <r>
    <s v="TX1000390"/>
    <x v="100"/>
    <x v="1"/>
    <d v="1899-12-30T06:00:36"/>
    <n v="18.84"/>
    <s v="USD"/>
    <s v="M1954"/>
    <x v="4"/>
    <s v="India"/>
    <s v="C82532"/>
    <n v="58"/>
    <s v="F"/>
    <x v="3"/>
    <x v="0"/>
    <s v="Y"/>
    <s v="Success"/>
    <x v="0"/>
    <x v="0"/>
    <x v="2"/>
  </r>
  <r>
    <s v="TX1000668"/>
    <x v="17"/>
    <x v="4"/>
    <d v="1899-12-30T13:07:48"/>
    <n v="18.79"/>
    <s v="USD"/>
    <s v="M1452"/>
    <x v="7"/>
    <s v="Nigeria"/>
    <s v="C97246"/>
    <n v="47"/>
    <s v="M"/>
    <x v="14"/>
    <x v="1"/>
    <s v="Y"/>
    <s v="Success"/>
    <x v="0"/>
    <x v="0"/>
    <x v="2"/>
  </r>
  <r>
    <s v="TX1001137"/>
    <x v="165"/>
    <x v="0"/>
    <d v="1899-12-30T00:12:59"/>
    <n v="18.62"/>
    <s v="USD"/>
    <s v="M1546"/>
    <x v="9"/>
    <s v="Canada"/>
    <s v="C55396"/>
    <n v="51"/>
    <s v="M"/>
    <x v="2"/>
    <x v="0"/>
    <s v="Y"/>
    <s v="Success"/>
    <x v="0"/>
    <x v="0"/>
    <x v="2"/>
  </r>
  <r>
    <s v="TX1002553"/>
    <x v="13"/>
    <x v="3"/>
    <d v="1899-12-30T17:28:44"/>
    <n v="18.57"/>
    <s v="USD"/>
    <s v="M1721"/>
    <x v="9"/>
    <s v="United Kingdom"/>
    <s v="C74019"/>
    <n v="40"/>
    <s v="Other"/>
    <x v="5"/>
    <x v="4"/>
    <s v="Y"/>
    <s v="Success"/>
    <x v="0"/>
    <x v="0"/>
    <x v="2"/>
  </r>
  <r>
    <s v="TX1000928"/>
    <x v="80"/>
    <x v="4"/>
    <d v="1899-12-30T11:00:52"/>
    <n v="18.5"/>
    <s v="USD"/>
    <s v="M1686"/>
    <x v="2"/>
    <s v="South Africa"/>
    <s v="C62816"/>
    <n v="33"/>
    <s v="M"/>
    <x v="9"/>
    <x v="3"/>
    <s v="Y"/>
    <s v="Success"/>
    <x v="0"/>
    <x v="0"/>
    <x v="1"/>
  </r>
  <r>
    <s v="TX1002802"/>
    <x v="101"/>
    <x v="3"/>
    <d v="1899-12-30T22:25:42"/>
    <n v="18.420000000000002"/>
    <s v="USD"/>
    <s v="M1241"/>
    <x v="2"/>
    <s v="Spain"/>
    <s v="C61834"/>
    <n v="17"/>
    <s v="F"/>
    <x v="6"/>
    <x v="4"/>
    <s v="Y"/>
    <s v="Success"/>
    <x v="0"/>
    <x v="0"/>
    <x v="0"/>
  </r>
  <r>
    <s v="TX1002689"/>
    <x v="89"/>
    <x v="3"/>
    <d v="1899-12-30T14:00:38"/>
    <n v="18.38"/>
    <s v="USD"/>
    <s v="M1030"/>
    <x v="8"/>
    <s v="Poland"/>
    <s v="C88167"/>
    <n v="66"/>
    <s v="M"/>
    <x v="0"/>
    <x v="5"/>
    <s v="Y"/>
    <s v="Success"/>
    <x v="0"/>
    <x v="0"/>
    <x v="3"/>
  </r>
  <r>
    <s v="TX1002229"/>
    <x v="24"/>
    <x v="2"/>
    <d v="1899-12-30T23:21:57"/>
    <n v="18.239999999999998"/>
    <s v="USD"/>
    <s v="M1165"/>
    <x v="3"/>
    <s v="Poland"/>
    <s v="C66931"/>
    <n v="75"/>
    <s v="Other"/>
    <x v="9"/>
    <x v="5"/>
    <s v="Y"/>
    <s v="Success"/>
    <x v="0"/>
    <x v="0"/>
    <x v="3"/>
  </r>
  <r>
    <s v="TX1002811"/>
    <x v="4"/>
    <x v="3"/>
    <d v="1899-12-30T10:03:33"/>
    <n v="18.239999999999998"/>
    <s v="USD"/>
    <s v="M1857"/>
    <x v="2"/>
    <s v="United Kingdom"/>
    <s v="C85121"/>
    <n v="68"/>
    <s v="F"/>
    <x v="4"/>
    <x v="5"/>
    <s v="Y"/>
    <s v="Success"/>
    <x v="0"/>
    <x v="0"/>
    <x v="3"/>
  </r>
  <r>
    <s v="TX1000475"/>
    <x v="124"/>
    <x v="4"/>
    <d v="1899-12-30T07:59:25"/>
    <n v="18.2"/>
    <s v="USD"/>
    <s v="M1641"/>
    <x v="9"/>
    <s v="Sweden"/>
    <s v="C61097"/>
    <n v="23"/>
    <s v="Other"/>
    <x v="11"/>
    <x v="1"/>
    <s v="Y"/>
    <s v="Success"/>
    <x v="0"/>
    <x v="0"/>
    <x v="0"/>
  </r>
  <r>
    <s v="TX1001729"/>
    <x v="70"/>
    <x v="5"/>
    <d v="1899-12-30T08:13:07"/>
    <n v="18.02"/>
    <s v="USD"/>
    <s v="M1237"/>
    <x v="5"/>
    <s v="Nigeria"/>
    <s v="C64723"/>
    <n v="45"/>
    <s v="M"/>
    <x v="3"/>
    <x v="5"/>
    <s v="Y"/>
    <s v="Success"/>
    <x v="0"/>
    <x v="0"/>
    <x v="2"/>
  </r>
  <r>
    <s v="TX1001852"/>
    <x v="15"/>
    <x v="5"/>
    <d v="1899-12-30T08:06:43"/>
    <n v="18"/>
    <s v="USD"/>
    <s v="M1154"/>
    <x v="3"/>
    <s v="Netherlands"/>
    <s v="C82505"/>
    <n v="71"/>
    <s v="F"/>
    <x v="8"/>
    <x v="3"/>
    <s v="N"/>
    <s v="Success"/>
    <x v="0"/>
    <x v="0"/>
    <x v="3"/>
  </r>
  <r>
    <s v="TX1000917"/>
    <x v="68"/>
    <x v="4"/>
    <d v="1899-12-30T11:53:49"/>
    <n v="17.95"/>
    <s v="USD"/>
    <s v="M1618"/>
    <x v="0"/>
    <s v="Poland"/>
    <s v="C74207"/>
    <n v="54"/>
    <s v="F"/>
    <x v="5"/>
    <x v="4"/>
    <s v="Y"/>
    <s v="Success"/>
    <x v="0"/>
    <x v="0"/>
    <x v="2"/>
  </r>
  <r>
    <s v="TX1001504"/>
    <x v="98"/>
    <x v="5"/>
    <d v="1899-12-30T18:00:15"/>
    <n v="17.84"/>
    <s v="USD"/>
    <s v="M1148"/>
    <x v="6"/>
    <s v="Sweden"/>
    <s v="C83765"/>
    <n v="26"/>
    <s v="Other"/>
    <x v="2"/>
    <x v="4"/>
    <s v="Y"/>
    <s v="Success"/>
    <x v="0"/>
    <x v="0"/>
    <x v="1"/>
  </r>
  <r>
    <s v="TX1002385"/>
    <x v="82"/>
    <x v="2"/>
    <d v="1899-12-30T06:19:16"/>
    <n v="17.829999999999998"/>
    <s v="USD"/>
    <s v="M1242"/>
    <x v="9"/>
    <s v="Kenya"/>
    <s v="C59683"/>
    <n v="65"/>
    <s v="M"/>
    <x v="9"/>
    <x v="2"/>
    <s v="Y"/>
    <s v="Success"/>
    <x v="0"/>
    <x v="0"/>
    <x v="3"/>
  </r>
  <r>
    <s v="TX1000474"/>
    <x v="124"/>
    <x v="4"/>
    <d v="1899-12-30T06:52:18"/>
    <n v="17.71"/>
    <s v="USD"/>
    <s v="M1203"/>
    <x v="0"/>
    <s v="Nigeria"/>
    <s v="C61335"/>
    <n v="37"/>
    <s v="F"/>
    <x v="3"/>
    <x v="1"/>
    <s v="Y"/>
    <s v="Success"/>
    <x v="0"/>
    <x v="0"/>
    <x v="1"/>
  </r>
  <r>
    <s v="TX1000669"/>
    <x v="17"/>
    <x v="4"/>
    <d v="1899-12-30T17:15:17"/>
    <n v="17.64"/>
    <s v="USD"/>
    <s v="M1760"/>
    <x v="2"/>
    <s v="India"/>
    <s v="C55415"/>
    <n v="46"/>
    <s v="Other"/>
    <x v="14"/>
    <x v="1"/>
    <s v="Y"/>
    <s v="Success"/>
    <x v="0"/>
    <x v="0"/>
    <x v="2"/>
  </r>
  <r>
    <s v="TX1001910"/>
    <x v="155"/>
    <x v="5"/>
    <d v="1899-12-30T01:46:09"/>
    <n v="17.5"/>
    <s v="USD"/>
    <s v="M1248"/>
    <x v="7"/>
    <s v="Netherlands"/>
    <s v="C57373"/>
    <n v="75"/>
    <s v="Other"/>
    <x v="13"/>
    <x v="4"/>
    <s v="Y"/>
    <s v="Success"/>
    <x v="0"/>
    <x v="0"/>
    <x v="3"/>
  </r>
  <r>
    <s v="TX1000728"/>
    <x v="111"/>
    <x v="4"/>
    <d v="1899-12-30T03:16:18"/>
    <n v="17.45"/>
    <s v="USD"/>
    <s v="M1623"/>
    <x v="7"/>
    <s v="United States"/>
    <s v="C76071"/>
    <n v="31"/>
    <s v="M"/>
    <x v="6"/>
    <x v="3"/>
    <s v="Y"/>
    <s v="Success"/>
    <x v="0"/>
    <x v="0"/>
    <x v="1"/>
  </r>
  <r>
    <s v="TX1000550"/>
    <x v="122"/>
    <x v="4"/>
    <d v="1899-12-30T18:16:07"/>
    <n v="17.399999999999999"/>
    <s v="USD"/>
    <s v="M1106"/>
    <x v="5"/>
    <s v="Canada"/>
    <s v="C81726"/>
    <n v="67"/>
    <s v="F"/>
    <x v="4"/>
    <x v="3"/>
    <s v="Y"/>
    <s v="Success"/>
    <x v="0"/>
    <x v="0"/>
    <x v="3"/>
  </r>
  <r>
    <s v="TX1002190"/>
    <x v="112"/>
    <x v="2"/>
    <d v="1899-12-30T23:00:28"/>
    <n v="17.34"/>
    <s v="USD"/>
    <s v="M1221"/>
    <x v="4"/>
    <s v="Kenya"/>
    <s v="C90898"/>
    <n v="58"/>
    <s v="M"/>
    <x v="14"/>
    <x v="1"/>
    <s v="Y"/>
    <s v="Success"/>
    <x v="0"/>
    <x v="0"/>
    <x v="2"/>
  </r>
  <r>
    <s v="TX1001324"/>
    <x v="108"/>
    <x v="0"/>
    <d v="1899-12-30T08:12:58"/>
    <n v="17.3"/>
    <s v="USD"/>
    <s v="M1001"/>
    <x v="9"/>
    <s v="Poland"/>
    <s v="C98487"/>
    <n v="51"/>
    <s v="F"/>
    <x v="14"/>
    <x v="2"/>
    <s v="N"/>
    <s v="Success"/>
    <x v="0"/>
    <x v="0"/>
    <x v="2"/>
  </r>
  <r>
    <s v="TX1001950"/>
    <x v="78"/>
    <x v="5"/>
    <d v="1899-12-30T06:45:49"/>
    <n v="17.260000000000002"/>
    <s v="USD"/>
    <s v="M1382"/>
    <x v="2"/>
    <s v="Spain"/>
    <s v="C73092"/>
    <n v="53"/>
    <s v="Other"/>
    <x v="8"/>
    <x v="2"/>
    <s v="Y"/>
    <s v="Success"/>
    <x v="0"/>
    <x v="0"/>
    <x v="2"/>
  </r>
  <r>
    <s v="TX1002110"/>
    <x v="21"/>
    <x v="2"/>
    <d v="1899-12-30T00:57:32"/>
    <n v="17.22"/>
    <s v="USD"/>
    <s v="M1944"/>
    <x v="0"/>
    <s v="Poland"/>
    <s v="C81490"/>
    <n v="38"/>
    <s v="Other"/>
    <x v="14"/>
    <x v="4"/>
    <s v="N"/>
    <s v="Success"/>
    <x v="0"/>
    <x v="0"/>
    <x v="1"/>
  </r>
  <r>
    <s v="TX1001260"/>
    <x v="76"/>
    <x v="0"/>
    <d v="1899-12-30T19:40:40"/>
    <n v="17.21"/>
    <s v="USD"/>
    <s v="M1033"/>
    <x v="5"/>
    <s v="Nigeria"/>
    <s v="C82788"/>
    <n v="22"/>
    <s v="M"/>
    <x v="12"/>
    <x v="3"/>
    <s v="Y"/>
    <s v="Success"/>
    <x v="0"/>
    <x v="0"/>
    <x v="0"/>
  </r>
  <r>
    <s v="TX1001437"/>
    <x v="92"/>
    <x v="0"/>
    <d v="1899-12-30T05:45:59"/>
    <n v="16.98"/>
    <s v="USD"/>
    <s v="M1096"/>
    <x v="2"/>
    <s v="Canada"/>
    <s v="C74519"/>
    <n v="40"/>
    <s v="F"/>
    <x v="4"/>
    <x v="4"/>
    <s v="Y"/>
    <s v="Success"/>
    <x v="0"/>
    <x v="0"/>
    <x v="2"/>
  </r>
  <r>
    <s v="TX1002369"/>
    <x v="77"/>
    <x v="2"/>
    <d v="1899-12-30T18:32:13"/>
    <n v="16.98"/>
    <s v="USD"/>
    <s v="M1997"/>
    <x v="5"/>
    <s v="India"/>
    <s v="C89998"/>
    <n v="40"/>
    <s v="F"/>
    <x v="1"/>
    <x v="2"/>
    <s v="Y"/>
    <s v="Success"/>
    <x v="0"/>
    <x v="0"/>
    <x v="2"/>
  </r>
  <r>
    <s v="TX1000574"/>
    <x v="36"/>
    <x v="4"/>
    <d v="1899-12-30T11:49:50"/>
    <n v="16.91"/>
    <s v="USD"/>
    <s v="M1012"/>
    <x v="7"/>
    <s v="France"/>
    <s v="C88544"/>
    <n v="56"/>
    <s v="Other"/>
    <x v="6"/>
    <x v="0"/>
    <s v="Y"/>
    <s v="Success"/>
    <x v="0"/>
    <x v="0"/>
    <x v="2"/>
  </r>
  <r>
    <s v="TX1001975"/>
    <x v="121"/>
    <x v="5"/>
    <d v="1899-12-30T20:08:52"/>
    <n v="16.87"/>
    <s v="USD"/>
    <s v="M1285"/>
    <x v="3"/>
    <s v="Poland"/>
    <s v="C64196"/>
    <n v="58"/>
    <s v="M"/>
    <x v="10"/>
    <x v="0"/>
    <s v="Y"/>
    <s v="Success"/>
    <x v="0"/>
    <x v="0"/>
    <x v="2"/>
  </r>
  <r>
    <s v="TX1000643"/>
    <x v="20"/>
    <x v="4"/>
    <d v="1899-12-30T08:13:37"/>
    <n v="16.86"/>
    <s v="USD"/>
    <s v="M1021"/>
    <x v="7"/>
    <s v="United States"/>
    <s v="C99113"/>
    <n v="34"/>
    <s v="F"/>
    <x v="5"/>
    <x v="2"/>
    <s v="N"/>
    <s v="Success"/>
    <x v="0"/>
    <x v="0"/>
    <x v="1"/>
  </r>
  <r>
    <s v="TX1002984"/>
    <x v="116"/>
    <x v="3"/>
    <d v="1899-12-30T11:22:51"/>
    <n v="16.72"/>
    <s v="USD"/>
    <s v="M1715"/>
    <x v="6"/>
    <s v="Sweden"/>
    <s v="C89695"/>
    <n v="74"/>
    <s v="F"/>
    <x v="4"/>
    <x v="3"/>
    <s v="N"/>
    <s v="Success"/>
    <x v="0"/>
    <x v="0"/>
    <x v="3"/>
  </r>
  <r>
    <s v="TX1000026"/>
    <x v="171"/>
    <x v="1"/>
    <d v="1899-12-30T21:51:56"/>
    <n v="16.72"/>
    <s v="USD"/>
    <s v="M1249"/>
    <x v="6"/>
    <s v="Germany"/>
    <s v="C94829"/>
    <n v="59"/>
    <s v="M"/>
    <x v="6"/>
    <x v="2"/>
    <s v="Y"/>
    <s v="Success"/>
    <x v="0"/>
    <x v="0"/>
    <x v="2"/>
  </r>
  <r>
    <s v="TX1001306"/>
    <x v="48"/>
    <x v="0"/>
    <d v="1899-12-30T07:26:40"/>
    <n v="16.68"/>
    <s v="USD"/>
    <s v="M1044"/>
    <x v="8"/>
    <s v="India"/>
    <s v="C83854"/>
    <n v="74"/>
    <s v="M"/>
    <x v="2"/>
    <x v="4"/>
    <s v="Y"/>
    <s v="Success"/>
    <x v="0"/>
    <x v="0"/>
    <x v="3"/>
  </r>
  <r>
    <s v="TX1002345"/>
    <x v="14"/>
    <x v="2"/>
    <d v="1899-12-30T06:39:35"/>
    <n v="16.63"/>
    <s v="USD"/>
    <s v="M1697"/>
    <x v="5"/>
    <s v="Germany"/>
    <s v="C70179"/>
    <n v="110"/>
    <s v="F"/>
    <x v="4"/>
    <x v="1"/>
    <s v="Y"/>
    <s v="Success"/>
    <x v="0"/>
    <x v="0"/>
    <x v="3"/>
  </r>
  <r>
    <s v="TX1002422"/>
    <x v="46"/>
    <x v="2"/>
    <d v="1899-12-30T11:55:24"/>
    <n v="16.61"/>
    <s v="USD"/>
    <s v="M1361"/>
    <x v="2"/>
    <s v="India"/>
    <s v="C63635"/>
    <n v="29"/>
    <s v="Other"/>
    <x v="14"/>
    <x v="2"/>
    <s v="Y"/>
    <s v="Success"/>
    <x v="0"/>
    <x v="0"/>
    <x v="1"/>
  </r>
  <r>
    <s v="TX1001244"/>
    <x v="75"/>
    <x v="0"/>
    <d v="1899-12-30T06:10:27"/>
    <n v="16.489999999999998"/>
    <s v="USD"/>
    <s v="M1694"/>
    <x v="9"/>
    <s v="Poland"/>
    <s v="C52576"/>
    <n v="42"/>
    <s v="F"/>
    <x v="7"/>
    <x v="3"/>
    <s v="Y"/>
    <s v="Success"/>
    <x v="0"/>
    <x v="0"/>
    <x v="2"/>
  </r>
  <r>
    <s v="TX1002853"/>
    <x v="166"/>
    <x v="3"/>
    <d v="1899-12-30T16:59:27"/>
    <n v="16.48"/>
    <s v="USD"/>
    <s v="M1675"/>
    <x v="8"/>
    <s v="Norway"/>
    <s v="C80988"/>
    <n v="23"/>
    <s v="M"/>
    <x v="13"/>
    <x v="2"/>
    <s v="Y"/>
    <s v="Success"/>
    <x v="0"/>
    <x v="0"/>
    <x v="0"/>
  </r>
  <r>
    <s v="TX1001119"/>
    <x v="168"/>
    <x v="0"/>
    <d v="1899-12-30T17:09:51"/>
    <n v="16.41"/>
    <s v="USD"/>
    <s v="M1112"/>
    <x v="1"/>
    <s v="France"/>
    <s v="C84773"/>
    <n v="52"/>
    <s v="M"/>
    <x v="11"/>
    <x v="0"/>
    <s v="Y"/>
    <s v="Success"/>
    <x v="0"/>
    <x v="0"/>
    <x v="2"/>
  </r>
  <r>
    <s v="TX1000541"/>
    <x v="105"/>
    <x v="4"/>
    <d v="1899-12-30T17:57:39"/>
    <n v="16.329999999999998"/>
    <s v="USD"/>
    <s v="M1847"/>
    <x v="6"/>
    <s v="Sweden"/>
    <s v="C85276"/>
    <n v="50"/>
    <s v="Other"/>
    <x v="10"/>
    <x v="0"/>
    <s v="Y"/>
    <s v="Success"/>
    <x v="0"/>
    <x v="0"/>
    <x v="2"/>
  </r>
  <r>
    <s v="TX1002140"/>
    <x v="135"/>
    <x v="2"/>
    <d v="1899-12-30T16:15:05"/>
    <n v="15.93"/>
    <s v="USD"/>
    <s v="M1009"/>
    <x v="6"/>
    <s v="India"/>
    <s v="C73883"/>
    <n v="20"/>
    <s v="F"/>
    <x v="13"/>
    <x v="4"/>
    <s v="Y"/>
    <s v="Success"/>
    <x v="0"/>
    <x v="0"/>
    <x v="0"/>
  </r>
  <r>
    <s v="TX1000405"/>
    <x v="149"/>
    <x v="1"/>
    <d v="1899-12-30T00:56:13"/>
    <n v="15.93"/>
    <s v="USD"/>
    <s v="M1627"/>
    <x v="4"/>
    <s v="Germany"/>
    <s v="C95787"/>
    <n v="26"/>
    <s v="F"/>
    <x v="9"/>
    <x v="5"/>
    <s v="Y"/>
    <s v="Success"/>
    <x v="0"/>
    <x v="0"/>
    <x v="1"/>
  </r>
  <r>
    <s v="TX1002738"/>
    <x v="136"/>
    <x v="3"/>
    <d v="1899-12-30T08:27:02"/>
    <n v="15.78"/>
    <s v="USD"/>
    <s v="M1919"/>
    <x v="7"/>
    <s v="Netherlands"/>
    <s v="C75168"/>
    <n v="51"/>
    <s v="F"/>
    <x v="10"/>
    <x v="5"/>
    <s v="Y"/>
    <s v="Success"/>
    <x v="0"/>
    <x v="0"/>
    <x v="2"/>
  </r>
  <r>
    <s v="TX1001990"/>
    <x v="71"/>
    <x v="5"/>
    <d v="1899-12-30T15:12:56"/>
    <n v="15.77"/>
    <s v="USD"/>
    <s v="M1541"/>
    <x v="6"/>
    <s v="Canada"/>
    <s v="C97214"/>
    <n v="55"/>
    <s v="Other"/>
    <x v="8"/>
    <x v="2"/>
    <s v="Y"/>
    <s v="Success"/>
    <x v="0"/>
    <x v="0"/>
    <x v="2"/>
  </r>
  <r>
    <s v="TX1002721"/>
    <x v="130"/>
    <x v="3"/>
    <d v="1899-12-30T16:36:54"/>
    <n v="15.46"/>
    <s v="USD"/>
    <s v="M1726"/>
    <x v="8"/>
    <s v="Spain"/>
    <s v="C68707"/>
    <n v="49"/>
    <s v="Other"/>
    <x v="7"/>
    <x v="2"/>
    <s v="Y"/>
    <s v="Success"/>
    <x v="0"/>
    <x v="0"/>
    <x v="2"/>
  </r>
  <r>
    <s v="TX1000108"/>
    <x v="179"/>
    <x v="1"/>
    <d v="1899-12-30T12:06:02"/>
    <n v="15.35"/>
    <s v="USD"/>
    <s v="M1734"/>
    <x v="5"/>
    <s v="Kenya"/>
    <s v="C55735"/>
    <n v="22"/>
    <s v="Other"/>
    <x v="9"/>
    <x v="5"/>
    <s v="Y"/>
    <s v="Success"/>
    <x v="0"/>
    <x v="0"/>
    <x v="0"/>
  </r>
  <r>
    <s v="TX1002794"/>
    <x v="101"/>
    <x v="3"/>
    <d v="1899-12-30T17:44:06"/>
    <n v="15.19"/>
    <s v="USD"/>
    <s v="M1047"/>
    <x v="9"/>
    <s v="Nigeria"/>
    <s v="C80980"/>
    <n v="47"/>
    <s v="M"/>
    <x v="2"/>
    <x v="2"/>
    <s v="Y"/>
    <s v="Success"/>
    <x v="0"/>
    <x v="0"/>
    <x v="2"/>
  </r>
  <r>
    <s v="TX1000830"/>
    <x v="114"/>
    <x v="4"/>
    <d v="1899-12-30T00:37:41"/>
    <n v="15.15"/>
    <s v="USD"/>
    <s v="M1139"/>
    <x v="7"/>
    <s v="United States"/>
    <s v="C70151"/>
    <n v="63"/>
    <s v="F"/>
    <x v="0"/>
    <x v="0"/>
    <s v="Y"/>
    <s v="Success"/>
    <x v="0"/>
    <x v="0"/>
    <x v="3"/>
  </r>
  <r>
    <s v="TX1002682"/>
    <x v="34"/>
    <x v="3"/>
    <d v="1899-12-30T20:54:24"/>
    <n v="15.06"/>
    <s v="USD"/>
    <s v="M1905"/>
    <x v="9"/>
    <s v="Norway"/>
    <s v="C78090"/>
    <n v="40"/>
    <s v="M"/>
    <x v="5"/>
    <x v="2"/>
    <s v="Y"/>
    <s v="Success"/>
    <x v="0"/>
    <x v="0"/>
    <x v="2"/>
  </r>
  <r>
    <s v="TX1001308"/>
    <x v="48"/>
    <x v="0"/>
    <d v="1899-12-30T11:06:35"/>
    <n v="15.03"/>
    <s v="USD"/>
    <s v="M1078"/>
    <x v="8"/>
    <s v="France"/>
    <s v="C52723"/>
    <n v="25"/>
    <s v="Other"/>
    <x v="1"/>
    <x v="3"/>
    <s v="Y"/>
    <s v="Success"/>
    <x v="0"/>
    <x v="0"/>
    <x v="1"/>
  </r>
  <r>
    <s v="TX1002702"/>
    <x v="89"/>
    <x v="3"/>
    <d v="1899-12-30T23:16:00"/>
    <n v="14.96"/>
    <s v="USD"/>
    <s v="M1510"/>
    <x v="4"/>
    <s v="India"/>
    <s v="C89703"/>
    <n v="23"/>
    <s v="Other"/>
    <x v="8"/>
    <x v="1"/>
    <s v="Y"/>
    <s v="Success"/>
    <x v="0"/>
    <x v="0"/>
    <x v="0"/>
  </r>
  <r>
    <s v="TX1000718"/>
    <x v="106"/>
    <x v="4"/>
    <d v="1899-12-30T16:58:59"/>
    <n v="14.85"/>
    <s v="USD"/>
    <s v="M1833"/>
    <x v="3"/>
    <s v="Netherlands"/>
    <s v="C85609"/>
    <n v="71"/>
    <s v="M"/>
    <x v="5"/>
    <x v="5"/>
    <s v="Y"/>
    <s v="Success"/>
    <x v="0"/>
    <x v="0"/>
    <x v="3"/>
  </r>
  <r>
    <s v="TX1000185"/>
    <x v="49"/>
    <x v="1"/>
    <d v="1899-12-30T06:48:22"/>
    <n v="14.85"/>
    <s v="USD"/>
    <s v="M1833"/>
    <x v="2"/>
    <s v="Sweden"/>
    <s v="C74832"/>
    <n v="31"/>
    <s v="M"/>
    <x v="0"/>
    <x v="0"/>
    <s v="Y"/>
    <s v="Success"/>
    <x v="0"/>
    <x v="0"/>
    <x v="1"/>
  </r>
  <r>
    <s v="TX1002070"/>
    <x v="140"/>
    <x v="2"/>
    <d v="1899-12-30T00:48:56"/>
    <n v="14.82"/>
    <s v="USD"/>
    <s v="M1728"/>
    <x v="8"/>
    <s v="United Kingdom"/>
    <s v="C52469"/>
    <n v="53"/>
    <s v="Other"/>
    <x v="11"/>
    <x v="4"/>
    <s v="N"/>
    <s v="Success"/>
    <x v="0"/>
    <x v="0"/>
    <x v="2"/>
  </r>
  <r>
    <s v="TX1002558"/>
    <x v="52"/>
    <x v="3"/>
    <d v="1899-12-30T02:36:22"/>
    <n v="14.82"/>
    <s v="USD"/>
    <s v="M1333"/>
    <x v="4"/>
    <s v="Australia"/>
    <s v="C85450"/>
    <n v="75"/>
    <s v="M"/>
    <x v="6"/>
    <x v="2"/>
    <s v="Y"/>
    <s v="Success"/>
    <x v="0"/>
    <x v="0"/>
    <x v="3"/>
  </r>
  <r>
    <s v="TX1002095"/>
    <x v="158"/>
    <x v="2"/>
    <d v="1899-12-30T06:28:30"/>
    <n v="14.75"/>
    <s v="USD"/>
    <s v="M1998"/>
    <x v="2"/>
    <s v="Canada"/>
    <s v="C53899"/>
    <n v="26"/>
    <s v="F"/>
    <x v="8"/>
    <x v="5"/>
    <s v="Y"/>
    <s v="Success"/>
    <x v="0"/>
    <x v="0"/>
    <x v="1"/>
  </r>
  <r>
    <s v="TX1000120"/>
    <x v="5"/>
    <x v="1"/>
    <d v="1899-12-30T02:09:50"/>
    <n v="14.7"/>
    <s v="USD"/>
    <s v="M1016"/>
    <x v="6"/>
    <s v="Canada"/>
    <s v="C83053"/>
    <n v="29"/>
    <s v="F"/>
    <x v="0"/>
    <x v="0"/>
    <s v="Y"/>
    <s v="Success"/>
    <x v="0"/>
    <x v="0"/>
    <x v="1"/>
  </r>
  <r>
    <s v="TX1002814"/>
    <x v="4"/>
    <x v="3"/>
    <d v="1899-12-30T12:12:39"/>
    <n v="14.55"/>
    <s v="USD"/>
    <s v="M1732"/>
    <x v="1"/>
    <s v="Poland"/>
    <s v="C92511"/>
    <n v="69"/>
    <s v="Other"/>
    <x v="6"/>
    <x v="0"/>
    <s v="Y"/>
    <s v="Success"/>
    <x v="0"/>
    <x v="0"/>
    <x v="3"/>
  </r>
  <r>
    <s v="TX1000401"/>
    <x v="100"/>
    <x v="1"/>
    <d v="1899-12-30T20:46:11"/>
    <n v="14.18"/>
    <s v="USD"/>
    <s v="M1217"/>
    <x v="0"/>
    <s v="United Kingdom"/>
    <s v="C56744"/>
    <n v="69"/>
    <s v="Other"/>
    <x v="6"/>
    <x v="0"/>
    <s v="Y"/>
    <s v="Success"/>
    <x v="1"/>
    <x v="1"/>
    <x v="3"/>
  </r>
  <r>
    <s v="TX1001659"/>
    <x v="39"/>
    <x v="5"/>
    <d v="1899-12-30T23:46:37"/>
    <n v="14.16"/>
    <s v="USD"/>
    <s v="M1279"/>
    <x v="1"/>
    <s v="Sweden"/>
    <s v="C55088"/>
    <n v="35"/>
    <s v="Other"/>
    <x v="2"/>
    <x v="2"/>
    <s v="Y"/>
    <s v="Success"/>
    <x v="0"/>
    <x v="0"/>
    <x v="1"/>
  </r>
  <r>
    <s v="TX1000704"/>
    <x v="62"/>
    <x v="4"/>
    <d v="1899-12-30T16:52:03"/>
    <n v="14.14"/>
    <s v="USD"/>
    <s v="M1355"/>
    <x v="1"/>
    <s v="Poland"/>
    <s v="C85762"/>
    <n v="20"/>
    <s v="Other"/>
    <x v="14"/>
    <x v="2"/>
    <s v="N"/>
    <s v="Success"/>
    <x v="0"/>
    <x v="0"/>
    <x v="0"/>
  </r>
  <r>
    <s v="TX1001023"/>
    <x v="22"/>
    <x v="0"/>
    <d v="1899-12-30T00:17:45"/>
    <n v="13.99"/>
    <s v="USD"/>
    <s v="M1817"/>
    <x v="3"/>
    <s v="Canada"/>
    <s v="C68278"/>
    <n v="60"/>
    <s v="M"/>
    <x v="7"/>
    <x v="0"/>
    <s v="Y"/>
    <s v="Success"/>
    <x v="0"/>
    <x v="0"/>
    <x v="3"/>
  </r>
  <r>
    <s v="TX1001187"/>
    <x v="120"/>
    <x v="0"/>
    <d v="1899-12-30T14:40:42"/>
    <n v="13.96"/>
    <s v="USD"/>
    <s v="M1280"/>
    <x v="9"/>
    <s v="Australia"/>
    <s v="C87745"/>
    <n v="57"/>
    <s v="Other"/>
    <x v="7"/>
    <x v="3"/>
    <s v="N"/>
    <s v="Success"/>
    <x v="0"/>
    <x v="0"/>
    <x v="2"/>
  </r>
  <r>
    <s v="TX1001841"/>
    <x v="139"/>
    <x v="5"/>
    <d v="1899-12-30T20:56:27"/>
    <n v="13.95"/>
    <s v="USD"/>
    <s v="M1330"/>
    <x v="1"/>
    <s v="Norway"/>
    <s v="C90209"/>
    <n v="43"/>
    <s v="M"/>
    <x v="8"/>
    <x v="0"/>
    <s v="Y"/>
    <s v="Success"/>
    <x v="0"/>
    <x v="0"/>
    <x v="2"/>
  </r>
  <r>
    <s v="TX1000328"/>
    <x v="95"/>
    <x v="1"/>
    <d v="1899-12-30T11:48:30"/>
    <n v="13.79"/>
    <s v="USD"/>
    <s v="M1240"/>
    <x v="1"/>
    <s v="South Africa"/>
    <s v="C94092"/>
    <n v="14"/>
    <s v="M"/>
    <x v="14"/>
    <x v="0"/>
    <s v="Y"/>
    <s v="Success"/>
    <x v="0"/>
    <x v="0"/>
    <x v="0"/>
  </r>
  <r>
    <s v="TX1002571"/>
    <x v="52"/>
    <x v="3"/>
    <d v="1899-12-30T16:03:03"/>
    <n v="13.56"/>
    <s v="USD"/>
    <s v="M1214"/>
    <x v="9"/>
    <s v="United Kingdom"/>
    <s v="C58688"/>
    <n v="63"/>
    <s v="Other"/>
    <x v="1"/>
    <x v="2"/>
    <s v="Y"/>
    <s v="Success"/>
    <x v="0"/>
    <x v="0"/>
    <x v="3"/>
  </r>
  <r>
    <s v="TX1001796"/>
    <x v="26"/>
    <x v="5"/>
    <d v="1899-12-30T18:24:14"/>
    <n v="13.27"/>
    <s v="USD"/>
    <s v="M1728"/>
    <x v="7"/>
    <s v="Sweden"/>
    <s v="C53526"/>
    <n v="46"/>
    <s v="Other"/>
    <x v="10"/>
    <x v="3"/>
    <s v="Y"/>
    <s v="Success"/>
    <x v="0"/>
    <x v="0"/>
    <x v="2"/>
  </r>
  <r>
    <s v="TX1000839"/>
    <x v="114"/>
    <x v="4"/>
    <d v="1899-12-30T08:54:41"/>
    <n v="13.18"/>
    <s v="USD"/>
    <s v="M1881"/>
    <x v="1"/>
    <s v="Sweden"/>
    <s v="C52841"/>
    <n v="40"/>
    <s v="M"/>
    <x v="12"/>
    <x v="3"/>
    <s v="Y"/>
    <s v="Success"/>
    <x v="0"/>
    <x v="0"/>
    <x v="2"/>
  </r>
  <r>
    <s v="TX1002187"/>
    <x v="112"/>
    <x v="2"/>
    <d v="1899-12-30T18:03:36"/>
    <n v="13.12"/>
    <s v="USD"/>
    <s v="M1035"/>
    <x v="6"/>
    <s v="Kenya"/>
    <s v="C70339"/>
    <n v="100"/>
    <s v="Other"/>
    <x v="8"/>
    <x v="1"/>
    <s v="Y"/>
    <s v="Success"/>
    <x v="0"/>
    <x v="0"/>
    <x v="3"/>
  </r>
  <r>
    <s v="TX1001879"/>
    <x v="53"/>
    <x v="5"/>
    <d v="1899-12-30T00:57:07"/>
    <n v="13.06"/>
    <s v="USD"/>
    <s v="M1137"/>
    <x v="2"/>
    <s v="Poland"/>
    <s v="C89708"/>
    <n v="45"/>
    <s v="Other"/>
    <x v="0"/>
    <x v="5"/>
    <s v="Y"/>
    <s v="Success"/>
    <x v="0"/>
    <x v="0"/>
    <x v="2"/>
  </r>
  <r>
    <s v="TX1002848"/>
    <x v="166"/>
    <x v="3"/>
    <d v="1899-12-30T06:43:37"/>
    <n v="13.05"/>
    <s v="USD"/>
    <s v="M1234"/>
    <x v="0"/>
    <s v="France"/>
    <s v="C71186"/>
    <n v="24"/>
    <s v="Other"/>
    <x v="3"/>
    <x v="4"/>
    <s v="Y"/>
    <s v="Success"/>
    <x v="0"/>
    <x v="0"/>
    <x v="0"/>
  </r>
  <r>
    <s v="TX1001593"/>
    <x v="84"/>
    <x v="5"/>
    <d v="1899-12-30T12:20:23"/>
    <n v="13.03"/>
    <s v="USD"/>
    <s v="M1833"/>
    <x v="6"/>
    <s v="United States"/>
    <s v="C91434"/>
    <n v="27"/>
    <s v="F"/>
    <x v="5"/>
    <x v="1"/>
    <s v="N"/>
    <s v="Success"/>
    <x v="0"/>
    <x v="0"/>
    <x v="1"/>
  </r>
  <r>
    <s v="TX1000607"/>
    <x v="163"/>
    <x v="4"/>
    <d v="1899-12-30T19:30:50"/>
    <n v="12.87"/>
    <s v="USD"/>
    <s v="M1799"/>
    <x v="4"/>
    <s v="Kenya"/>
    <s v="C62622"/>
    <n v="56"/>
    <s v="M"/>
    <x v="8"/>
    <x v="5"/>
    <s v="Y"/>
    <s v="Success"/>
    <x v="0"/>
    <x v="0"/>
    <x v="2"/>
  </r>
  <r>
    <s v="TX1002826"/>
    <x v="86"/>
    <x v="3"/>
    <d v="1899-12-30T08:15:03"/>
    <n v="12.78"/>
    <s v="USD"/>
    <s v="M1553"/>
    <x v="9"/>
    <s v="Sweden"/>
    <s v="C73675"/>
    <n v="20"/>
    <s v="F"/>
    <x v="14"/>
    <x v="2"/>
    <s v="Y"/>
    <s v="Success"/>
    <x v="0"/>
    <x v="0"/>
    <x v="0"/>
  </r>
  <r>
    <s v="TX1001098"/>
    <x v="129"/>
    <x v="0"/>
    <d v="1899-12-30T06:43:49"/>
    <n v="12.66"/>
    <s v="USD"/>
    <s v="M1524"/>
    <x v="8"/>
    <s v="United Kingdom"/>
    <s v="C81385"/>
    <n v="57"/>
    <s v="F"/>
    <x v="12"/>
    <x v="1"/>
    <s v="Y"/>
    <s v="Success"/>
    <x v="0"/>
    <x v="0"/>
    <x v="2"/>
  </r>
  <r>
    <s v="TX1000782"/>
    <x v="18"/>
    <x v="4"/>
    <d v="1899-12-30T23:35:51"/>
    <n v="12.62"/>
    <s v="USD"/>
    <s v="M1934"/>
    <x v="0"/>
    <s v="United States"/>
    <s v="C60545"/>
    <n v="26"/>
    <s v="F"/>
    <x v="6"/>
    <x v="2"/>
    <s v="Y"/>
    <s v="Success"/>
    <x v="0"/>
    <x v="0"/>
    <x v="1"/>
  </r>
  <r>
    <s v="TX1002658"/>
    <x v="132"/>
    <x v="3"/>
    <d v="1899-12-30T02:16:26"/>
    <n v="12.62"/>
    <s v="USD"/>
    <s v="M1542"/>
    <x v="6"/>
    <s v="South Africa"/>
    <s v="C65442"/>
    <n v="32"/>
    <s v="M"/>
    <x v="6"/>
    <x v="1"/>
    <s v="Y"/>
    <s v="Success"/>
    <x v="0"/>
    <x v="0"/>
    <x v="1"/>
  </r>
  <r>
    <s v="TX1002379"/>
    <x v="160"/>
    <x v="2"/>
    <d v="1899-12-30T15:38:28"/>
    <n v="12.45"/>
    <s v="USD"/>
    <s v="M1736"/>
    <x v="3"/>
    <s v="Nigeria"/>
    <s v="C93428"/>
    <n v="21"/>
    <s v="F"/>
    <x v="13"/>
    <x v="2"/>
    <s v="N"/>
    <s v="Success"/>
    <x v="0"/>
    <x v="0"/>
    <x v="0"/>
  </r>
  <r>
    <s v="TX1000826"/>
    <x v="91"/>
    <x v="4"/>
    <d v="1899-12-30T22:05:26"/>
    <n v="12.37"/>
    <s v="USD"/>
    <s v="M1909"/>
    <x v="2"/>
    <s v="France"/>
    <s v="C63832"/>
    <n v="71"/>
    <s v="Other"/>
    <x v="4"/>
    <x v="3"/>
    <s v="Y"/>
    <s v="Success"/>
    <x v="0"/>
    <x v="0"/>
    <x v="3"/>
  </r>
  <r>
    <s v="TX1002687"/>
    <x v="89"/>
    <x v="3"/>
    <d v="1899-12-30T12:22:30"/>
    <n v="12.32"/>
    <s v="USD"/>
    <s v="M1233"/>
    <x v="2"/>
    <s v="Canada"/>
    <s v="C94123"/>
    <n v="66"/>
    <s v="F"/>
    <x v="6"/>
    <x v="0"/>
    <s v="Y"/>
    <s v="Success"/>
    <x v="0"/>
    <x v="0"/>
    <x v="3"/>
  </r>
  <r>
    <s v="TX1001660"/>
    <x v="176"/>
    <x v="5"/>
    <d v="1899-12-30T00:46:58"/>
    <n v="12.15"/>
    <s v="USD"/>
    <s v="M1315"/>
    <x v="8"/>
    <s v="Canada"/>
    <s v="C94875"/>
    <n v="51"/>
    <s v="M"/>
    <x v="7"/>
    <x v="4"/>
    <s v="Y"/>
    <s v="Success"/>
    <x v="0"/>
    <x v="0"/>
    <x v="2"/>
  </r>
  <r>
    <s v="TX1002991"/>
    <x v="116"/>
    <x v="3"/>
    <d v="1899-12-30T22:31:45"/>
    <n v="12.08"/>
    <s v="USD"/>
    <s v="M1584"/>
    <x v="4"/>
    <s v="Australia"/>
    <s v="C64776"/>
    <n v="55"/>
    <s v="Other"/>
    <x v="13"/>
    <x v="5"/>
    <s v="Y"/>
    <s v="Success"/>
    <x v="0"/>
    <x v="0"/>
    <x v="2"/>
  </r>
  <r>
    <s v="TX1002381"/>
    <x v="160"/>
    <x v="2"/>
    <d v="1899-12-30T20:27:26"/>
    <n v="12.01"/>
    <s v="USD"/>
    <s v="M1155"/>
    <x v="8"/>
    <s v="Canada"/>
    <s v="C95411"/>
    <n v="51"/>
    <s v="Other"/>
    <x v="12"/>
    <x v="0"/>
    <s v="Y"/>
    <s v="Success"/>
    <x v="0"/>
    <x v="0"/>
    <x v="2"/>
  </r>
  <r>
    <s v="TX1002356"/>
    <x v="14"/>
    <x v="2"/>
    <d v="1899-12-30T17:53:51"/>
    <n v="11.72"/>
    <s v="USD"/>
    <s v="M1709"/>
    <x v="4"/>
    <s v="Australia"/>
    <s v="C86874"/>
    <n v="49"/>
    <s v="F"/>
    <x v="12"/>
    <x v="2"/>
    <s v="Y"/>
    <s v="Success"/>
    <x v="0"/>
    <x v="0"/>
    <x v="2"/>
  </r>
  <r>
    <s v="TX1002148"/>
    <x v="2"/>
    <x v="2"/>
    <d v="1899-12-30T01:14:54"/>
    <n v="11.71"/>
    <s v="USD"/>
    <s v="M1367"/>
    <x v="7"/>
    <s v="Netherlands"/>
    <s v="C95522"/>
    <n v="24"/>
    <s v="F"/>
    <x v="10"/>
    <x v="0"/>
    <s v="Y"/>
    <s v="Success"/>
    <x v="0"/>
    <x v="0"/>
    <x v="0"/>
  </r>
  <r>
    <s v="TX1000438"/>
    <x v="148"/>
    <x v="1"/>
    <d v="1899-12-30T21:14:41"/>
    <n v="11.4"/>
    <s v="USD"/>
    <s v="M1554"/>
    <x v="5"/>
    <s v="Spain"/>
    <s v="C51703"/>
    <n v="71"/>
    <s v="F"/>
    <x v="4"/>
    <x v="0"/>
    <s v="Y"/>
    <s v="Success"/>
    <x v="0"/>
    <x v="0"/>
    <x v="3"/>
  </r>
  <r>
    <s v="TX1002216"/>
    <x v="24"/>
    <x v="2"/>
    <d v="1899-12-30T08:35:50"/>
    <n v="11.4"/>
    <s v="USD"/>
    <s v="M1937"/>
    <x v="3"/>
    <s v="France"/>
    <s v="C56855"/>
    <n v="45"/>
    <s v="F"/>
    <x v="5"/>
    <x v="3"/>
    <s v="Y"/>
    <s v="Success"/>
    <x v="0"/>
    <x v="0"/>
    <x v="2"/>
  </r>
  <r>
    <s v="TX1000684"/>
    <x v="113"/>
    <x v="4"/>
    <d v="1899-12-30T13:18:19"/>
    <n v="11.36"/>
    <s v="USD"/>
    <s v="M1446"/>
    <x v="2"/>
    <s v="India"/>
    <s v="C81810"/>
    <n v="59"/>
    <s v="M"/>
    <x v="7"/>
    <x v="5"/>
    <s v="Y"/>
    <s v="Success"/>
    <x v="0"/>
    <x v="0"/>
    <x v="2"/>
  </r>
  <r>
    <s v="TX1000395"/>
    <x v="100"/>
    <x v="1"/>
    <d v="1899-12-30T16:14:05"/>
    <n v="11.3"/>
    <s v="USD"/>
    <s v="M1147"/>
    <x v="9"/>
    <s v="Poland"/>
    <s v="C87968"/>
    <n v="25"/>
    <s v="M"/>
    <x v="5"/>
    <x v="1"/>
    <s v="Y"/>
    <s v="Success"/>
    <x v="0"/>
    <x v="0"/>
    <x v="1"/>
  </r>
  <r>
    <s v="TX1002829"/>
    <x v="86"/>
    <x v="3"/>
    <d v="1899-12-30T09:48:07"/>
    <n v="11.2"/>
    <s v="USD"/>
    <s v="M1143"/>
    <x v="6"/>
    <s v="Spain"/>
    <s v="C64216"/>
    <n v="63"/>
    <s v="F"/>
    <x v="13"/>
    <x v="0"/>
    <s v="Y"/>
    <s v="Success"/>
    <x v="0"/>
    <x v="0"/>
    <x v="3"/>
  </r>
  <r>
    <s v="TX1000266"/>
    <x v="32"/>
    <x v="1"/>
    <d v="1899-12-30T01:40:35"/>
    <n v="11.13"/>
    <s v="USD"/>
    <s v="M1645"/>
    <x v="4"/>
    <s v="Nigeria"/>
    <s v="C82486"/>
    <n v="36"/>
    <s v="M"/>
    <x v="10"/>
    <x v="2"/>
    <s v="Y"/>
    <s v="Success"/>
    <x v="0"/>
    <x v="0"/>
    <x v="1"/>
  </r>
  <r>
    <s v="TX1002983"/>
    <x v="116"/>
    <x v="3"/>
    <d v="1899-12-30T09:46:23"/>
    <n v="11.03"/>
    <s v="USD"/>
    <s v="M1965"/>
    <x v="9"/>
    <s v="Canada"/>
    <s v="C72337"/>
    <n v="34"/>
    <s v="F"/>
    <x v="7"/>
    <x v="0"/>
    <s v="Y"/>
    <s v="Success"/>
    <x v="0"/>
    <x v="0"/>
    <x v="1"/>
  </r>
  <r>
    <s v="TX1002953"/>
    <x v="118"/>
    <x v="3"/>
    <d v="1899-12-30T08:29:14"/>
    <n v="10.78"/>
    <s v="USD"/>
    <s v="M1119"/>
    <x v="7"/>
    <s v="Germany"/>
    <s v="C50929"/>
    <n v="58"/>
    <s v="F"/>
    <x v="0"/>
    <x v="0"/>
    <s v="Y"/>
    <s v="Success"/>
    <x v="0"/>
    <x v="0"/>
    <x v="2"/>
  </r>
  <r>
    <s v="TX1001739"/>
    <x v="70"/>
    <x v="5"/>
    <d v="1899-12-30T21:27:21"/>
    <n v="10.46"/>
    <s v="USD"/>
    <s v="M1362"/>
    <x v="3"/>
    <s v="India"/>
    <s v="C78867"/>
    <n v="70"/>
    <s v="M"/>
    <x v="13"/>
    <x v="0"/>
    <s v="Y"/>
    <s v="Success"/>
    <x v="0"/>
    <x v="0"/>
    <x v="3"/>
  </r>
  <r>
    <s v="TX1001513"/>
    <x v="58"/>
    <x v="5"/>
    <d v="1899-12-30T05:11:50"/>
    <n v="10.199999999999999"/>
    <s v="USD"/>
    <s v="M1248"/>
    <x v="7"/>
    <s v="Poland"/>
    <s v="C94562"/>
    <n v="74"/>
    <s v="Other"/>
    <x v="3"/>
    <x v="0"/>
    <s v="Y"/>
    <s v="Success"/>
    <x v="0"/>
    <x v="0"/>
    <x v="3"/>
  </r>
  <r>
    <s v="TX1001065"/>
    <x v="47"/>
    <x v="0"/>
    <d v="1899-12-30T06:17:03"/>
    <n v="10.02"/>
    <s v="USD"/>
    <s v="M1327"/>
    <x v="4"/>
    <s v="Germany"/>
    <s v="C58445"/>
    <n v="59"/>
    <s v="Other"/>
    <x v="14"/>
    <x v="4"/>
    <s v="Y"/>
    <s v="Success"/>
    <x v="0"/>
    <x v="0"/>
    <x v="2"/>
  </r>
  <r>
    <s v="TX1002868"/>
    <x v="87"/>
    <x v="3"/>
    <d v="1899-12-30T13:49:45"/>
    <n v="9.8000000000000007"/>
    <s v="USD"/>
    <s v="M1748"/>
    <x v="1"/>
    <s v="Nigeria"/>
    <s v="C53364"/>
    <n v="74"/>
    <s v="M"/>
    <x v="8"/>
    <x v="2"/>
    <s v="Y"/>
    <s v="Success"/>
    <x v="0"/>
    <x v="0"/>
    <x v="3"/>
  </r>
  <r>
    <s v="TX1002460"/>
    <x v="154"/>
    <x v="2"/>
    <d v="1899-12-30T09:10:22"/>
    <n v="9.7100000000000009"/>
    <s v="USD"/>
    <s v="M1794"/>
    <x v="4"/>
    <s v="Norway"/>
    <s v="C75571"/>
    <n v="11"/>
    <s v="F"/>
    <x v="14"/>
    <x v="3"/>
    <s v="Y"/>
    <s v="Success"/>
    <x v="0"/>
    <x v="0"/>
    <x v="0"/>
  </r>
  <r>
    <s v="TX1002289"/>
    <x v="79"/>
    <x v="2"/>
    <d v="1899-12-30T19:14:01"/>
    <n v="9.67"/>
    <s v="USD"/>
    <s v="M1108"/>
    <x v="3"/>
    <s v="Germany"/>
    <s v="C50646"/>
    <n v="36"/>
    <s v="Other"/>
    <x v="14"/>
    <x v="3"/>
    <s v="Y"/>
    <s v="Success"/>
    <x v="0"/>
    <x v="0"/>
    <x v="1"/>
  </r>
  <r>
    <s v="TX1002059"/>
    <x v="33"/>
    <x v="2"/>
    <d v="1899-12-30T14:25:30"/>
    <n v="9.6300000000000008"/>
    <s v="USD"/>
    <s v="M1515"/>
    <x v="5"/>
    <s v="Kenya"/>
    <s v="C74530"/>
    <n v="60"/>
    <s v="F"/>
    <x v="1"/>
    <x v="1"/>
    <s v="N"/>
    <s v="Success"/>
    <x v="0"/>
    <x v="0"/>
    <x v="3"/>
  </r>
  <r>
    <s v="TX1002886"/>
    <x v="144"/>
    <x v="3"/>
    <d v="1899-12-30T14:24:07"/>
    <n v="9.5399999999999991"/>
    <s v="USD"/>
    <s v="M1863"/>
    <x v="0"/>
    <s v="India"/>
    <s v="C90511"/>
    <n v="66"/>
    <s v="F"/>
    <x v="13"/>
    <x v="0"/>
    <s v="Y"/>
    <s v="Success"/>
    <x v="0"/>
    <x v="0"/>
    <x v="3"/>
  </r>
  <r>
    <s v="TX1002567"/>
    <x v="52"/>
    <x v="3"/>
    <d v="1899-12-30T13:36:39"/>
    <n v="9.48"/>
    <s v="USD"/>
    <s v="M1523"/>
    <x v="9"/>
    <s v="Norway"/>
    <s v="C56745"/>
    <n v="66"/>
    <s v="F"/>
    <x v="13"/>
    <x v="5"/>
    <s v="Y"/>
    <s v="Success"/>
    <x v="0"/>
    <x v="0"/>
    <x v="3"/>
  </r>
  <r>
    <s v="TX1001361"/>
    <x v="50"/>
    <x v="0"/>
    <d v="1899-12-30T13:52:12"/>
    <n v="9.3800000000000008"/>
    <s v="USD"/>
    <s v="M1572"/>
    <x v="3"/>
    <s v="Spain"/>
    <s v="C59523"/>
    <n v="35"/>
    <s v="M"/>
    <x v="10"/>
    <x v="4"/>
    <s v="Y"/>
    <s v="Success"/>
    <x v="0"/>
    <x v="0"/>
    <x v="1"/>
  </r>
  <r>
    <s v="TX1002501"/>
    <x v="28"/>
    <x v="2"/>
    <d v="1899-12-30T14:49:35"/>
    <n v="9.33"/>
    <s v="USD"/>
    <s v="M1592"/>
    <x v="2"/>
    <s v="Kenya"/>
    <s v="C97719"/>
    <n v="43"/>
    <s v="Other"/>
    <x v="14"/>
    <x v="1"/>
    <s v="Y"/>
    <s v="Success"/>
    <x v="0"/>
    <x v="0"/>
    <x v="2"/>
  </r>
  <r>
    <s v="TX1001529"/>
    <x v="58"/>
    <x v="5"/>
    <d v="1899-12-30T22:16:45"/>
    <n v="9.2899999999999991"/>
    <s v="USD"/>
    <s v="M1979"/>
    <x v="7"/>
    <s v="Sweden"/>
    <s v="C54652"/>
    <n v="72"/>
    <s v="F"/>
    <x v="10"/>
    <x v="3"/>
    <s v="Y"/>
    <s v="Success"/>
    <x v="0"/>
    <x v="0"/>
    <x v="3"/>
  </r>
  <r>
    <s v="TX1000602"/>
    <x v="163"/>
    <x v="4"/>
    <d v="1899-12-30T15:05:31"/>
    <n v="8.92"/>
    <s v="USD"/>
    <s v="M1703"/>
    <x v="3"/>
    <s v="Norway"/>
    <s v="C55034"/>
    <n v="114"/>
    <s v="Other"/>
    <x v="4"/>
    <x v="3"/>
    <s v="Y"/>
    <s v="Success"/>
    <x v="0"/>
    <x v="0"/>
    <x v="3"/>
  </r>
  <r>
    <s v="TX1002464"/>
    <x v="154"/>
    <x v="2"/>
    <d v="1899-12-30T21:00:12"/>
    <n v="8.84"/>
    <s v="USD"/>
    <s v="M1467"/>
    <x v="7"/>
    <s v="Norway"/>
    <s v="C60415"/>
    <n v="42"/>
    <s v="Other"/>
    <x v="12"/>
    <x v="4"/>
    <s v="Y"/>
    <s v="Success"/>
    <x v="0"/>
    <x v="0"/>
    <x v="2"/>
  </r>
  <r>
    <s v="TX1002465"/>
    <x v="154"/>
    <x v="2"/>
    <d v="1899-12-30T21:09:38"/>
    <n v="8.76"/>
    <s v="USD"/>
    <s v="M1705"/>
    <x v="9"/>
    <s v="Netherlands"/>
    <s v="C72124"/>
    <n v="41"/>
    <s v="Other"/>
    <x v="13"/>
    <x v="2"/>
    <s v="Y"/>
    <s v="Success"/>
    <x v="0"/>
    <x v="0"/>
    <x v="2"/>
  </r>
  <r>
    <s v="TX1000066"/>
    <x v="85"/>
    <x v="1"/>
    <d v="1899-12-30T21:19:57"/>
    <n v="8.5500000000000007"/>
    <s v="USD"/>
    <s v="M1616"/>
    <x v="6"/>
    <s v="Kenya"/>
    <s v="C84501"/>
    <n v="69"/>
    <s v="M"/>
    <x v="2"/>
    <x v="3"/>
    <s v="Y"/>
    <s v="Success"/>
    <x v="0"/>
    <x v="0"/>
    <x v="3"/>
  </r>
  <r>
    <s v="TX1001598"/>
    <x v="84"/>
    <x v="5"/>
    <d v="1899-12-30T23:37:17"/>
    <n v="8.5299999999999994"/>
    <s v="USD"/>
    <s v="M1651"/>
    <x v="5"/>
    <s v="Australia"/>
    <s v="C73364"/>
    <n v="63"/>
    <s v="M"/>
    <x v="10"/>
    <x v="2"/>
    <s v="Y"/>
    <s v="Success"/>
    <x v="0"/>
    <x v="0"/>
    <x v="3"/>
  </r>
  <r>
    <s v="TX1002116"/>
    <x v="21"/>
    <x v="2"/>
    <d v="1899-12-30T12:27:18"/>
    <n v="8.51"/>
    <s v="USD"/>
    <s v="M1154"/>
    <x v="7"/>
    <s v="France"/>
    <s v="C97257"/>
    <n v="64"/>
    <s v="M"/>
    <x v="2"/>
    <x v="4"/>
    <s v="N"/>
    <s v="Success"/>
    <x v="0"/>
    <x v="0"/>
    <x v="3"/>
  </r>
  <r>
    <s v="TX1001191"/>
    <x v="120"/>
    <x v="0"/>
    <d v="1899-12-30T22:19:15"/>
    <n v="8.42"/>
    <s v="USD"/>
    <s v="M1831"/>
    <x v="8"/>
    <s v="United States"/>
    <s v="C68630"/>
    <n v="57"/>
    <s v="M"/>
    <x v="3"/>
    <x v="1"/>
    <s v="Y"/>
    <s v="Success"/>
    <x v="0"/>
    <x v="0"/>
    <x v="2"/>
  </r>
  <r>
    <s v="TX1001798"/>
    <x v="26"/>
    <x v="5"/>
    <d v="1899-12-30T21:30:48"/>
    <n v="8.35"/>
    <s v="USD"/>
    <s v="M1186"/>
    <x v="2"/>
    <s v="Spain"/>
    <s v="C89659"/>
    <n v="38"/>
    <s v="F"/>
    <x v="8"/>
    <x v="0"/>
    <s v="Y"/>
    <s v="Success"/>
    <x v="0"/>
    <x v="0"/>
    <x v="1"/>
  </r>
  <r>
    <s v="TX1000290"/>
    <x v="55"/>
    <x v="1"/>
    <d v="1899-12-30T14:21:53"/>
    <n v="8.32"/>
    <s v="USD"/>
    <s v="M1620"/>
    <x v="6"/>
    <s v="Kenya"/>
    <s v="C62850"/>
    <n v="35"/>
    <s v="Other"/>
    <x v="3"/>
    <x v="2"/>
    <s v="Y"/>
    <s v="Success"/>
    <x v="0"/>
    <x v="0"/>
    <x v="1"/>
  </r>
  <r>
    <s v="TX1000388"/>
    <x v="100"/>
    <x v="1"/>
    <d v="1899-12-30T02:35:28"/>
    <n v="8.26"/>
    <s v="USD"/>
    <s v="M1713"/>
    <x v="0"/>
    <s v="Sweden"/>
    <s v="C60885"/>
    <n v="30"/>
    <s v="Other"/>
    <x v="7"/>
    <x v="4"/>
    <s v="Y"/>
    <s v="Success"/>
    <x v="0"/>
    <x v="0"/>
    <x v="1"/>
  </r>
  <r>
    <s v="TX1002524"/>
    <x v="23"/>
    <x v="3"/>
    <d v="1899-12-30T00:18:03"/>
    <n v="7.76"/>
    <s v="USD"/>
    <s v="M1196"/>
    <x v="6"/>
    <s v="Sweden"/>
    <s v="C81126"/>
    <n v="35"/>
    <s v="F"/>
    <x v="4"/>
    <x v="1"/>
    <s v="N"/>
    <s v="Success"/>
    <x v="0"/>
    <x v="0"/>
    <x v="1"/>
  </r>
  <r>
    <s v="TX1001307"/>
    <x v="48"/>
    <x v="0"/>
    <d v="1899-12-30T08:34:48"/>
    <n v="7.7"/>
    <s v="USD"/>
    <s v="M1426"/>
    <x v="7"/>
    <s v="France"/>
    <s v="C59210"/>
    <n v="69"/>
    <s v="F"/>
    <x v="12"/>
    <x v="1"/>
    <s v="Y"/>
    <s v="Success"/>
    <x v="0"/>
    <x v="0"/>
    <x v="3"/>
  </r>
  <r>
    <s v="TX1002857"/>
    <x v="87"/>
    <x v="3"/>
    <d v="1899-12-30T00:17:44"/>
    <n v="7.59"/>
    <s v="USD"/>
    <s v="M1237"/>
    <x v="3"/>
    <s v="United Kingdom"/>
    <s v="C74342"/>
    <n v="63"/>
    <s v="M"/>
    <x v="5"/>
    <x v="1"/>
    <s v="Y"/>
    <s v="Success"/>
    <x v="0"/>
    <x v="0"/>
    <x v="3"/>
  </r>
  <r>
    <s v="TX1002254"/>
    <x v="69"/>
    <x v="2"/>
    <d v="1899-12-30T13:47:55"/>
    <n v="7.57"/>
    <s v="USD"/>
    <s v="M1796"/>
    <x v="5"/>
    <s v="United States"/>
    <s v="C98797"/>
    <n v="68"/>
    <s v="M"/>
    <x v="11"/>
    <x v="1"/>
    <s v="Y"/>
    <s v="Success"/>
    <x v="0"/>
    <x v="0"/>
    <x v="3"/>
  </r>
  <r>
    <s v="TX1002194"/>
    <x v="64"/>
    <x v="2"/>
    <d v="1899-12-30T04:18:44"/>
    <n v="7.51"/>
    <s v="USD"/>
    <s v="M1543"/>
    <x v="2"/>
    <s v="United States"/>
    <s v="C71401"/>
    <n v="38"/>
    <s v="F"/>
    <x v="3"/>
    <x v="5"/>
    <s v="Y"/>
    <s v="Success"/>
    <x v="0"/>
    <x v="0"/>
    <x v="1"/>
  </r>
  <r>
    <s v="TX1001009"/>
    <x v="35"/>
    <x v="0"/>
    <d v="1899-12-30T19:29:16"/>
    <n v="7.44"/>
    <s v="USD"/>
    <s v="M1688"/>
    <x v="3"/>
    <s v="United States"/>
    <s v="C51185"/>
    <n v="18"/>
    <s v="F"/>
    <x v="10"/>
    <x v="1"/>
    <s v="Y"/>
    <s v="Success"/>
    <x v="0"/>
    <x v="0"/>
    <x v="0"/>
  </r>
  <r>
    <s v="TX1002131"/>
    <x v="135"/>
    <x v="2"/>
    <d v="1899-12-30T05:37:27"/>
    <n v="7.42"/>
    <s v="USD"/>
    <s v="M1574"/>
    <x v="1"/>
    <s v="France"/>
    <s v="C87380"/>
    <n v="40"/>
    <s v="F"/>
    <x v="5"/>
    <x v="5"/>
    <s v="Y"/>
    <s v="Success"/>
    <x v="0"/>
    <x v="0"/>
    <x v="2"/>
  </r>
  <r>
    <s v="TX1002339"/>
    <x v="14"/>
    <x v="2"/>
    <d v="1899-12-30T01:21:50"/>
    <n v="7.36"/>
    <s v="USD"/>
    <s v="M1097"/>
    <x v="7"/>
    <s v="India"/>
    <s v="C79157"/>
    <n v="41"/>
    <s v="Other"/>
    <x v="11"/>
    <x v="2"/>
    <s v="Y"/>
    <s v="Success"/>
    <x v="0"/>
    <x v="0"/>
    <x v="2"/>
  </r>
  <r>
    <s v="TX1001751"/>
    <x v="175"/>
    <x v="5"/>
    <d v="1899-12-30T13:18:47"/>
    <n v="7.31"/>
    <s v="USD"/>
    <s v="M1824"/>
    <x v="7"/>
    <s v="Spain"/>
    <s v="C94872"/>
    <n v="47"/>
    <s v="M"/>
    <x v="14"/>
    <x v="3"/>
    <s v="Y"/>
    <s v="Success"/>
    <x v="0"/>
    <x v="0"/>
    <x v="2"/>
  </r>
  <r>
    <s v="TX1000664"/>
    <x v="17"/>
    <x v="4"/>
    <d v="1899-12-30T08:08:22"/>
    <n v="7.27"/>
    <s v="USD"/>
    <s v="M1375"/>
    <x v="8"/>
    <s v="Norway"/>
    <s v="C95007"/>
    <n v="28"/>
    <s v="F"/>
    <x v="13"/>
    <x v="4"/>
    <s v="Y"/>
    <s v="Success"/>
    <x v="0"/>
    <x v="0"/>
    <x v="1"/>
  </r>
  <r>
    <s v="TX1000385"/>
    <x v="100"/>
    <x v="1"/>
    <d v="1899-12-30T00:51:43"/>
    <n v="7.23"/>
    <s v="USD"/>
    <s v="M1958"/>
    <x v="5"/>
    <s v="Sweden"/>
    <s v="C78187"/>
    <n v="19"/>
    <s v="Other"/>
    <x v="13"/>
    <x v="1"/>
    <s v="Y"/>
    <s v="Success"/>
    <x v="0"/>
    <x v="0"/>
    <x v="0"/>
  </r>
  <r>
    <s v="TX1002334"/>
    <x v="119"/>
    <x v="2"/>
    <d v="1899-12-30T21:15:22"/>
    <n v="7.12"/>
    <s v="USD"/>
    <s v="M1263"/>
    <x v="4"/>
    <s v="Spain"/>
    <s v="C57341"/>
    <n v="71"/>
    <s v="Other"/>
    <x v="3"/>
    <x v="3"/>
    <s v="Y"/>
    <s v="Success"/>
    <x v="0"/>
    <x v="0"/>
    <x v="3"/>
  </r>
  <r>
    <s v="TX1000183"/>
    <x v="49"/>
    <x v="1"/>
    <d v="1899-12-30T03:20:33"/>
    <n v="7.02"/>
    <s v="USD"/>
    <s v="M1472"/>
    <x v="3"/>
    <s v="Germany"/>
    <s v="C72846"/>
    <n v="70"/>
    <s v="Other"/>
    <x v="4"/>
    <x v="4"/>
    <s v="Y"/>
    <s v="Success"/>
    <x v="0"/>
    <x v="0"/>
    <x v="3"/>
  </r>
  <r>
    <s v="TX1000771"/>
    <x v="18"/>
    <x v="4"/>
    <d v="1899-12-30T04:47:42"/>
    <n v="6.99"/>
    <s v="USD"/>
    <s v="M1902"/>
    <x v="2"/>
    <s v="United Kingdom"/>
    <s v="C61298"/>
    <n v="54"/>
    <s v="Other"/>
    <x v="0"/>
    <x v="5"/>
    <s v="Y"/>
    <s v="Success"/>
    <x v="0"/>
    <x v="0"/>
    <x v="2"/>
  </r>
  <r>
    <s v="TX1000400"/>
    <x v="100"/>
    <x v="1"/>
    <d v="1899-12-30T20:02:26"/>
    <n v="6.96"/>
    <s v="USD"/>
    <s v="M1330"/>
    <x v="4"/>
    <s v="Sweden"/>
    <s v="C62184"/>
    <n v="41"/>
    <s v="M"/>
    <x v="4"/>
    <x v="1"/>
    <s v="N"/>
    <s v="Success"/>
    <x v="0"/>
    <x v="0"/>
    <x v="2"/>
  </r>
  <r>
    <s v="TX1001792"/>
    <x v="26"/>
    <x v="5"/>
    <d v="1899-12-30T13:34:49"/>
    <n v="6.94"/>
    <s v="USD"/>
    <s v="M1676"/>
    <x v="2"/>
    <s v="Australia"/>
    <s v="C52308"/>
    <n v="74"/>
    <s v="Other"/>
    <x v="13"/>
    <x v="0"/>
    <s v="Y"/>
    <s v="Success"/>
    <x v="0"/>
    <x v="0"/>
    <x v="3"/>
  </r>
  <r>
    <s v="TX1001491"/>
    <x v="0"/>
    <x v="0"/>
    <d v="1899-12-30T21:52:23"/>
    <n v="6.81"/>
    <s v="USD"/>
    <s v="M1214"/>
    <x v="9"/>
    <s v="Sweden"/>
    <s v="C68011"/>
    <n v="16"/>
    <s v="M"/>
    <x v="5"/>
    <x v="3"/>
    <s v="Y"/>
    <s v="Success"/>
    <x v="0"/>
    <x v="0"/>
    <x v="0"/>
  </r>
  <r>
    <s v="TX1002727"/>
    <x v="131"/>
    <x v="3"/>
    <d v="1899-12-30T03:09:54"/>
    <n v="6.65"/>
    <s v="USD"/>
    <s v="M1331"/>
    <x v="2"/>
    <s v="United States"/>
    <s v="C67190"/>
    <n v="64"/>
    <s v="Other"/>
    <x v="11"/>
    <x v="4"/>
    <s v="Y"/>
    <s v="Success"/>
    <x v="0"/>
    <x v="0"/>
    <x v="3"/>
  </r>
  <r>
    <s v="TX1002491"/>
    <x v="28"/>
    <x v="2"/>
    <d v="1899-12-30T04:38:02"/>
    <n v="6.59"/>
    <s v="USD"/>
    <s v="M1537"/>
    <x v="6"/>
    <s v="Kenya"/>
    <s v="C77307"/>
    <n v="64"/>
    <s v="F"/>
    <x v="3"/>
    <x v="0"/>
    <s v="Y"/>
    <s v="Success"/>
    <x v="0"/>
    <x v="0"/>
    <x v="3"/>
  </r>
  <r>
    <s v="TX1002609"/>
    <x v="173"/>
    <x v="3"/>
    <d v="1899-12-30T23:44:10"/>
    <n v="6.55"/>
    <s v="USD"/>
    <s v="M1270"/>
    <x v="0"/>
    <s v="Spain"/>
    <s v="C90005"/>
    <n v="69"/>
    <s v="F"/>
    <x v="4"/>
    <x v="1"/>
    <s v="Y"/>
    <s v="Success"/>
    <x v="0"/>
    <x v="0"/>
    <x v="3"/>
  </r>
  <r>
    <s v="TX1000128"/>
    <x v="5"/>
    <x v="1"/>
    <d v="1899-12-30T11:02:17"/>
    <n v="6.44"/>
    <s v="USD"/>
    <s v="M1069"/>
    <x v="4"/>
    <s v="Poland"/>
    <s v="C64442"/>
    <n v="40"/>
    <s v="Other"/>
    <x v="3"/>
    <x v="4"/>
    <s v="Y"/>
    <s v="Success"/>
    <x v="0"/>
    <x v="0"/>
    <x v="2"/>
  </r>
  <r>
    <s v="TX1000705"/>
    <x v="62"/>
    <x v="4"/>
    <d v="1899-12-30T17:22:35"/>
    <n v="6.22"/>
    <s v="USD"/>
    <s v="M1798"/>
    <x v="7"/>
    <s v="Australia"/>
    <s v="C54160"/>
    <n v="57"/>
    <s v="Other"/>
    <x v="10"/>
    <x v="2"/>
    <s v="Y"/>
    <s v="Success"/>
    <x v="0"/>
    <x v="0"/>
    <x v="2"/>
  </r>
  <r>
    <s v="TX1002477"/>
    <x v="19"/>
    <x v="2"/>
    <d v="1899-12-30T12:45:56"/>
    <n v="6.14"/>
    <s v="USD"/>
    <s v="M1604"/>
    <x v="5"/>
    <s v="France"/>
    <s v="C51527"/>
    <n v="45"/>
    <s v="M"/>
    <x v="4"/>
    <x v="1"/>
    <s v="Y"/>
    <s v="Success"/>
    <x v="0"/>
    <x v="0"/>
    <x v="2"/>
  </r>
  <r>
    <s v="TX1002809"/>
    <x v="4"/>
    <x v="3"/>
    <d v="1899-12-30T08:24:06"/>
    <n v="6.12"/>
    <s v="USD"/>
    <s v="M1490"/>
    <x v="2"/>
    <s v="United States"/>
    <s v="C89410"/>
    <n v="45"/>
    <s v="F"/>
    <x v="8"/>
    <x v="2"/>
    <s v="Y"/>
    <s v="Success"/>
    <x v="0"/>
    <x v="0"/>
    <x v="2"/>
  </r>
  <r>
    <s v="TX1001670"/>
    <x v="176"/>
    <x v="5"/>
    <d v="1899-12-30T18:50:36"/>
    <n v="6.12"/>
    <s v="USD"/>
    <s v="M1414"/>
    <x v="8"/>
    <s v="Spain"/>
    <s v="C65637"/>
    <n v="42"/>
    <s v="M"/>
    <x v="12"/>
    <x v="5"/>
    <s v="Y"/>
    <s v="Success"/>
    <x v="1"/>
    <x v="1"/>
    <x v="2"/>
  </r>
  <r>
    <s v="TX1001803"/>
    <x v="133"/>
    <x v="5"/>
    <d v="1899-12-30T10:43:12"/>
    <n v="6.09"/>
    <s v="USD"/>
    <s v="M1666"/>
    <x v="9"/>
    <s v="France"/>
    <s v="C84719"/>
    <n v="45"/>
    <s v="M"/>
    <x v="3"/>
    <x v="3"/>
    <s v="Y"/>
    <s v="Success"/>
    <x v="0"/>
    <x v="0"/>
    <x v="2"/>
  </r>
  <r>
    <s v="TX1002277"/>
    <x v="38"/>
    <x v="2"/>
    <d v="1899-12-30T23:16:58"/>
    <n v="6.07"/>
    <s v="USD"/>
    <s v="M1951"/>
    <x v="9"/>
    <s v="France"/>
    <s v="C93873"/>
    <n v="45"/>
    <s v="Other"/>
    <x v="4"/>
    <x v="1"/>
    <s v="Y"/>
    <s v="Success"/>
    <x v="0"/>
    <x v="0"/>
    <x v="2"/>
  </r>
  <r>
    <s v="TX1001160"/>
    <x v="40"/>
    <x v="0"/>
    <d v="1899-12-30T06:05:59"/>
    <n v="5.83"/>
    <s v="USD"/>
    <s v="M1264"/>
    <x v="6"/>
    <s v="Spain"/>
    <s v="C55575"/>
    <n v="33"/>
    <s v="F"/>
    <x v="0"/>
    <x v="0"/>
    <s v="N"/>
    <s v="Success"/>
    <x v="0"/>
    <x v="0"/>
    <x v="1"/>
  </r>
  <r>
    <s v="TX1000293"/>
    <x v="55"/>
    <x v="1"/>
    <d v="1899-12-30T15:20:26"/>
    <n v="5.78"/>
    <s v="USD"/>
    <s v="M1860"/>
    <x v="8"/>
    <s v="United Kingdom"/>
    <s v="C57067"/>
    <n v="70"/>
    <s v="F"/>
    <x v="3"/>
    <x v="5"/>
    <s v="Y"/>
    <s v="Success"/>
    <x v="0"/>
    <x v="0"/>
    <x v="3"/>
  </r>
  <r>
    <s v="TX1002217"/>
    <x v="24"/>
    <x v="2"/>
    <d v="1899-12-30T09:21:47"/>
    <n v="5.71"/>
    <s v="USD"/>
    <s v="M1281"/>
    <x v="7"/>
    <s v="Kenya"/>
    <s v="C77419"/>
    <n v="28"/>
    <s v="F"/>
    <x v="2"/>
    <x v="5"/>
    <s v="Y"/>
    <s v="Success"/>
    <x v="0"/>
    <x v="0"/>
    <x v="1"/>
  </r>
  <r>
    <s v="TX1000591"/>
    <x v="153"/>
    <x v="4"/>
    <d v="1899-12-30T21:39:02"/>
    <n v="5.46"/>
    <s v="USD"/>
    <s v="M1309"/>
    <x v="3"/>
    <s v="Germany"/>
    <s v="C79945"/>
    <n v="31"/>
    <s v="M"/>
    <x v="0"/>
    <x v="3"/>
    <s v="Y"/>
    <s v="Success"/>
    <x v="0"/>
    <x v="0"/>
    <x v="1"/>
  </r>
  <r>
    <s v="TX1002711"/>
    <x v="130"/>
    <x v="3"/>
    <d v="1899-12-30T06:15:32"/>
    <n v="5.35"/>
    <s v="USD"/>
    <s v="M1556"/>
    <x v="1"/>
    <s v="France"/>
    <s v="C58315"/>
    <n v="51"/>
    <s v="F"/>
    <x v="12"/>
    <x v="4"/>
    <s v="Y"/>
    <s v="Success"/>
    <x v="0"/>
    <x v="0"/>
    <x v="2"/>
  </r>
  <r>
    <s v="TX1002018"/>
    <x v="115"/>
    <x v="2"/>
    <d v="1899-12-30T07:44:58"/>
    <n v="5.19"/>
    <s v="USD"/>
    <s v="M1876"/>
    <x v="6"/>
    <s v="United States"/>
    <s v="C87833"/>
    <n v="53"/>
    <s v="M"/>
    <x v="14"/>
    <x v="3"/>
    <s v="Y"/>
    <s v="Success"/>
    <x v="0"/>
    <x v="0"/>
    <x v="2"/>
  </r>
  <r>
    <s v="TX1001510"/>
    <x v="98"/>
    <x v="5"/>
    <d v="1899-12-30T20:56:31"/>
    <n v="5.14"/>
    <s v="USD"/>
    <s v="M1801"/>
    <x v="3"/>
    <s v="Spain"/>
    <s v="C60029"/>
    <n v="30"/>
    <s v="M"/>
    <x v="12"/>
    <x v="1"/>
    <s v="Y"/>
    <s v="Success"/>
    <x v="0"/>
    <x v="0"/>
    <x v="1"/>
  </r>
  <r>
    <s v="TX1001175"/>
    <x v="120"/>
    <x v="0"/>
    <d v="1899-12-30T03:08:47"/>
    <n v="5.0599999999999996"/>
    <s v="USD"/>
    <s v="M1597"/>
    <x v="4"/>
    <s v="Poland"/>
    <s v="C53501"/>
    <n v="51"/>
    <s v="Other"/>
    <x v="8"/>
    <x v="3"/>
    <s v="Y"/>
    <s v="Success"/>
    <x v="0"/>
    <x v="0"/>
    <x v="2"/>
  </r>
  <r>
    <s v="TX1000972"/>
    <x v="16"/>
    <x v="0"/>
    <d v="1899-12-30T23:43:41"/>
    <n v="4.93"/>
    <s v="USD"/>
    <s v="M1866"/>
    <x v="1"/>
    <s v="Australia"/>
    <s v="C90337"/>
    <n v="20"/>
    <s v="M"/>
    <x v="12"/>
    <x v="0"/>
    <s v="Y"/>
    <s v="Success"/>
    <x v="0"/>
    <x v="0"/>
    <x v="0"/>
  </r>
  <r>
    <s v="TX1000942"/>
    <x v="164"/>
    <x v="4"/>
    <d v="1899-12-30T01:18:47"/>
    <n v="4.75"/>
    <s v="USD"/>
    <s v="M1299"/>
    <x v="4"/>
    <s v="Sweden"/>
    <s v="C98375"/>
    <n v="67"/>
    <s v="F"/>
    <x v="10"/>
    <x v="5"/>
    <s v="Y"/>
    <s v="Success"/>
    <x v="0"/>
    <x v="0"/>
    <x v="3"/>
  </r>
  <r>
    <s v="TX1002428"/>
    <x v="46"/>
    <x v="2"/>
    <d v="1899-12-30T16:22:48"/>
    <n v="4.62"/>
    <s v="USD"/>
    <s v="M1678"/>
    <x v="9"/>
    <s v="Spain"/>
    <s v="C63428"/>
    <n v="47"/>
    <s v="F"/>
    <x v="7"/>
    <x v="2"/>
    <s v="Y"/>
    <s v="Success"/>
    <x v="0"/>
    <x v="0"/>
    <x v="2"/>
  </r>
  <r>
    <s v="TX1000683"/>
    <x v="113"/>
    <x v="4"/>
    <d v="1899-12-30T13:12:05"/>
    <n v="4.58"/>
    <s v="USD"/>
    <s v="M1197"/>
    <x v="9"/>
    <s v="Canada"/>
    <s v="C63315"/>
    <n v="70"/>
    <s v="M"/>
    <x v="13"/>
    <x v="5"/>
    <s v="Y"/>
    <s v="Success"/>
    <x v="0"/>
    <x v="0"/>
    <x v="3"/>
  </r>
  <r>
    <s v="TX1001960"/>
    <x v="78"/>
    <x v="5"/>
    <d v="1899-12-30T18:42:41"/>
    <n v="4.55"/>
    <s v="USD"/>
    <s v="M1107"/>
    <x v="5"/>
    <s v="Australia"/>
    <s v="C97415"/>
    <n v="46"/>
    <s v="Other"/>
    <x v="9"/>
    <x v="3"/>
    <s v="Y"/>
    <s v="Success"/>
    <x v="0"/>
    <x v="0"/>
    <x v="2"/>
  </r>
  <r>
    <s v="TX1002163"/>
    <x v="2"/>
    <x v="2"/>
    <d v="1899-12-30T15:30:01"/>
    <n v="4.53"/>
    <s v="USD"/>
    <s v="M1588"/>
    <x v="0"/>
    <s v="Nigeria"/>
    <s v="C62690"/>
    <n v="42"/>
    <s v="F"/>
    <x v="7"/>
    <x v="4"/>
    <s v="Y"/>
    <s v="Success"/>
    <x v="0"/>
    <x v="0"/>
    <x v="2"/>
  </r>
  <r>
    <s v="TX1000731"/>
    <x v="111"/>
    <x v="4"/>
    <d v="1899-12-30T08:31:22"/>
    <n v="4.41"/>
    <s v="USD"/>
    <s v="M1867"/>
    <x v="5"/>
    <s v="France"/>
    <s v="C97289"/>
    <n v="65"/>
    <s v="Other"/>
    <x v="1"/>
    <x v="5"/>
    <s v="Y"/>
    <s v="Success"/>
    <x v="0"/>
    <x v="0"/>
    <x v="3"/>
  </r>
  <r>
    <s v="TX1001677"/>
    <x v="134"/>
    <x v="5"/>
    <d v="1899-12-30T07:02:28"/>
    <n v="4.4000000000000004"/>
    <s v="USD"/>
    <s v="M1816"/>
    <x v="3"/>
    <s v="India"/>
    <s v="C53731"/>
    <n v="60"/>
    <s v="M"/>
    <x v="13"/>
    <x v="1"/>
    <s v="Y"/>
    <s v="Success"/>
    <x v="0"/>
    <x v="0"/>
    <x v="3"/>
  </r>
  <r>
    <s v="TX1001196"/>
    <x v="107"/>
    <x v="0"/>
    <d v="1899-12-30T05:04:26"/>
    <n v="4.3099999999999996"/>
    <s v="USD"/>
    <s v="M1418"/>
    <x v="4"/>
    <s v="Norway"/>
    <s v="C96360"/>
    <n v="37"/>
    <s v="M"/>
    <x v="5"/>
    <x v="3"/>
    <s v="Y"/>
    <s v="Success"/>
    <x v="0"/>
    <x v="0"/>
    <x v="1"/>
  </r>
  <r>
    <s v="TX1000523"/>
    <x v="63"/>
    <x v="4"/>
    <d v="1899-12-30T14:17:48"/>
    <n v="3.97"/>
    <s v="USD"/>
    <s v="M1067"/>
    <x v="7"/>
    <s v="South Africa"/>
    <s v="C80437"/>
    <n v="26"/>
    <s v="Other"/>
    <x v="4"/>
    <x v="3"/>
    <s v="Y"/>
    <s v="Success"/>
    <x v="0"/>
    <x v="0"/>
    <x v="1"/>
  </r>
  <r>
    <s v="TX1001927"/>
    <x v="155"/>
    <x v="5"/>
    <d v="1899-12-30T15:45:27"/>
    <n v="3.62"/>
    <s v="USD"/>
    <s v="M1369"/>
    <x v="7"/>
    <s v="France"/>
    <s v="C74234"/>
    <n v="34"/>
    <s v="F"/>
    <x v="6"/>
    <x v="4"/>
    <s v="Y"/>
    <s v="Success"/>
    <x v="0"/>
    <x v="0"/>
    <x v="1"/>
  </r>
  <r>
    <s v="TX1000680"/>
    <x v="113"/>
    <x v="4"/>
    <d v="1899-12-30T08:23:42"/>
    <n v="3.61"/>
    <s v="USD"/>
    <s v="M1652"/>
    <x v="1"/>
    <s v="Germany"/>
    <s v="C97792"/>
    <n v="64"/>
    <s v="F"/>
    <x v="0"/>
    <x v="4"/>
    <s v="Y"/>
    <s v="Success"/>
    <x v="0"/>
    <x v="0"/>
    <x v="3"/>
  </r>
  <r>
    <s v="TX1000091"/>
    <x v="37"/>
    <x v="1"/>
    <d v="1899-12-30T15:43:32"/>
    <n v="3.54"/>
    <s v="USD"/>
    <s v="M1113"/>
    <x v="2"/>
    <s v="Poland"/>
    <s v="C82381"/>
    <n v="64"/>
    <s v="Other"/>
    <x v="6"/>
    <x v="1"/>
    <s v="Y"/>
    <s v="Success"/>
    <x v="0"/>
    <x v="0"/>
    <x v="3"/>
  </r>
  <r>
    <s v="TX1001810"/>
    <x v="133"/>
    <x v="5"/>
    <d v="1899-12-30T14:20:20"/>
    <n v="3.45"/>
    <s v="USD"/>
    <s v="M1757"/>
    <x v="7"/>
    <s v="South Africa"/>
    <s v="C65080"/>
    <n v="38"/>
    <s v="Other"/>
    <x v="7"/>
    <x v="4"/>
    <s v="Y"/>
    <s v="Success"/>
    <x v="0"/>
    <x v="0"/>
    <x v="1"/>
  </r>
  <r>
    <s v="TX1002915"/>
    <x v="96"/>
    <x v="3"/>
    <d v="1899-12-30T04:42:02"/>
    <n v="3.41"/>
    <s v="USD"/>
    <s v="M1393"/>
    <x v="9"/>
    <s v="Nigeria"/>
    <s v="C53473"/>
    <n v="44"/>
    <s v="F"/>
    <x v="1"/>
    <x v="1"/>
    <s v="Y"/>
    <s v="Success"/>
    <x v="1"/>
    <x v="1"/>
    <x v="2"/>
  </r>
  <r>
    <s v="TX1000526"/>
    <x v="63"/>
    <x v="4"/>
    <d v="1899-12-30T21:34:40"/>
    <n v="3.33"/>
    <s v="USD"/>
    <s v="M1192"/>
    <x v="2"/>
    <s v="Nigeria"/>
    <s v="C79629"/>
    <n v="46"/>
    <s v="M"/>
    <x v="8"/>
    <x v="1"/>
    <s v="Y"/>
    <s v="Success"/>
    <x v="0"/>
    <x v="0"/>
    <x v="2"/>
  </r>
  <r>
    <s v="TX1002934"/>
    <x v="45"/>
    <x v="3"/>
    <d v="1899-12-30T07:44:14"/>
    <n v="3.32"/>
    <s v="USD"/>
    <s v="M1973"/>
    <x v="9"/>
    <s v="South Africa"/>
    <s v="C71594"/>
    <n v="62"/>
    <s v="F"/>
    <x v="9"/>
    <x v="2"/>
    <s v="Y"/>
    <s v="Success"/>
    <x v="0"/>
    <x v="0"/>
    <x v="3"/>
  </r>
  <r>
    <s v="TX1000013"/>
    <x v="146"/>
    <x v="1"/>
    <d v="1899-12-30T16:10:56"/>
    <n v="3.28"/>
    <s v="USD"/>
    <s v="M1063"/>
    <x v="7"/>
    <s v="South Africa"/>
    <s v="C70106"/>
    <n v="74"/>
    <s v="Other"/>
    <x v="4"/>
    <x v="1"/>
    <s v="Y"/>
    <s v="Success"/>
    <x v="0"/>
    <x v="0"/>
    <x v="3"/>
  </r>
  <r>
    <s v="TX1001253"/>
    <x v="76"/>
    <x v="0"/>
    <d v="1899-12-30T09:12:01"/>
    <n v="3.27"/>
    <s v="USD"/>
    <s v="M1493"/>
    <x v="4"/>
    <s v="Spain"/>
    <s v="C69076"/>
    <n v="18"/>
    <s v="F"/>
    <x v="14"/>
    <x v="3"/>
    <s v="Y"/>
    <s v="Success"/>
    <x v="0"/>
    <x v="0"/>
    <x v="0"/>
  </r>
  <r>
    <s v="TX1001477"/>
    <x v="0"/>
    <x v="0"/>
    <d v="1899-12-30T05:29:02"/>
    <n v="3.21"/>
    <s v="USD"/>
    <s v="M1797"/>
    <x v="5"/>
    <s v="Poland"/>
    <s v="C88419"/>
    <n v="66"/>
    <s v="M"/>
    <x v="0"/>
    <x v="2"/>
    <s v="Y"/>
    <s v="Success"/>
    <x v="0"/>
    <x v="0"/>
    <x v="3"/>
  </r>
  <r>
    <s v="TX1001219"/>
    <x v="81"/>
    <x v="0"/>
    <d v="1899-12-30T13:22:14"/>
    <n v="3.21"/>
    <s v="USD"/>
    <s v="M1818"/>
    <x v="5"/>
    <s v="South Africa"/>
    <s v="C58487"/>
    <n v="63"/>
    <s v="M"/>
    <x v="5"/>
    <x v="5"/>
    <s v="Y"/>
    <s v="Success"/>
    <x v="0"/>
    <x v="0"/>
    <x v="3"/>
  </r>
  <r>
    <s v="TX1001215"/>
    <x v="81"/>
    <x v="0"/>
    <d v="1899-12-30T09:23:41"/>
    <n v="3.04"/>
    <s v="USD"/>
    <s v="M1729"/>
    <x v="7"/>
    <s v="Spain"/>
    <s v="C53109"/>
    <n v="57"/>
    <s v="Other"/>
    <x v="12"/>
    <x v="3"/>
    <s v="Y"/>
    <s v="Success"/>
    <x v="0"/>
    <x v="0"/>
    <x v="2"/>
  </r>
  <r>
    <s v="TX1002599"/>
    <x v="173"/>
    <x v="3"/>
    <d v="1899-12-30T03:52:12"/>
    <n v="3"/>
    <s v="USD"/>
    <s v="M1673"/>
    <x v="0"/>
    <s v="Canada"/>
    <s v="C63311"/>
    <n v="67"/>
    <s v="M"/>
    <x v="12"/>
    <x v="4"/>
    <s v="Y"/>
    <s v="Success"/>
    <x v="0"/>
    <x v="0"/>
    <x v="3"/>
  </r>
  <r>
    <s v="TX1000872"/>
    <x v="51"/>
    <x v="4"/>
    <d v="1899-12-30T06:07:40"/>
    <n v="2.97"/>
    <s v="USD"/>
    <s v="M1908"/>
    <x v="9"/>
    <s v="United States"/>
    <s v="C76114"/>
    <n v="36"/>
    <s v="Other"/>
    <x v="7"/>
    <x v="4"/>
    <s v="Y"/>
    <s v="Success"/>
    <x v="0"/>
    <x v="0"/>
    <x v="1"/>
  </r>
  <r>
    <s v="TX1000506"/>
    <x v="57"/>
    <x v="4"/>
    <d v="1899-12-30T17:17:30"/>
    <n v="2.91"/>
    <s v="USD"/>
    <s v="M1737"/>
    <x v="1"/>
    <s v="Sweden"/>
    <s v="C92115"/>
    <n v="47"/>
    <s v="M"/>
    <x v="12"/>
    <x v="2"/>
    <s v="Y"/>
    <s v="Success"/>
    <x v="0"/>
    <x v="0"/>
    <x v="2"/>
  </r>
  <r>
    <s v="TX1000041"/>
    <x v="167"/>
    <x v="1"/>
    <d v="1899-12-30T07:02:14"/>
    <n v="2.91"/>
    <s v="USD"/>
    <s v="M1834"/>
    <x v="4"/>
    <s v="Canada"/>
    <s v="C83124"/>
    <n v="63"/>
    <s v="F"/>
    <x v="10"/>
    <x v="5"/>
    <s v="Y"/>
    <s v="Success"/>
    <x v="0"/>
    <x v="0"/>
    <x v="3"/>
  </r>
  <r>
    <s v="TX1000159"/>
    <x v="42"/>
    <x v="1"/>
    <d v="1899-12-30T13:46:57"/>
    <n v="2.66"/>
    <s v="USD"/>
    <s v="M1872"/>
    <x v="5"/>
    <s v="Norway"/>
    <s v="C57070"/>
    <n v="45"/>
    <s v="Other"/>
    <x v="13"/>
    <x v="5"/>
    <s v="Y"/>
    <s v="Success"/>
    <x v="0"/>
    <x v="0"/>
    <x v="2"/>
  </r>
  <r>
    <s v="TX1000796"/>
    <x v="110"/>
    <x v="4"/>
    <d v="1899-12-30T12:58:07"/>
    <n v="2.6"/>
    <s v="USD"/>
    <s v="M1356"/>
    <x v="9"/>
    <s v="India"/>
    <s v="C82324"/>
    <n v="75"/>
    <s v="F"/>
    <x v="5"/>
    <x v="1"/>
    <s v="Y"/>
    <s v="Success"/>
    <x v="0"/>
    <x v="0"/>
    <x v="3"/>
  </r>
  <r>
    <s v="TX1002024"/>
    <x v="115"/>
    <x v="2"/>
    <d v="1899-12-30T12:35:39"/>
    <n v="2.38"/>
    <s v="USD"/>
    <s v="M1665"/>
    <x v="6"/>
    <s v="Kenya"/>
    <s v="C92086"/>
    <n v="25"/>
    <s v="Other"/>
    <x v="6"/>
    <x v="2"/>
    <s v="Y"/>
    <s v="Success"/>
    <x v="0"/>
    <x v="0"/>
    <x v="1"/>
  </r>
  <r>
    <s v="TX1002143"/>
    <x v="135"/>
    <x v="2"/>
    <d v="1899-12-30T20:48:41"/>
    <n v="2.37"/>
    <s v="USD"/>
    <s v="M1751"/>
    <x v="9"/>
    <s v="Canada"/>
    <s v="C92464"/>
    <n v="29"/>
    <s v="F"/>
    <x v="0"/>
    <x v="4"/>
    <s v="Y"/>
    <s v="Success"/>
    <x v="0"/>
    <x v="0"/>
    <x v="1"/>
  </r>
  <r>
    <s v="TX1002672"/>
    <x v="34"/>
    <x v="3"/>
    <d v="1899-12-30T05:02:40"/>
    <n v="2.25"/>
    <s v="USD"/>
    <s v="M1769"/>
    <x v="1"/>
    <s v="India"/>
    <s v="C92582"/>
    <n v="58"/>
    <s v="Other"/>
    <x v="12"/>
    <x v="5"/>
    <s v="Y"/>
    <s v="Success"/>
    <x v="0"/>
    <x v="0"/>
    <x v="2"/>
  </r>
  <r>
    <s v="TX1001457"/>
    <x v="61"/>
    <x v="0"/>
    <d v="1899-12-30T05:06:11"/>
    <n v="2.17"/>
    <s v="USD"/>
    <s v="M1804"/>
    <x v="8"/>
    <s v="Sweden"/>
    <s v="C56764"/>
    <n v="34"/>
    <s v="F"/>
    <x v="8"/>
    <x v="2"/>
    <s v="Y"/>
    <s v="Success"/>
    <x v="0"/>
    <x v="0"/>
    <x v="1"/>
  </r>
  <r>
    <s v="TX1000471"/>
    <x v="124"/>
    <x v="4"/>
    <d v="1899-12-30T04:21:25"/>
    <n v="2.12"/>
    <s v="USD"/>
    <s v="M1096"/>
    <x v="5"/>
    <s v="Spain"/>
    <s v="C66630"/>
    <n v="59"/>
    <s v="F"/>
    <x v="14"/>
    <x v="2"/>
    <s v="Y"/>
    <s v="Success"/>
    <x v="0"/>
    <x v="0"/>
    <x v="2"/>
  </r>
  <r>
    <s v="TX1002722"/>
    <x v="130"/>
    <x v="3"/>
    <d v="1899-12-30T16:38:42"/>
    <n v="2.11"/>
    <s v="USD"/>
    <s v="M1363"/>
    <x v="6"/>
    <s v="Netherlands"/>
    <s v="C98480"/>
    <n v="35"/>
    <s v="Other"/>
    <x v="6"/>
    <x v="1"/>
    <s v="Y"/>
    <s v="Success"/>
    <x v="0"/>
    <x v="0"/>
    <x v="1"/>
  </r>
  <r>
    <s v="TX1002757"/>
    <x v="7"/>
    <x v="3"/>
    <d v="1899-12-30T07:54:48"/>
    <n v="2.11"/>
    <s v="USD"/>
    <s v="M1105"/>
    <x v="5"/>
    <s v="Spain"/>
    <s v="C53592"/>
    <n v="55"/>
    <s v="M"/>
    <x v="5"/>
    <x v="0"/>
    <s v="Y"/>
    <s v="Success"/>
    <x v="0"/>
    <x v="0"/>
    <x v="2"/>
  </r>
  <r>
    <s v="TX1001966"/>
    <x v="78"/>
    <x v="5"/>
    <d v="1899-12-30T23:53:37"/>
    <n v="2.1"/>
    <s v="USD"/>
    <s v="M1112"/>
    <x v="0"/>
    <s v="United States"/>
    <s v="C72909"/>
    <n v="30"/>
    <s v="M"/>
    <x v="14"/>
    <x v="0"/>
    <s v="Y"/>
    <s v="Success"/>
    <x v="0"/>
    <x v="0"/>
    <x v="1"/>
  </r>
  <r>
    <s v="TX1002869"/>
    <x v="87"/>
    <x v="3"/>
    <d v="1899-12-30T16:24:07"/>
    <n v="2.1"/>
    <s v="USD"/>
    <s v="M1204"/>
    <x v="3"/>
    <s v="Netherlands"/>
    <s v="C79155"/>
    <n v="20"/>
    <s v="F"/>
    <x v="13"/>
    <x v="2"/>
    <s v="Y"/>
    <s v="Success"/>
    <x v="0"/>
    <x v="0"/>
    <x v="0"/>
  </r>
  <r>
    <s v="TX1001070"/>
    <x v="47"/>
    <x v="0"/>
    <d v="1899-12-30T15:16:15"/>
    <n v="1.99"/>
    <s v="USD"/>
    <s v="M1524"/>
    <x v="4"/>
    <s v="Nigeria"/>
    <s v="C62669"/>
    <n v="55"/>
    <s v="F"/>
    <x v="11"/>
    <x v="2"/>
    <s v="Y"/>
    <s v="Success"/>
    <x v="0"/>
    <x v="0"/>
    <x v="2"/>
  </r>
  <r>
    <s v="TX1001605"/>
    <x v="66"/>
    <x v="5"/>
    <d v="1899-12-30T10:25:05"/>
    <n v="1.97"/>
    <s v="USD"/>
    <s v="M1771"/>
    <x v="7"/>
    <s v="Germany"/>
    <s v="C71971"/>
    <n v="29"/>
    <s v="M"/>
    <x v="13"/>
    <x v="2"/>
    <s v="Y"/>
    <s v="Success"/>
    <x v="0"/>
    <x v="0"/>
    <x v="1"/>
  </r>
  <r>
    <s v="TX1000863"/>
    <x v="12"/>
    <x v="4"/>
    <d v="1899-12-30T20:13:31"/>
    <n v="1.77"/>
    <s v="USD"/>
    <s v="M1183"/>
    <x v="8"/>
    <s v="United Kingdom"/>
    <s v="C84698"/>
    <n v="101"/>
    <s v="Other"/>
    <x v="8"/>
    <x v="5"/>
    <s v="Y"/>
    <s v="Success"/>
    <x v="0"/>
    <x v="0"/>
    <x v="3"/>
  </r>
  <r>
    <s v="TX1002849"/>
    <x v="166"/>
    <x v="3"/>
    <d v="1899-12-30T08:06:16"/>
    <n v="1.62"/>
    <s v="USD"/>
    <s v="M1785"/>
    <x v="7"/>
    <s v="India"/>
    <s v="C51040"/>
    <n v="59"/>
    <s v="F"/>
    <x v="0"/>
    <x v="1"/>
    <s v="Y"/>
    <s v="Success"/>
    <x v="0"/>
    <x v="0"/>
    <x v="2"/>
  </r>
  <r>
    <s v="TX1000249"/>
    <x v="152"/>
    <x v="1"/>
    <d v="1899-12-30T03:35:27"/>
    <n v="1.61"/>
    <s v="USD"/>
    <s v="M1312"/>
    <x v="5"/>
    <s v="Australia"/>
    <s v="C55389"/>
    <n v="67"/>
    <s v="Other"/>
    <x v="4"/>
    <x v="5"/>
    <s v="Y"/>
    <s v="Success"/>
    <x v="0"/>
    <x v="0"/>
    <x v="3"/>
  </r>
  <r>
    <s v="TX1000793"/>
    <x v="110"/>
    <x v="4"/>
    <d v="1899-12-30T08:22:45"/>
    <n v="1.6"/>
    <s v="USD"/>
    <s v="M1960"/>
    <x v="9"/>
    <s v="Spain"/>
    <s v="C64058"/>
    <n v="66"/>
    <s v="F"/>
    <x v="6"/>
    <x v="4"/>
    <s v="Y"/>
    <s v="Success"/>
    <x v="0"/>
    <x v="0"/>
    <x v="3"/>
  </r>
  <r>
    <s v="TX1001011"/>
    <x v="35"/>
    <x v="0"/>
    <d v="1899-12-30T22:11:50"/>
    <n v="1.55"/>
    <s v="USD"/>
    <s v="M1013"/>
    <x v="3"/>
    <s v="Netherlands"/>
    <s v="C75189"/>
    <n v="41"/>
    <s v="F"/>
    <x v="9"/>
    <x v="0"/>
    <s v="Y"/>
    <s v="Success"/>
    <x v="1"/>
    <x v="1"/>
    <x v="2"/>
  </r>
  <r>
    <s v="TX1002411"/>
    <x v="90"/>
    <x v="2"/>
    <d v="1899-12-30T22:23:24"/>
    <n v="1.51"/>
    <s v="USD"/>
    <s v="M1690"/>
    <x v="2"/>
    <s v="Australia"/>
    <s v="C53118"/>
    <n v="31"/>
    <s v="M"/>
    <x v="1"/>
    <x v="5"/>
    <s v="Y"/>
    <s v="Success"/>
    <x v="0"/>
    <x v="0"/>
    <x v="1"/>
  </r>
  <r>
    <s v="TX1001027"/>
    <x v="22"/>
    <x v="0"/>
    <d v="1899-12-30T02:49:55"/>
    <n v="1.48"/>
    <s v="USD"/>
    <s v="M1014"/>
    <x v="9"/>
    <s v="United Kingdom"/>
    <s v="C96306"/>
    <n v="40"/>
    <s v="Other"/>
    <x v="9"/>
    <x v="2"/>
    <s v="Y"/>
    <s v="Success"/>
    <x v="0"/>
    <x v="0"/>
    <x v="2"/>
  </r>
  <r>
    <s v="TX1001992"/>
    <x v="71"/>
    <x v="5"/>
    <d v="1899-12-30T19:13:54"/>
    <n v="1.33"/>
    <s v="USD"/>
    <s v="M1526"/>
    <x v="0"/>
    <s v="Spain"/>
    <s v="C75139"/>
    <n v="75"/>
    <s v="M"/>
    <x v="10"/>
    <x v="4"/>
    <s v="Y"/>
    <s v="Success"/>
    <x v="0"/>
    <x v="0"/>
    <x v="3"/>
  </r>
  <r>
    <s v="TX1001728"/>
    <x v="70"/>
    <x v="5"/>
    <d v="1899-12-30T06:34:46"/>
    <n v="1.19"/>
    <s v="USD"/>
    <s v="M1401"/>
    <x v="3"/>
    <s v="France"/>
    <s v="C65771"/>
    <n v="50"/>
    <s v="F"/>
    <x v="12"/>
    <x v="1"/>
    <s v="Y"/>
    <s v="Success"/>
    <x v="0"/>
    <x v="0"/>
    <x v="2"/>
  </r>
  <r>
    <s v="TX1001163"/>
    <x v="40"/>
    <x v="0"/>
    <d v="1899-12-30T08:56:45"/>
    <n v="1.19"/>
    <s v="USD"/>
    <s v="M1609"/>
    <x v="2"/>
    <s v="Norway"/>
    <s v="C97775"/>
    <n v="35"/>
    <s v="F"/>
    <x v="1"/>
    <x v="4"/>
    <s v="Y"/>
    <s v="Success"/>
    <x v="1"/>
    <x v="1"/>
    <x v="1"/>
  </r>
  <r>
    <s v="TX1001553"/>
    <x v="145"/>
    <x v="5"/>
    <d v="1899-12-30T12:55:19"/>
    <n v="1.0900000000000001"/>
    <s v="USD"/>
    <s v="M1298"/>
    <x v="7"/>
    <s v="South Africa"/>
    <s v="C72148"/>
    <n v="56"/>
    <s v="F"/>
    <x v="13"/>
    <x v="1"/>
    <s v="Y"/>
    <s v="Success"/>
    <x v="0"/>
    <x v="0"/>
    <x v="2"/>
  </r>
  <r>
    <s v="TX1000212"/>
    <x v="31"/>
    <x v="1"/>
    <d v="1899-12-30T09:29:55"/>
    <n v="0"/>
    <s v="USD"/>
    <s v="M1470"/>
    <x v="2"/>
    <s v="Netherlands"/>
    <s v="C88250"/>
    <n v="45"/>
    <s v="F"/>
    <x v="10"/>
    <x v="5"/>
    <s v="Y"/>
    <s v="Success"/>
    <x v="0"/>
    <x v="0"/>
    <x v="2"/>
  </r>
  <r>
    <s v="TX1000529"/>
    <x v="63"/>
    <x v="4"/>
    <d v="1899-12-30T23:57:01"/>
    <n v="0"/>
    <s v="USD"/>
    <s v="M1952"/>
    <x v="3"/>
    <s v="Canada"/>
    <s v="C89955"/>
    <n v="43"/>
    <s v="F"/>
    <x v="13"/>
    <x v="0"/>
    <s v="Y"/>
    <s v="Success"/>
    <x v="0"/>
    <x v="0"/>
    <x v="2"/>
  </r>
  <r>
    <s v="TX1001449"/>
    <x v="92"/>
    <x v="0"/>
    <d v="1899-12-30T21:44:16"/>
    <n v="0"/>
    <s v="USD"/>
    <s v="M1321"/>
    <x v="0"/>
    <s v="Australia"/>
    <s v="C64523"/>
    <n v="44"/>
    <s v="Other"/>
    <x v="8"/>
    <x v="3"/>
    <s v="Y"/>
    <s v="Success"/>
    <x v="0"/>
    <x v="0"/>
    <x v="2"/>
  </r>
  <r>
    <s v="TX1002450"/>
    <x v="67"/>
    <x v="2"/>
    <d v="1899-12-30T20:34:28"/>
    <n v="0"/>
    <s v="USD"/>
    <s v="M1662"/>
    <x v="6"/>
    <s v="Australia"/>
    <s v="C57840"/>
    <n v="53"/>
    <s v="M"/>
    <x v="4"/>
    <x v="4"/>
    <s v="Y"/>
    <s v="Success"/>
    <x v="0"/>
    <x v="0"/>
    <x v="2"/>
  </r>
  <r>
    <s v="TX1001297"/>
    <x v="125"/>
    <x v="0"/>
    <d v="1899-12-30T19:44:41"/>
    <n v="0"/>
    <s v="USD"/>
    <s v="M1358"/>
    <x v="9"/>
    <s v="Poland"/>
    <s v="C88745"/>
    <n v="52"/>
    <s v="M"/>
    <x v="13"/>
    <x v="2"/>
    <s v="Y"/>
    <s v="Success"/>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43EF99-EEFE-44CD-AB70-0F64A763983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3:C14" firstHeaderRow="0" firstDataRow="1" firstDataCol="1" rowPageCount="1" colPageCount="1"/>
  <pivotFields count="20">
    <pivotField showAll="0"/>
    <pivotField numFmtId="14" showAll="0">
      <items count="182">
        <item x="177"/>
        <item x="146"/>
        <item x="171"/>
        <item x="109"/>
        <item x="167"/>
        <item x="85"/>
        <item x="44"/>
        <item x="37"/>
        <item x="179"/>
        <item x="5"/>
        <item x="30"/>
        <item x="42"/>
        <item x="6"/>
        <item x="49"/>
        <item x="31"/>
        <item x="88"/>
        <item x="152"/>
        <item x="32"/>
        <item x="55"/>
        <item x="157"/>
        <item x="95"/>
        <item x="43"/>
        <item x="1"/>
        <item x="56"/>
        <item x="100"/>
        <item x="149"/>
        <item x="148"/>
        <item x="151"/>
        <item x="25"/>
        <item x="124"/>
        <item x="57"/>
        <item x="63"/>
        <item x="105"/>
        <item x="122"/>
        <item x="172"/>
        <item x="36"/>
        <item x="153"/>
        <item x="163"/>
        <item x="159"/>
        <item x="65"/>
        <item x="178"/>
        <item x="20"/>
        <item x="17"/>
        <item x="113"/>
        <item x="62"/>
        <item x="106"/>
        <item x="111"/>
        <item x="10"/>
        <item x="18"/>
        <item x="110"/>
        <item x="170"/>
        <item x="91"/>
        <item x="114"/>
        <item x="12"/>
        <item x="51"/>
        <item x="8"/>
        <item x="68"/>
        <item x="80"/>
        <item x="164"/>
        <item x="16"/>
        <item x="102"/>
        <item x="35"/>
        <item x="174"/>
        <item x="22"/>
        <item x="104"/>
        <item x="47"/>
        <item x="59"/>
        <item x="129"/>
        <item x="168"/>
        <item x="3"/>
        <item x="165"/>
        <item x="40"/>
        <item x="120"/>
        <item x="107"/>
        <item x="81"/>
        <item x="128"/>
        <item x="75"/>
        <item x="76"/>
        <item x="123"/>
        <item x="125"/>
        <item x="48"/>
        <item x="108"/>
        <item x="74"/>
        <item x="50"/>
        <item x="54"/>
        <item x="60"/>
        <item x="150"/>
        <item x="92"/>
        <item x="61"/>
        <item x="0"/>
        <item x="98"/>
        <item x="58"/>
        <item x="83"/>
        <item x="145"/>
        <item x="29"/>
        <item x="161"/>
        <item x="84"/>
        <item x="66"/>
        <item x="127"/>
        <item x="143"/>
        <item x="39"/>
        <item x="176"/>
        <item x="134"/>
        <item x="27"/>
        <item x="142"/>
        <item x="70"/>
        <item x="175"/>
        <item x="72"/>
        <item x="26"/>
        <item x="133"/>
        <item x="162"/>
        <item x="139"/>
        <item x="15"/>
        <item x="117"/>
        <item x="53"/>
        <item x="147"/>
        <item x="155"/>
        <item x="73"/>
        <item x="78"/>
        <item x="121"/>
        <item x="71"/>
        <item x="126"/>
        <item x="115"/>
        <item x="138"/>
        <item x="33"/>
        <item x="140"/>
        <item x="158"/>
        <item x="21"/>
        <item x="135"/>
        <item x="2"/>
        <item x="112"/>
        <item x="64"/>
        <item x="24"/>
        <item x="93"/>
        <item x="69"/>
        <item x="38"/>
        <item x="79"/>
        <item x="156"/>
        <item x="97"/>
        <item x="119"/>
        <item x="14"/>
        <item x="77"/>
        <item x="160"/>
        <item x="82"/>
        <item x="90"/>
        <item x="46"/>
        <item x="67"/>
        <item x="154"/>
        <item x="19"/>
        <item x="28"/>
        <item x="9"/>
        <item x="23"/>
        <item x="13"/>
        <item x="52"/>
        <item x="103"/>
        <item x="173"/>
        <item x="94"/>
        <item x="11"/>
        <item x="41"/>
        <item x="132"/>
        <item x="34"/>
        <item x="89"/>
        <item x="130"/>
        <item x="131"/>
        <item x="136"/>
        <item x="7"/>
        <item x="169"/>
        <item x="101"/>
        <item x="4"/>
        <item x="86"/>
        <item x="166"/>
        <item x="87"/>
        <item x="144"/>
        <item x="137"/>
        <item x="180"/>
        <item x="96"/>
        <item x="45"/>
        <item x="118"/>
        <item x="141"/>
        <item x="116"/>
        <item x="99"/>
        <item t="default"/>
      </items>
    </pivotField>
    <pivotField showAll="0">
      <items count="7">
        <item x="1"/>
        <item x="4"/>
        <item x="0"/>
        <item x="5"/>
        <item x="2"/>
        <item x="3"/>
        <item t="default"/>
      </items>
    </pivotField>
    <pivotField numFmtId="164" showAll="0"/>
    <pivotField dataField="1" showAll="0"/>
    <pivotField showAll="0"/>
    <pivotField showAll="0"/>
    <pivotField axis="axisRow" showAll="0">
      <items count="11">
        <item x="5"/>
        <item x="6"/>
        <item x="4"/>
        <item x="1"/>
        <item x="2"/>
        <item x="7"/>
        <item x="0"/>
        <item x="9"/>
        <item x="3"/>
        <item x="8"/>
        <item t="default"/>
      </items>
    </pivotField>
    <pivotField showAll="0"/>
    <pivotField showAll="0"/>
    <pivotField showAll="0"/>
    <pivotField showAll="0"/>
    <pivotField showAll="0">
      <items count="16">
        <item x="7"/>
        <item x="3"/>
        <item x="2"/>
        <item x="12"/>
        <item x="6"/>
        <item x="1"/>
        <item x="8"/>
        <item x="13"/>
        <item x="9"/>
        <item x="14"/>
        <item x="10"/>
        <item x="0"/>
        <item x="4"/>
        <item x="11"/>
        <item x="5"/>
        <item t="default"/>
      </items>
    </pivotField>
    <pivotField showAll="0">
      <items count="7">
        <item x="3"/>
        <item x="4"/>
        <item x="5"/>
        <item x="1"/>
        <item x="0"/>
        <item x="2"/>
        <item t="default"/>
      </items>
    </pivotField>
    <pivotField showAll="0"/>
    <pivotField showAll="0"/>
    <pivotField showAll="0"/>
    <pivotField axis="axisPage" multipleItemSelectionAllowed="1" showAll="0">
      <items count="3">
        <item x="1"/>
        <item h="1" x="0"/>
        <item t="default"/>
      </items>
    </pivotField>
    <pivotField showAll="0">
      <items count="5">
        <item x="1"/>
        <item x="2"/>
        <item x="3"/>
        <item x="0"/>
        <item t="default"/>
      </items>
    </pivotField>
    <pivotField dataField="1"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pageFields count="1">
    <pageField fld="17" hier="-1"/>
  </pageFields>
  <dataFields count="2">
    <dataField name="Sum of Fruad Amount" fld="4" baseField="7" baseItem="2" numFmtId="165"/>
    <dataField name="Sum of Avg_loss_per_case" fld="19" baseField="7" baseItem="0" numFmtId="165"/>
  </dataFields>
  <chartFormats count="97">
    <chartFormat chart="0" format="3"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3"/>
          </reference>
        </references>
      </pivotArea>
    </chartFormat>
    <chartFormat chart="0" format="10">
      <pivotArea type="data" outline="0" fieldPosition="0">
        <references count="2">
          <reference field="4294967294" count="1" selected="0">
            <x v="1"/>
          </reference>
          <reference field="7" count="1" selected="0">
            <x v="4"/>
          </reference>
        </references>
      </pivotArea>
    </chartFormat>
    <chartFormat chart="0" format="11">
      <pivotArea type="data" outline="0" fieldPosition="0">
        <references count="2">
          <reference field="4294967294" count="1" selected="0">
            <x v="1"/>
          </reference>
          <reference field="7" count="1" selected="0">
            <x v="5"/>
          </reference>
        </references>
      </pivotArea>
    </chartFormat>
    <chartFormat chart="0" format="12">
      <pivotArea type="data" outline="0" fieldPosition="0">
        <references count="2">
          <reference field="4294967294" count="1" selected="0">
            <x v="1"/>
          </reference>
          <reference field="7" count="1" selected="0">
            <x v="9"/>
          </reference>
        </references>
      </pivotArea>
    </chartFormat>
    <chartFormat chart="0" format="13">
      <pivotArea type="data" outline="0" fieldPosition="0">
        <references count="2">
          <reference field="4294967294" count="1" selected="0">
            <x v="1"/>
          </reference>
          <reference field="7" count="1" selected="0">
            <x v="8"/>
          </reference>
        </references>
      </pivotArea>
    </chartFormat>
    <chartFormat chart="0" format="14">
      <pivotArea type="data" outline="0" fieldPosition="0">
        <references count="2">
          <reference field="4294967294" count="1" selected="0">
            <x v="1"/>
          </reference>
          <reference field="7" count="1" selected="0">
            <x v="7"/>
          </reference>
        </references>
      </pivotArea>
    </chartFormat>
    <chartFormat chart="0" format="15">
      <pivotArea type="data" outline="0" fieldPosition="0">
        <references count="2">
          <reference field="4294967294" count="1" selected="0">
            <x v="1"/>
          </reference>
          <reference field="7" count="1" selected="0">
            <x v="6"/>
          </reference>
        </references>
      </pivotArea>
    </chartFormat>
    <chartFormat chart="0" format="16">
      <pivotArea type="data" outline="0" fieldPosition="0">
        <references count="2">
          <reference field="4294967294" count="1" selected="0">
            <x v="1"/>
          </reference>
          <reference field="7" count="1" selected="0">
            <x v="2"/>
          </reference>
        </references>
      </pivotArea>
    </chartFormat>
    <chartFormat chart="0" format="17">
      <pivotArea type="data" outline="0" fieldPosition="0">
        <references count="2">
          <reference field="4294967294" count="1" selected="0">
            <x v="0"/>
          </reference>
          <reference field="7" count="1" selected="0">
            <x v="2"/>
          </reference>
        </references>
      </pivotArea>
    </chartFormat>
    <chartFormat chart="0" format="18">
      <pivotArea type="data" outline="0" fieldPosition="0">
        <references count="2">
          <reference field="4294967294" count="1" selected="0">
            <x v="0"/>
          </reference>
          <reference field="7" count="1" selected="0">
            <x v="9"/>
          </reference>
        </references>
      </pivotArea>
    </chartFormat>
    <chartFormat chart="0" format="19">
      <pivotArea type="data" outline="0" fieldPosition="0">
        <references count="2">
          <reference field="4294967294" count="1" selected="0">
            <x v="0"/>
          </reference>
          <reference field="7" count="1" selected="0">
            <x v="5"/>
          </reference>
        </references>
      </pivotArea>
    </chartFormat>
    <chartFormat chart="0" format="20">
      <pivotArea type="data" outline="0" fieldPosition="0">
        <references count="2">
          <reference field="4294967294" count="1" selected="0">
            <x v="0"/>
          </reference>
          <reference field="7" count="1" selected="0">
            <x v="3"/>
          </reference>
        </references>
      </pivotArea>
    </chartFormat>
    <chartFormat chart="0" format="21">
      <pivotArea type="data" outline="0" fieldPosition="0">
        <references count="2">
          <reference field="4294967294" count="1" selected="0">
            <x v="0"/>
          </reference>
          <reference field="7" count="1" selected="0">
            <x v="4"/>
          </reference>
        </references>
      </pivotArea>
    </chartFormat>
    <chartFormat chart="0" format="22">
      <pivotArea type="data" outline="0" fieldPosition="0">
        <references count="2">
          <reference field="4294967294" count="1" selected="0">
            <x v="0"/>
          </reference>
          <reference field="7" count="1" selected="0">
            <x v="7"/>
          </reference>
        </references>
      </pivotArea>
    </chartFormat>
    <chartFormat chart="23" format="42" series="1">
      <pivotArea type="data" outline="0" fieldPosition="0">
        <references count="1">
          <reference field="4294967294" count="1" selected="0">
            <x v="0"/>
          </reference>
        </references>
      </pivotArea>
    </chartFormat>
    <chartFormat chart="23" format="43">
      <pivotArea type="data" outline="0" fieldPosition="0">
        <references count="2">
          <reference field="4294967294" count="1" selected="0">
            <x v="0"/>
          </reference>
          <reference field="7" count="1" selected="0">
            <x v="2"/>
          </reference>
        </references>
      </pivotArea>
    </chartFormat>
    <chartFormat chart="23" format="44">
      <pivotArea type="data" outline="0" fieldPosition="0">
        <references count="2">
          <reference field="4294967294" count="1" selected="0">
            <x v="0"/>
          </reference>
          <reference field="7" count="1" selected="0">
            <x v="0"/>
          </reference>
        </references>
      </pivotArea>
    </chartFormat>
    <chartFormat chart="23" format="45">
      <pivotArea type="data" outline="0" fieldPosition="0">
        <references count="2">
          <reference field="4294967294" count="1" selected="0">
            <x v="0"/>
          </reference>
          <reference field="7" count="1" selected="0">
            <x v="4"/>
          </reference>
        </references>
      </pivotArea>
    </chartFormat>
    <chartFormat chart="23" format="46">
      <pivotArea type="data" outline="0" fieldPosition="0">
        <references count="2">
          <reference field="4294967294" count="1" selected="0">
            <x v="0"/>
          </reference>
          <reference field="7" count="1" selected="0">
            <x v="7"/>
          </reference>
        </references>
      </pivotArea>
    </chartFormat>
    <chartFormat chart="23" format="47">
      <pivotArea type="data" outline="0" fieldPosition="0">
        <references count="2">
          <reference field="4294967294" count="1" selected="0">
            <x v="0"/>
          </reference>
          <reference field="7" count="1" selected="0">
            <x v="9"/>
          </reference>
        </references>
      </pivotArea>
    </chartFormat>
    <chartFormat chart="23" format="48">
      <pivotArea type="data" outline="0" fieldPosition="0">
        <references count="2">
          <reference field="4294967294" count="1" selected="0">
            <x v="0"/>
          </reference>
          <reference field="7" count="1" selected="0">
            <x v="5"/>
          </reference>
        </references>
      </pivotArea>
    </chartFormat>
    <chartFormat chart="23" format="49">
      <pivotArea type="data" outline="0" fieldPosition="0">
        <references count="2">
          <reference field="4294967294" count="1" selected="0">
            <x v="0"/>
          </reference>
          <reference field="7" count="1" selected="0">
            <x v="3"/>
          </reference>
        </references>
      </pivotArea>
    </chartFormat>
    <chartFormat chart="23" format="50" series="1">
      <pivotArea type="data" outline="0" fieldPosition="0">
        <references count="1">
          <reference field="4294967294" count="1" selected="0">
            <x v="1"/>
          </reference>
        </references>
      </pivotArea>
    </chartFormat>
    <chartFormat chart="23" format="51">
      <pivotArea type="data" outline="0" fieldPosition="0">
        <references count="2">
          <reference field="4294967294" count="1" selected="0">
            <x v="1"/>
          </reference>
          <reference field="7" count="1" selected="0">
            <x v="2"/>
          </reference>
        </references>
      </pivotArea>
    </chartFormat>
    <chartFormat chart="23" format="52">
      <pivotArea type="data" outline="0" fieldPosition="0">
        <references count="2">
          <reference field="4294967294" count="1" selected="0">
            <x v="1"/>
          </reference>
          <reference field="7" count="1" selected="0">
            <x v="0"/>
          </reference>
        </references>
      </pivotArea>
    </chartFormat>
    <chartFormat chart="23" format="53">
      <pivotArea type="data" outline="0" fieldPosition="0">
        <references count="2">
          <reference field="4294967294" count="1" selected="0">
            <x v="1"/>
          </reference>
          <reference field="7" count="1" selected="0">
            <x v="4"/>
          </reference>
        </references>
      </pivotArea>
    </chartFormat>
    <chartFormat chart="23" format="54">
      <pivotArea type="data" outline="0" fieldPosition="0">
        <references count="2">
          <reference field="4294967294" count="1" selected="0">
            <x v="1"/>
          </reference>
          <reference field="7" count="1" selected="0">
            <x v="6"/>
          </reference>
        </references>
      </pivotArea>
    </chartFormat>
    <chartFormat chart="23" format="55">
      <pivotArea type="data" outline="0" fieldPosition="0">
        <references count="2">
          <reference field="4294967294" count="1" selected="0">
            <x v="1"/>
          </reference>
          <reference field="7" count="1" selected="0">
            <x v="8"/>
          </reference>
        </references>
      </pivotArea>
    </chartFormat>
    <chartFormat chart="23" format="56">
      <pivotArea type="data" outline="0" fieldPosition="0">
        <references count="2">
          <reference field="4294967294" count="1" selected="0">
            <x v="1"/>
          </reference>
          <reference field="7" count="1" selected="0">
            <x v="7"/>
          </reference>
        </references>
      </pivotArea>
    </chartFormat>
    <chartFormat chart="23" format="57">
      <pivotArea type="data" outline="0" fieldPosition="0">
        <references count="2">
          <reference field="4294967294" count="1" selected="0">
            <x v="1"/>
          </reference>
          <reference field="7" count="1" selected="0">
            <x v="1"/>
          </reference>
        </references>
      </pivotArea>
    </chartFormat>
    <chartFormat chart="23" format="58">
      <pivotArea type="data" outline="0" fieldPosition="0">
        <references count="2">
          <reference field="4294967294" count="1" selected="0">
            <x v="1"/>
          </reference>
          <reference field="7" count="1" selected="0">
            <x v="9"/>
          </reference>
        </references>
      </pivotArea>
    </chartFormat>
    <chartFormat chart="23" format="59">
      <pivotArea type="data" outline="0" fieldPosition="0">
        <references count="2">
          <reference field="4294967294" count="1" selected="0">
            <x v="1"/>
          </reference>
          <reference field="7" count="1" selected="0">
            <x v="5"/>
          </reference>
        </references>
      </pivotArea>
    </chartFormat>
    <chartFormat chart="23" format="60">
      <pivotArea type="data" outline="0" fieldPosition="0">
        <references count="2">
          <reference field="4294967294" count="1" selected="0">
            <x v="1"/>
          </reference>
          <reference field="7" count="1" selected="0">
            <x v="3"/>
          </reference>
        </references>
      </pivotArea>
    </chartFormat>
    <chartFormat chart="0" format="23">
      <pivotArea type="data" outline="0" fieldPosition="0">
        <references count="2">
          <reference field="4294967294" count="1" selected="0">
            <x v="0"/>
          </reference>
          <reference field="7" count="1" selected="0">
            <x v="1"/>
          </reference>
        </references>
      </pivotArea>
    </chartFormat>
    <chartFormat chart="25" format="24" series="1">
      <pivotArea type="data" outline="0" fieldPosition="0">
        <references count="1">
          <reference field="4294967294" count="1" selected="0">
            <x v="0"/>
          </reference>
        </references>
      </pivotArea>
    </chartFormat>
    <chartFormat chart="25" format="25">
      <pivotArea type="data" outline="0" fieldPosition="0">
        <references count="2">
          <reference field="4294967294" count="1" selected="0">
            <x v="0"/>
          </reference>
          <reference field="7" count="1" selected="0">
            <x v="2"/>
          </reference>
        </references>
      </pivotArea>
    </chartFormat>
    <chartFormat chart="25" format="26">
      <pivotArea type="data" outline="0" fieldPosition="0">
        <references count="2">
          <reference field="4294967294" count="1" selected="0">
            <x v="0"/>
          </reference>
          <reference field="7" count="1" selected="0">
            <x v="0"/>
          </reference>
        </references>
      </pivotArea>
    </chartFormat>
    <chartFormat chart="25" format="27">
      <pivotArea type="data" outline="0" fieldPosition="0">
        <references count="2">
          <reference field="4294967294" count="1" selected="0">
            <x v="0"/>
          </reference>
          <reference field="7" count="1" selected="0">
            <x v="4"/>
          </reference>
        </references>
      </pivotArea>
    </chartFormat>
    <chartFormat chart="25" format="28">
      <pivotArea type="data" outline="0" fieldPosition="0">
        <references count="2">
          <reference field="4294967294" count="1" selected="0">
            <x v="0"/>
          </reference>
          <reference field="7" count="1" selected="0">
            <x v="7"/>
          </reference>
        </references>
      </pivotArea>
    </chartFormat>
    <chartFormat chart="25" format="29">
      <pivotArea type="data" outline="0" fieldPosition="0">
        <references count="2">
          <reference field="4294967294" count="1" selected="0">
            <x v="0"/>
          </reference>
          <reference field="7" count="1" selected="0">
            <x v="1"/>
          </reference>
        </references>
      </pivotArea>
    </chartFormat>
    <chartFormat chart="25" format="30">
      <pivotArea type="data" outline="0" fieldPosition="0">
        <references count="2">
          <reference field="4294967294" count="1" selected="0">
            <x v="0"/>
          </reference>
          <reference field="7" count="1" selected="0">
            <x v="9"/>
          </reference>
        </references>
      </pivotArea>
    </chartFormat>
    <chartFormat chart="25" format="31">
      <pivotArea type="data" outline="0" fieldPosition="0">
        <references count="2">
          <reference field="4294967294" count="1" selected="0">
            <x v="0"/>
          </reference>
          <reference field="7" count="1" selected="0">
            <x v="5"/>
          </reference>
        </references>
      </pivotArea>
    </chartFormat>
    <chartFormat chart="25" format="32">
      <pivotArea type="data" outline="0" fieldPosition="0">
        <references count="2">
          <reference field="4294967294" count="1" selected="0">
            <x v="0"/>
          </reference>
          <reference field="7" count="1" selected="0">
            <x v="3"/>
          </reference>
        </references>
      </pivotArea>
    </chartFormat>
    <chartFormat chart="25" format="33" series="1">
      <pivotArea type="data" outline="0" fieldPosition="0">
        <references count="1">
          <reference field="4294967294" count="1" selected="0">
            <x v="1"/>
          </reference>
        </references>
      </pivotArea>
    </chartFormat>
    <chartFormat chart="25" format="34">
      <pivotArea type="data" outline="0" fieldPosition="0">
        <references count="2">
          <reference field="4294967294" count="1" selected="0">
            <x v="1"/>
          </reference>
          <reference field="7" count="1" selected="0">
            <x v="2"/>
          </reference>
        </references>
      </pivotArea>
    </chartFormat>
    <chartFormat chart="25" format="35">
      <pivotArea type="data" outline="0" fieldPosition="0">
        <references count="2">
          <reference field="4294967294" count="1" selected="0">
            <x v="1"/>
          </reference>
          <reference field="7" count="1" selected="0">
            <x v="0"/>
          </reference>
        </references>
      </pivotArea>
    </chartFormat>
    <chartFormat chart="25" format="36">
      <pivotArea type="data" outline="0" fieldPosition="0">
        <references count="2">
          <reference field="4294967294" count="1" selected="0">
            <x v="1"/>
          </reference>
          <reference field="7" count="1" selected="0">
            <x v="4"/>
          </reference>
        </references>
      </pivotArea>
    </chartFormat>
    <chartFormat chart="25" format="37">
      <pivotArea type="data" outline="0" fieldPosition="0">
        <references count="2">
          <reference field="4294967294" count="1" selected="0">
            <x v="1"/>
          </reference>
          <reference field="7" count="1" selected="0">
            <x v="6"/>
          </reference>
        </references>
      </pivotArea>
    </chartFormat>
    <chartFormat chart="25" format="38">
      <pivotArea type="data" outline="0" fieldPosition="0">
        <references count="2">
          <reference field="4294967294" count="1" selected="0">
            <x v="1"/>
          </reference>
          <reference field="7" count="1" selected="0">
            <x v="8"/>
          </reference>
        </references>
      </pivotArea>
    </chartFormat>
    <chartFormat chart="25" format="39">
      <pivotArea type="data" outline="0" fieldPosition="0">
        <references count="2">
          <reference field="4294967294" count="1" selected="0">
            <x v="1"/>
          </reference>
          <reference field="7" count="1" selected="0">
            <x v="7"/>
          </reference>
        </references>
      </pivotArea>
    </chartFormat>
    <chartFormat chart="25" format="40">
      <pivotArea type="data" outline="0" fieldPosition="0">
        <references count="2">
          <reference field="4294967294" count="1" selected="0">
            <x v="1"/>
          </reference>
          <reference field="7" count="1" selected="0">
            <x v="1"/>
          </reference>
        </references>
      </pivotArea>
    </chartFormat>
    <chartFormat chart="25" format="41">
      <pivotArea type="data" outline="0" fieldPosition="0">
        <references count="2">
          <reference field="4294967294" count="1" selected="0">
            <x v="1"/>
          </reference>
          <reference field="7" count="1" selected="0">
            <x v="9"/>
          </reference>
        </references>
      </pivotArea>
    </chartFormat>
    <chartFormat chart="25" format="42">
      <pivotArea type="data" outline="0" fieldPosition="0">
        <references count="2">
          <reference field="4294967294" count="1" selected="0">
            <x v="1"/>
          </reference>
          <reference field="7" count="1" selected="0">
            <x v="5"/>
          </reference>
        </references>
      </pivotArea>
    </chartFormat>
    <chartFormat chart="25" format="43">
      <pivotArea type="data" outline="0" fieldPosition="0">
        <references count="2">
          <reference field="4294967294" count="1" selected="0">
            <x v="1"/>
          </reference>
          <reference field="7" count="1" selected="0">
            <x v="3"/>
          </reference>
        </references>
      </pivotArea>
    </chartFormat>
    <chartFormat chart="0" format="24">
      <pivotArea type="data" outline="0" fieldPosition="0">
        <references count="2">
          <reference field="4294967294" count="1" selected="0">
            <x v="0"/>
          </reference>
          <reference field="7" count="1" selected="0">
            <x v="6"/>
          </reference>
        </references>
      </pivotArea>
    </chartFormat>
    <chartFormat chart="0" format="25">
      <pivotArea type="data" outline="0" fieldPosition="0">
        <references count="2">
          <reference field="4294967294" count="1" selected="0">
            <x v="0"/>
          </reference>
          <reference field="7" count="1" selected="0">
            <x v="8"/>
          </reference>
        </references>
      </pivotArea>
    </chartFormat>
    <chartFormat chart="38" format="48" series="1">
      <pivotArea type="data" outline="0" fieldPosition="0">
        <references count="1">
          <reference field="4294967294" count="1" selected="0">
            <x v="0"/>
          </reference>
        </references>
      </pivotArea>
    </chartFormat>
    <chartFormat chart="38" format="49">
      <pivotArea type="data" outline="0" fieldPosition="0">
        <references count="2">
          <reference field="4294967294" count="1" selected="0">
            <x v="0"/>
          </reference>
          <reference field="7" count="1" selected="0">
            <x v="0"/>
          </reference>
        </references>
      </pivotArea>
    </chartFormat>
    <chartFormat chart="38" format="50">
      <pivotArea type="data" outline="0" fieldPosition="0">
        <references count="2">
          <reference field="4294967294" count="1" selected="0">
            <x v="0"/>
          </reference>
          <reference field="7" count="1" selected="0">
            <x v="1"/>
          </reference>
        </references>
      </pivotArea>
    </chartFormat>
    <chartFormat chart="38" format="51">
      <pivotArea type="data" outline="0" fieldPosition="0">
        <references count="2">
          <reference field="4294967294" count="1" selected="0">
            <x v="0"/>
          </reference>
          <reference field="7" count="1" selected="0">
            <x v="2"/>
          </reference>
        </references>
      </pivotArea>
    </chartFormat>
    <chartFormat chart="38" format="52">
      <pivotArea type="data" outline="0" fieldPosition="0">
        <references count="2">
          <reference field="4294967294" count="1" selected="0">
            <x v="0"/>
          </reference>
          <reference field="7" count="1" selected="0">
            <x v="3"/>
          </reference>
        </references>
      </pivotArea>
    </chartFormat>
    <chartFormat chart="38" format="53">
      <pivotArea type="data" outline="0" fieldPosition="0">
        <references count="2">
          <reference field="4294967294" count="1" selected="0">
            <x v="0"/>
          </reference>
          <reference field="7" count="1" selected="0">
            <x v="4"/>
          </reference>
        </references>
      </pivotArea>
    </chartFormat>
    <chartFormat chart="38" format="54">
      <pivotArea type="data" outline="0" fieldPosition="0">
        <references count="2">
          <reference field="4294967294" count="1" selected="0">
            <x v="0"/>
          </reference>
          <reference field="7" count="1" selected="0">
            <x v="5"/>
          </reference>
        </references>
      </pivotArea>
    </chartFormat>
    <chartFormat chart="38" format="55">
      <pivotArea type="data" outline="0" fieldPosition="0">
        <references count="2">
          <reference field="4294967294" count="1" selected="0">
            <x v="0"/>
          </reference>
          <reference field="7" count="1" selected="0">
            <x v="6"/>
          </reference>
        </references>
      </pivotArea>
    </chartFormat>
    <chartFormat chart="38" format="56">
      <pivotArea type="data" outline="0" fieldPosition="0">
        <references count="2">
          <reference field="4294967294" count="1" selected="0">
            <x v="0"/>
          </reference>
          <reference field="7" count="1" selected="0">
            <x v="7"/>
          </reference>
        </references>
      </pivotArea>
    </chartFormat>
    <chartFormat chart="38" format="57">
      <pivotArea type="data" outline="0" fieldPosition="0">
        <references count="2">
          <reference field="4294967294" count="1" selected="0">
            <x v="0"/>
          </reference>
          <reference field="7" count="1" selected="0">
            <x v="8"/>
          </reference>
        </references>
      </pivotArea>
    </chartFormat>
    <chartFormat chart="38" format="58">
      <pivotArea type="data" outline="0" fieldPosition="0">
        <references count="2">
          <reference field="4294967294" count="1" selected="0">
            <x v="0"/>
          </reference>
          <reference field="7" count="1" selected="0">
            <x v="9"/>
          </reference>
        </references>
      </pivotArea>
    </chartFormat>
    <chartFormat chart="38" format="59" series="1">
      <pivotArea type="data" outline="0" fieldPosition="0">
        <references count="1">
          <reference field="4294967294" count="1" selected="0">
            <x v="1"/>
          </reference>
        </references>
      </pivotArea>
    </chartFormat>
    <chartFormat chart="38" format="60">
      <pivotArea type="data" outline="0" fieldPosition="0">
        <references count="2">
          <reference field="4294967294" count="1" selected="0">
            <x v="1"/>
          </reference>
          <reference field="7" count="1" selected="0">
            <x v="0"/>
          </reference>
        </references>
      </pivotArea>
    </chartFormat>
    <chartFormat chart="38" format="61">
      <pivotArea type="data" outline="0" fieldPosition="0">
        <references count="2">
          <reference field="4294967294" count="1" selected="0">
            <x v="1"/>
          </reference>
          <reference field="7" count="1" selected="0">
            <x v="1"/>
          </reference>
        </references>
      </pivotArea>
    </chartFormat>
    <chartFormat chart="38" format="62">
      <pivotArea type="data" outline="0" fieldPosition="0">
        <references count="2">
          <reference field="4294967294" count="1" selected="0">
            <x v="1"/>
          </reference>
          <reference field="7" count="1" selected="0">
            <x v="2"/>
          </reference>
        </references>
      </pivotArea>
    </chartFormat>
    <chartFormat chart="38" format="63">
      <pivotArea type="data" outline="0" fieldPosition="0">
        <references count="2">
          <reference field="4294967294" count="1" selected="0">
            <x v="1"/>
          </reference>
          <reference field="7" count="1" selected="0">
            <x v="3"/>
          </reference>
        </references>
      </pivotArea>
    </chartFormat>
    <chartFormat chart="38" format="64">
      <pivotArea type="data" outline="0" fieldPosition="0">
        <references count="2">
          <reference field="4294967294" count="1" selected="0">
            <x v="1"/>
          </reference>
          <reference field="7" count="1" selected="0">
            <x v="4"/>
          </reference>
        </references>
      </pivotArea>
    </chartFormat>
    <chartFormat chart="38" format="65">
      <pivotArea type="data" outline="0" fieldPosition="0">
        <references count="2">
          <reference field="4294967294" count="1" selected="0">
            <x v="1"/>
          </reference>
          <reference field="7" count="1" selected="0">
            <x v="5"/>
          </reference>
        </references>
      </pivotArea>
    </chartFormat>
    <chartFormat chart="38" format="66">
      <pivotArea type="data" outline="0" fieldPosition="0">
        <references count="2">
          <reference field="4294967294" count="1" selected="0">
            <x v="1"/>
          </reference>
          <reference field="7" count="1" selected="0">
            <x v="6"/>
          </reference>
        </references>
      </pivotArea>
    </chartFormat>
    <chartFormat chart="38" format="67">
      <pivotArea type="data" outline="0" fieldPosition="0">
        <references count="2">
          <reference field="4294967294" count="1" selected="0">
            <x v="1"/>
          </reference>
          <reference field="7" count="1" selected="0">
            <x v="7"/>
          </reference>
        </references>
      </pivotArea>
    </chartFormat>
    <chartFormat chart="38" format="68">
      <pivotArea type="data" outline="0" fieldPosition="0">
        <references count="2">
          <reference field="4294967294" count="1" selected="0">
            <x v="1"/>
          </reference>
          <reference field="7" count="1" selected="0">
            <x v="8"/>
          </reference>
        </references>
      </pivotArea>
    </chartFormat>
    <chartFormat chart="38" format="69">
      <pivotArea type="data" outline="0" fieldPosition="0">
        <references count="2">
          <reference field="4294967294" count="1" selected="0">
            <x v="1"/>
          </reference>
          <reference field="7" count="1" selected="0">
            <x v="9"/>
          </reference>
        </references>
      </pivotArea>
    </chartFormat>
    <chartFormat chart="39" format="26" series="1">
      <pivotArea type="data" outline="0" fieldPosition="0">
        <references count="1">
          <reference field="4294967294" count="1" selected="0">
            <x v="0"/>
          </reference>
        </references>
      </pivotArea>
    </chartFormat>
    <chartFormat chart="39" format="27">
      <pivotArea type="data" outline="0" fieldPosition="0">
        <references count="2">
          <reference field="4294967294" count="1" selected="0">
            <x v="0"/>
          </reference>
          <reference field="7" count="1" selected="0">
            <x v="0"/>
          </reference>
        </references>
      </pivotArea>
    </chartFormat>
    <chartFormat chart="39" format="28">
      <pivotArea type="data" outline="0" fieldPosition="0">
        <references count="2">
          <reference field="4294967294" count="1" selected="0">
            <x v="0"/>
          </reference>
          <reference field="7" count="1" selected="0">
            <x v="1"/>
          </reference>
        </references>
      </pivotArea>
    </chartFormat>
    <chartFormat chart="39" format="29">
      <pivotArea type="data" outline="0" fieldPosition="0">
        <references count="2">
          <reference field="4294967294" count="1" selected="0">
            <x v="0"/>
          </reference>
          <reference field="7" count="1" selected="0">
            <x v="2"/>
          </reference>
        </references>
      </pivotArea>
    </chartFormat>
    <chartFormat chart="39" format="30">
      <pivotArea type="data" outline="0" fieldPosition="0">
        <references count="2">
          <reference field="4294967294" count="1" selected="0">
            <x v="0"/>
          </reference>
          <reference field="7" count="1" selected="0">
            <x v="3"/>
          </reference>
        </references>
      </pivotArea>
    </chartFormat>
    <chartFormat chart="39" format="31">
      <pivotArea type="data" outline="0" fieldPosition="0">
        <references count="2">
          <reference field="4294967294" count="1" selected="0">
            <x v="0"/>
          </reference>
          <reference field="7" count="1" selected="0">
            <x v="4"/>
          </reference>
        </references>
      </pivotArea>
    </chartFormat>
    <chartFormat chart="39" format="32">
      <pivotArea type="data" outline="0" fieldPosition="0">
        <references count="2">
          <reference field="4294967294" count="1" selected="0">
            <x v="0"/>
          </reference>
          <reference field="7" count="1" selected="0">
            <x v="5"/>
          </reference>
        </references>
      </pivotArea>
    </chartFormat>
    <chartFormat chart="39" format="33">
      <pivotArea type="data" outline="0" fieldPosition="0">
        <references count="2">
          <reference field="4294967294" count="1" selected="0">
            <x v="0"/>
          </reference>
          <reference field="7" count="1" selected="0">
            <x v="6"/>
          </reference>
        </references>
      </pivotArea>
    </chartFormat>
    <chartFormat chart="39" format="34">
      <pivotArea type="data" outline="0" fieldPosition="0">
        <references count="2">
          <reference field="4294967294" count="1" selected="0">
            <x v="0"/>
          </reference>
          <reference field="7" count="1" selected="0">
            <x v="7"/>
          </reference>
        </references>
      </pivotArea>
    </chartFormat>
    <chartFormat chart="39" format="35">
      <pivotArea type="data" outline="0" fieldPosition="0">
        <references count="2">
          <reference field="4294967294" count="1" selected="0">
            <x v="0"/>
          </reference>
          <reference field="7" count="1" selected="0">
            <x v="8"/>
          </reference>
        </references>
      </pivotArea>
    </chartFormat>
    <chartFormat chart="39" format="36">
      <pivotArea type="data" outline="0" fieldPosition="0">
        <references count="2">
          <reference field="4294967294" count="1" selected="0">
            <x v="0"/>
          </reference>
          <reference field="7" count="1" selected="0">
            <x v="9"/>
          </reference>
        </references>
      </pivotArea>
    </chartFormat>
    <chartFormat chart="39" format="37" series="1">
      <pivotArea type="data" outline="0" fieldPosition="0">
        <references count="1">
          <reference field="4294967294" count="1" selected="0">
            <x v="1"/>
          </reference>
        </references>
      </pivotArea>
    </chartFormat>
    <chartFormat chart="39" format="38">
      <pivotArea type="data" outline="0" fieldPosition="0">
        <references count="2">
          <reference field="4294967294" count="1" selected="0">
            <x v="1"/>
          </reference>
          <reference field="7" count="1" selected="0">
            <x v="0"/>
          </reference>
        </references>
      </pivotArea>
    </chartFormat>
    <chartFormat chart="39" format="39">
      <pivotArea type="data" outline="0" fieldPosition="0">
        <references count="2">
          <reference field="4294967294" count="1" selected="0">
            <x v="1"/>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E6DFC-8591-4732-B30B-5BC7C62947B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10" firstHeaderRow="1" firstDataRow="1" firstDataCol="1" rowPageCount="1" colPageCount="1"/>
  <pivotFields count="20">
    <pivotField showAll="0"/>
    <pivotField numFmtId="14" showAll="0">
      <items count="182">
        <item x="177"/>
        <item x="146"/>
        <item x="171"/>
        <item x="109"/>
        <item x="167"/>
        <item x="85"/>
        <item x="44"/>
        <item x="37"/>
        <item x="179"/>
        <item x="5"/>
        <item x="30"/>
        <item x="42"/>
        <item x="6"/>
        <item x="49"/>
        <item x="31"/>
        <item x="88"/>
        <item x="152"/>
        <item x="32"/>
        <item x="55"/>
        <item x="157"/>
        <item x="95"/>
        <item x="43"/>
        <item x="1"/>
        <item x="56"/>
        <item x="100"/>
        <item x="149"/>
        <item x="148"/>
        <item x="151"/>
        <item x="25"/>
        <item x="124"/>
        <item x="57"/>
        <item x="63"/>
        <item x="105"/>
        <item x="122"/>
        <item x="172"/>
        <item x="36"/>
        <item x="153"/>
        <item x="163"/>
        <item x="159"/>
        <item x="65"/>
        <item x="178"/>
        <item x="20"/>
        <item x="17"/>
        <item x="113"/>
        <item x="62"/>
        <item x="106"/>
        <item x="111"/>
        <item x="10"/>
        <item x="18"/>
        <item x="110"/>
        <item x="170"/>
        <item x="91"/>
        <item x="114"/>
        <item x="12"/>
        <item x="51"/>
        <item x="8"/>
        <item x="68"/>
        <item x="80"/>
        <item x="164"/>
        <item x="16"/>
        <item x="102"/>
        <item x="35"/>
        <item x="174"/>
        <item x="22"/>
        <item x="104"/>
        <item x="47"/>
        <item x="59"/>
        <item x="129"/>
        <item x="168"/>
        <item x="3"/>
        <item x="165"/>
        <item x="40"/>
        <item x="120"/>
        <item x="107"/>
        <item x="81"/>
        <item x="128"/>
        <item x="75"/>
        <item x="76"/>
        <item x="123"/>
        <item x="125"/>
        <item x="48"/>
        <item x="108"/>
        <item x="74"/>
        <item x="50"/>
        <item x="54"/>
        <item x="60"/>
        <item x="150"/>
        <item x="92"/>
        <item x="61"/>
        <item x="0"/>
        <item x="98"/>
        <item x="58"/>
        <item x="83"/>
        <item x="145"/>
        <item x="29"/>
        <item x="161"/>
        <item x="84"/>
        <item x="66"/>
        <item x="127"/>
        <item x="143"/>
        <item x="39"/>
        <item x="176"/>
        <item x="134"/>
        <item x="27"/>
        <item x="142"/>
        <item x="70"/>
        <item x="175"/>
        <item x="72"/>
        <item x="26"/>
        <item x="133"/>
        <item x="162"/>
        <item x="139"/>
        <item x="15"/>
        <item x="117"/>
        <item x="53"/>
        <item x="147"/>
        <item x="155"/>
        <item x="73"/>
        <item x="78"/>
        <item x="121"/>
        <item x="71"/>
        <item x="126"/>
        <item x="115"/>
        <item x="138"/>
        <item x="33"/>
        <item x="140"/>
        <item x="158"/>
        <item x="21"/>
        <item x="135"/>
        <item x="2"/>
        <item x="112"/>
        <item x="64"/>
        <item x="24"/>
        <item x="93"/>
        <item x="69"/>
        <item x="38"/>
        <item x="79"/>
        <item x="156"/>
        <item x="97"/>
        <item x="119"/>
        <item x="14"/>
        <item x="77"/>
        <item x="160"/>
        <item x="82"/>
        <item x="90"/>
        <item x="46"/>
        <item x="67"/>
        <item x="154"/>
        <item x="19"/>
        <item x="28"/>
        <item x="9"/>
        <item x="23"/>
        <item x="13"/>
        <item x="52"/>
        <item x="103"/>
        <item x="173"/>
        <item x="94"/>
        <item x="11"/>
        <item x="41"/>
        <item x="132"/>
        <item x="34"/>
        <item x="89"/>
        <item x="130"/>
        <item x="131"/>
        <item x="136"/>
        <item x="7"/>
        <item x="169"/>
        <item x="101"/>
        <item x="4"/>
        <item x="86"/>
        <item x="166"/>
        <item x="87"/>
        <item x="144"/>
        <item x="137"/>
        <item x="180"/>
        <item x="96"/>
        <item x="45"/>
        <item x="118"/>
        <item x="141"/>
        <item x="116"/>
        <item x="99"/>
        <item t="default"/>
      </items>
    </pivotField>
    <pivotField showAll="0">
      <items count="7">
        <item x="1"/>
        <item x="4"/>
        <item x="0"/>
        <item x="5"/>
        <item x="2"/>
        <item x="3"/>
        <item t="default"/>
      </items>
    </pivotField>
    <pivotField numFmtId="164" showAll="0"/>
    <pivotField showAll="0"/>
    <pivotField showAll="0"/>
    <pivotField showAll="0"/>
    <pivotField showAll="0">
      <items count="11">
        <item x="5"/>
        <item x="6"/>
        <item x="4"/>
        <item x="1"/>
        <item x="2"/>
        <item x="7"/>
        <item x="0"/>
        <item x="9"/>
        <item x="3"/>
        <item x="8"/>
        <item t="default"/>
      </items>
    </pivotField>
    <pivotField showAll="0"/>
    <pivotField showAll="0"/>
    <pivotField showAll="0"/>
    <pivotField showAll="0"/>
    <pivotField showAll="0">
      <items count="16">
        <item x="7"/>
        <item x="3"/>
        <item x="2"/>
        <item x="12"/>
        <item x="6"/>
        <item x="1"/>
        <item x="8"/>
        <item x="13"/>
        <item x="9"/>
        <item x="14"/>
        <item x="10"/>
        <item x="0"/>
        <item x="4"/>
        <item x="11"/>
        <item x="5"/>
        <item t="default"/>
      </items>
    </pivotField>
    <pivotField axis="axisRow" showAll="0" sortType="ascending">
      <items count="7">
        <item x="2"/>
        <item x="0"/>
        <item x="1"/>
        <item x="5"/>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
        <item x="0"/>
        <item x="1"/>
        <item t="default"/>
      </items>
    </pivotField>
    <pivotField axis="axisPage" multipleItemSelectionAllowed="1" showAll="0">
      <items count="3">
        <item x="1"/>
        <item h="1" x="0"/>
        <item t="default"/>
      </items>
    </pivotField>
    <pivotField showAll="0">
      <items count="5">
        <item x="1"/>
        <item x="2"/>
        <item x="3"/>
        <item x="0"/>
        <item t="default"/>
      </items>
    </pivotField>
    <pivotField dragToRow="0" dragToCol="0" dragToPage="0" showAll="0" defaultSubtotal="0"/>
  </pivotFields>
  <rowFields count="1">
    <field x="13"/>
  </rowFields>
  <rowItems count="7">
    <i>
      <x v="1"/>
    </i>
    <i>
      <x/>
    </i>
    <i>
      <x v="3"/>
    </i>
    <i>
      <x v="4"/>
    </i>
    <i>
      <x v="2"/>
    </i>
    <i>
      <x v="5"/>
    </i>
    <i t="grand">
      <x/>
    </i>
  </rowItems>
  <colItems count="1">
    <i/>
  </colItems>
  <pageFields count="1">
    <pageField fld="17" hier="-1"/>
  </pageFields>
  <dataFields count="1">
    <dataField name="Sum of FraudLabel" fld="16" baseField="0" baseItem="0"/>
  </dataFields>
  <chartFormats count="1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0"/>
          </reference>
          <reference field="13" count="1" selected="0">
            <x v="1"/>
          </reference>
        </references>
      </pivotArea>
    </chartFormat>
    <chartFormat chart="2" format="11">
      <pivotArea type="data" outline="0" fieldPosition="0">
        <references count="2">
          <reference field="4294967294" count="1" selected="0">
            <x v="0"/>
          </reference>
          <reference field="13" count="1" selected="0">
            <x v="2"/>
          </reference>
        </references>
      </pivotArea>
    </chartFormat>
    <chartFormat chart="2" format="12">
      <pivotArea type="data" outline="0" fieldPosition="0">
        <references count="2">
          <reference field="4294967294" count="1" selected="0">
            <x v="0"/>
          </reference>
          <reference field="13" count="1" selected="0">
            <x v="3"/>
          </reference>
        </references>
      </pivotArea>
    </chartFormat>
    <chartFormat chart="2" format="13">
      <pivotArea type="data" outline="0" fieldPosition="0">
        <references count="2">
          <reference field="4294967294" count="1" selected="0">
            <x v="0"/>
          </reference>
          <reference field="13" count="1" selected="0">
            <x v="4"/>
          </reference>
        </references>
      </pivotArea>
    </chartFormat>
    <chartFormat chart="2" format="14">
      <pivotArea type="data" outline="0" fieldPosition="0">
        <references count="2">
          <reference field="4294967294" count="1" selected="0">
            <x v="0"/>
          </reference>
          <reference field="13" count="1" selected="0">
            <x v="5"/>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13" count="1" selected="0">
            <x v="0"/>
          </reference>
        </references>
      </pivotArea>
    </chartFormat>
    <chartFormat chart="13" format="20">
      <pivotArea type="data" outline="0" fieldPosition="0">
        <references count="2">
          <reference field="4294967294" count="1" selected="0">
            <x v="0"/>
          </reference>
          <reference field="13" count="1" selected="0">
            <x v="5"/>
          </reference>
        </references>
      </pivotArea>
    </chartFormat>
    <chartFormat chart="20" format="30" series="1">
      <pivotArea type="data" outline="0" fieldPosition="0">
        <references count="1">
          <reference field="4294967294" count="1" selected="0">
            <x v="0"/>
          </reference>
        </references>
      </pivotArea>
    </chartFormat>
    <chartFormat chart="19" format="23"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0"/>
          </reference>
        </references>
      </pivotArea>
    </chartFormat>
    <chartFormat chart="25" format="20">
      <pivotArea type="data" outline="0" fieldPosition="0">
        <references count="2">
          <reference field="4294967294" count="1" selected="0">
            <x v="0"/>
          </reference>
          <reference field="13" count="1" selected="0">
            <x v="0"/>
          </reference>
        </references>
      </pivotArea>
    </chartFormat>
    <chartFormat chart="25" format="21">
      <pivotArea type="data" outline="0" fieldPosition="0">
        <references count="2">
          <reference field="4294967294" count="1" selected="0">
            <x v="0"/>
          </reference>
          <reference field="13" count="1" selected="0">
            <x v="4"/>
          </reference>
        </references>
      </pivotArea>
    </chartFormat>
    <chartFormat chart="25" format="22">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BE6E25-9FCE-4F2B-9B89-9C862BBB36E5}" name="PivotTable1"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60">
  <location ref="A3:B8" firstHeaderRow="1" firstDataRow="1" firstDataCol="1"/>
  <pivotFields count="20">
    <pivotField showAll="0"/>
    <pivotField numFmtId="14" showAll="0">
      <items count="182">
        <item x="177"/>
        <item x="146"/>
        <item x="171"/>
        <item x="109"/>
        <item x="167"/>
        <item x="85"/>
        <item x="44"/>
        <item x="37"/>
        <item x="179"/>
        <item x="5"/>
        <item x="30"/>
        <item x="42"/>
        <item x="6"/>
        <item x="49"/>
        <item x="31"/>
        <item x="88"/>
        <item x="152"/>
        <item x="32"/>
        <item x="55"/>
        <item x="157"/>
        <item x="95"/>
        <item x="43"/>
        <item x="1"/>
        <item x="56"/>
        <item x="100"/>
        <item x="149"/>
        <item x="148"/>
        <item x="151"/>
        <item x="25"/>
        <item x="124"/>
        <item x="57"/>
        <item x="63"/>
        <item x="105"/>
        <item x="122"/>
        <item x="172"/>
        <item x="36"/>
        <item x="153"/>
        <item x="163"/>
        <item x="159"/>
        <item x="65"/>
        <item x="178"/>
        <item x="20"/>
        <item x="17"/>
        <item x="113"/>
        <item x="62"/>
        <item x="106"/>
        <item x="111"/>
        <item x="10"/>
        <item x="18"/>
        <item x="110"/>
        <item x="170"/>
        <item x="91"/>
        <item x="114"/>
        <item x="12"/>
        <item x="51"/>
        <item x="8"/>
        <item x="68"/>
        <item x="80"/>
        <item x="164"/>
        <item x="16"/>
        <item x="102"/>
        <item x="35"/>
        <item x="174"/>
        <item x="22"/>
        <item x="104"/>
        <item x="47"/>
        <item x="59"/>
        <item x="129"/>
        <item x="168"/>
        <item x="3"/>
        <item x="165"/>
        <item x="40"/>
        <item x="120"/>
        <item x="107"/>
        <item x="81"/>
        <item x="128"/>
        <item x="75"/>
        <item x="76"/>
        <item x="123"/>
        <item x="125"/>
        <item x="48"/>
        <item x="108"/>
        <item x="74"/>
        <item x="50"/>
        <item x="54"/>
        <item x="60"/>
        <item x="150"/>
        <item x="92"/>
        <item x="61"/>
        <item x="0"/>
        <item x="98"/>
        <item x="58"/>
        <item x="83"/>
        <item x="145"/>
        <item x="29"/>
        <item x="161"/>
        <item x="84"/>
        <item x="66"/>
        <item x="127"/>
        <item x="143"/>
        <item x="39"/>
        <item x="176"/>
        <item x="134"/>
        <item x="27"/>
        <item x="142"/>
        <item x="70"/>
        <item x="175"/>
        <item x="72"/>
        <item x="26"/>
        <item x="133"/>
        <item x="162"/>
        <item x="139"/>
        <item x="15"/>
        <item x="117"/>
        <item x="53"/>
        <item x="147"/>
        <item x="155"/>
        <item x="73"/>
        <item x="78"/>
        <item x="121"/>
        <item x="71"/>
        <item x="126"/>
        <item x="115"/>
        <item x="138"/>
        <item x="33"/>
        <item x="140"/>
        <item x="158"/>
        <item x="21"/>
        <item x="135"/>
        <item x="2"/>
        <item x="112"/>
        <item x="64"/>
        <item x="24"/>
        <item x="93"/>
        <item x="69"/>
        <item x="38"/>
        <item x="79"/>
        <item x="156"/>
        <item x="97"/>
        <item x="119"/>
        <item x="14"/>
        <item x="77"/>
        <item x="160"/>
        <item x="82"/>
        <item x="90"/>
        <item x="46"/>
        <item x="67"/>
        <item x="154"/>
        <item x="19"/>
        <item x="28"/>
        <item x="9"/>
        <item x="23"/>
        <item x="13"/>
        <item x="52"/>
        <item x="103"/>
        <item x="173"/>
        <item x="94"/>
        <item x="11"/>
        <item x="41"/>
        <item x="132"/>
        <item x="34"/>
        <item x="89"/>
        <item x="130"/>
        <item x="131"/>
        <item x="136"/>
        <item x="7"/>
        <item x="169"/>
        <item x="101"/>
        <item x="4"/>
        <item x="86"/>
        <item x="166"/>
        <item x="87"/>
        <item x="144"/>
        <item x="137"/>
        <item x="180"/>
        <item x="96"/>
        <item x="45"/>
        <item x="118"/>
        <item x="141"/>
        <item x="116"/>
        <item x="99"/>
        <item t="default"/>
      </items>
    </pivotField>
    <pivotField showAll="0">
      <items count="7">
        <item x="1"/>
        <item x="4"/>
        <item x="0"/>
        <item x="5"/>
        <item x="2"/>
        <item x="3"/>
        <item t="default"/>
      </items>
    </pivotField>
    <pivotField numFmtId="164" showAll="0"/>
    <pivotField showAll="0"/>
    <pivotField showAll="0"/>
    <pivotField showAll="0"/>
    <pivotField showAll="0">
      <items count="11">
        <item x="5"/>
        <item x="6"/>
        <item x="4"/>
        <item x="1"/>
        <item x="2"/>
        <item x="7"/>
        <item x="0"/>
        <item x="9"/>
        <item x="3"/>
        <item x="8"/>
        <item t="default"/>
      </items>
    </pivotField>
    <pivotField showAll="0"/>
    <pivotField showAll="0"/>
    <pivotField showAll="0"/>
    <pivotField showAll="0"/>
    <pivotField showAll="0">
      <items count="16">
        <item x="7"/>
        <item x="3"/>
        <item x="2"/>
        <item x="12"/>
        <item x="6"/>
        <item x="1"/>
        <item x="8"/>
        <item x="13"/>
        <item x="9"/>
        <item x="14"/>
        <item x="10"/>
        <item x="0"/>
        <item x="4"/>
        <item x="11"/>
        <item x="5"/>
        <item t="default"/>
      </items>
    </pivotField>
    <pivotField showAll="0">
      <items count="7">
        <item x="3"/>
        <item x="4"/>
        <item x="5"/>
        <item x="1"/>
        <item x="0"/>
        <item x="2"/>
        <item t="default"/>
      </items>
    </pivotField>
    <pivotField showAll="0"/>
    <pivotField showAll="0"/>
    <pivotField dataField="1" showAll="0"/>
    <pivotField showAll="0"/>
    <pivotField axis="axisRow" showAll="0">
      <items count="5">
        <item x="1"/>
        <item x="2"/>
        <item x="3"/>
        <item x="0"/>
        <item t="default"/>
      </items>
    </pivotField>
    <pivotField dragToRow="0" dragToCol="0" dragToPage="0" showAll="0" defaultSubtotal="0"/>
  </pivotFields>
  <rowFields count="1">
    <field x="18"/>
  </rowFields>
  <rowItems count="5">
    <i>
      <x/>
    </i>
    <i>
      <x v="1"/>
    </i>
    <i>
      <x v="2"/>
    </i>
    <i>
      <x v="3"/>
    </i>
    <i t="grand">
      <x/>
    </i>
  </rowItems>
  <colItems count="1">
    <i/>
  </colItems>
  <dataFields count="1">
    <dataField name="Sum of FraudLabel" fld="16" baseField="18" baseItem="0"/>
  </dataFields>
  <chartFormats count="57">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8" count="1" selected="0">
            <x v="0"/>
          </reference>
        </references>
      </pivotArea>
    </chartFormat>
    <chartFormat chart="5" format="8">
      <pivotArea type="data" outline="0" fieldPosition="0">
        <references count="2">
          <reference field="4294967294" count="1" selected="0">
            <x v="0"/>
          </reference>
          <reference field="18" count="1" selected="0">
            <x v="1"/>
          </reference>
        </references>
      </pivotArea>
    </chartFormat>
    <chartFormat chart="5" format="9">
      <pivotArea type="data" outline="0" fieldPosition="0">
        <references count="2">
          <reference field="4294967294" count="1" selected="0">
            <x v="0"/>
          </reference>
          <reference field="18" count="1" selected="0">
            <x v="2"/>
          </reference>
        </references>
      </pivotArea>
    </chartFormat>
    <chartFormat chart="5" format="10">
      <pivotArea type="data" outline="0" fieldPosition="0">
        <references count="2">
          <reference field="4294967294" count="1" selected="0">
            <x v="0"/>
          </reference>
          <reference field="18" count="1" selected="0">
            <x v="3"/>
          </reference>
        </references>
      </pivotArea>
    </chartFormat>
    <chartFormat chart="3" format="1">
      <pivotArea type="data" outline="0" fieldPosition="0">
        <references count="2">
          <reference field="4294967294" count="1" selected="0">
            <x v="0"/>
          </reference>
          <reference field="18" count="1" selected="0">
            <x v="0"/>
          </reference>
        </references>
      </pivotArea>
    </chartFormat>
    <chartFormat chart="3" format="2">
      <pivotArea type="data" outline="0" fieldPosition="0">
        <references count="2">
          <reference field="4294967294" count="1" selected="0">
            <x v="0"/>
          </reference>
          <reference field="18" count="1" selected="0">
            <x v="3"/>
          </reference>
        </references>
      </pivotArea>
    </chartFormat>
    <chartFormat chart="3" format="3">
      <pivotArea type="data" outline="0" fieldPosition="0">
        <references count="2">
          <reference field="4294967294" count="1" selected="0">
            <x v="0"/>
          </reference>
          <reference field="18" count="1" selected="0">
            <x v="2"/>
          </reference>
        </references>
      </pivotArea>
    </chartFormat>
    <chartFormat chart="3" format="4">
      <pivotArea type="data" outline="0" fieldPosition="0">
        <references count="2">
          <reference field="4294967294" count="1" selected="0">
            <x v="0"/>
          </reference>
          <reference field="18"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8" count="1" selected="0">
            <x v="0"/>
          </reference>
        </references>
      </pivotArea>
    </chartFormat>
    <chartFormat chart="12" format="12">
      <pivotArea type="data" outline="0" fieldPosition="0">
        <references count="2">
          <reference field="4294967294" count="1" selected="0">
            <x v="0"/>
          </reference>
          <reference field="18" count="1" selected="0">
            <x v="1"/>
          </reference>
        </references>
      </pivotArea>
    </chartFormat>
    <chartFormat chart="12" format="13">
      <pivotArea type="data" outline="0" fieldPosition="0">
        <references count="2">
          <reference field="4294967294" count="1" selected="0">
            <x v="0"/>
          </reference>
          <reference field="18" count="1" selected="0">
            <x v="2"/>
          </reference>
        </references>
      </pivotArea>
    </chartFormat>
    <chartFormat chart="12" format="14">
      <pivotArea type="data" outline="0" fieldPosition="0">
        <references count="2">
          <reference field="4294967294" count="1" selected="0">
            <x v="0"/>
          </reference>
          <reference field="18" count="1" selected="0">
            <x v="3"/>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8" count="1" selected="0">
            <x v="0"/>
          </reference>
        </references>
      </pivotArea>
    </chartFormat>
    <chartFormat chart="20" format="7">
      <pivotArea type="data" outline="0" fieldPosition="0">
        <references count="2">
          <reference field="4294967294" count="1" selected="0">
            <x v="0"/>
          </reference>
          <reference field="18" count="1" selected="0">
            <x v="1"/>
          </reference>
        </references>
      </pivotArea>
    </chartFormat>
    <chartFormat chart="20" format="8">
      <pivotArea type="data" outline="0" fieldPosition="0">
        <references count="2">
          <reference field="4294967294" count="1" selected="0">
            <x v="0"/>
          </reference>
          <reference field="18" count="1" selected="0">
            <x v="2"/>
          </reference>
        </references>
      </pivotArea>
    </chartFormat>
    <chartFormat chart="20" format="9">
      <pivotArea type="data" outline="0" fieldPosition="0">
        <references count="2">
          <reference field="4294967294" count="1" selected="0">
            <x v="0"/>
          </reference>
          <reference field="18"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18" count="1" selected="0">
            <x v="0"/>
          </reference>
        </references>
      </pivotArea>
    </chartFormat>
    <chartFormat chart="23" format="12">
      <pivotArea type="data" outline="0" fieldPosition="0">
        <references count="2">
          <reference field="4294967294" count="1" selected="0">
            <x v="0"/>
          </reference>
          <reference field="18" count="1" selected="0">
            <x v="1"/>
          </reference>
        </references>
      </pivotArea>
    </chartFormat>
    <chartFormat chart="23" format="13">
      <pivotArea type="data" outline="0" fieldPosition="0">
        <references count="2">
          <reference field="4294967294" count="1" selected="0">
            <x v="0"/>
          </reference>
          <reference field="18" count="1" selected="0">
            <x v="2"/>
          </reference>
        </references>
      </pivotArea>
    </chartFormat>
    <chartFormat chart="23" format="14">
      <pivotArea type="data" outline="0" fieldPosition="0">
        <references count="2">
          <reference field="4294967294" count="1" selected="0">
            <x v="0"/>
          </reference>
          <reference field="18" count="1" selected="0">
            <x v="3"/>
          </reference>
        </references>
      </pivotArea>
    </chartFormat>
    <chartFormat chart="37" format="10" series="1">
      <pivotArea type="data" outline="0" fieldPosition="0">
        <references count="1">
          <reference field="4294967294" count="1" selected="0">
            <x v="0"/>
          </reference>
        </references>
      </pivotArea>
    </chartFormat>
    <chartFormat chart="37" format="11">
      <pivotArea type="data" outline="0" fieldPosition="0">
        <references count="2">
          <reference field="4294967294" count="1" selected="0">
            <x v="0"/>
          </reference>
          <reference field="18" count="1" selected="0">
            <x v="0"/>
          </reference>
        </references>
      </pivotArea>
    </chartFormat>
    <chartFormat chart="37" format="12">
      <pivotArea type="data" outline="0" fieldPosition="0">
        <references count="2">
          <reference field="4294967294" count="1" selected="0">
            <x v="0"/>
          </reference>
          <reference field="18" count="1" selected="0">
            <x v="1"/>
          </reference>
        </references>
      </pivotArea>
    </chartFormat>
    <chartFormat chart="37" format="13">
      <pivotArea type="data" outline="0" fieldPosition="0">
        <references count="2">
          <reference field="4294967294" count="1" selected="0">
            <x v="0"/>
          </reference>
          <reference field="18" count="1" selected="0">
            <x v="2"/>
          </reference>
        </references>
      </pivotArea>
    </chartFormat>
    <chartFormat chart="37" format="14">
      <pivotArea type="data" outline="0" fieldPosition="0">
        <references count="2">
          <reference field="4294967294" count="1" selected="0">
            <x v="0"/>
          </reference>
          <reference field="18" count="1" selected="0">
            <x v="3"/>
          </reference>
        </references>
      </pivotArea>
    </chartFormat>
    <chartFormat chart="38" format="15" series="1">
      <pivotArea type="data" outline="0" fieldPosition="0">
        <references count="1">
          <reference field="4294967294" count="1" selected="0">
            <x v="0"/>
          </reference>
        </references>
      </pivotArea>
    </chartFormat>
    <chartFormat chart="38" format="16">
      <pivotArea type="data" outline="0" fieldPosition="0">
        <references count="2">
          <reference field="4294967294" count="1" selected="0">
            <x v="0"/>
          </reference>
          <reference field="18" count="1" selected="0">
            <x v="0"/>
          </reference>
        </references>
      </pivotArea>
    </chartFormat>
    <chartFormat chart="38" format="17">
      <pivotArea type="data" outline="0" fieldPosition="0">
        <references count="2">
          <reference field="4294967294" count="1" selected="0">
            <x v="0"/>
          </reference>
          <reference field="18" count="1" selected="0">
            <x v="1"/>
          </reference>
        </references>
      </pivotArea>
    </chartFormat>
    <chartFormat chart="38" format="18">
      <pivotArea type="data" outline="0" fieldPosition="0">
        <references count="2">
          <reference field="4294967294" count="1" selected="0">
            <x v="0"/>
          </reference>
          <reference field="18" count="1" selected="0">
            <x v="2"/>
          </reference>
        </references>
      </pivotArea>
    </chartFormat>
    <chartFormat chart="38" format="19">
      <pivotArea type="data" outline="0" fieldPosition="0">
        <references count="2">
          <reference field="4294967294" count="1" selected="0">
            <x v="0"/>
          </reference>
          <reference field="18" count="1" selected="0">
            <x v="3"/>
          </reference>
        </references>
      </pivotArea>
    </chartFormat>
    <chartFormat chart="47" format="10" series="1">
      <pivotArea type="data" outline="0" fieldPosition="0">
        <references count="1">
          <reference field="4294967294" count="1" selected="0">
            <x v="0"/>
          </reference>
        </references>
      </pivotArea>
    </chartFormat>
    <chartFormat chart="47" format="11">
      <pivotArea type="data" outline="0" fieldPosition="0">
        <references count="2">
          <reference field="4294967294" count="1" selected="0">
            <x v="0"/>
          </reference>
          <reference field="18" count="1" selected="0">
            <x v="0"/>
          </reference>
        </references>
      </pivotArea>
    </chartFormat>
    <chartFormat chart="47" format="12">
      <pivotArea type="data" outline="0" fieldPosition="0">
        <references count="2">
          <reference field="4294967294" count="1" selected="0">
            <x v="0"/>
          </reference>
          <reference field="18" count="1" selected="0">
            <x v="1"/>
          </reference>
        </references>
      </pivotArea>
    </chartFormat>
    <chartFormat chart="47" format="13">
      <pivotArea type="data" outline="0" fieldPosition="0">
        <references count="2">
          <reference field="4294967294" count="1" selected="0">
            <x v="0"/>
          </reference>
          <reference field="18" count="1" selected="0">
            <x v="2"/>
          </reference>
        </references>
      </pivotArea>
    </chartFormat>
    <chartFormat chart="47" format="14">
      <pivotArea type="data" outline="0" fieldPosition="0">
        <references count="2">
          <reference field="4294967294" count="1" selected="0">
            <x v="0"/>
          </reference>
          <reference field="18" count="1" selected="0">
            <x v="3"/>
          </reference>
        </references>
      </pivotArea>
    </chartFormat>
    <chartFormat chart="48" format="15" series="1">
      <pivotArea type="data" outline="0" fieldPosition="0">
        <references count="1">
          <reference field="4294967294" count="1" selected="0">
            <x v="0"/>
          </reference>
        </references>
      </pivotArea>
    </chartFormat>
    <chartFormat chart="48" format="16">
      <pivotArea type="data" outline="0" fieldPosition="0">
        <references count="2">
          <reference field="4294967294" count="1" selected="0">
            <x v="0"/>
          </reference>
          <reference field="18" count="1" selected="0">
            <x v="0"/>
          </reference>
        </references>
      </pivotArea>
    </chartFormat>
    <chartFormat chart="48" format="17">
      <pivotArea type="data" outline="0" fieldPosition="0">
        <references count="2">
          <reference field="4294967294" count="1" selected="0">
            <x v="0"/>
          </reference>
          <reference field="18" count="1" selected="0">
            <x v="1"/>
          </reference>
        </references>
      </pivotArea>
    </chartFormat>
    <chartFormat chart="48" format="18">
      <pivotArea type="data" outline="0" fieldPosition="0">
        <references count="2">
          <reference field="4294967294" count="1" selected="0">
            <x v="0"/>
          </reference>
          <reference field="18" count="1" selected="0">
            <x v="2"/>
          </reference>
        </references>
      </pivotArea>
    </chartFormat>
    <chartFormat chart="48" format="19">
      <pivotArea type="data" outline="0" fieldPosition="0">
        <references count="2">
          <reference field="4294967294" count="1" selected="0">
            <x v="0"/>
          </reference>
          <reference field="18" count="1" selected="0">
            <x v="3"/>
          </reference>
        </references>
      </pivotArea>
    </chartFormat>
    <chartFormat chart="54" format="5" series="1">
      <pivotArea type="data" outline="0" fieldPosition="0">
        <references count="1">
          <reference field="4294967294" count="1" selected="0">
            <x v="0"/>
          </reference>
        </references>
      </pivotArea>
    </chartFormat>
    <chartFormat chart="54" format="6">
      <pivotArea type="data" outline="0" fieldPosition="0">
        <references count="2">
          <reference field="4294967294" count="1" selected="0">
            <x v="0"/>
          </reference>
          <reference field="18" count="1" selected="0">
            <x v="0"/>
          </reference>
        </references>
      </pivotArea>
    </chartFormat>
    <chartFormat chart="54" format="7">
      <pivotArea type="data" outline="0" fieldPosition="0">
        <references count="2">
          <reference field="4294967294" count="1" selected="0">
            <x v="0"/>
          </reference>
          <reference field="18" count="1" selected="0">
            <x v="1"/>
          </reference>
        </references>
      </pivotArea>
    </chartFormat>
    <chartFormat chart="54" format="8">
      <pivotArea type="data" outline="0" fieldPosition="0">
        <references count="2">
          <reference field="4294967294" count="1" selected="0">
            <x v="0"/>
          </reference>
          <reference field="18" count="1" selected="0">
            <x v="2"/>
          </reference>
        </references>
      </pivotArea>
    </chartFormat>
    <chartFormat chart="54" format="9">
      <pivotArea type="data" outline="0" fieldPosition="0">
        <references count="2">
          <reference field="4294967294" count="1" selected="0">
            <x v="0"/>
          </reference>
          <reference field="18" count="1" selected="0">
            <x v="3"/>
          </reference>
        </references>
      </pivotArea>
    </chartFormat>
    <chartFormat chart="59" format="10" series="1">
      <pivotArea type="data" outline="0" fieldPosition="0">
        <references count="1">
          <reference field="4294967294" count="1" selected="0">
            <x v="0"/>
          </reference>
        </references>
      </pivotArea>
    </chartFormat>
    <chartFormat chart="59" format="11">
      <pivotArea type="data" outline="0" fieldPosition="0">
        <references count="2">
          <reference field="4294967294" count="1" selected="0">
            <x v="0"/>
          </reference>
          <reference field="18" count="1" selected="0">
            <x v="0"/>
          </reference>
        </references>
      </pivotArea>
    </chartFormat>
    <chartFormat chart="59" format="12">
      <pivotArea type="data" outline="0" fieldPosition="0">
        <references count="2">
          <reference field="4294967294" count="1" selected="0">
            <x v="0"/>
          </reference>
          <reference field="18" count="1" selected="0">
            <x v="1"/>
          </reference>
        </references>
      </pivotArea>
    </chartFormat>
    <chartFormat chart="59" format="13">
      <pivotArea type="data" outline="0" fieldPosition="0">
        <references count="2">
          <reference field="4294967294" count="1" selected="0">
            <x v="0"/>
          </reference>
          <reference field="18" count="1" selected="0">
            <x v="2"/>
          </reference>
        </references>
      </pivotArea>
    </chartFormat>
    <chartFormat chart="59" format="1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CA029-855B-45E7-A835-4D1DE00C82A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A5:C12" firstHeaderRow="0" firstDataRow="1" firstDataCol="1" rowPageCount="1" colPageCount="1"/>
  <pivotFields count="20">
    <pivotField showAll="0"/>
    <pivotField numFmtId="14" showAll="0">
      <items count="182">
        <item x="177"/>
        <item x="146"/>
        <item x="171"/>
        <item x="109"/>
        <item x="167"/>
        <item x="85"/>
        <item x="44"/>
        <item x="37"/>
        <item x="179"/>
        <item x="5"/>
        <item x="30"/>
        <item x="42"/>
        <item x="6"/>
        <item x="49"/>
        <item x="31"/>
        <item x="88"/>
        <item x="152"/>
        <item x="32"/>
        <item x="55"/>
        <item x="157"/>
        <item x="95"/>
        <item x="43"/>
        <item x="1"/>
        <item x="56"/>
        <item x="100"/>
        <item x="149"/>
        <item x="148"/>
        <item x="151"/>
        <item x="25"/>
        <item x="124"/>
        <item x="57"/>
        <item x="63"/>
        <item x="105"/>
        <item x="122"/>
        <item x="172"/>
        <item x="36"/>
        <item x="153"/>
        <item x="163"/>
        <item x="159"/>
        <item x="65"/>
        <item x="178"/>
        <item x="20"/>
        <item x="17"/>
        <item x="113"/>
        <item x="62"/>
        <item x="106"/>
        <item x="111"/>
        <item x="10"/>
        <item x="18"/>
        <item x="110"/>
        <item x="170"/>
        <item x="91"/>
        <item x="114"/>
        <item x="12"/>
        <item x="51"/>
        <item x="8"/>
        <item x="68"/>
        <item x="80"/>
        <item x="164"/>
        <item x="16"/>
        <item x="102"/>
        <item x="35"/>
        <item x="174"/>
        <item x="22"/>
        <item x="104"/>
        <item x="47"/>
        <item x="59"/>
        <item x="129"/>
        <item x="168"/>
        <item x="3"/>
        <item x="165"/>
        <item x="40"/>
        <item x="120"/>
        <item x="107"/>
        <item x="81"/>
        <item x="128"/>
        <item x="75"/>
        <item x="76"/>
        <item x="123"/>
        <item x="125"/>
        <item x="48"/>
        <item x="108"/>
        <item x="74"/>
        <item x="50"/>
        <item x="54"/>
        <item x="60"/>
        <item x="150"/>
        <item x="92"/>
        <item x="61"/>
        <item x="0"/>
        <item x="98"/>
        <item x="58"/>
        <item x="83"/>
        <item x="145"/>
        <item x="29"/>
        <item x="161"/>
        <item x="84"/>
        <item x="66"/>
        <item x="127"/>
        <item x="143"/>
        <item x="39"/>
        <item x="176"/>
        <item x="134"/>
        <item x="27"/>
        <item x="142"/>
        <item x="70"/>
        <item x="175"/>
        <item x="72"/>
        <item x="26"/>
        <item x="133"/>
        <item x="162"/>
        <item x="139"/>
        <item x="15"/>
        <item x="117"/>
        <item x="53"/>
        <item x="147"/>
        <item x="155"/>
        <item x="73"/>
        <item x="78"/>
        <item x="121"/>
        <item x="71"/>
        <item x="126"/>
        <item x="115"/>
        <item x="138"/>
        <item x="33"/>
        <item x="140"/>
        <item x="158"/>
        <item x="21"/>
        <item x="135"/>
        <item x="2"/>
        <item x="112"/>
        <item x="64"/>
        <item x="24"/>
        <item x="93"/>
        <item x="69"/>
        <item x="38"/>
        <item x="79"/>
        <item x="156"/>
        <item x="97"/>
        <item x="119"/>
        <item x="14"/>
        <item x="77"/>
        <item x="160"/>
        <item x="82"/>
        <item x="90"/>
        <item x="46"/>
        <item x="67"/>
        <item x="154"/>
        <item x="19"/>
        <item x="28"/>
        <item x="9"/>
        <item x="23"/>
        <item x="13"/>
        <item x="52"/>
        <item x="103"/>
        <item x="173"/>
        <item x="94"/>
        <item x="11"/>
        <item x="41"/>
        <item x="132"/>
        <item x="34"/>
        <item x="89"/>
        <item x="130"/>
        <item x="131"/>
        <item x="136"/>
        <item x="7"/>
        <item x="169"/>
        <item x="101"/>
        <item x="4"/>
        <item x="86"/>
        <item x="166"/>
        <item x="87"/>
        <item x="144"/>
        <item x="137"/>
        <item x="180"/>
        <item x="96"/>
        <item x="45"/>
        <item x="118"/>
        <item x="141"/>
        <item x="116"/>
        <item x="99"/>
        <item t="default"/>
      </items>
    </pivotField>
    <pivotField axis="axisRow" showAll="0">
      <items count="7">
        <item x="1"/>
        <item x="4"/>
        <item x="0"/>
        <item x="5"/>
        <item x="2"/>
        <item x="3"/>
        <item t="default"/>
      </items>
    </pivotField>
    <pivotField numFmtId="164" showAll="0"/>
    <pivotField dataField="1" showAll="0"/>
    <pivotField showAll="0"/>
    <pivotField showAll="0"/>
    <pivotField showAll="0">
      <items count="11">
        <item x="5"/>
        <item x="6"/>
        <item x="4"/>
        <item x="1"/>
        <item x="2"/>
        <item x="7"/>
        <item x="0"/>
        <item x="9"/>
        <item x="3"/>
        <item x="8"/>
        <item t="default"/>
      </items>
    </pivotField>
    <pivotField showAll="0"/>
    <pivotField showAll="0"/>
    <pivotField showAll="0"/>
    <pivotField showAll="0"/>
    <pivotField showAll="0">
      <items count="16">
        <item x="7"/>
        <item x="3"/>
        <item x="2"/>
        <item x="12"/>
        <item x="6"/>
        <item x="1"/>
        <item x="8"/>
        <item x="13"/>
        <item x="9"/>
        <item x="14"/>
        <item x="10"/>
        <item x="0"/>
        <item x="4"/>
        <item x="11"/>
        <item x="5"/>
        <item t="default"/>
      </items>
    </pivotField>
    <pivotField showAll="0">
      <items count="7">
        <item x="3"/>
        <item x="4"/>
        <item x="5"/>
        <item x="1"/>
        <item x="0"/>
        <item x="2"/>
        <item t="default"/>
      </items>
    </pivotField>
    <pivotField showAll="0"/>
    <pivotField showAll="0"/>
    <pivotField dataField="1" showAll="0"/>
    <pivotField axis="axisPage" multipleItemSelectionAllowed="1" showAll="0">
      <items count="3">
        <item x="1"/>
        <item h="1" x="0"/>
        <item t="default"/>
      </items>
    </pivotField>
    <pivotField showAll="0">
      <items count="5">
        <item x="1"/>
        <item x="2"/>
        <item x="3"/>
        <item x="0"/>
        <item t="default"/>
      </items>
    </pivotField>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pageFields count="1">
    <pageField fld="17" hier="-1"/>
  </pageFields>
  <dataFields count="2">
    <dataField name="Sum of Amount" fld="4" baseField="2" baseItem="0" numFmtId="165"/>
    <dataField name="Sum of FraudLabel" fld="16" baseField="0" baseItem="0"/>
  </dataFields>
  <formats count="2">
    <format dxfId="4">
      <pivotArea outline="0" fieldPosition="0">
        <references count="1">
          <reference field="4294967294" count="1">
            <x v="0"/>
          </reference>
        </references>
      </pivotArea>
    </format>
    <format dxfId="3">
      <pivotArea dataOnly="0" labelOnly="1" outline="0" fieldPosition="0">
        <references count="1">
          <reference field="4294967294" count="1">
            <x v="0"/>
          </reference>
        </references>
      </pivotArea>
    </format>
  </formats>
  <chartFormats count="46">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1"/>
          </reference>
          <reference field="2" count="1" selected="0">
            <x v="2"/>
          </reference>
        </references>
      </pivotArea>
    </chartFormat>
    <chartFormat chart="6" format="8">
      <pivotArea type="data" outline="0" fieldPosition="0">
        <references count="2">
          <reference field="4294967294" count="1" selected="0">
            <x v="1"/>
          </reference>
          <reference field="2" count="1" selected="0">
            <x v="3"/>
          </reference>
        </references>
      </pivotArea>
    </chartFormat>
    <chartFormat chart="6" format="9">
      <pivotArea type="data" outline="0" fieldPosition="0">
        <references count="2">
          <reference field="4294967294" count="1" selected="0">
            <x v="1"/>
          </reference>
          <reference field="2" count="1" selected="0">
            <x v="4"/>
          </reference>
        </references>
      </pivotArea>
    </chartFormat>
    <chartFormat chart="6" format="10">
      <pivotArea type="data" outline="0" fieldPosition="0">
        <references count="2">
          <reference field="4294967294" count="1" selected="0">
            <x v="1"/>
          </reference>
          <reference field="2" count="1" selected="0">
            <x v="5"/>
          </reference>
        </references>
      </pivotArea>
    </chartFormat>
    <chartFormat chart="6" format="11">
      <pivotArea type="data" outline="0" fieldPosition="0">
        <references count="2">
          <reference field="4294967294" count="1" selected="0">
            <x v="1"/>
          </reference>
          <reference field="2" count="1" selected="0">
            <x v="1"/>
          </reference>
        </references>
      </pivotArea>
    </chartFormat>
    <chartFormat chart="6" format="12">
      <pivotArea type="data" outline="0" fieldPosition="0">
        <references count="2">
          <reference field="4294967294" count="1" selected="0">
            <x v="1"/>
          </reference>
          <reference field="2" count="1" selected="0">
            <x v="0"/>
          </reference>
        </references>
      </pivotArea>
    </chartFormat>
    <chartFormat chart="18" format="21"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1"/>
          </reference>
        </references>
      </pivotArea>
    </chartFormat>
    <chartFormat chart="18" format="23">
      <pivotArea type="data" outline="0" fieldPosition="0">
        <references count="2">
          <reference field="4294967294" count="1" selected="0">
            <x v="1"/>
          </reference>
          <reference field="2" count="1" selected="0">
            <x v="0"/>
          </reference>
        </references>
      </pivotArea>
    </chartFormat>
    <chartFormat chart="18" format="24">
      <pivotArea type="data" outline="0" fieldPosition="0">
        <references count="2">
          <reference field="4294967294" count="1" selected="0">
            <x v="1"/>
          </reference>
          <reference field="2" count="1" selected="0">
            <x v="1"/>
          </reference>
        </references>
      </pivotArea>
    </chartFormat>
    <chartFormat chart="18" format="25">
      <pivotArea type="data" outline="0" fieldPosition="0">
        <references count="2">
          <reference field="4294967294" count="1" selected="0">
            <x v="1"/>
          </reference>
          <reference field="2" count="1" selected="0">
            <x v="2"/>
          </reference>
        </references>
      </pivotArea>
    </chartFormat>
    <chartFormat chart="18" format="26">
      <pivotArea type="data" outline="0" fieldPosition="0">
        <references count="2">
          <reference field="4294967294" count="1" selected="0">
            <x v="1"/>
          </reference>
          <reference field="2" count="1" selected="0">
            <x v="3"/>
          </reference>
        </references>
      </pivotArea>
    </chartFormat>
    <chartFormat chart="18" format="27">
      <pivotArea type="data" outline="0" fieldPosition="0">
        <references count="2">
          <reference field="4294967294" count="1" selected="0">
            <x v="1"/>
          </reference>
          <reference field="2" count="1" selected="0">
            <x v="4"/>
          </reference>
        </references>
      </pivotArea>
    </chartFormat>
    <chartFormat chart="18" format="28">
      <pivotArea type="data" outline="0" fieldPosition="0">
        <references count="2">
          <reference field="4294967294" count="1" selected="0">
            <x v="1"/>
          </reference>
          <reference field="2" count="1" selected="0">
            <x v="5"/>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4"/>
          </reference>
        </references>
      </pivotArea>
    </chartFormat>
    <chartFormat chart="27" format="27" series="1">
      <pivotArea type="data" outline="0" fieldPosition="0">
        <references count="1">
          <reference field="4294967294" count="1" selected="0">
            <x v="0"/>
          </reference>
        </references>
      </pivotArea>
    </chartFormat>
    <chartFormat chart="27" format="28">
      <pivotArea type="data" outline="0" fieldPosition="0">
        <references count="2">
          <reference field="4294967294" count="1" selected="0">
            <x v="0"/>
          </reference>
          <reference field="2" count="1" selected="0">
            <x v="1"/>
          </reference>
        </references>
      </pivotArea>
    </chartFormat>
    <chartFormat chart="27" format="29">
      <pivotArea type="data" outline="0" fieldPosition="0">
        <references count="2">
          <reference field="4294967294" count="1" selected="0">
            <x v="0"/>
          </reference>
          <reference field="2" count="1" selected="0">
            <x v="2"/>
          </reference>
        </references>
      </pivotArea>
    </chartFormat>
    <chartFormat chart="27" format="30">
      <pivotArea type="data" outline="0" fieldPosition="0">
        <references count="2">
          <reference field="4294967294" count="1" selected="0">
            <x v="0"/>
          </reference>
          <reference field="2" count="1" selected="0">
            <x v="4"/>
          </reference>
        </references>
      </pivotArea>
    </chartFormat>
    <chartFormat chart="27" format="31" series="1">
      <pivotArea type="data" outline="0" fieldPosition="0">
        <references count="1">
          <reference field="4294967294" count="1" selected="0">
            <x v="1"/>
          </reference>
        </references>
      </pivotArea>
    </chartFormat>
    <chartFormat chart="27" format="32">
      <pivotArea type="data" outline="0" fieldPosition="0">
        <references count="2">
          <reference field="4294967294" count="1" selected="0">
            <x v="1"/>
          </reference>
          <reference field="2" count="1" selected="0">
            <x v="0"/>
          </reference>
        </references>
      </pivotArea>
    </chartFormat>
    <chartFormat chart="27" format="33">
      <pivotArea type="data" outline="0" fieldPosition="0">
        <references count="2">
          <reference field="4294967294" count="1" selected="0">
            <x v="1"/>
          </reference>
          <reference field="2" count="1" selected="0">
            <x v="1"/>
          </reference>
        </references>
      </pivotArea>
    </chartFormat>
    <chartFormat chart="27" format="34">
      <pivotArea type="data" outline="0" fieldPosition="0">
        <references count="2">
          <reference field="4294967294" count="1" selected="0">
            <x v="1"/>
          </reference>
          <reference field="2" count="1" selected="0">
            <x v="2"/>
          </reference>
        </references>
      </pivotArea>
    </chartFormat>
    <chartFormat chart="27" format="35">
      <pivotArea type="data" outline="0" fieldPosition="0">
        <references count="2">
          <reference field="4294967294" count="1" selected="0">
            <x v="1"/>
          </reference>
          <reference field="2" count="1" selected="0">
            <x v="3"/>
          </reference>
        </references>
      </pivotArea>
    </chartFormat>
    <chartFormat chart="27" format="36">
      <pivotArea type="data" outline="0" fieldPosition="0">
        <references count="2">
          <reference field="4294967294" count="1" selected="0">
            <x v="1"/>
          </reference>
          <reference field="2" count="1" selected="0">
            <x v="4"/>
          </reference>
        </references>
      </pivotArea>
    </chartFormat>
    <chartFormat chart="27" format="37">
      <pivotArea type="data" outline="0" fieldPosition="0">
        <references count="2">
          <reference field="4294967294" count="1" selected="0">
            <x v="1"/>
          </reference>
          <reference field="2" count="1" selected="0">
            <x v="5"/>
          </reference>
        </references>
      </pivotArea>
    </chartFormat>
    <chartFormat chart="40" format="26" series="1">
      <pivotArea type="data" outline="0" fieldPosition="0">
        <references count="1">
          <reference field="4294967294" count="1" selected="0">
            <x v="0"/>
          </reference>
        </references>
      </pivotArea>
    </chartFormat>
    <chartFormat chart="40" format="27">
      <pivotArea type="data" outline="0" fieldPosition="0">
        <references count="2">
          <reference field="4294967294" count="1" selected="0">
            <x v="0"/>
          </reference>
          <reference field="2" count="1" selected="0">
            <x v="2"/>
          </reference>
        </references>
      </pivotArea>
    </chartFormat>
    <chartFormat chart="40" format="28">
      <pivotArea type="data" outline="0" fieldPosition="0">
        <references count="2">
          <reference field="4294967294" count="1" selected="0">
            <x v="0"/>
          </reference>
          <reference field="2" count="1" selected="0">
            <x v="4"/>
          </reference>
        </references>
      </pivotArea>
    </chartFormat>
    <chartFormat chart="40" format="29" series="1">
      <pivotArea type="data" outline="0" fieldPosition="0">
        <references count="1">
          <reference field="4294967294" count="1" selected="0">
            <x v="1"/>
          </reference>
        </references>
      </pivotArea>
    </chartFormat>
    <chartFormat chart="40" format="30">
      <pivotArea type="data" outline="0" fieldPosition="0">
        <references count="2">
          <reference field="4294967294" count="1" selected="0">
            <x v="1"/>
          </reference>
          <reference field="2" count="1" selected="0">
            <x v="0"/>
          </reference>
        </references>
      </pivotArea>
    </chartFormat>
    <chartFormat chart="40" format="31">
      <pivotArea type="data" outline="0" fieldPosition="0">
        <references count="2">
          <reference field="4294967294" count="1" selected="0">
            <x v="1"/>
          </reference>
          <reference field="2" count="1" selected="0">
            <x v="1"/>
          </reference>
        </references>
      </pivotArea>
    </chartFormat>
    <chartFormat chart="40" format="32">
      <pivotArea type="data" outline="0" fieldPosition="0">
        <references count="2">
          <reference field="4294967294" count="1" selected="0">
            <x v="1"/>
          </reference>
          <reference field="2" count="1" selected="0">
            <x v="2"/>
          </reference>
        </references>
      </pivotArea>
    </chartFormat>
    <chartFormat chart="40" format="33">
      <pivotArea type="data" outline="0" fieldPosition="0">
        <references count="2">
          <reference field="4294967294" count="1" selected="0">
            <x v="1"/>
          </reference>
          <reference field="2" count="1" selected="0">
            <x v="3"/>
          </reference>
        </references>
      </pivotArea>
    </chartFormat>
    <chartFormat chart="40" format="34">
      <pivotArea type="data" outline="0" fieldPosition="0">
        <references count="2">
          <reference field="4294967294" count="1" selected="0">
            <x v="1"/>
          </reference>
          <reference field="2" count="1" selected="0">
            <x v="4"/>
          </reference>
        </references>
      </pivotArea>
    </chartFormat>
    <chartFormat chart="40" format="35">
      <pivotArea type="data" outline="0" fieldPosition="0">
        <references count="2">
          <reference field="4294967294" count="1" selected="0">
            <x v="1"/>
          </reference>
          <reference field="2" count="1" selected="0">
            <x v="5"/>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8F57E8-08FB-4446-8A7E-585851EF7AA2}" name="Chart 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A5:B21" firstHeaderRow="1" firstDataRow="1" firstDataCol="1" rowPageCount="1" colPageCount="1"/>
  <pivotFields count="20">
    <pivotField showAll="0"/>
    <pivotField numFmtId="14" showAll="0">
      <items count="182">
        <item x="177"/>
        <item x="146"/>
        <item x="171"/>
        <item x="109"/>
        <item x="167"/>
        <item x="85"/>
        <item x="44"/>
        <item x="37"/>
        <item x="179"/>
        <item x="5"/>
        <item x="30"/>
        <item x="42"/>
        <item x="6"/>
        <item x="49"/>
        <item x="31"/>
        <item x="88"/>
        <item x="152"/>
        <item x="32"/>
        <item x="55"/>
        <item x="157"/>
        <item x="95"/>
        <item x="43"/>
        <item x="1"/>
        <item x="56"/>
        <item x="100"/>
        <item x="149"/>
        <item x="148"/>
        <item x="151"/>
        <item x="25"/>
        <item x="124"/>
        <item x="57"/>
        <item x="63"/>
        <item x="105"/>
        <item x="122"/>
        <item x="172"/>
        <item x="36"/>
        <item x="153"/>
        <item x="163"/>
        <item x="159"/>
        <item x="65"/>
        <item x="178"/>
        <item x="20"/>
        <item x="17"/>
        <item x="113"/>
        <item x="62"/>
        <item x="106"/>
        <item x="111"/>
        <item x="10"/>
        <item x="18"/>
        <item x="110"/>
        <item x="170"/>
        <item x="91"/>
        <item x="114"/>
        <item x="12"/>
        <item x="51"/>
        <item x="8"/>
        <item x="68"/>
        <item x="80"/>
        <item x="164"/>
        <item x="16"/>
        <item x="102"/>
        <item x="35"/>
        <item x="174"/>
        <item x="22"/>
        <item x="104"/>
        <item x="47"/>
        <item x="59"/>
        <item x="129"/>
        <item x="168"/>
        <item x="3"/>
        <item x="165"/>
        <item x="40"/>
        <item x="120"/>
        <item x="107"/>
        <item x="81"/>
        <item x="128"/>
        <item x="75"/>
        <item x="76"/>
        <item x="123"/>
        <item x="125"/>
        <item x="48"/>
        <item x="108"/>
        <item x="74"/>
        <item x="50"/>
        <item x="54"/>
        <item x="60"/>
        <item x="150"/>
        <item x="92"/>
        <item x="61"/>
        <item x="0"/>
        <item x="98"/>
        <item x="58"/>
        <item x="83"/>
        <item x="145"/>
        <item x="29"/>
        <item x="161"/>
        <item x="84"/>
        <item x="66"/>
        <item x="127"/>
        <item x="143"/>
        <item x="39"/>
        <item x="176"/>
        <item x="134"/>
        <item x="27"/>
        <item x="142"/>
        <item x="70"/>
        <item x="175"/>
        <item x="72"/>
        <item x="26"/>
        <item x="133"/>
        <item x="162"/>
        <item x="139"/>
        <item x="15"/>
        <item x="117"/>
        <item x="53"/>
        <item x="147"/>
        <item x="155"/>
        <item x="73"/>
        <item x="78"/>
        <item x="121"/>
        <item x="71"/>
        <item x="126"/>
        <item x="115"/>
        <item x="138"/>
        <item x="33"/>
        <item x="140"/>
        <item x="158"/>
        <item x="21"/>
        <item x="135"/>
        <item x="2"/>
        <item x="112"/>
        <item x="64"/>
        <item x="24"/>
        <item x="93"/>
        <item x="69"/>
        <item x="38"/>
        <item x="79"/>
        <item x="156"/>
        <item x="97"/>
        <item x="119"/>
        <item x="14"/>
        <item x="77"/>
        <item x="160"/>
        <item x="82"/>
        <item x="90"/>
        <item x="46"/>
        <item x="67"/>
        <item x="154"/>
        <item x="19"/>
        <item x="28"/>
        <item x="9"/>
        <item x="23"/>
        <item x="13"/>
        <item x="52"/>
        <item x="103"/>
        <item x="173"/>
        <item x="94"/>
        <item x="11"/>
        <item x="41"/>
        <item x="132"/>
        <item x="34"/>
        <item x="89"/>
        <item x="130"/>
        <item x="131"/>
        <item x="136"/>
        <item x="7"/>
        <item x="169"/>
        <item x="101"/>
        <item x="4"/>
        <item x="86"/>
        <item x="166"/>
        <item x="87"/>
        <item x="144"/>
        <item x="137"/>
        <item x="180"/>
        <item x="96"/>
        <item x="45"/>
        <item x="118"/>
        <item x="141"/>
        <item x="116"/>
        <item x="99"/>
        <item t="default"/>
      </items>
    </pivotField>
    <pivotField showAll="0">
      <items count="7">
        <item x="1"/>
        <item x="4"/>
        <item x="0"/>
        <item x="5"/>
        <item x="2"/>
        <item x="3"/>
        <item t="default"/>
      </items>
    </pivotField>
    <pivotField numFmtId="164" showAll="0"/>
    <pivotField dataField="1" showAll="0"/>
    <pivotField showAll="0"/>
    <pivotField showAll="0"/>
    <pivotField showAll="0">
      <items count="11">
        <item x="5"/>
        <item x="6"/>
        <item x="4"/>
        <item x="1"/>
        <item x="2"/>
        <item x="7"/>
        <item x="0"/>
        <item x="9"/>
        <item x="3"/>
        <item x="8"/>
        <item t="default"/>
      </items>
    </pivotField>
    <pivotField showAll="0"/>
    <pivotField showAll="0"/>
    <pivotField showAll="0"/>
    <pivotField showAll="0"/>
    <pivotField axis="axisRow" showAll="0" sortType="descending">
      <items count="16">
        <item x="7"/>
        <item x="3"/>
        <item x="2"/>
        <item x="12"/>
        <item x="6"/>
        <item x="1"/>
        <item sd="0" x="8"/>
        <item x="13"/>
        <item x="9"/>
        <item x="14"/>
        <item x="10"/>
        <item x="0"/>
        <item x="4"/>
        <item x="11"/>
        <item x="5"/>
        <item t="default"/>
      </items>
      <autoSortScope>
        <pivotArea dataOnly="0" outline="0" fieldPosition="0">
          <references count="1">
            <reference field="4294967294" count="1" selected="0">
              <x v="0"/>
            </reference>
          </references>
        </pivotArea>
      </autoSortScope>
    </pivotField>
    <pivotField showAll="0">
      <items count="7">
        <item x="3"/>
        <item x="4"/>
        <item x="5"/>
        <item x="1"/>
        <item x="0"/>
        <item x="2"/>
        <item t="default"/>
      </items>
    </pivotField>
    <pivotField showAll="0"/>
    <pivotField showAll="0"/>
    <pivotField showAll="0"/>
    <pivotField axis="axisPage" multipleItemSelectionAllowed="1" showAll="0">
      <items count="3">
        <item x="1"/>
        <item h="1" x="0"/>
        <item t="default"/>
      </items>
    </pivotField>
    <pivotField showAll="0">
      <items count="5">
        <item x="1"/>
        <item x="2"/>
        <item x="3"/>
        <item x="0"/>
        <item t="default"/>
      </items>
    </pivotField>
    <pivotField dragToRow="0" dragToCol="0" dragToPage="0" showAll="0" defaultSubtotal="0"/>
  </pivotFields>
  <rowFields count="1">
    <field x="12"/>
  </rowFields>
  <rowItems count="16">
    <i>
      <x v="12"/>
    </i>
    <i>
      <x v="1"/>
    </i>
    <i>
      <x v="2"/>
    </i>
    <i>
      <x v="9"/>
    </i>
    <i>
      <x v="6"/>
    </i>
    <i>
      <x v="3"/>
    </i>
    <i>
      <x v="11"/>
    </i>
    <i>
      <x/>
    </i>
    <i>
      <x v="14"/>
    </i>
    <i>
      <x v="8"/>
    </i>
    <i>
      <x v="7"/>
    </i>
    <i>
      <x v="5"/>
    </i>
    <i>
      <x v="4"/>
    </i>
    <i>
      <x v="13"/>
    </i>
    <i>
      <x v="10"/>
    </i>
    <i t="grand">
      <x/>
    </i>
  </rowItems>
  <colItems count="1">
    <i/>
  </colItems>
  <pageFields count="1">
    <pageField fld="17" hier="-1"/>
  </pageFields>
  <dataFields count="1">
    <dataField name="Sum of Amount" fld="4" baseField="12" baseItem="0" numFmtId="165"/>
  </dataFields>
  <formats count="3">
    <format dxfId="2">
      <pivotArea dataOnly="0" labelOnly="1" outline="0" axis="axisValues" fieldPosition="0"/>
    </format>
    <format dxfId="1">
      <pivotArea collapsedLevelsAreSubtotals="1" fieldPosition="0">
        <references count="1">
          <reference field="12" count="1">
            <x v="0"/>
          </reference>
        </references>
      </pivotArea>
    </format>
    <format dxfId="0">
      <pivotArea outline="0" fieldPosition="0">
        <references count="1">
          <reference field="4294967294" count="1">
            <x v="0"/>
          </reference>
        </references>
      </pivotArea>
    </format>
  </formats>
  <chartFormats count="65">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2" count="1" selected="0">
            <x v="2"/>
          </reference>
        </references>
      </pivotArea>
    </chartFormat>
    <chartFormat chart="19" format="12">
      <pivotArea type="data" outline="0" fieldPosition="0">
        <references count="2">
          <reference field="4294967294" count="1" selected="0">
            <x v="0"/>
          </reference>
          <reference field="12" count="1" selected="0">
            <x v="1"/>
          </reference>
        </references>
      </pivotArea>
    </chartFormat>
    <chartFormat chart="19" format="13">
      <pivotArea type="data" outline="0" fieldPosition="0">
        <references count="2">
          <reference field="4294967294" count="1" selected="0">
            <x v="0"/>
          </reference>
          <reference field="12" count="1" selected="0">
            <x v="4"/>
          </reference>
        </references>
      </pivotArea>
    </chartFormat>
    <chartFormat chart="19" format="14">
      <pivotArea type="data" outline="0" fieldPosition="0">
        <references count="2">
          <reference field="4294967294" count="1" selected="0">
            <x v="0"/>
          </reference>
          <reference field="12" count="1" selected="0">
            <x v="5"/>
          </reference>
        </references>
      </pivotArea>
    </chartFormat>
    <chartFormat chart="19" format="15">
      <pivotArea type="data" outline="0" fieldPosition="0">
        <references count="2">
          <reference field="4294967294" count="1" selected="0">
            <x v="0"/>
          </reference>
          <reference field="12" count="1" selected="0">
            <x v="8"/>
          </reference>
        </references>
      </pivotArea>
    </chartFormat>
    <chartFormat chart="19" format="16">
      <pivotArea type="data" outline="0" fieldPosition="0">
        <references count="2">
          <reference field="4294967294" count="1" selected="0">
            <x v="0"/>
          </reference>
          <reference field="12" count="1" selected="0">
            <x v="6"/>
          </reference>
        </references>
      </pivotArea>
    </chartFormat>
    <chartFormat chart="19" format="17">
      <pivotArea type="data" outline="0" fieldPosition="0">
        <references count="2">
          <reference field="4294967294" count="1" selected="0">
            <x v="0"/>
          </reference>
          <reference field="12" count="1" selected="0">
            <x v="0"/>
          </reference>
        </references>
      </pivotArea>
    </chartFormat>
    <chartFormat chart="19" format="18">
      <pivotArea type="data" outline="0" fieldPosition="0">
        <references count="2">
          <reference field="4294967294" count="1" selected="0">
            <x v="0"/>
          </reference>
          <reference field="12" count="1" selected="0">
            <x v="7"/>
          </reference>
        </references>
      </pivotArea>
    </chartFormat>
    <chartFormat chart="19" format="19">
      <pivotArea type="data" outline="0" fieldPosition="0">
        <references count="2">
          <reference field="4294967294" count="1" selected="0">
            <x v="0"/>
          </reference>
          <reference field="12" count="1" selected="0">
            <x v="12"/>
          </reference>
        </references>
      </pivotArea>
    </chartFormat>
    <chartFormat chart="19" format="20">
      <pivotArea type="data" outline="0" fieldPosition="0">
        <references count="2">
          <reference field="4294967294" count="1" selected="0">
            <x v="0"/>
          </reference>
          <reference field="12" count="1" selected="0">
            <x v="11"/>
          </reference>
        </references>
      </pivotArea>
    </chartFormat>
    <chartFormat chart="19" format="21">
      <pivotArea type="data" outline="0" fieldPosition="0">
        <references count="2">
          <reference field="4294967294" count="1" selected="0">
            <x v="0"/>
          </reference>
          <reference field="12" count="1" selected="0">
            <x v="3"/>
          </reference>
        </references>
      </pivotArea>
    </chartFormat>
    <chartFormat chart="19" format="22">
      <pivotArea type="data" outline="0" fieldPosition="0">
        <references count="2">
          <reference field="4294967294" count="1" selected="0">
            <x v="0"/>
          </reference>
          <reference field="12" count="1" selected="0">
            <x v="14"/>
          </reference>
        </references>
      </pivotArea>
    </chartFormat>
    <chartFormat chart="19" format="23">
      <pivotArea type="data" outline="0" fieldPosition="0">
        <references count="2">
          <reference field="4294967294" count="1" selected="0">
            <x v="0"/>
          </reference>
          <reference field="12" count="1" selected="0">
            <x v="13"/>
          </reference>
        </references>
      </pivotArea>
    </chartFormat>
    <chartFormat chart="19" format="24">
      <pivotArea type="data" outline="0" fieldPosition="0">
        <references count="2">
          <reference field="4294967294" count="1" selected="0">
            <x v="0"/>
          </reference>
          <reference field="12" count="1" selected="0">
            <x v="9"/>
          </reference>
        </references>
      </pivotArea>
    </chartFormat>
    <chartFormat chart="19" format="25">
      <pivotArea type="data" outline="0" fieldPosition="0">
        <references count="2">
          <reference field="4294967294" count="1" selected="0">
            <x v="0"/>
          </reference>
          <reference field="12" count="1" selected="0">
            <x v="10"/>
          </reference>
        </references>
      </pivotArea>
    </chartFormat>
    <chartFormat chart="34" format="42" series="1">
      <pivotArea type="data" outline="0" fieldPosition="0">
        <references count="1">
          <reference field="4294967294" count="1" selected="0">
            <x v="0"/>
          </reference>
        </references>
      </pivotArea>
    </chartFormat>
    <chartFormat chart="34" format="43">
      <pivotArea type="data" outline="0" fieldPosition="0">
        <references count="2">
          <reference field="4294967294" count="1" selected="0">
            <x v="0"/>
          </reference>
          <reference field="12" count="1" selected="0">
            <x v="12"/>
          </reference>
        </references>
      </pivotArea>
    </chartFormat>
    <chartFormat chart="34" format="44">
      <pivotArea type="data" outline="0" fieldPosition="0">
        <references count="2">
          <reference field="4294967294" count="1" selected="0">
            <x v="0"/>
          </reference>
          <reference field="12" count="1" selected="0">
            <x v="1"/>
          </reference>
        </references>
      </pivotArea>
    </chartFormat>
    <chartFormat chart="34" format="45">
      <pivotArea type="data" outline="0" fieldPosition="0">
        <references count="2">
          <reference field="4294967294" count="1" selected="0">
            <x v="0"/>
          </reference>
          <reference field="12" count="1" selected="0">
            <x v="2"/>
          </reference>
        </references>
      </pivotArea>
    </chartFormat>
    <chartFormat chart="34" format="46">
      <pivotArea type="data" outline="0" fieldPosition="0">
        <references count="2">
          <reference field="4294967294" count="1" selected="0">
            <x v="0"/>
          </reference>
          <reference field="12" count="1" selected="0">
            <x v="9"/>
          </reference>
        </references>
      </pivotArea>
    </chartFormat>
    <chartFormat chart="34" format="47">
      <pivotArea type="data" outline="0" fieldPosition="0">
        <references count="2">
          <reference field="4294967294" count="1" selected="0">
            <x v="0"/>
          </reference>
          <reference field="12" count="1" selected="0">
            <x v="6"/>
          </reference>
        </references>
      </pivotArea>
    </chartFormat>
    <chartFormat chart="34" format="48">
      <pivotArea type="data" outline="0" fieldPosition="0">
        <references count="2">
          <reference field="4294967294" count="1" selected="0">
            <x v="0"/>
          </reference>
          <reference field="12" count="1" selected="0">
            <x v="3"/>
          </reference>
        </references>
      </pivotArea>
    </chartFormat>
    <chartFormat chart="34" format="49">
      <pivotArea type="data" outline="0" fieldPosition="0">
        <references count="2">
          <reference field="4294967294" count="1" selected="0">
            <x v="0"/>
          </reference>
          <reference field="12" count="1" selected="0">
            <x v="11"/>
          </reference>
        </references>
      </pivotArea>
    </chartFormat>
    <chartFormat chart="34" format="50">
      <pivotArea type="data" outline="0" fieldPosition="0">
        <references count="2">
          <reference field="4294967294" count="1" selected="0">
            <x v="0"/>
          </reference>
          <reference field="12" count="1" selected="0">
            <x v="0"/>
          </reference>
        </references>
      </pivotArea>
    </chartFormat>
    <chartFormat chart="34" format="51">
      <pivotArea type="data" outline="0" fieldPosition="0">
        <references count="2">
          <reference field="4294967294" count="1" selected="0">
            <x v="0"/>
          </reference>
          <reference field="12" count="1" selected="0">
            <x v="14"/>
          </reference>
        </references>
      </pivotArea>
    </chartFormat>
    <chartFormat chart="34" format="52">
      <pivotArea type="data" outline="0" fieldPosition="0">
        <references count="2">
          <reference field="4294967294" count="1" selected="0">
            <x v="0"/>
          </reference>
          <reference field="12" count="1" selected="0">
            <x v="8"/>
          </reference>
        </references>
      </pivotArea>
    </chartFormat>
    <chartFormat chart="34" format="53">
      <pivotArea type="data" outline="0" fieldPosition="0">
        <references count="2">
          <reference field="4294967294" count="1" selected="0">
            <x v="0"/>
          </reference>
          <reference field="12" count="1" selected="0">
            <x v="7"/>
          </reference>
        </references>
      </pivotArea>
    </chartFormat>
    <chartFormat chart="34" format="54">
      <pivotArea type="data" outline="0" fieldPosition="0">
        <references count="2">
          <reference field="4294967294" count="1" selected="0">
            <x v="0"/>
          </reference>
          <reference field="12" count="1" selected="0">
            <x v="5"/>
          </reference>
        </references>
      </pivotArea>
    </chartFormat>
    <chartFormat chart="34" format="55">
      <pivotArea type="data" outline="0" fieldPosition="0">
        <references count="2">
          <reference field="4294967294" count="1" selected="0">
            <x v="0"/>
          </reference>
          <reference field="12" count="1" selected="0">
            <x v="4"/>
          </reference>
        </references>
      </pivotArea>
    </chartFormat>
    <chartFormat chart="34" format="56">
      <pivotArea type="data" outline="0" fieldPosition="0">
        <references count="2">
          <reference field="4294967294" count="1" selected="0">
            <x v="0"/>
          </reference>
          <reference field="12" count="1" selected="0">
            <x v="13"/>
          </reference>
        </references>
      </pivotArea>
    </chartFormat>
    <chartFormat chart="34" format="57">
      <pivotArea type="data" outline="0" fieldPosition="0">
        <references count="2">
          <reference field="4294967294" count="1" selected="0">
            <x v="0"/>
          </reference>
          <reference field="12" count="1" selected="0">
            <x v="10"/>
          </reference>
        </references>
      </pivotArea>
    </chartFormat>
    <chartFormat chart="36" format="26" series="1">
      <pivotArea type="data" outline="0" fieldPosition="0">
        <references count="1">
          <reference field="4294967294" count="1" selected="0">
            <x v="0"/>
          </reference>
        </references>
      </pivotArea>
    </chartFormat>
    <chartFormat chart="36" format="27">
      <pivotArea type="data" outline="0" fieldPosition="0">
        <references count="2">
          <reference field="4294967294" count="1" selected="0">
            <x v="0"/>
          </reference>
          <reference field="12" count="1" selected="0">
            <x v="12"/>
          </reference>
        </references>
      </pivotArea>
    </chartFormat>
    <chartFormat chart="36" format="28">
      <pivotArea type="data" outline="0" fieldPosition="0">
        <references count="2">
          <reference field="4294967294" count="1" selected="0">
            <x v="0"/>
          </reference>
          <reference field="12" count="1" selected="0">
            <x v="1"/>
          </reference>
        </references>
      </pivotArea>
    </chartFormat>
    <chartFormat chart="36" format="29">
      <pivotArea type="data" outline="0" fieldPosition="0">
        <references count="2">
          <reference field="4294967294" count="1" selected="0">
            <x v="0"/>
          </reference>
          <reference field="12" count="1" selected="0">
            <x v="2"/>
          </reference>
        </references>
      </pivotArea>
    </chartFormat>
    <chartFormat chart="36" format="30">
      <pivotArea type="data" outline="0" fieldPosition="0">
        <references count="2">
          <reference field="4294967294" count="1" selected="0">
            <x v="0"/>
          </reference>
          <reference field="12" count="1" selected="0">
            <x v="9"/>
          </reference>
        </references>
      </pivotArea>
    </chartFormat>
    <chartFormat chart="36" format="31">
      <pivotArea type="data" outline="0" fieldPosition="0">
        <references count="2">
          <reference field="4294967294" count="1" selected="0">
            <x v="0"/>
          </reference>
          <reference field="12" count="1" selected="0">
            <x v="6"/>
          </reference>
        </references>
      </pivotArea>
    </chartFormat>
    <chartFormat chart="36" format="32">
      <pivotArea type="data" outline="0" fieldPosition="0">
        <references count="2">
          <reference field="4294967294" count="1" selected="0">
            <x v="0"/>
          </reference>
          <reference field="12" count="1" selected="0">
            <x v="3"/>
          </reference>
        </references>
      </pivotArea>
    </chartFormat>
    <chartFormat chart="36" format="33">
      <pivotArea type="data" outline="0" fieldPosition="0">
        <references count="2">
          <reference field="4294967294" count="1" selected="0">
            <x v="0"/>
          </reference>
          <reference field="12" count="1" selected="0">
            <x v="11"/>
          </reference>
        </references>
      </pivotArea>
    </chartFormat>
    <chartFormat chart="36" format="34">
      <pivotArea type="data" outline="0" fieldPosition="0">
        <references count="2">
          <reference field="4294967294" count="1" selected="0">
            <x v="0"/>
          </reference>
          <reference field="12" count="1" selected="0">
            <x v="0"/>
          </reference>
        </references>
      </pivotArea>
    </chartFormat>
    <chartFormat chart="36" format="35">
      <pivotArea type="data" outline="0" fieldPosition="0">
        <references count="2">
          <reference field="4294967294" count="1" selected="0">
            <x v="0"/>
          </reference>
          <reference field="12" count="1" selected="0">
            <x v="14"/>
          </reference>
        </references>
      </pivotArea>
    </chartFormat>
    <chartFormat chart="36" format="36">
      <pivotArea type="data" outline="0" fieldPosition="0">
        <references count="2">
          <reference field="4294967294" count="1" selected="0">
            <x v="0"/>
          </reference>
          <reference field="12" count="1" selected="0">
            <x v="8"/>
          </reference>
        </references>
      </pivotArea>
    </chartFormat>
    <chartFormat chart="36" format="37">
      <pivotArea type="data" outline="0" fieldPosition="0">
        <references count="2">
          <reference field="4294967294" count="1" selected="0">
            <x v="0"/>
          </reference>
          <reference field="12" count="1" selected="0">
            <x v="7"/>
          </reference>
        </references>
      </pivotArea>
    </chartFormat>
    <chartFormat chart="36" format="38">
      <pivotArea type="data" outline="0" fieldPosition="0">
        <references count="2">
          <reference field="4294967294" count="1" selected="0">
            <x v="0"/>
          </reference>
          <reference field="12" count="1" selected="0">
            <x v="5"/>
          </reference>
        </references>
      </pivotArea>
    </chartFormat>
    <chartFormat chart="36" format="39">
      <pivotArea type="data" outline="0" fieldPosition="0">
        <references count="2">
          <reference field="4294967294" count="1" selected="0">
            <x v="0"/>
          </reference>
          <reference field="12" count="1" selected="0">
            <x v="4"/>
          </reference>
        </references>
      </pivotArea>
    </chartFormat>
    <chartFormat chart="36" format="40">
      <pivotArea type="data" outline="0" fieldPosition="0">
        <references count="2">
          <reference field="4294967294" count="1" selected="0">
            <x v="0"/>
          </reference>
          <reference field="12" count="1" selected="0">
            <x v="13"/>
          </reference>
        </references>
      </pivotArea>
    </chartFormat>
    <chartFormat chart="36" format="41">
      <pivotArea type="data" outline="0" fieldPosition="0">
        <references count="2">
          <reference field="4294967294" count="1" selected="0">
            <x v="0"/>
          </reference>
          <reference field="12" count="1" selected="0">
            <x v="10"/>
          </reference>
        </references>
      </pivotArea>
    </chartFormat>
    <chartFormat chart="19" format="26">
      <pivotArea type="data" outline="0" fieldPosition="0">
        <references count="1">
          <reference field="4294967294" count="1" selected="0">
            <x v="0"/>
          </reference>
        </references>
      </pivotArea>
    </chartFormat>
    <chartFormat chart="47" format="43" series="1">
      <pivotArea type="data" outline="0" fieldPosition="0">
        <references count="1">
          <reference field="4294967294" count="1" selected="0">
            <x v="0"/>
          </reference>
        </references>
      </pivotArea>
    </chartFormat>
    <chartFormat chart="47" format="44">
      <pivotArea type="data" outline="0" fieldPosition="0">
        <references count="2">
          <reference field="4294967294" count="1" selected="0">
            <x v="0"/>
          </reference>
          <reference field="12" count="1" selected="0">
            <x v="12"/>
          </reference>
        </references>
      </pivotArea>
    </chartFormat>
    <chartFormat chart="47" format="45">
      <pivotArea type="data" outline="0" fieldPosition="0">
        <references count="2">
          <reference field="4294967294" count="1" selected="0">
            <x v="0"/>
          </reference>
          <reference field="12" count="1" selected="0">
            <x v="1"/>
          </reference>
        </references>
      </pivotArea>
    </chartFormat>
    <chartFormat chart="47" format="46">
      <pivotArea type="data" outline="0" fieldPosition="0">
        <references count="2">
          <reference field="4294967294" count="1" selected="0">
            <x v="0"/>
          </reference>
          <reference field="12" count="1" selected="0">
            <x v="2"/>
          </reference>
        </references>
      </pivotArea>
    </chartFormat>
    <chartFormat chart="47" format="47">
      <pivotArea type="data" outline="0" fieldPosition="0">
        <references count="2">
          <reference field="4294967294" count="1" selected="0">
            <x v="0"/>
          </reference>
          <reference field="12" count="1" selected="0">
            <x v="9"/>
          </reference>
        </references>
      </pivotArea>
    </chartFormat>
    <chartFormat chart="47" format="48">
      <pivotArea type="data" outline="0" fieldPosition="0">
        <references count="2">
          <reference field="4294967294" count="1" selected="0">
            <x v="0"/>
          </reference>
          <reference field="12" count="1" selected="0">
            <x v="6"/>
          </reference>
        </references>
      </pivotArea>
    </chartFormat>
    <chartFormat chart="47" format="49">
      <pivotArea type="data" outline="0" fieldPosition="0">
        <references count="2">
          <reference field="4294967294" count="1" selected="0">
            <x v="0"/>
          </reference>
          <reference field="12" count="1" selected="0">
            <x v="3"/>
          </reference>
        </references>
      </pivotArea>
    </chartFormat>
    <chartFormat chart="47" format="50">
      <pivotArea type="data" outline="0" fieldPosition="0">
        <references count="2">
          <reference field="4294967294" count="1" selected="0">
            <x v="0"/>
          </reference>
          <reference field="12" count="1" selected="0">
            <x v="11"/>
          </reference>
        </references>
      </pivotArea>
    </chartFormat>
    <chartFormat chart="47" format="51">
      <pivotArea type="data" outline="0" fieldPosition="0">
        <references count="2">
          <reference field="4294967294" count="1" selected="0">
            <x v="0"/>
          </reference>
          <reference field="12" count="1" selected="0">
            <x v="0"/>
          </reference>
        </references>
      </pivotArea>
    </chartFormat>
    <chartFormat chart="47" format="52">
      <pivotArea type="data" outline="0" fieldPosition="0">
        <references count="2">
          <reference field="4294967294" count="1" selected="0">
            <x v="0"/>
          </reference>
          <reference field="12" count="1" selected="0">
            <x v="14"/>
          </reference>
        </references>
      </pivotArea>
    </chartFormat>
    <chartFormat chart="47" format="53">
      <pivotArea type="data" outline="0" fieldPosition="0">
        <references count="2">
          <reference field="4294967294" count="1" selected="0">
            <x v="0"/>
          </reference>
          <reference field="12" count="1" selected="0">
            <x v="8"/>
          </reference>
        </references>
      </pivotArea>
    </chartFormat>
    <chartFormat chart="47" format="54">
      <pivotArea type="data" outline="0" fieldPosition="0">
        <references count="2">
          <reference field="4294967294" count="1" selected="0">
            <x v="0"/>
          </reference>
          <reference field="12" count="1" selected="0">
            <x v="7"/>
          </reference>
        </references>
      </pivotArea>
    </chartFormat>
    <chartFormat chart="47" format="55">
      <pivotArea type="data" outline="0" fieldPosition="0">
        <references count="2">
          <reference field="4294967294" count="1" selected="0">
            <x v="0"/>
          </reference>
          <reference field="12" count="1" selected="0">
            <x v="5"/>
          </reference>
        </references>
      </pivotArea>
    </chartFormat>
    <chartFormat chart="47" format="56">
      <pivotArea type="data" outline="0" fieldPosition="0">
        <references count="2">
          <reference field="4294967294" count="1" selected="0">
            <x v="0"/>
          </reference>
          <reference field="12" count="1" selected="0">
            <x v="4"/>
          </reference>
        </references>
      </pivotArea>
    </chartFormat>
    <chartFormat chart="47" format="57">
      <pivotArea type="data" outline="0" fieldPosition="0">
        <references count="2">
          <reference field="4294967294" count="1" selected="0">
            <x v="0"/>
          </reference>
          <reference field="12" count="1" selected="0">
            <x v="13"/>
          </reference>
        </references>
      </pivotArea>
    </chartFormat>
    <chartFormat chart="47" format="58">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4006C4-C494-483D-A8C5-EFBA2A8C3FB8}" autoFormatId="16" applyNumberFormats="0" applyBorderFormats="0" applyFontFormats="0" applyPatternFormats="0" applyAlignmentFormats="0" applyWidthHeightFormats="0">
  <queryTableRefresh nextId="22">
    <queryTableFields count="19">
      <queryTableField id="1" name="TransactionID" tableColumnId="1"/>
      <queryTableField id="2" name="TransactionDate" tableColumnId="2"/>
      <queryTableField id="3" name="Month Name" tableColumnId="3"/>
      <queryTableField id="4" name="TransactionTime" tableColumnId="4"/>
      <queryTableField id="5" name="Amount" tableColumnId="5"/>
      <queryTableField id="6" name="Currency" tableColumnId="6"/>
      <queryTableField id="7" name="MerchantID" tableColumnId="7"/>
      <queryTableField id="8" name="MerchantCategory" tableColumnId="8"/>
      <queryTableField id="9" name="MerchantCountry" tableColumnId="9"/>
      <queryTableField id="10" name="CustomerID" tableColumnId="10"/>
      <queryTableField id="11" name="CustomerAge" tableColumnId="11"/>
      <queryTableField id="12" name="CustomerGender" tableColumnId="12"/>
      <queryTableField id="13" name="CustomerCountry" tableColumnId="13"/>
      <queryTableField id="14" name="PaymentMethod" tableColumnId="14"/>
      <queryTableField id="15" name="IsInternational" tableColumnId="15"/>
      <queryTableField id="16" name="TransactionStatus" tableColumnId="16"/>
      <queryTableField id="17" name="FraudLabel" tableColumnId="17"/>
      <queryTableField id="18" name="Fruad Status" tableColumnId="18"/>
      <queryTableField id="19" name="Age Group"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ountry" xr10:uid="{7CAF682D-CB0B-4A21-AD1C-2E027501B2F0}" sourceName="CustomerCountry">
  <pivotTables>
    <pivotTable tabId="3" name="PivotTable2"/>
    <pivotTable tabId="18" name="Chart 5"/>
    <pivotTable tabId="13" name="PivotTable1"/>
    <pivotTable tabId="4" name="PivotTable3"/>
    <pivotTable tabId="15" name="PivotTable2"/>
  </pivotTables>
  <data>
    <tabular pivotCacheId="1436302680">
      <items count="15">
        <i x="7" s="1"/>
        <i x="3" s="1"/>
        <i x="2" s="1"/>
        <i x="12" s="1"/>
        <i x="6" s="1"/>
        <i x="1" s="1"/>
        <i x="8" s="1"/>
        <i x="13" s="1"/>
        <i x="9" s="1"/>
        <i x="14" s="1"/>
        <i x="10" s="1"/>
        <i x="0" s="1"/>
        <i x="4" s="1"/>
        <i x="1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393BEC7-31F8-41C1-A4B2-5C2C09E16ADD}" sourceName="Age Group">
  <pivotTables>
    <pivotTable tabId="3" name="PivotTable2"/>
    <pivotTable tabId="18" name="Chart 5"/>
    <pivotTable tabId="13" name="PivotTable1"/>
    <pivotTable tabId="4" name="PivotTable3"/>
    <pivotTable tabId="15" name="PivotTable2"/>
  </pivotTables>
  <data>
    <tabular pivotCacheId="143630268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A7C8FD9-2035-429D-A377-62C3067995C2}" sourceName="PaymentMethod">
  <pivotTables>
    <pivotTable tabId="3" name="PivotTable2"/>
    <pivotTable tabId="18" name="Chart 5"/>
    <pivotTable tabId="13" name="PivotTable1"/>
    <pivotTable tabId="4" name="PivotTable3"/>
    <pivotTable tabId="15" name="PivotTable2"/>
  </pivotTables>
  <data>
    <tabular pivotCacheId="1436302680" showMissing="0">
      <items count="6">
        <i x="3" s="1"/>
        <i x="4" s="1"/>
        <i x="5"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Category" xr10:uid="{C47A4550-C82F-49CA-9DF8-2D37110A58B8}" sourceName="MerchantCategory">
  <pivotTables>
    <pivotTable tabId="3" name="PivotTable2"/>
    <pivotTable tabId="18" name="Chart 5"/>
    <pivotTable tabId="13" name="PivotTable1"/>
    <pivotTable tabId="4" name="PivotTable3"/>
    <pivotTable tabId="15" name="PivotTable2"/>
  </pivotTables>
  <data>
    <tabular pivotCacheId="1436302680">
      <items count="10">
        <i x="5" s="1"/>
        <i x="6" s="1"/>
        <i x="4" s="1"/>
        <i x="1" s="1"/>
        <i x="2" s="1"/>
        <i x="7" s="1"/>
        <i x="0" s="1"/>
        <i x="9"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Country" xr10:uid="{EA9D94B6-341C-4F96-975B-A30FF743292A}" cache="Slicer_CustomerCountry" caption="CustomerCountry" lockedPosition="1" rowHeight="177800"/>
  <slicer name="Age Group" xr10:uid="{8C8B8679-4753-4EB8-94C5-469C844EFF60}" cache="Slicer_Age_Group" caption="Age Group" lockedPosition="1" rowHeight="177800"/>
  <slicer name="PaymentMethod" xr10:uid="{3A56D978-F407-4C90-8E69-5968138A207E}" cache="Slicer_PaymentMethod" caption="PaymentMethod" lockedPosition="1" rowHeight="177800"/>
  <slicer name="MerchantCategory" xr10:uid="{D59F285B-40FC-49FF-86FC-A74AD5CBE62F}" cache="Slicer_MerchantCategory" caption="MerchantCategory" lockedPosition="1" rowHeight="177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5EDED-1AC7-4DA4-BDAD-4386A4C77491}" name="Sheet1" displayName="Sheet1" ref="A1:S2611" tableType="queryTable" totalsRowShown="0">
  <autoFilter ref="A1:S2611" xr:uid="{1D25EDED-1AC7-4DA4-BDAD-4386A4C77491}"/>
  <sortState xmlns:xlrd2="http://schemas.microsoft.com/office/spreadsheetml/2017/richdata2" ref="A2:S2611">
    <sortCondition descending="1" ref="E1:E2611"/>
  </sortState>
  <tableColumns count="19">
    <tableColumn id="1" xr3:uid="{4D2EA308-C321-4A5B-AFE6-91A08A2F15CD}" uniqueName="1" name="TransactionID" queryTableFieldId="1" dataDxfId="26"/>
    <tableColumn id="2" xr3:uid="{58A00044-9164-4236-AB04-773B5ED6DF0B}" uniqueName="2" name="TransactionDate" queryTableFieldId="2" dataDxfId="25"/>
    <tableColumn id="3" xr3:uid="{825C9545-21FB-4883-BC82-D6AFFD4CDDD7}" uniqueName="3" name="Month Name" queryTableFieldId="3" dataDxfId="24"/>
    <tableColumn id="4" xr3:uid="{339B8976-07AD-487C-A66D-027D13560D39}" uniqueName="4" name="TransactionTime" queryTableFieldId="4" dataDxfId="23"/>
    <tableColumn id="5" xr3:uid="{CEBA6A91-CA52-492F-B2D9-05CB9AB0F4CF}" uniqueName="5" name="Amount" queryTableFieldId="5"/>
    <tableColumn id="6" xr3:uid="{764D917A-4B52-4B85-BBFE-E4C87DDB919F}" uniqueName="6" name="Currency" queryTableFieldId="6" dataDxfId="22"/>
    <tableColumn id="7" xr3:uid="{3B310634-7388-4D6B-9677-BC93038BDA24}" uniqueName="7" name="MerchantID" queryTableFieldId="7" dataDxfId="21"/>
    <tableColumn id="8" xr3:uid="{E6283AD4-6C22-4983-83AA-5334F2C79E84}" uniqueName="8" name="MerchantCategory" queryTableFieldId="8" dataDxfId="20"/>
    <tableColumn id="9" xr3:uid="{DFAEF1C4-CC60-4DFF-B0BA-75751F3688CC}" uniqueName="9" name="MerchantCountry" queryTableFieldId="9" dataDxfId="19"/>
    <tableColumn id="10" xr3:uid="{7B59351E-6702-4137-9F44-E4D8BF5C708E}" uniqueName="10" name="CustomerID" queryTableFieldId="10" dataDxfId="18"/>
    <tableColumn id="11" xr3:uid="{83FC36AA-754E-4E75-A20C-73F47031FEE0}" uniqueName="11" name="CustomerAge" queryTableFieldId="11"/>
    <tableColumn id="12" xr3:uid="{D05E8D3D-DC9B-42A1-8EFB-30F754CBD820}" uniqueName="12" name="CustomerGender" queryTableFieldId="12" dataDxfId="17"/>
    <tableColumn id="13" xr3:uid="{606F8FA6-6AD8-4214-BFDA-828B5D4D7B4B}" uniqueName="13" name="CustomerCountry" queryTableFieldId="13" dataDxfId="16"/>
    <tableColumn id="14" xr3:uid="{30FC95F5-FE83-4247-9DA5-D6A0425BD7D4}" uniqueName="14" name="PaymentMethod" queryTableFieldId="14" dataDxfId="15"/>
    <tableColumn id="15" xr3:uid="{626BFD7B-E88E-4A55-BB7A-13779A0A5418}" uniqueName="15" name="IsInternational" queryTableFieldId="15" dataDxfId="14"/>
    <tableColumn id="16" xr3:uid="{1481A716-57BD-494C-80BE-DB2F691ACAF5}" uniqueName="16" name="TransactionStatus" queryTableFieldId="16" dataDxfId="13"/>
    <tableColumn id="17" xr3:uid="{23534F06-84BF-4A07-ACF0-93F0D54F4672}" uniqueName="17" name="FraudLabel" queryTableFieldId="17"/>
    <tableColumn id="18" xr3:uid="{4A5025EF-E554-42EB-8A9D-C1E9C3483D0B}" uniqueName="18" name="Fruad Status" queryTableFieldId="18"/>
    <tableColumn id="19" xr3:uid="{784FA070-430A-4B20-9806-8CBB798E5043}" uniqueName="19" name="Age Group"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52943-2DDD-46BE-928C-32EAA2FA7753}" name="Table3" displayName="Table3" ref="B2:D8" totalsRowShown="0" headerRowDxfId="12" dataDxfId="10" headerRowBorderDxfId="11" tableBorderDxfId="9" totalsRowBorderDxfId="8">
  <autoFilter ref="B2:D8" xr:uid="{50552943-2DDD-46BE-928C-32EAA2FA7753}"/>
  <tableColumns count="3">
    <tableColumn id="1" xr3:uid="{B0B16808-9931-4587-BBED-EE7A26825237}" name="KPIs" dataDxfId="7"/>
    <tableColumn id="2" xr3:uid="{1E8C4E7C-54DE-4CFD-B72C-19061C01C1C7}" name="OUTPUT" dataDxfId="6"/>
    <tableColumn id="3" xr3:uid="{9C859C21-BBF7-47E0-9A51-C2D5F2F39499}" name="FORMULA" dataDxfId="5">
      <calculatedColumnFormula>_xlfn.FORMULATEXT(C3)</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Date" xr10:uid="{BBD3A459-416C-4B8E-84DC-6D27421F53F3}" sourceName="TransactionDate">
  <pivotTables>
    <pivotTable tabId="3" name="PivotTable2"/>
    <pivotTable tabId="18" name="Chart 5"/>
    <pivotTable tabId="13" name="PivotTable1"/>
    <pivotTable tabId="4" name="PivotTable3"/>
    <pivotTable tabId="15" name="PivotTable2"/>
  </pivotTables>
  <state minimalRefreshVersion="6" lastRefreshVersion="6" pivotCacheId="143630268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Date" xr10:uid="{2A6852E0-4235-4AED-A74D-EFB911FE7B10}" cache="NativeTimeline_TransactionDate" caption="TransactionDate" level="2" selectionLevel="2" scrollPosition="2025-03-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4F17-9E69-431D-BADD-D26F260B9145}">
  <dimension ref="A1:T3004"/>
  <sheetViews>
    <sheetView workbookViewId="0">
      <selection activeCell="C33" sqref="C33"/>
    </sheetView>
  </sheetViews>
  <sheetFormatPr defaultRowHeight="15" x14ac:dyDescent="0.25"/>
  <cols>
    <col min="1" max="1" width="17" customWidth="1"/>
    <col min="2" max="2" width="19.140625" style="1" customWidth="1"/>
    <col min="3" max="3" width="17.5703125" style="5" customWidth="1"/>
    <col min="4" max="4" width="17.28515625" customWidth="1"/>
    <col min="5" max="5" width="17" customWidth="1"/>
    <col min="6" max="6" width="20.140625" customWidth="1"/>
    <col min="7" max="7" width="24.5703125" customWidth="1"/>
    <col min="8" max="8" width="17.7109375" customWidth="1"/>
    <col min="9" max="9" width="16.28515625" customWidth="1"/>
    <col min="10" max="10" width="18.42578125" customWidth="1"/>
    <col min="11" max="11" width="19" customWidth="1"/>
    <col min="12" max="12" width="16.42578125" customWidth="1"/>
    <col min="13" max="13" width="19.140625" customWidth="1"/>
    <col min="14" max="14" width="17.42578125" customWidth="1"/>
    <col min="15" max="15" width="18.7109375" customWidth="1"/>
    <col min="16" max="16" width="19.5703125" customWidth="1"/>
    <col min="17" max="17" width="18.85546875" customWidth="1"/>
    <col min="18" max="18" width="17.85546875" customWidth="1"/>
    <col min="19" max="19" width="17.7109375" customWidth="1"/>
    <col min="20" max="20" width="15.42578125" customWidth="1"/>
  </cols>
  <sheetData>
    <row r="1" spans="1:20" x14ac:dyDescent="0.25">
      <c r="A1" s="2" t="s">
        <v>0</v>
      </c>
      <c r="B1" s="3" t="s">
        <v>1</v>
      </c>
      <c r="C1" s="4"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25">
      <c r="A2" t="s">
        <v>20</v>
      </c>
      <c r="B2" s="1">
        <v>45912</v>
      </c>
      <c r="C2" s="5">
        <v>0.2011574074074074</v>
      </c>
      <c r="D2">
        <v>148.41</v>
      </c>
      <c r="E2" t="s">
        <v>44</v>
      </c>
      <c r="F2" t="s">
        <v>21</v>
      </c>
      <c r="G2" t="s">
        <v>22</v>
      </c>
      <c r="H2" t="s">
        <v>23</v>
      </c>
      <c r="I2" t="s">
        <v>24</v>
      </c>
      <c r="J2">
        <v>60</v>
      </c>
      <c r="K2" t="s">
        <v>25</v>
      </c>
      <c r="L2" t="s">
        <v>26</v>
      </c>
      <c r="M2" t="s">
        <v>27</v>
      </c>
      <c r="P2" t="s">
        <v>28</v>
      </c>
      <c r="Q2" t="s">
        <v>29</v>
      </c>
      <c r="R2" t="s">
        <v>30</v>
      </c>
      <c r="S2" t="s">
        <v>31</v>
      </c>
      <c r="T2">
        <v>0</v>
      </c>
    </row>
    <row r="3" spans="1:20" x14ac:dyDescent="0.25">
      <c r="A3" t="s">
        <v>32</v>
      </c>
      <c r="B3" s="1">
        <v>45954</v>
      </c>
      <c r="C3" s="5">
        <v>0.49137731481481484</v>
      </c>
      <c r="D3">
        <v>37.86</v>
      </c>
      <c r="E3" t="s">
        <v>44</v>
      </c>
      <c r="F3" t="s">
        <v>33</v>
      </c>
      <c r="G3" t="s">
        <v>34</v>
      </c>
      <c r="H3" t="s">
        <v>35</v>
      </c>
      <c r="I3" t="s">
        <v>36</v>
      </c>
      <c r="J3">
        <v>57</v>
      </c>
      <c r="K3" t="s">
        <v>37</v>
      </c>
      <c r="L3" t="s">
        <v>38</v>
      </c>
      <c r="M3" t="s">
        <v>39</v>
      </c>
      <c r="P3" t="s">
        <v>28</v>
      </c>
      <c r="Q3" t="s">
        <v>40</v>
      </c>
      <c r="R3" t="s">
        <v>41</v>
      </c>
      <c r="S3" t="s">
        <v>42</v>
      </c>
      <c r="T3">
        <v>0</v>
      </c>
    </row>
    <row r="4" spans="1:20" x14ac:dyDescent="0.25">
      <c r="A4" t="s">
        <v>43</v>
      </c>
      <c r="B4" s="1">
        <v>45866</v>
      </c>
      <c r="C4" s="5">
        <v>5.9918981481481483E-2</v>
      </c>
      <c r="D4">
        <v>98.73</v>
      </c>
      <c r="E4" t="s">
        <v>44</v>
      </c>
      <c r="F4" t="s">
        <v>45</v>
      </c>
      <c r="G4" t="s">
        <v>46</v>
      </c>
      <c r="H4" t="s">
        <v>47</v>
      </c>
      <c r="I4" t="s">
        <v>48</v>
      </c>
      <c r="J4">
        <v>46</v>
      </c>
      <c r="K4" t="s">
        <v>49</v>
      </c>
      <c r="L4" t="s">
        <v>50</v>
      </c>
      <c r="M4" t="s">
        <v>51</v>
      </c>
      <c r="N4" t="s">
        <v>52</v>
      </c>
      <c r="O4">
        <v>468196</v>
      </c>
      <c r="P4" t="s">
        <v>28</v>
      </c>
      <c r="Q4" t="s">
        <v>53</v>
      </c>
      <c r="R4" t="s">
        <v>54</v>
      </c>
      <c r="S4" t="s">
        <v>31</v>
      </c>
      <c r="T4">
        <v>0</v>
      </c>
    </row>
    <row r="5" spans="1:20" x14ac:dyDescent="0.25">
      <c r="A5" t="s">
        <v>55</v>
      </c>
      <c r="B5" s="1">
        <v>45796</v>
      </c>
      <c r="C5" s="5">
        <v>0.21731481481481482</v>
      </c>
      <c r="D5">
        <v>52.77</v>
      </c>
      <c r="E5" t="s">
        <v>44</v>
      </c>
      <c r="F5" t="s">
        <v>56</v>
      </c>
      <c r="G5" t="s">
        <v>57</v>
      </c>
      <c r="H5" t="s">
        <v>58</v>
      </c>
      <c r="I5" t="s">
        <v>59</v>
      </c>
      <c r="K5" t="s">
        <v>37</v>
      </c>
      <c r="L5" t="s">
        <v>50</v>
      </c>
      <c r="M5" t="s">
        <v>39</v>
      </c>
      <c r="P5" t="s">
        <v>28</v>
      </c>
      <c r="Q5" t="s">
        <v>60</v>
      </c>
      <c r="R5" t="s">
        <v>61</v>
      </c>
      <c r="S5" t="s">
        <v>31</v>
      </c>
      <c r="T5">
        <v>0</v>
      </c>
    </row>
    <row r="6" spans="1:20" x14ac:dyDescent="0.25">
      <c r="A6" t="s">
        <v>62</v>
      </c>
      <c r="B6" s="1">
        <v>45829</v>
      </c>
      <c r="C6" s="5">
        <v>0.46208333333333335</v>
      </c>
      <c r="D6">
        <v>49.48</v>
      </c>
      <c r="E6" t="s">
        <v>44</v>
      </c>
      <c r="F6" t="s">
        <v>63</v>
      </c>
      <c r="G6" t="s">
        <v>64</v>
      </c>
      <c r="H6" t="s">
        <v>26</v>
      </c>
      <c r="I6" t="s">
        <v>65</v>
      </c>
      <c r="J6">
        <v>54</v>
      </c>
      <c r="K6" t="s">
        <v>37</v>
      </c>
      <c r="L6" t="s">
        <v>66</v>
      </c>
      <c r="M6" t="s">
        <v>27</v>
      </c>
      <c r="P6" t="s">
        <v>28</v>
      </c>
      <c r="Q6" t="s">
        <v>67</v>
      </c>
      <c r="R6" t="s">
        <v>68</v>
      </c>
      <c r="S6" t="s">
        <v>31</v>
      </c>
      <c r="T6">
        <v>0</v>
      </c>
    </row>
    <row r="7" spans="1:20" x14ac:dyDescent="0.25">
      <c r="A7" t="s">
        <v>69</v>
      </c>
      <c r="B7" s="1">
        <v>45933</v>
      </c>
      <c r="C7" s="5">
        <v>0.9291666666666667</v>
      </c>
      <c r="D7">
        <v>151.29</v>
      </c>
      <c r="E7" t="s">
        <v>44</v>
      </c>
      <c r="F7" t="s">
        <v>70</v>
      </c>
      <c r="G7" t="s">
        <v>71</v>
      </c>
      <c r="H7" t="s">
        <v>35</v>
      </c>
      <c r="I7" t="s">
        <v>72</v>
      </c>
      <c r="J7">
        <v>32</v>
      </c>
      <c r="K7" t="s">
        <v>49</v>
      </c>
      <c r="L7" t="s">
        <v>26</v>
      </c>
      <c r="M7" t="s">
        <v>27</v>
      </c>
      <c r="P7" t="s">
        <v>28</v>
      </c>
      <c r="Q7" t="s">
        <v>73</v>
      </c>
      <c r="R7" t="s">
        <v>74</v>
      </c>
      <c r="S7" t="s">
        <v>42</v>
      </c>
      <c r="T7">
        <v>0</v>
      </c>
    </row>
    <row r="8" spans="1:20" x14ac:dyDescent="0.25">
      <c r="A8" t="s">
        <v>75</v>
      </c>
      <c r="B8" s="1">
        <v>45866</v>
      </c>
      <c r="C8" s="5">
        <v>0.12872685185185184</v>
      </c>
      <c r="D8">
        <v>194.3</v>
      </c>
      <c r="E8" t="s">
        <v>44</v>
      </c>
      <c r="F8" t="s">
        <v>76</v>
      </c>
      <c r="G8" t="s">
        <v>77</v>
      </c>
      <c r="H8" t="s">
        <v>47</v>
      </c>
      <c r="I8" t="s">
        <v>78</v>
      </c>
      <c r="J8">
        <v>67</v>
      </c>
      <c r="K8" t="s">
        <v>25</v>
      </c>
      <c r="L8" t="s">
        <v>23</v>
      </c>
      <c r="M8" t="s">
        <v>39</v>
      </c>
      <c r="P8" t="s">
        <v>28</v>
      </c>
      <c r="Q8" t="s">
        <v>79</v>
      </c>
      <c r="R8" t="s">
        <v>80</v>
      </c>
      <c r="S8" t="s">
        <v>31</v>
      </c>
      <c r="T8">
        <v>0</v>
      </c>
    </row>
    <row r="9" spans="1:20" x14ac:dyDescent="0.25">
      <c r="A9" t="s">
        <v>81</v>
      </c>
      <c r="B9" s="1">
        <v>45852</v>
      </c>
      <c r="C9" s="5">
        <v>0.16480324074074074</v>
      </c>
      <c r="D9">
        <v>172.45</v>
      </c>
      <c r="E9" t="s">
        <v>44</v>
      </c>
      <c r="F9" t="s">
        <v>82</v>
      </c>
      <c r="G9" t="s">
        <v>34</v>
      </c>
      <c r="H9" t="s">
        <v>35</v>
      </c>
      <c r="I9" t="s">
        <v>83</v>
      </c>
      <c r="J9">
        <v>71</v>
      </c>
      <c r="K9" t="s">
        <v>49</v>
      </c>
      <c r="L9" t="s">
        <v>23</v>
      </c>
      <c r="M9" t="s">
        <v>84</v>
      </c>
      <c r="P9" t="s">
        <v>28</v>
      </c>
      <c r="Q9" t="s">
        <v>85</v>
      </c>
      <c r="R9" t="s">
        <v>86</v>
      </c>
      <c r="S9" t="s">
        <v>31</v>
      </c>
      <c r="T9">
        <v>0</v>
      </c>
    </row>
    <row r="10" spans="1:20" x14ac:dyDescent="0.25">
      <c r="A10" t="s">
        <v>87</v>
      </c>
      <c r="B10" s="1">
        <v>45805</v>
      </c>
      <c r="C10" s="5">
        <v>5.0405092592592592E-2</v>
      </c>
      <c r="D10">
        <v>33.68</v>
      </c>
      <c r="E10" t="s">
        <v>44</v>
      </c>
      <c r="F10" t="s">
        <v>88</v>
      </c>
      <c r="G10" t="s">
        <v>89</v>
      </c>
      <c r="H10" t="s">
        <v>38</v>
      </c>
      <c r="I10" t="s">
        <v>90</v>
      </c>
      <c r="J10">
        <v>33</v>
      </c>
      <c r="K10" t="s">
        <v>25</v>
      </c>
      <c r="L10" t="s">
        <v>91</v>
      </c>
      <c r="M10" t="s">
        <v>39</v>
      </c>
      <c r="P10" t="s">
        <v>28</v>
      </c>
      <c r="Q10" t="s">
        <v>92</v>
      </c>
      <c r="R10" t="s">
        <v>93</v>
      </c>
      <c r="S10" t="s">
        <v>31</v>
      </c>
      <c r="T10">
        <v>0</v>
      </c>
    </row>
    <row r="11" spans="1:20" x14ac:dyDescent="0.25">
      <c r="A11" t="s">
        <v>94</v>
      </c>
      <c r="B11" s="1">
        <v>45926</v>
      </c>
      <c r="C11" s="5">
        <v>0.25739583333333332</v>
      </c>
      <c r="D11">
        <v>91.76</v>
      </c>
      <c r="E11" t="s">
        <v>44</v>
      </c>
      <c r="F11" t="s">
        <v>95</v>
      </c>
      <c r="G11" t="s">
        <v>96</v>
      </c>
      <c r="H11" t="s">
        <v>97</v>
      </c>
      <c r="I11" t="s">
        <v>98</v>
      </c>
      <c r="J11">
        <v>42</v>
      </c>
      <c r="K11" t="s">
        <v>49</v>
      </c>
      <c r="L11" t="s">
        <v>66</v>
      </c>
      <c r="M11" t="s">
        <v>39</v>
      </c>
      <c r="P11" t="s">
        <v>28</v>
      </c>
      <c r="Q11" t="s">
        <v>99</v>
      </c>
      <c r="R11" t="s">
        <v>100</v>
      </c>
      <c r="S11" t="s">
        <v>101</v>
      </c>
      <c r="T11">
        <v>0</v>
      </c>
    </row>
    <row r="12" spans="1:20" x14ac:dyDescent="0.25">
      <c r="A12" t="s">
        <v>102</v>
      </c>
      <c r="B12" s="1">
        <v>45922</v>
      </c>
      <c r="C12" s="5">
        <v>0.48056712962962961</v>
      </c>
      <c r="D12">
        <v>195.01</v>
      </c>
      <c r="E12" t="s">
        <v>44</v>
      </c>
      <c r="F12" t="s">
        <v>103</v>
      </c>
      <c r="G12" t="s">
        <v>96</v>
      </c>
      <c r="H12" t="s">
        <v>97</v>
      </c>
      <c r="I12" t="s">
        <v>104</v>
      </c>
      <c r="J12">
        <v>51</v>
      </c>
      <c r="K12" t="s">
        <v>49</v>
      </c>
      <c r="L12" t="s">
        <v>91</v>
      </c>
      <c r="M12" t="s">
        <v>105</v>
      </c>
      <c r="P12" t="s">
        <v>28</v>
      </c>
      <c r="Q12" t="s">
        <v>106</v>
      </c>
      <c r="R12" t="s">
        <v>107</v>
      </c>
      <c r="S12" t="s">
        <v>101</v>
      </c>
      <c r="T12">
        <v>0</v>
      </c>
    </row>
    <row r="13" spans="1:20" x14ac:dyDescent="0.25">
      <c r="A13" t="s">
        <v>108</v>
      </c>
      <c r="B13" s="1">
        <v>45785</v>
      </c>
      <c r="C13" s="5">
        <v>0.27230324074074075</v>
      </c>
      <c r="D13">
        <v>153.65</v>
      </c>
      <c r="E13" t="s">
        <v>44</v>
      </c>
      <c r="F13" t="s">
        <v>109</v>
      </c>
      <c r="G13" t="s">
        <v>77</v>
      </c>
      <c r="H13" t="s">
        <v>110</v>
      </c>
      <c r="I13" t="s">
        <v>111</v>
      </c>
      <c r="J13">
        <v>31</v>
      </c>
      <c r="K13" t="s">
        <v>25</v>
      </c>
      <c r="L13" t="s">
        <v>110</v>
      </c>
      <c r="M13" t="s">
        <v>112</v>
      </c>
      <c r="P13" t="s">
        <v>113</v>
      </c>
      <c r="Q13" t="s">
        <v>114</v>
      </c>
      <c r="R13" t="s">
        <v>115</v>
      </c>
      <c r="S13" t="s">
        <v>31</v>
      </c>
      <c r="T13">
        <v>0</v>
      </c>
    </row>
    <row r="14" spans="1:20" x14ac:dyDescent="0.25">
      <c r="A14" t="s">
        <v>116</v>
      </c>
      <c r="B14" s="1">
        <v>45906</v>
      </c>
      <c r="C14" s="5">
        <v>0.26979166666666665</v>
      </c>
      <c r="D14">
        <v>14.75</v>
      </c>
      <c r="E14" t="s">
        <v>44</v>
      </c>
      <c r="F14" t="s">
        <v>117</v>
      </c>
      <c r="G14" t="s">
        <v>89</v>
      </c>
      <c r="H14" t="s">
        <v>110</v>
      </c>
      <c r="I14" t="s">
        <v>118</v>
      </c>
      <c r="J14">
        <v>26</v>
      </c>
      <c r="K14" t="s">
        <v>49</v>
      </c>
      <c r="L14" t="s">
        <v>119</v>
      </c>
      <c r="M14" t="s">
        <v>84</v>
      </c>
      <c r="P14" t="s">
        <v>28</v>
      </c>
      <c r="Q14" t="s">
        <v>120</v>
      </c>
      <c r="R14" t="s">
        <v>121</v>
      </c>
      <c r="S14" t="s">
        <v>31</v>
      </c>
      <c r="T14">
        <v>0</v>
      </c>
    </row>
    <row r="15" spans="1:20" x14ac:dyDescent="0.25">
      <c r="A15" t="s">
        <v>122</v>
      </c>
      <c r="B15" s="1">
        <v>45864</v>
      </c>
      <c r="C15" s="5">
        <v>0.53549768518518515</v>
      </c>
      <c r="D15">
        <v>49.24</v>
      </c>
      <c r="E15" t="s">
        <v>44</v>
      </c>
      <c r="F15" t="s">
        <v>123</v>
      </c>
      <c r="G15" t="s">
        <v>124</v>
      </c>
      <c r="H15" t="s">
        <v>91</v>
      </c>
      <c r="I15" t="s">
        <v>125</v>
      </c>
      <c r="J15">
        <v>26</v>
      </c>
      <c r="K15" t="s">
        <v>37</v>
      </c>
      <c r="L15" t="s">
        <v>97</v>
      </c>
      <c r="M15" t="s">
        <v>27</v>
      </c>
      <c r="P15" t="s">
        <v>28</v>
      </c>
      <c r="Q15" t="s">
        <v>126</v>
      </c>
      <c r="R15" t="s">
        <v>127</v>
      </c>
      <c r="S15" t="s">
        <v>31</v>
      </c>
      <c r="T15">
        <v>0</v>
      </c>
    </row>
    <row r="16" spans="1:20" x14ac:dyDescent="0.25">
      <c r="A16" t="s">
        <v>128</v>
      </c>
      <c r="B16" s="1">
        <v>45946</v>
      </c>
      <c r="C16" s="5">
        <v>0.6413078703703704</v>
      </c>
      <c r="D16">
        <v>90.21</v>
      </c>
      <c r="E16" t="s">
        <v>44</v>
      </c>
      <c r="F16" t="s">
        <v>129</v>
      </c>
      <c r="G16" t="s">
        <v>77</v>
      </c>
      <c r="H16" t="s">
        <v>130</v>
      </c>
      <c r="I16" t="s">
        <v>131</v>
      </c>
      <c r="J16">
        <v>53</v>
      </c>
      <c r="K16" t="s">
        <v>25</v>
      </c>
      <c r="L16" t="s">
        <v>97</v>
      </c>
      <c r="M16" t="s">
        <v>39</v>
      </c>
      <c r="P16" t="s">
        <v>28</v>
      </c>
      <c r="Q16" t="s">
        <v>132</v>
      </c>
      <c r="R16" t="s">
        <v>133</v>
      </c>
      <c r="S16" t="s">
        <v>31</v>
      </c>
      <c r="T16">
        <v>1</v>
      </c>
    </row>
    <row r="17" spans="1:20" x14ac:dyDescent="0.25">
      <c r="A17" t="s">
        <v>134</v>
      </c>
      <c r="B17" s="1">
        <v>45818</v>
      </c>
      <c r="C17" s="5">
        <v>0.20356481481481481</v>
      </c>
      <c r="D17">
        <v>196.79</v>
      </c>
      <c r="E17" t="s">
        <v>44</v>
      </c>
      <c r="F17" t="s">
        <v>135</v>
      </c>
      <c r="G17" t="s">
        <v>22</v>
      </c>
      <c r="H17" t="s">
        <v>91</v>
      </c>
      <c r="I17" t="s">
        <v>136</v>
      </c>
      <c r="J17">
        <v>35</v>
      </c>
      <c r="K17" t="s">
        <v>37</v>
      </c>
      <c r="L17" t="s">
        <v>58</v>
      </c>
      <c r="M17" t="s">
        <v>39</v>
      </c>
      <c r="P17" t="s">
        <v>28</v>
      </c>
      <c r="Q17" t="s">
        <v>137</v>
      </c>
      <c r="R17" t="s">
        <v>138</v>
      </c>
      <c r="S17" t="s">
        <v>31</v>
      </c>
      <c r="T17">
        <v>0</v>
      </c>
    </row>
    <row r="18" spans="1:20" x14ac:dyDescent="0.25">
      <c r="A18" t="s">
        <v>139</v>
      </c>
      <c r="B18" s="1">
        <v>45936</v>
      </c>
      <c r="C18" s="5">
        <v>9.6886574074074069E-2</v>
      </c>
      <c r="D18">
        <v>190.91</v>
      </c>
      <c r="E18" t="s">
        <v>44</v>
      </c>
      <c r="F18" t="s">
        <v>140</v>
      </c>
      <c r="G18" t="s">
        <v>71</v>
      </c>
      <c r="H18" t="s">
        <v>130</v>
      </c>
      <c r="I18" t="s">
        <v>141</v>
      </c>
      <c r="J18">
        <v>32</v>
      </c>
      <c r="K18" t="s">
        <v>25</v>
      </c>
      <c r="L18" t="s">
        <v>47</v>
      </c>
      <c r="M18" t="s">
        <v>112</v>
      </c>
      <c r="P18" t="s">
        <v>28</v>
      </c>
      <c r="Q18" t="s">
        <v>142</v>
      </c>
      <c r="R18" t="s">
        <v>143</v>
      </c>
      <c r="S18" t="s">
        <v>42</v>
      </c>
      <c r="T18">
        <v>0</v>
      </c>
    </row>
    <row r="19" spans="1:20" x14ac:dyDescent="0.25">
      <c r="A19" t="s">
        <v>144</v>
      </c>
      <c r="B19" s="1">
        <v>45809</v>
      </c>
      <c r="C19" s="5">
        <v>0.18487268518518518</v>
      </c>
      <c r="D19">
        <v>121.9</v>
      </c>
      <c r="E19" t="s">
        <v>44</v>
      </c>
      <c r="F19" t="s">
        <v>145</v>
      </c>
      <c r="G19" t="s">
        <v>77</v>
      </c>
      <c r="H19" t="s">
        <v>146</v>
      </c>
      <c r="I19" t="s">
        <v>147</v>
      </c>
      <c r="J19">
        <v>27</v>
      </c>
      <c r="K19" t="s">
        <v>37</v>
      </c>
      <c r="L19" t="s">
        <v>119</v>
      </c>
      <c r="M19" t="s">
        <v>84</v>
      </c>
      <c r="P19" t="s">
        <v>28</v>
      </c>
      <c r="Q19" t="s">
        <v>148</v>
      </c>
      <c r="R19" t="s">
        <v>149</v>
      </c>
      <c r="S19" t="s">
        <v>31</v>
      </c>
      <c r="T19">
        <v>0</v>
      </c>
    </row>
    <row r="20" spans="1:20" x14ac:dyDescent="0.25">
      <c r="A20" t="s">
        <v>150</v>
      </c>
      <c r="B20" s="1">
        <v>45815</v>
      </c>
      <c r="C20" s="5">
        <v>0.81763888888888892</v>
      </c>
      <c r="D20">
        <v>55.28</v>
      </c>
      <c r="E20" t="s">
        <v>44</v>
      </c>
      <c r="F20" t="s">
        <v>151</v>
      </c>
      <c r="G20" t="s">
        <v>89</v>
      </c>
      <c r="H20" t="s">
        <v>91</v>
      </c>
      <c r="I20" t="s">
        <v>152</v>
      </c>
      <c r="J20">
        <v>56</v>
      </c>
      <c r="K20" t="s">
        <v>37</v>
      </c>
      <c r="L20" t="s">
        <v>130</v>
      </c>
      <c r="M20" t="s">
        <v>112</v>
      </c>
      <c r="P20" t="s">
        <v>28</v>
      </c>
      <c r="Q20" t="s">
        <v>153</v>
      </c>
      <c r="R20" t="s">
        <v>154</v>
      </c>
      <c r="S20" t="s">
        <v>31</v>
      </c>
      <c r="T20">
        <v>0</v>
      </c>
    </row>
    <row r="21" spans="1:20" x14ac:dyDescent="0.25">
      <c r="A21" t="s">
        <v>155</v>
      </c>
      <c r="B21" s="1">
        <v>45821</v>
      </c>
      <c r="C21" s="5">
        <v>0.65649305555555559</v>
      </c>
      <c r="D21">
        <v>151.21</v>
      </c>
      <c r="E21" t="s">
        <v>44</v>
      </c>
      <c r="F21" t="s">
        <v>156</v>
      </c>
      <c r="G21" t="s">
        <v>77</v>
      </c>
      <c r="H21" t="s">
        <v>91</v>
      </c>
      <c r="I21" t="s">
        <v>157</v>
      </c>
      <c r="J21">
        <v>60</v>
      </c>
      <c r="K21" t="s">
        <v>49</v>
      </c>
      <c r="L21" t="s">
        <v>130</v>
      </c>
      <c r="M21" t="s">
        <v>39</v>
      </c>
      <c r="P21" t="s">
        <v>28</v>
      </c>
      <c r="Q21" t="s">
        <v>158</v>
      </c>
      <c r="R21" t="s">
        <v>159</v>
      </c>
      <c r="S21" t="s">
        <v>31</v>
      </c>
      <c r="T21">
        <v>0</v>
      </c>
    </row>
    <row r="22" spans="1:20" x14ac:dyDescent="0.25">
      <c r="A22" t="s">
        <v>160</v>
      </c>
      <c r="B22" s="1">
        <v>45784</v>
      </c>
      <c r="C22" s="5">
        <v>0.47789351851851852</v>
      </c>
      <c r="D22">
        <v>59.23</v>
      </c>
      <c r="E22" t="s">
        <v>44</v>
      </c>
      <c r="F22" t="s">
        <v>161</v>
      </c>
      <c r="G22" t="s">
        <v>124</v>
      </c>
      <c r="H22" t="s">
        <v>97</v>
      </c>
      <c r="I22" t="s">
        <v>162</v>
      </c>
      <c r="J22">
        <v>73</v>
      </c>
      <c r="K22" t="s">
        <v>37</v>
      </c>
      <c r="L22" t="s">
        <v>97</v>
      </c>
      <c r="M22" t="s">
        <v>27</v>
      </c>
      <c r="P22" t="s">
        <v>113</v>
      </c>
      <c r="Q22" t="s">
        <v>163</v>
      </c>
      <c r="R22" t="s">
        <v>164</v>
      </c>
      <c r="S22" t="s">
        <v>31</v>
      </c>
      <c r="T22">
        <v>0</v>
      </c>
    </row>
    <row r="23" spans="1:20" x14ac:dyDescent="0.25">
      <c r="A23" t="s">
        <v>165</v>
      </c>
      <c r="B23" s="1">
        <v>45798</v>
      </c>
      <c r="C23" s="5">
        <v>0.53881944444444441</v>
      </c>
      <c r="D23">
        <v>77.959999999999994</v>
      </c>
      <c r="E23" t="s">
        <v>44</v>
      </c>
      <c r="F23" t="s">
        <v>166</v>
      </c>
      <c r="G23" t="s">
        <v>124</v>
      </c>
      <c r="H23" t="s">
        <v>23</v>
      </c>
      <c r="I23" t="s">
        <v>167</v>
      </c>
      <c r="J23">
        <v>19</v>
      </c>
      <c r="K23" t="s">
        <v>49</v>
      </c>
      <c r="L23" t="s">
        <v>38</v>
      </c>
      <c r="M23" t="s">
        <v>27</v>
      </c>
      <c r="P23" t="s">
        <v>28</v>
      </c>
      <c r="Q23" t="s">
        <v>168</v>
      </c>
      <c r="R23" t="s">
        <v>169</v>
      </c>
      <c r="S23" t="s">
        <v>31</v>
      </c>
      <c r="T23">
        <v>0</v>
      </c>
    </row>
    <row r="24" spans="1:20" x14ac:dyDescent="0.25">
      <c r="A24" t="s">
        <v>170</v>
      </c>
      <c r="B24" s="1">
        <v>45903</v>
      </c>
      <c r="C24" s="5">
        <v>0.24283564814814815</v>
      </c>
      <c r="D24">
        <v>128.44999999999999</v>
      </c>
      <c r="E24" t="s">
        <v>44</v>
      </c>
      <c r="F24" t="s">
        <v>171</v>
      </c>
      <c r="G24" t="s">
        <v>77</v>
      </c>
      <c r="H24" t="s">
        <v>97</v>
      </c>
      <c r="I24" t="s">
        <v>172</v>
      </c>
      <c r="J24">
        <v>22</v>
      </c>
      <c r="K24" t="s">
        <v>49</v>
      </c>
      <c r="L24" t="s">
        <v>146</v>
      </c>
      <c r="M24" t="s">
        <v>51</v>
      </c>
      <c r="N24" t="s">
        <v>173</v>
      </c>
      <c r="O24">
        <v>400882</v>
      </c>
      <c r="P24" t="s">
        <v>28</v>
      </c>
      <c r="Q24" t="s">
        <v>174</v>
      </c>
      <c r="R24" t="s">
        <v>175</v>
      </c>
      <c r="S24" t="s">
        <v>31</v>
      </c>
      <c r="T24">
        <v>0</v>
      </c>
    </row>
    <row r="25" spans="1:20" x14ac:dyDescent="0.25">
      <c r="A25" t="s">
        <v>176</v>
      </c>
      <c r="B25" s="1">
        <v>45949</v>
      </c>
      <c r="C25" s="5">
        <v>0.92934027777777772</v>
      </c>
      <c r="D25">
        <v>880.89</v>
      </c>
      <c r="E25" t="s">
        <v>44</v>
      </c>
      <c r="F25" t="s">
        <v>177</v>
      </c>
      <c r="G25" t="s">
        <v>22</v>
      </c>
      <c r="H25" t="s">
        <v>119</v>
      </c>
      <c r="I25" t="s">
        <v>178</v>
      </c>
      <c r="J25">
        <v>54</v>
      </c>
      <c r="K25" t="s">
        <v>37</v>
      </c>
      <c r="L25" t="s">
        <v>50</v>
      </c>
      <c r="M25" t="s">
        <v>105</v>
      </c>
      <c r="P25" t="s">
        <v>28</v>
      </c>
      <c r="Q25" t="s">
        <v>179</v>
      </c>
      <c r="R25" t="s">
        <v>180</v>
      </c>
      <c r="S25" t="s">
        <v>31</v>
      </c>
      <c r="T25">
        <v>0</v>
      </c>
    </row>
    <row r="26" spans="1:20" x14ac:dyDescent="0.25">
      <c r="A26" t="s">
        <v>181</v>
      </c>
      <c r="B26" s="1">
        <v>45863</v>
      </c>
      <c r="C26" s="5">
        <v>0.71211805555555552</v>
      </c>
      <c r="D26">
        <v>30.99</v>
      </c>
      <c r="E26" t="s">
        <v>44</v>
      </c>
      <c r="F26" t="s">
        <v>182</v>
      </c>
      <c r="G26" t="s">
        <v>64</v>
      </c>
      <c r="H26" t="s">
        <v>130</v>
      </c>
      <c r="I26" t="s">
        <v>183</v>
      </c>
      <c r="J26">
        <v>36</v>
      </c>
      <c r="K26" t="s">
        <v>49</v>
      </c>
      <c r="L26" t="s">
        <v>50</v>
      </c>
      <c r="M26" t="s">
        <v>27</v>
      </c>
      <c r="P26" t="s">
        <v>28</v>
      </c>
      <c r="Q26" t="s">
        <v>184</v>
      </c>
      <c r="R26" t="s">
        <v>185</v>
      </c>
      <c r="S26" t="s">
        <v>101</v>
      </c>
      <c r="T26">
        <v>0</v>
      </c>
    </row>
    <row r="27" spans="1:20" x14ac:dyDescent="0.25">
      <c r="A27" t="s">
        <v>186</v>
      </c>
      <c r="B27" s="1">
        <v>45829</v>
      </c>
      <c r="C27" s="5">
        <v>7.5162037037037041E-2</v>
      </c>
      <c r="D27">
        <v>173.18</v>
      </c>
      <c r="E27" t="s">
        <v>44</v>
      </c>
      <c r="F27" t="s">
        <v>187</v>
      </c>
      <c r="G27" t="s">
        <v>22</v>
      </c>
      <c r="H27" t="s">
        <v>23</v>
      </c>
      <c r="I27" t="s">
        <v>188</v>
      </c>
      <c r="J27">
        <v>68</v>
      </c>
      <c r="K27" t="s">
        <v>37</v>
      </c>
      <c r="L27" t="s">
        <v>110</v>
      </c>
      <c r="M27" t="s">
        <v>84</v>
      </c>
      <c r="P27" t="s">
        <v>28</v>
      </c>
      <c r="Q27" t="s">
        <v>189</v>
      </c>
      <c r="R27" t="s">
        <v>190</v>
      </c>
      <c r="S27" t="s">
        <v>31</v>
      </c>
      <c r="T27">
        <v>0</v>
      </c>
    </row>
    <row r="28" spans="1:20" x14ac:dyDescent="0.25">
      <c r="A28" t="s">
        <v>191</v>
      </c>
      <c r="B28" s="1">
        <v>45950</v>
      </c>
      <c r="C28" s="5">
        <v>0.28028935185185183</v>
      </c>
      <c r="D28">
        <v>13.05</v>
      </c>
      <c r="E28" t="s">
        <v>44</v>
      </c>
      <c r="F28" t="s">
        <v>192</v>
      </c>
      <c r="G28" t="s">
        <v>77</v>
      </c>
      <c r="H28" t="s">
        <v>26</v>
      </c>
      <c r="I28" t="s">
        <v>193</v>
      </c>
      <c r="J28">
        <v>24</v>
      </c>
      <c r="K28" t="s">
        <v>37</v>
      </c>
      <c r="L28" t="s">
        <v>110</v>
      </c>
      <c r="M28" t="s">
        <v>51</v>
      </c>
      <c r="N28" t="s">
        <v>173</v>
      </c>
      <c r="O28">
        <v>522283</v>
      </c>
      <c r="P28" t="s">
        <v>28</v>
      </c>
      <c r="Q28" t="s">
        <v>194</v>
      </c>
      <c r="R28" t="s">
        <v>195</v>
      </c>
      <c r="S28" t="s">
        <v>31</v>
      </c>
      <c r="T28">
        <v>0</v>
      </c>
    </row>
    <row r="29" spans="1:20" x14ac:dyDescent="0.25">
      <c r="A29" t="s">
        <v>196</v>
      </c>
      <c r="B29" s="1">
        <v>45835</v>
      </c>
      <c r="C29" s="5">
        <v>0.91925925925925922</v>
      </c>
      <c r="D29">
        <v>56.13</v>
      </c>
      <c r="E29" t="s">
        <v>44</v>
      </c>
      <c r="F29" t="s">
        <v>197</v>
      </c>
      <c r="G29" t="s">
        <v>77</v>
      </c>
      <c r="H29" t="s">
        <v>23</v>
      </c>
      <c r="I29" t="s">
        <v>198</v>
      </c>
      <c r="J29">
        <v>54</v>
      </c>
      <c r="K29" t="s">
        <v>49</v>
      </c>
      <c r="L29" t="s">
        <v>47</v>
      </c>
      <c r="M29" t="s">
        <v>84</v>
      </c>
      <c r="P29" t="s">
        <v>28</v>
      </c>
      <c r="Q29" t="s">
        <v>199</v>
      </c>
      <c r="R29" t="s">
        <v>200</v>
      </c>
      <c r="S29" t="s">
        <v>31</v>
      </c>
      <c r="T29">
        <v>0</v>
      </c>
    </row>
    <row r="30" spans="1:20" x14ac:dyDescent="0.25">
      <c r="A30" t="s">
        <v>201</v>
      </c>
      <c r="B30" s="1">
        <v>45798</v>
      </c>
      <c r="C30" s="5">
        <v>0.67612268518518515</v>
      </c>
      <c r="D30">
        <v>52</v>
      </c>
      <c r="E30" t="s">
        <v>44</v>
      </c>
      <c r="F30" t="s">
        <v>202</v>
      </c>
      <c r="G30" t="s">
        <v>57</v>
      </c>
      <c r="H30" t="s">
        <v>47</v>
      </c>
      <c r="I30" t="s">
        <v>203</v>
      </c>
      <c r="J30">
        <v>45</v>
      </c>
      <c r="K30" t="s">
        <v>37</v>
      </c>
      <c r="L30" t="s">
        <v>38</v>
      </c>
      <c r="M30" t="s">
        <v>112</v>
      </c>
      <c r="P30" t="s">
        <v>28</v>
      </c>
      <c r="Q30" t="s">
        <v>204</v>
      </c>
      <c r="R30" t="s">
        <v>205</v>
      </c>
      <c r="S30" t="s">
        <v>31</v>
      </c>
      <c r="T30">
        <v>0</v>
      </c>
    </row>
    <row r="31" spans="1:20" x14ac:dyDescent="0.25">
      <c r="A31" t="s">
        <v>206</v>
      </c>
      <c r="B31" s="1">
        <v>45834</v>
      </c>
      <c r="C31" s="5">
        <v>0.22025462962962963</v>
      </c>
      <c r="D31">
        <v>82.78</v>
      </c>
      <c r="E31" t="s">
        <v>44</v>
      </c>
      <c r="F31" t="s">
        <v>207</v>
      </c>
      <c r="G31" t="s">
        <v>71</v>
      </c>
      <c r="H31" t="s">
        <v>110</v>
      </c>
      <c r="I31" t="s">
        <v>208</v>
      </c>
      <c r="J31">
        <v>69</v>
      </c>
      <c r="K31" t="s">
        <v>37</v>
      </c>
      <c r="L31" t="s">
        <v>130</v>
      </c>
      <c r="M31" t="s">
        <v>39</v>
      </c>
      <c r="P31" t="s">
        <v>28</v>
      </c>
      <c r="Q31" t="s">
        <v>209</v>
      </c>
      <c r="R31" t="s">
        <v>210</v>
      </c>
      <c r="S31" t="s">
        <v>31</v>
      </c>
      <c r="T31">
        <v>0</v>
      </c>
    </row>
    <row r="32" spans="1:20" x14ac:dyDescent="0.25">
      <c r="A32" t="s">
        <v>211</v>
      </c>
      <c r="B32" s="1">
        <v>45918</v>
      </c>
      <c r="C32" s="5">
        <v>0.16180555555555556</v>
      </c>
      <c r="D32">
        <v>843.68</v>
      </c>
      <c r="E32" t="s">
        <v>44</v>
      </c>
      <c r="F32" t="s">
        <v>212</v>
      </c>
      <c r="G32" t="s">
        <v>96</v>
      </c>
      <c r="H32" t="s">
        <v>91</v>
      </c>
      <c r="I32" t="s">
        <v>213</v>
      </c>
      <c r="J32">
        <v>45</v>
      </c>
      <c r="K32" t="s">
        <v>49</v>
      </c>
      <c r="L32" t="s">
        <v>26</v>
      </c>
      <c r="M32" t="s">
        <v>112</v>
      </c>
      <c r="P32" t="s">
        <v>28</v>
      </c>
      <c r="Q32" t="s">
        <v>214</v>
      </c>
      <c r="R32" t="s">
        <v>215</v>
      </c>
      <c r="S32" t="s">
        <v>31</v>
      </c>
      <c r="T32">
        <v>0</v>
      </c>
    </row>
    <row r="33" spans="1:20" x14ac:dyDescent="0.25">
      <c r="A33" t="s">
        <v>216</v>
      </c>
      <c r="B33" s="1">
        <v>45919</v>
      </c>
      <c r="C33" s="5">
        <v>0.60001157407407413</v>
      </c>
      <c r="D33">
        <v>492.34</v>
      </c>
      <c r="E33" t="s">
        <v>44</v>
      </c>
      <c r="F33" t="s">
        <v>217</v>
      </c>
      <c r="G33" t="s">
        <v>22</v>
      </c>
      <c r="H33" t="s">
        <v>91</v>
      </c>
      <c r="I33" t="s">
        <v>218</v>
      </c>
      <c r="J33">
        <v>51</v>
      </c>
      <c r="K33" t="s">
        <v>25</v>
      </c>
      <c r="L33" t="s">
        <v>38</v>
      </c>
      <c r="M33" t="s">
        <v>39</v>
      </c>
      <c r="P33" t="s">
        <v>28</v>
      </c>
      <c r="Q33" t="s">
        <v>219</v>
      </c>
      <c r="R33" t="s">
        <v>220</v>
      </c>
      <c r="S33" t="s">
        <v>31</v>
      </c>
      <c r="T33">
        <v>0</v>
      </c>
    </row>
    <row r="34" spans="1:20" x14ac:dyDescent="0.25">
      <c r="A34" t="s">
        <v>221</v>
      </c>
      <c r="B34" s="1">
        <v>45914</v>
      </c>
      <c r="C34" s="5">
        <v>0.63337962962962968</v>
      </c>
      <c r="D34">
        <v>142.72</v>
      </c>
      <c r="E34" t="s">
        <v>44</v>
      </c>
      <c r="F34" t="s">
        <v>222</v>
      </c>
      <c r="G34" t="s">
        <v>77</v>
      </c>
      <c r="H34" t="s">
        <v>97</v>
      </c>
      <c r="I34" t="s">
        <v>223</v>
      </c>
      <c r="J34">
        <v>38</v>
      </c>
      <c r="K34" t="s">
        <v>25</v>
      </c>
      <c r="L34" t="s">
        <v>146</v>
      </c>
      <c r="M34" t="s">
        <v>27</v>
      </c>
      <c r="P34" t="s">
        <v>28</v>
      </c>
      <c r="Q34" t="s">
        <v>224</v>
      </c>
      <c r="R34" t="s">
        <v>225</v>
      </c>
      <c r="S34" t="s">
        <v>31</v>
      </c>
      <c r="T34">
        <v>1</v>
      </c>
    </row>
    <row r="35" spans="1:20" x14ac:dyDescent="0.25">
      <c r="A35" t="s">
        <v>226</v>
      </c>
      <c r="B35" s="1">
        <v>45949</v>
      </c>
      <c r="C35" s="5">
        <v>0.33074074074074072</v>
      </c>
      <c r="D35">
        <v>483.09</v>
      </c>
      <c r="E35" t="s">
        <v>44</v>
      </c>
      <c r="F35" t="s">
        <v>227</v>
      </c>
      <c r="G35" t="s">
        <v>57</v>
      </c>
      <c r="H35" t="s">
        <v>38</v>
      </c>
      <c r="I35" t="s">
        <v>228</v>
      </c>
      <c r="J35">
        <v>21</v>
      </c>
      <c r="K35" t="s">
        <v>25</v>
      </c>
      <c r="L35" t="s">
        <v>110</v>
      </c>
      <c r="M35" t="s">
        <v>39</v>
      </c>
      <c r="P35" t="s">
        <v>28</v>
      </c>
      <c r="Q35" t="s">
        <v>229</v>
      </c>
      <c r="R35" t="s">
        <v>230</v>
      </c>
      <c r="S35" t="s">
        <v>101</v>
      </c>
      <c r="T35">
        <v>0</v>
      </c>
    </row>
    <row r="36" spans="1:20" x14ac:dyDescent="0.25">
      <c r="A36" t="s">
        <v>231</v>
      </c>
      <c r="B36" s="1">
        <v>45798</v>
      </c>
      <c r="C36" s="5">
        <v>0.62878472222222226</v>
      </c>
      <c r="D36">
        <v>105.09</v>
      </c>
      <c r="E36" t="s">
        <v>44</v>
      </c>
      <c r="F36" t="s">
        <v>232</v>
      </c>
      <c r="G36" t="s">
        <v>64</v>
      </c>
      <c r="H36" t="s">
        <v>119</v>
      </c>
      <c r="I36" t="s">
        <v>233</v>
      </c>
      <c r="J36">
        <v>47</v>
      </c>
      <c r="K36" t="s">
        <v>25</v>
      </c>
      <c r="L36" t="s">
        <v>50</v>
      </c>
      <c r="M36" t="s">
        <v>27</v>
      </c>
      <c r="P36" t="s">
        <v>28</v>
      </c>
      <c r="Q36" t="s">
        <v>234</v>
      </c>
      <c r="R36" t="s">
        <v>235</v>
      </c>
      <c r="S36" t="s">
        <v>31</v>
      </c>
      <c r="T36">
        <v>0</v>
      </c>
    </row>
    <row r="37" spans="1:20" x14ac:dyDescent="0.25">
      <c r="A37" t="s">
        <v>236</v>
      </c>
      <c r="B37" s="1">
        <v>45846</v>
      </c>
      <c r="C37" s="5">
        <v>0.36373842592592592</v>
      </c>
      <c r="D37">
        <v>61.39</v>
      </c>
      <c r="E37" t="s">
        <v>44</v>
      </c>
      <c r="F37" t="s">
        <v>237</v>
      </c>
      <c r="G37" t="s">
        <v>77</v>
      </c>
      <c r="H37" t="s">
        <v>110</v>
      </c>
      <c r="I37" t="s">
        <v>238</v>
      </c>
      <c r="J37">
        <v>52</v>
      </c>
      <c r="K37" t="s">
        <v>49</v>
      </c>
      <c r="L37" t="s">
        <v>35</v>
      </c>
      <c r="M37" t="s">
        <v>27</v>
      </c>
      <c r="P37" t="s">
        <v>28</v>
      </c>
      <c r="Q37" t="s">
        <v>239</v>
      </c>
      <c r="R37" t="s">
        <v>240</v>
      </c>
      <c r="S37" t="s">
        <v>101</v>
      </c>
      <c r="T37">
        <v>0</v>
      </c>
    </row>
    <row r="38" spans="1:20" x14ac:dyDescent="0.25">
      <c r="A38" t="s">
        <v>241</v>
      </c>
      <c r="B38" s="1">
        <v>45847</v>
      </c>
      <c r="C38" s="5">
        <v>0.72037037037037033</v>
      </c>
      <c r="D38">
        <v>151.63</v>
      </c>
      <c r="E38" t="s">
        <v>44</v>
      </c>
      <c r="F38" t="s">
        <v>242</v>
      </c>
      <c r="G38" t="s">
        <v>124</v>
      </c>
      <c r="H38" t="s">
        <v>91</v>
      </c>
      <c r="I38" t="s">
        <v>243</v>
      </c>
      <c r="J38">
        <v>44</v>
      </c>
      <c r="K38" t="s">
        <v>37</v>
      </c>
      <c r="L38" t="s">
        <v>50</v>
      </c>
      <c r="M38" t="s">
        <v>112</v>
      </c>
      <c r="P38" t="s">
        <v>28</v>
      </c>
      <c r="Q38" t="s">
        <v>244</v>
      </c>
      <c r="R38" t="s">
        <v>245</v>
      </c>
      <c r="S38" t="s">
        <v>31</v>
      </c>
      <c r="T38">
        <v>0</v>
      </c>
    </row>
    <row r="39" spans="1:20" x14ac:dyDescent="0.25">
      <c r="A39" t="s">
        <v>246</v>
      </c>
      <c r="B39" s="1">
        <v>45800</v>
      </c>
      <c r="C39" s="5">
        <v>0.37662037037037038</v>
      </c>
      <c r="D39">
        <v>119.44</v>
      </c>
      <c r="E39" t="s">
        <v>44</v>
      </c>
      <c r="F39" t="s">
        <v>247</v>
      </c>
      <c r="G39" t="s">
        <v>57</v>
      </c>
      <c r="H39" t="s">
        <v>248</v>
      </c>
      <c r="I39" t="s">
        <v>249</v>
      </c>
      <c r="J39">
        <v>56</v>
      </c>
      <c r="K39" t="s">
        <v>49</v>
      </c>
      <c r="L39" t="s">
        <v>130</v>
      </c>
      <c r="M39" t="s">
        <v>112</v>
      </c>
      <c r="P39" t="s">
        <v>28</v>
      </c>
      <c r="Q39" t="s">
        <v>250</v>
      </c>
      <c r="R39" t="s">
        <v>251</v>
      </c>
      <c r="S39" t="s">
        <v>31</v>
      </c>
      <c r="T39">
        <v>0</v>
      </c>
    </row>
    <row r="40" spans="1:20" x14ac:dyDescent="0.25">
      <c r="A40" t="s">
        <v>252</v>
      </c>
      <c r="B40" s="1">
        <v>45798</v>
      </c>
      <c r="C40" s="5">
        <v>0.84561342592592592</v>
      </c>
      <c r="D40">
        <v>33.29</v>
      </c>
      <c r="E40" t="s">
        <v>44</v>
      </c>
      <c r="F40" t="s">
        <v>253</v>
      </c>
      <c r="G40" t="s">
        <v>71</v>
      </c>
      <c r="H40" t="s">
        <v>47</v>
      </c>
      <c r="I40" t="s">
        <v>254</v>
      </c>
      <c r="J40">
        <v>31</v>
      </c>
      <c r="K40" t="s">
        <v>25</v>
      </c>
      <c r="L40" t="s">
        <v>23</v>
      </c>
      <c r="M40" t="s">
        <v>27</v>
      </c>
      <c r="P40" t="s">
        <v>28</v>
      </c>
      <c r="Q40" t="s">
        <v>255</v>
      </c>
      <c r="R40" t="s">
        <v>256</v>
      </c>
      <c r="S40" t="s">
        <v>31</v>
      </c>
      <c r="T40">
        <v>0</v>
      </c>
    </row>
    <row r="41" spans="1:20" x14ac:dyDescent="0.25">
      <c r="A41" t="s">
        <v>257</v>
      </c>
      <c r="B41" s="1">
        <v>45942</v>
      </c>
      <c r="C41" s="5">
        <v>9.2766203703703698E-2</v>
      </c>
      <c r="D41">
        <v>170.17</v>
      </c>
      <c r="E41" t="s">
        <v>44</v>
      </c>
      <c r="F41" t="s">
        <v>258</v>
      </c>
      <c r="G41" t="s">
        <v>96</v>
      </c>
      <c r="H41" t="s">
        <v>58</v>
      </c>
      <c r="I41" t="s">
        <v>259</v>
      </c>
      <c r="J41">
        <v>66</v>
      </c>
      <c r="K41" t="s">
        <v>25</v>
      </c>
      <c r="L41" t="s">
        <v>50</v>
      </c>
      <c r="M41" t="s">
        <v>105</v>
      </c>
      <c r="P41" t="s">
        <v>28</v>
      </c>
      <c r="Q41" t="s">
        <v>260</v>
      </c>
      <c r="R41" t="s">
        <v>261</v>
      </c>
      <c r="S41" t="s">
        <v>31</v>
      </c>
      <c r="T41">
        <v>0</v>
      </c>
    </row>
    <row r="42" spans="1:20" x14ac:dyDescent="0.25">
      <c r="A42" t="s">
        <v>262</v>
      </c>
      <c r="B42" s="1">
        <v>45793</v>
      </c>
      <c r="C42" s="5">
        <v>0.72605324074074074</v>
      </c>
      <c r="D42">
        <v>571.21</v>
      </c>
      <c r="E42" t="s">
        <v>44</v>
      </c>
      <c r="F42" t="s">
        <v>263</v>
      </c>
      <c r="G42" t="s">
        <v>77</v>
      </c>
      <c r="H42" t="s">
        <v>47</v>
      </c>
      <c r="I42" t="s">
        <v>264</v>
      </c>
      <c r="J42">
        <v>51</v>
      </c>
      <c r="K42" t="s">
        <v>49</v>
      </c>
      <c r="L42" t="s">
        <v>66</v>
      </c>
      <c r="M42" t="s">
        <v>112</v>
      </c>
      <c r="P42" t="s">
        <v>28</v>
      </c>
      <c r="Q42" t="s">
        <v>265</v>
      </c>
      <c r="R42" t="s">
        <v>266</v>
      </c>
      <c r="S42" t="s">
        <v>42</v>
      </c>
      <c r="T42">
        <v>0</v>
      </c>
    </row>
    <row r="43" spans="1:20" x14ac:dyDescent="0.25">
      <c r="A43" t="s">
        <v>267</v>
      </c>
      <c r="B43" s="1">
        <v>45785</v>
      </c>
      <c r="C43" s="5">
        <v>0.70819444444444446</v>
      </c>
      <c r="D43">
        <v>129.81</v>
      </c>
      <c r="E43" t="s">
        <v>44</v>
      </c>
      <c r="F43" t="s">
        <v>171</v>
      </c>
      <c r="G43" t="s">
        <v>64</v>
      </c>
      <c r="H43" t="s">
        <v>130</v>
      </c>
      <c r="I43" t="s">
        <v>268</v>
      </c>
      <c r="J43">
        <v>69</v>
      </c>
      <c r="K43" t="s">
        <v>37</v>
      </c>
      <c r="L43" t="s">
        <v>47</v>
      </c>
      <c r="M43" t="s">
        <v>27</v>
      </c>
      <c r="P43" t="s">
        <v>28</v>
      </c>
      <c r="Q43" t="s">
        <v>269</v>
      </c>
      <c r="R43" t="s">
        <v>270</v>
      </c>
      <c r="S43" t="s">
        <v>31</v>
      </c>
      <c r="T43">
        <v>0</v>
      </c>
    </row>
    <row r="44" spans="1:20" x14ac:dyDescent="0.25">
      <c r="A44" t="s">
        <v>271</v>
      </c>
      <c r="B44" s="1">
        <v>45804</v>
      </c>
      <c r="C44" s="5">
        <v>0.52790509259259255</v>
      </c>
      <c r="D44">
        <v>64.31</v>
      </c>
      <c r="E44" t="s">
        <v>44</v>
      </c>
      <c r="F44" t="s">
        <v>272</v>
      </c>
      <c r="G44" t="s">
        <v>124</v>
      </c>
      <c r="H44" t="s">
        <v>119</v>
      </c>
      <c r="I44" t="s">
        <v>273</v>
      </c>
      <c r="J44">
        <v>71</v>
      </c>
      <c r="K44" t="s">
        <v>37</v>
      </c>
      <c r="L44" t="s">
        <v>91</v>
      </c>
      <c r="M44" t="s">
        <v>112</v>
      </c>
      <c r="P44" t="s">
        <v>28</v>
      </c>
      <c r="Q44" t="s">
        <v>274</v>
      </c>
      <c r="R44" t="s">
        <v>275</v>
      </c>
      <c r="S44" t="s">
        <v>31</v>
      </c>
      <c r="T44">
        <v>0</v>
      </c>
    </row>
    <row r="45" spans="1:20" x14ac:dyDescent="0.25">
      <c r="A45" t="s">
        <v>276</v>
      </c>
      <c r="B45" s="1">
        <v>45858</v>
      </c>
      <c r="C45" s="5">
        <v>0.13920138888888889</v>
      </c>
      <c r="D45">
        <v>38.96</v>
      </c>
      <c r="E45" t="s">
        <v>44</v>
      </c>
      <c r="F45" t="s">
        <v>277</v>
      </c>
      <c r="G45" t="s">
        <v>57</v>
      </c>
      <c r="H45" t="s">
        <v>58</v>
      </c>
      <c r="I45" t="s">
        <v>278</v>
      </c>
      <c r="J45">
        <v>63</v>
      </c>
      <c r="K45" t="s">
        <v>25</v>
      </c>
      <c r="L45" t="s">
        <v>66</v>
      </c>
      <c r="M45" t="s">
        <v>39</v>
      </c>
      <c r="P45" t="s">
        <v>28</v>
      </c>
      <c r="Q45" t="s">
        <v>279</v>
      </c>
      <c r="R45" t="s">
        <v>280</v>
      </c>
      <c r="S45" t="s">
        <v>31</v>
      </c>
      <c r="T45">
        <v>0</v>
      </c>
    </row>
    <row r="46" spans="1:20" x14ac:dyDescent="0.25">
      <c r="A46" t="s">
        <v>281</v>
      </c>
      <c r="B46" s="1">
        <v>45896</v>
      </c>
      <c r="C46" s="5">
        <v>0.37200231481481483</v>
      </c>
      <c r="D46">
        <v>158.63</v>
      </c>
      <c r="E46" t="s">
        <v>44</v>
      </c>
      <c r="F46" t="s">
        <v>282</v>
      </c>
      <c r="G46" t="s">
        <v>64</v>
      </c>
      <c r="H46" t="s">
        <v>119</v>
      </c>
      <c r="I46" t="s">
        <v>283</v>
      </c>
      <c r="J46">
        <v>75</v>
      </c>
      <c r="K46" t="s">
        <v>49</v>
      </c>
      <c r="L46" t="s">
        <v>91</v>
      </c>
      <c r="M46" t="s">
        <v>112</v>
      </c>
      <c r="P46" t="s">
        <v>28</v>
      </c>
      <c r="Q46" t="s">
        <v>284</v>
      </c>
      <c r="R46" t="s">
        <v>285</v>
      </c>
      <c r="S46" t="s">
        <v>31</v>
      </c>
      <c r="T46">
        <v>0</v>
      </c>
    </row>
    <row r="47" spans="1:20" x14ac:dyDescent="0.25">
      <c r="A47" t="s">
        <v>286</v>
      </c>
      <c r="B47" s="1">
        <v>45877</v>
      </c>
      <c r="C47" s="5">
        <v>0.67067129629629629</v>
      </c>
      <c r="D47">
        <v>87.91</v>
      </c>
      <c r="E47" t="s">
        <v>44</v>
      </c>
      <c r="F47" t="s">
        <v>287</v>
      </c>
      <c r="G47" t="s">
        <v>124</v>
      </c>
      <c r="H47" t="s">
        <v>110</v>
      </c>
      <c r="I47" t="s">
        <v>288</v>
      </c>
      <c r="J47">
        <v>57</v>
      </c>
      <c r="K47" t="s">
        <v>49</v>
      </c>
      <c r="L47" t="s">
        <v>47</v>
      </c>
      <c r="M47" t="s">
        <v>39</v>
      </c>
      <c r="P47" t="s">
        <v>28</v>
      </c>
      <c r="Q47" t="s">
        <v>289</v>
      </c>
      <c r="R47" t="s">
        <v>290</v>
      </c>
      <c r="S47" t="s">
        <v>31</v>
      </c>
      <c r="T47">
        <v>0</v>
      </c>
    </row>
    <row r="48" spans="1:20" x14ac:dyDescent="0.25">
      <c r="A48" t="s">
        <v>291</v>
      </c>
      <c r="B48" s="1">
        <v>45931</v>
      </c>
      <c r="C48" s="5">
        <v>0.15410879629629629</v>
      </c>
      <c r="D48">
        <v>155.37</v>
      </c>
      <c r="E48" t="s">
        <v>44</v>
      </c>
      <c r="F48" t="s">
        <v>292</v>
      </c>
      <c r="G48" t="s">
        <v>96</v>
      </c>
      <c r="H48" t="s">
        <v>26</v>
      </c>
      <c r="I48" t="s">
        <v>293</v>
      </c>
      <c r="J48">
        <v>31</v>
      </c>
      <c r="K48" t="s">
        <v>25</v>
      </c>
      <c r="L48" t="s">
        <v>110</v>
      </c>
      <c r="M48" t="s">
        <v>105</v>
      </c>
      <c r="P48" t="s">
        <v>28</v>
      </c>
      <c r="Q48" t="s">
        <v>294</v>
      </c>
      <c r="R48" t="s">
        <v>295</v>
      </c>
      <c r="S48" t="s">
        <v>31</v>
      </c>
      <c r="T48">
        <v>0</v>
      </c>
    </row>
    <row r="49" spans="1:20" x14ac:dyDescent="0.25">
      <c r="A49" t="s">
        <v>296</v>
      </c>
      <c r="B49" s="1">
        <v>45781</v>
      </c>
      <c r="C49" s="5">
        <v>0.71498842592592593</v>
      </c>
      <c r="D49">
        <v>75.349999999999994</v>
      </c>
      <c r="E49" t="s">
        <v>44</v>
      </c>
      <c r="F49" t="s">
        <v>297</v>
      </c>
      <c r="G49" t="s">
        <v>77</v>
      </c>
      <c r="H49" t="s">
        <v>146</v>
      </c>
      <c r="I49" t="s">
        <v>298</v>
      </c>
      <c r="J49">
        <v>56</v>
      </c>
      <c r="K49" t="s">
        <v>25</v>
      </c>
      <c r="L49" t="s">
        <v>110</v>
      </c>
      <c r="M49" t="s">
        <v>39</v>
      </c>
      <c r="P49" t="s">
        <v>28</v>
      </c>
      <c r="Q49" t="s">
        <v>299</v>
      </c>
      <c r="R49" t="s">
        <v>300</v>
      </c>
      <c r="S49" t="s">
        <v>31</v>
      </c>
      <c r="T49">
        <v>0</v>
      </c>
    </row>
    <row r="50" spans="1:20" x14ac:dyDescent="0.25">
      <c r="A50" t="s">
        <v>301</v>
      </c>
      <c r="B50" s="1">
        <v>45833</v>
      </c>
      <c r="C50" s="5">
        <v>0.58276620370370369</v>
      </c>
      <c r="D50">
        <v>153.03</v>
      </c>
      <c r="E50" t="s">
        <v>44</v>
      </c>
      <c r="F50" t="s">
        <v>302</v>
      </c>
      <c r="G50" t="s">
        <v>46</v>
      </c>
      <c r="H50" t="s">
        <v>130</v>
      </c>
      <c r="I50" t="s">
        <v>303</v>
      </c>
      <c r="J50">
        <v>60</v>
      </c>
      <c r="K50" t="s">
        <v>37</v>
      </c>
      <c r="L50" t="s">
        <v>26</v>
      </c>
      <c r="M50" t="s">
        <v>51</v>
      </c>
      <c r="N50" t="s">
        <v>304</v>
      </c>
      <c r="O50">
        <v>453677</v>
      </c>
      <c r="P50" t="s">
        <v>28</v>
      </c>
      <c r="Q50" t="s">
        <v>305</v>
      </c>
      <c r="R50" t="s">
        <v>306</v>
      </c>
      <c r="S50" t="s">
        <v>31</v>
      </c>
      <c r="T50">
        <v>1</v>
      </c>
    </row>
    <row r="51" spans="1:20" x14ac:dyDescent="0.25">
      <c r="A51" t="s">
        <v>307</v>
      </c>
      <c r="B51" s="1">
        <v>45826</v>
      </c>
      <c r="C51" s="5">
        <v>0.8775694444444444</v>
      </c>
      <c r="D51">
        <v>114.74</v>
      </c>
      <c r="E51" t="s">
        <v>44</v>
      </c>
      <c r="F51" t="s">
        <v>308</v>
      </c>
      <c r="G51" t="s">
        <v>89</v>
      </c>
      <c r="H51" t="s">
        <v>23</v>
      </c>
      <c r="I51" t="s">
        <v>309</v>
      </c>
      <c r="J51">
        <v>19</v>
      </c>
      <c r="K51" t="s">
        <v>37</v>
      </c>
      <c r="L51" t="s">
        <v>35</v>
      </c>
      <c r="M51" t="s">
        <v>105</v>
      </c>
      <c r="P51" t="s">
        <v>28</v>
      </c>
      <c r="Q51" t="s">
        <v>310</v>
      </c>
      <c r="R51" t="s">
        <v>311</v>
      </c>
      <c r="S51" t="s">
        <v>42</v>
      </c>
      <c r="T51">
        <v>0</v>
      </c>
    </row>
    <row r="52" spans="1:20" x14ac:dyDescent="0.25">
      <c r="A52" t="s">
        <v>312</v>
      </c>
      <c r="B52" s="1">
        <v>45937</v>
      </c>
      <c r="C52" s="5">
        <v>0.13388888888888889</v>
      </c>
      <c r="D52">
        <v>4087.35</v>
      </c>
      <c r="E52" t="s">
        <v>44</v>
      </c>
      <c r="F52" t="s">
        <v>313</v>
      </c>
      <c r="G52" t="s">
        <v>46</v>
      </c>
      <c r="H52" t="s">
        <v>58</v>
      </c>
      <c r="I52" t="s">
        <v>314</v>
      </c>
      <c r="J52">
        <v>70</v>
      </c>
      <c r="K52" t="s">
        <v>37</v>
      </c>
      <c r="L52" t="s">
        <v>97</v>
      </c>
      <c r="M52" t="s">
        <v>112</v>
      </c>
      <c r="P52" t="s">
        <v>28</v>
      </c>
      <c r="Q52" t="s">
        <v>315</v>
      </c>
      <c r="R52" t="s">
        <v>316</v>
      </c>
      <c r="S52" t="s">
        <v>31</v>
      </c>
      <c r="T52">
        <v>0</v>
      </c>
    </row>
    <row r="53" spans="1:20" x14ac:dyDescent="0.25">
      <c r="A53" t="s">
        <v>317</v>
      </c>
      <c r="B53" s="1">
        <v>45896</v>
      </c>
      <c r="C53" s="5">
        <v>0.90672453703703704</v>
      </c>
      <c r="D53">
        <v>95.09</v>
      </c>
      <c r="E53" t="s">
        <v>44</v>
      </c>
      <c r="F53" t="s">
        <v>318</v>
      </c>
      <c r="G53" t="s">
        <v>46</v>
      </c>
      <c r="H53" t="s">
        <v>110</v>
      </c>
      <c r="I53" t="s">
        <v>319</v>
      </c>
      <c r="J53">
        <v>50</v>
      </c>
      <c r="K53" t="s">
        <v>49</v>
      </c>
      <c r="L53" t="s">
        <v>35</v>
      </c>
      <c r="M53" t="s">
        <v>105</v>
      </c>
      <c r="P53" t="s">
        <v>28</v>
      </c>
      <c r="Q53" t="s">
        <v>320</v>
      </c>
      <c r="R53" t="s">
        <v>321</v>
      </c>
      <c r="S53" t="s">
        <v>31</v>
      </c>
      <c r="T53">
        <v>0</v>
      </c>
    </row>
    <row r="54" spans="1:20" x14ac:dyDescent="0.25">
      <c r="A54" t="s">
        <v>322</v>
      </c>
      <c r="B54" s="1">
        <v>45794</v>
      </c>
      <c r="C54" s="5">
        <v>9.525462962962963E-3</v>
      </c>
      <c r="D54">
        <v>445.87</v>
      </c>
      <c r="E54" t="s">
        <v>44</v>
      </c>
      <c r="F54" t="s">
        <v>323</v>
      </c>
      <c r="G54" t="s">
        <v>89</v>
      </c>
      <c r="H54" t="s">
        <v>130</v>
      </c>
      <c r="I54" t="s">
        <v>324</v>
      </c>
      <c r="J54">
        <v>22</v>
      </c>
      <c r="K54" t="s">
        <v>25</v>
      </c>
      <c r="L54" t="s">
        <v>50</v>
      </c>
      <c r="M54" t="s">
        <v>112</v>
      </c>
      <c r="P54" t="s">
        <v>28</v>
      </c>
      <c r="Q54" t="s">
        <v>325</v>
      </c>
      <c r="R54" t="s">
        <v>326</v>
      </c>
      <c r="S54" t="s">
        <v>31</v>
      </c>
      <c r="T54">
        <v>0</v>
      </c>
    </row>
    <row r="55" spans="1:20" x14ac:dyDescent="0.25">
      <c r="A55" t="s">
        <v>327</v>
      </c>
      <c r="B55" s="1">
        <v>45873</v>
      </c>
      <c r="C55" s="5">
        <v>0.47689814814814813</v>
      </c>
      <c r="D55">
        <v>46.87</v>
      </c>
      <c r="E55" t="s">
        <v>44</v>
      </c>
      <c r="F55" t="s">
        <v>328</v>
      </c>
      <c r="G55" t="s">
        <v>57</v>
      </c>
      <c r="H55" t="s">
        <v>97</v>
      </c>
      <c r="I55" t="s">
        <v>329</v>
      </c>
      <c r="J55">
        <v>73</v>
      </c>
      <c r="K55" t="s">
        <v>25</v>
      </c>
      <c r="L55" t="s">
        <v>146</v>
      </c>
      <c r="M55" t="s">
        <v>39</v>
      </c>
      <c r="P55" t="s">
        <v>28</v>
      </c>
      <c r="Q55" t="s">
        <v>330</v>
      </c>
      <c r="R55" t="s">
        <v>331</v>
      </c>
      <c r="S55" t="s">
        <v>31</v>
      </c>
      <c r="T55">
        <v>0</v>
      </c>
    </row>
    <row r="56" spans="1:20" x14ac:dyDescent="0.25">
      <c r="A56" t="s">
        <v>332</v>
      </c>
      <c r="B56" s="1">
        <v>45791</v>
      </c>
      <c r="C56" s="5">
        <v>5.4745370370370368E-2</v>
      </c>
      <c r="D56">
        <v>1540.34</v>
      </c>
      <c r="E56" t="s">
        <v>44</v>
      </c>
      <c r="F56" t="s">
        <v>333</v>
      </c>
      <c r="G56" t="s">
        <v>34</v>
      </c>
      <c r="H56" t="s">
        <v>35</v>
      </c>
      <c r="I56" t="s">
        <v>334</v>
      </c>
      <c r="K56" t="s">
        <v>37</v>
      </c>
      <c r="L56" t="s">
        <v>35</v>
      </c>
      <c r="M56" t="s">
        <v>112</v>
      </c>
      <c r="P56" t="s">
        <v>113</v>
      </c>
      <c r="Q56" t="s">
        <v>335</v>
      </c>
      <c r="R56" t="s">
        <v>336</v>
      </c>
      <c r="S56" t="s">
        <v>31</v>
      </c>
      <c r="T56">
        <v>0</v>
      </c>
    </row>
    <row r="57" spans="1:20" x14ac:dyDescent="0.25">
      <c r="A57" t="s">
        <v>337</v>
      </c>
      <c r="B57" s="1">
        <v>45836</v>
      </c>
      <c r="C57" s="5">
        <v>0.10275462962962963</v>
      </c>
      <c r="D57">
        <v>148.94999999999999</v>
      </c>
      <c r="E57" t="s">
        <v>44</v>
      </c>
      <c r="F57" t="s">
        <v>338</v>
      </c>
      <c r="G57" t="s">
        <v>89</v>
      </c>
      <c r="H57" t="s">
        <v>97</v>
      </c>
      <c r="I57" t="s">
        <v>339</v>
      </c>
      <c r="J57">
        <v>18</v>
      </c>
      <c r="K57" t="s">
        <v>49</v>
      </c>
      <c r="L57" t="s">
        <v>248</v>
      </c>
      <c r="M57" t="s">
        <v>112</v>
      </c>
      <c r="P57" t="s">
        <v>28</v>
      </c>
      <c r="Q57" t="s">
        <v>340</v>
      </c>
      <c r="R57" t="s">
        <v>341</v>
      </c>
      <c r="S57" t="s">
        <v>31</v>
      </c>
      <c r="T57">
        <v>0</v>
      </c>
    </row>
    <row r="58" spans="1:20" x14ac:dyDescent="0.25">
      <c r="A58" t="s">
        <v>342</v>
      </c>
      <c r="B58" s="1">
        <v>45863</v>
      </c>
      <c r="C58" s="5">
        <v>0.57791666666666663</v>
      </c>
      <c r="D58">
        <v>9.3800000000000008</v>
      </c>
      <c r="E58" t="s">
        <v>44</v>
      </c>
      <c r="F58" t="s">
        <v>343</v>
      </c>
      <c r="G58" t="s">
        <v>57</v>
      </c>
      <c r="H58" t="s">
        <v>91</v>
      </c>
      <c r="I58" t="s">
        <v>344</v>
      </c>
      <c r="J58">
        <v>35</v>
      </c>
      <c r="K58" t="s">
        <v>25</v>
      </c>
      <c r="L58" t="s">
        <v>23</v>
      </c>
      <c r="M58" t="s">
        <v>51</v>
      </c>
      <c r="N58" t="s">
        <v>345</v>
      </c>
      <c r="O58">
        <v>474992</v>
      </c>
      <c r="P58" t="s">
        <v>28</v>
      </c>
      <c r="Q58" t="s">
        <v>346</v>
      </c>
      <c r="R58" t="s">
        <v>347</v>
      </c>
      <c r="S58" t="s">
        <v>31</v>
      </c>
      <c r="T58">
        <v>0</v>
      </c>
    </row>
    <row r="59" spans="1:20" x14ac:dyDescent="0.25">
      <c r="A59" t="s">
        <v>348</v>
      </c>
      <c r="B59" s="1">
        <v>45909</v>
      </c>
      <c r="C59" s="5">
        <v>0.5115277777777778</v>
      </c>
      <c r="D59">
        <v>1633.79</v>
      </c>
      <c r="E59" t="s">
        <v>44</v>
      </c>
      <c r="F59" t="s">
        <v>349</v>
      </c>
      <c r="G59" t="s">
        <v>77</v>
      </c>
      <c r="H59" t="s">
        <v>91</v>
      </c>
      <c r="I59" t="s">
        <v>350</v>
      </c>
      <c r="J59">
        <v>60</v>
      </c>
      <c r="K59" t="s">
        <v>25</v>
      </c>
      <c r="L59" t="s">
        <v>26</v>
      </c>
      <c r="M59" t="s">
        <v>51</v>
      </c>
      <c r="N59" t="s">
        <v>304</v>
      </c>
      <c r="O59">
        <v>429192</v>
      </c>
      <c r="P59" t="s">
        <v>28</v>
      </c>
      <c r="Q59" t="s">
        <v>351</v>
      </c>
      <c r="R59" t="s">
        <v>352</v>
      </c>
      <c r="S59" t="s">
        <v>31</v>
      </c>
      <c r="T59">
        <v>0</v>
      </c>
    </row>
    <row r="60" spans="1:20" x14ac:dyDescent="0.25">
      <c r="A60" t="s">
        <v>353</v>
      </c>
      <c r="B60" s="1">
        <v>45946</v>
      </c>
      <c r="C60" s="5">
        <v>3.7627314814814815E-2</v>
      </c>
      <c r="D60">
        <v>79.36</v>
      </c>
      <c r="E60" t="s">
        <v>44</v>
      </c>
      <c r="F60" t="s">
        <v>354</v>
      </c>
      <c r="G60" t="s">
        <v>64</v>
      </c>
      <c r="H60" t="s">
        <v>248</v>
      </c>
      <c r="I60" t="s">
        <v>355</v>
      </c>
      <c r="J60">
        <v>37</v>
      </c>
      <c r="K60" t="s">
        <v>25</v>
      </c>
      <c r="L60" t="s">
        <v>248</v>
      </c>
      <c r="M60" t="s">
        <v>112</v>
      </c>
      <c r="P60" t="s">
        <v>113</v>
      </c>
      <c r="Q60" t="s">
        <v>356</v>
      </c>
      <c r="R60" t="s">
        <v>357</v>
      </c>
      <c r="S60" t="s">
        <v>31</v>
      </c>
      <c r="T60">
        <v>0</v>
      </c>
    </row>
    <row r="61" spans="1:20" x14ac:dyDescent="0.25">
      <c r="A61" t="s">
        <v>358</v>
      </c>
      <c r="B61" s="1">
        <v>45898</v>
      </c>
      <c r="C61" s="5">
        <v>0.26457175925925924</v>
      </c>
      <c r="D61">
        <v>190.14</v>
      </c>
      <c r="E61" t="s">
        <v>44</v>
      </c>
      <c r="F61" t="s">
        <v>359</v>
      </c>
      <c r="G61" t="s">
        <v>46</v>
      </c>
      <c r="H61" t="s">
        <v>91</v>
      </c>
      <c r="I61" t="s">
        <v>360</v>
      </c>
      <c r="J61">
        <v>66</v>
      </c>
      <c r="K61" t="s">
        <v>37</v>
      </c>
      <c r="L61" t="s">
        <v>50</v>
      </c>
      <c r="M61" t="s">
        <v>112</v>
      </c>
      <c r="P61" t="s">
        <v>28</v>
      </c>
      <c r="Q61" t="s">
        <v>361</v>
      </c>
      <c r="R61" t="s">
        <v>362</v>
      </c>
      <c r="S61" t="s">
        <v>42</v>
      </c>
      <c r="T61">
        <v>0</v>
      </c>
    </row>
    <row r="62" spans="1:20" x14ac:dyDescent="0.25">
      <c r="A62" t="s">
        <v>363</v>
      </c>
      <c r="B62" s="1">
        <v>45941</v>
      </c>
      <c r="C62" s="5">
        <v>0.96944444444444444</v>
      </c>
      <c r="D62">
        <v>14.96</v>
      </c>
      <c r="E62" t="s">
        <v>44</v>
      </c>
      <c r="F62" t="s">
        <v>364</v>
      </c>
      <c r="G62" t="s">
        <v>46</v>
      </c>
      <c r="H62" t="s">
        <v>130</v>
      </c>
      <c r="I62" t="s">
        <v>365</v>
      </c>
      <c r="J62">
        <v>23</v>
      </c>
      <c r="K62" t="s">
        <v>37</v>
      </c>
      <c r="L62" t="s">
        <v>119</v>
      </c>
      <c r="M62" t="s">
        <v>112</v>
      </c>
      <c r="P62" t="s">
        <v>28</v>
      </c>
      <c r="Q62" t="s">
        <v>366</v>
      </c>
      <c r="R62" t="s">
        <v>367</v>
      </c>
      <c r="S62" t="s">
        <v>31</v>
      </c>
      <c r="T62">
        <v>0</v>
      </c>
    </row>
    <row r="63" spans="1:20" x14ac:dyDescent="0.25">
      <c r="A63" t="s">
        <v>368</v>
      </c>
      <c r="B63" s="1">
        <v>45886</v>
      </c>
      <c r="C63" s="5">
        <v>0.27288194444444447</v>
      </c>
      <c r="D63">
        <v>94.52</v>
      </c>
      <c r="E63" t="s">
        <v>44</v>
      </c>
      <c r="F63" t="s">
        <v>369</v>
      </c>
      <c r="G63" t="s">
        <v>77</v>
      </c>
      <c r="H63" t="s">
        <v>130</v>
      </c>
      <c r="I63" t="s">
        <v>370</v>
      </c>
      <c r="K63" t="s">
        <v>49</v>
      </c>
      <c r="L63" t="s">
        <v>110</v>
      </c>
      <c r="M63" t="s">
        <v>105</v>
      </c>
      <c r="P63" t="s">
        <v>28</v>
      </c>
      <c r="Q63" t="s">
        <v>371</v>
      </c>
      <c r="R63" t="s">
        <v>372</v>
      </c>
      <c r="S63" t="s">
        <v>31</v>
      </c>
      <c r="T63">
        <v>0</v>
      </c>
    </row>
    <row r="64" spans="1:20" x14ac:dyDescent="0.25">
      <c r="A64" t="s">
        <v>373</v>
      </c>
      <c r="B64" s="1">
        <v>45826</v>
      </c>
      <c r="C64" s="5">
        <v>0.74527777777777782</v>
      </c>
      <c r="D64">
        <v>128.13999999999999</v>
      </c>
      <c r="E64" t="s">
        <v>44</v>
      </c>
      <c r="F64" t="s">
        <v>374</v>
      </c>
      <c r="G64" t="s">
        <v>71</v>
      </c>
      <c r="H64" t="s">
        <v>38</v>
      </c>
      <c r="I64" t="s">
        <v>375</v>
      </c>
      <c r="J64">
        <v>36</v>
      </c>
      <c r="K64" t="s">
        <v>25</v>
      </c>
      <c r="L64" t="s">
        <v>50</v>
      </c>
      <c r="M64" t="s">
        <v>39</v>
      </c>
      <c r="P64" t="s">
        <v>28</v>
      </c>
      <c r="Q64" t="s">
        <v>376</v>
      </c>
      <c r="R64" t="s">
        <v>377</v>
      </c>
      <c r="S64" t="s">
        <v>31</v>
      </c>
      <c r="T64">
        <v>1</v>
      </c>
    </row>
    <row r="65" spans="1:20" x14ac:dyDescent="0.25">
      <c r="A65" t="s">
        <v>378</v>
      </c>
      <c r="B65" s="1">
        <v>45797</v>
      </c>
      <c r="C65" s="5">
        <v>6.9849537037037043E-2</v>
      </c>
      <c r="D65">
        <v>11.13</v>
      </c>
      <c r="E65" t="s">
        <v>44</v>
      </c>
      <c r="F65" t="s">
        <v>379</v>
      </c>
      <c r="G65" t="s">
        <v>46</v>
      </c>
      <c r="H65" t="s">
        <v>50</v>
      </c>
      <c r="I65" t="s">
        <v>380</v>
      </c>
      <c r="J65">
        <v>36</v>
      </c>
      <c r="K65" t="s">
        <v>25</v>
      </c>
      <c r="L65" t="s">
        <v>23</v>
      </c>
      <c r="M65" t="s">
        <v>39</v>
      </c>
      <c r="P65" t="s">
        <v>28</v>
      </c>
      <c r="Q65" t="s">
        <v>381</v>
      </c>
      <c r="R65" t="s">
        <v>382</v>
      </c>
      <c r="S65" t="s">
        <v>31</v>
      </c>
      <c r="T65">
        <v>0</v>
      </c>
    </row>
    <row r="66" spans="1:20" x14ac:dyDescent="0.25">
      <c r="A66" t="s">
        <v>383</v>
      </c>
      <c r="B66" s="1">
        <v>45785</v>
      </c>
      <c r="C66" s="5">
        <v>0.12453703703703704</v>
      </c>
      <c r="D66">
        <v>2444.39</v>
      </c>
      <c r="E66" t="s">
        <v>44</v>
      </c>
      <c r="F66" t="s">
        <v>384</v>
      </c>
      <c r="G66" t="s">
        <v>89</v>
      </c>
      <c r="H66" t="s">
        <v>50</v>
      </c>
      <c r="I66" t="s">
        <v>385</v>
      </c>
      <c r="J66">
        <v>67</v>
      </c>
      <c r="K66" t="s">
        <v>25</v>
      </c>
      <c r="L66" t="s">
        <v>66</v>
      </c>
      <c r="M66" t="s">
        <v>105</v>
      </c>
      <c r="P66" t="s">
        <v>28</v>
      </c>
      <c r="Q66" t="s">
        <v>386</v>
      </c>
      <c r="R66" t="s">
        <v>387</v>
      </c>
      <c r="S66" t="s">
        <v>101</v>
      </c>
      <c r="T66">
        <v>0</v>
      </c>
    </row>
    <row r="67" spans="1:20" x14ac:dyDescent="0.25">
      <c r="A67" t="s">
        <v>388</v>
      </c>
      <c r="B67" s="1">
        <v>45926</v>
      </c>
      <c r="C67" s="5">
        <v>0.97105324074074073</v>
      </c>
      <c r="D67">
        <v>68.61</v>
      </c>
      <c r="E67" t="s">
        <v>44</v>
      </c>
      <c r="F67" t="s">
        <v>389</v>
      </c>
      <c r="G67" t="s">
        <v>57</v>
      </c>
      <c r="H67" t="s">
        <v>23</v>
      </c>
      <c r="I67" t="s">
        <v>390</v>
      </c>
      <c r="J67">
        <v>74</v>
      </c>
      <c r="K67" t="s">
        <v>37</v>
      </c>
      <c r="L67" t="s">
        <v>66</v>
      </c>
      <c r="M67" t="s">
        <v>84</v>
      </c>
      <c r="P67" t="s">
        <v>28</v>
      </c>
      <c r="Q67" t="s">
        <v>391</v>
      </c>
      <c r="R67" t="s">
        <v>392</v>
      </c>
      <c r="S67" t="s">
        <v>31</v>
      </c>
      <c r="T67">
        <v>0</v>
      </c>
    </row>
    <row r="68" spans="1:20" x14ac:dyDescent="0.25">
      <c r="A68" t="s">
        <v>393</v>
      </c>
      <c r="B68" s="1">
        <v>45885</v>
      </c>
      <c r="C68" s="5">
        <v>0.89057870370370373</v>
      </c>
      <c r="D68">
        <v>100.42</v>
      </c>
      <c r="E68" t="s">
        <v>44</v>
      </c>
      <c r="F68" t="s">
        <v>394</v>
      </c>
      <c r="G68" t="s">
        <v>89</v>
      </c>
      <c r="H68" t="s">
        <v>146</v>
      </c>
      <c r="I68" t="s">
        <v>395</v>
      </c>
      <c r="J68">
        <v>54</v>
      </c>
      <c r="K68" t="s">
        <v>37</v>
      </c>
      <c r="L68" t="s">
        <v>119</v>
      </c>
      <c r="M68" t="s">
        <v>84</v>
      </c>
      <c r="P68" t="s">
        <v>28</v>
      </c>
      <c r="Q68" t="s">
        <v>396</v>
      </c>
      <c r="R68" t="s">
        <v>397</v>
      </c>
      <c r="S68" t="s">
        <v>31</v>
      </c>
      <c r="T68">
        <v>0</v>
      </c>
    </row>
    <row r="69" spans="1:20" x14ac:dyDescent="0.25">
      <c r="A69" t="s">
        <v>398</v>
      </c>
      <c r="B69" s="1">
        <v>45910</v>
      </c>
      <c r="C69" s="5">
        <v>0.86034722222222226</v>
      </c>
      <c r="D69">
        <v>83.84</v>
      </c>
      <c r="E69" t="s">
        <v>44</v>
      </c>
      <c r="F69" t="s">
        <v>399</v>
      </c>
      <c r="G69" t="s">
        <v>57</v>
      </c>
      <c r="H69" t="s">
        <v>130</v>
      </c>
      <c r="I69" t="s">
        <v>400</v>
      </c>
      <c r="J69">
        <v>35</v>
      </c>
      <c r="K69" t="s">
        <v>37</v>
      </c>
      <c r="L69" t="s">
        <v>26</v>
      </c>
      <c r="M69" t="s">
        <v>105</v>
      </c>
      <c r="P69" t="s">
        <v>28</v>
      </c>
      <c r="Q69" t="s">
        <v>401</v>
      </c>
      <c r="R69" t="s">
        <v>402</v>
      </c>
      <c r="S69" t="s">
        <v>31</v>
      </c>
      <c r="T69">
        <v>0</v>
      </c>
    </row>
    <row r="70" spans="1:20" x14ac:dyDescent="0.25">
      <c r="A70" t="s">
        <v>403</v>
      </c>
      <c r="B70" s="1">
        <v>45951</v>
      </c>
      <c r="C70" s="5">
        <v>0.53592592592592592</v>
      </c>
      <c r="D70">
        <v>179.18</v>
      </c>
      <c r="E70" t="s">
        <v>44</v>
      </c>
      <c r="F70" t="s">
        <v>359</v>
      </c>
      <c r="G70" t="s">
        <v>124</v>
      </c>
      <c r="H70" t="s">
        <v>119</v>
      </c>
      <c r="I70" t="s">
        <v>404</v>
      </c>
      <c r="J70">
        <v>24</v>
      </c>
      <c r="K70" t="s">
        <v>25</v>
      </c>
      <c r="L70" t="s">
        <v>146</v>
      </c>
      <c r="M70" t="s">
        <v>27</v>
      </c>
      <c r="P70" t="s">
        <v>28</v>
      </c>
      <c r="Q70" t="s">
        <v>405</v>
      </c>
      <c r="R70" t="s">
        <v>406</v>
      </c>
      <c r="S70" t="s">
        <v>31</v>
      </c>
      <c r="T70">
        <v>0</v>
      </c>
    </row>
    <row r="71" spans="1:20" x14ac:dyDescent="0.25">
      <c r="A71" t="s">
        <v>407</v>
      </c>
      <c r="B71" s="1">
        <v>45910</v>
      </c>
      <c r="C71" s="5">
        <v>0.6330324074074074</v>
      </c>
      <c r="D71">
        <v>111.15</v>
      </c>
      <c r="E71" t="s">
        <v>44</v>
      </c>
      <c r="F71" t="s">
        <v>408</v>
      </c>
      <c r="G71" t="s">
        <v>22</v>
      </c>
      <c r="H71" t="s">
        <v>97</v>
      </c>
      <c r="I71" t="s">
        <v>409</v>
      </c>
      <c r="J71">
        <v>13</v>
      </c>
      <c r="K71" t="s">
        <v>49</v>
      </c>
      <c r="L71" t="s">
        <v>47</v>
      </c>
      <c r="M71" t="s">
        <v>84</v>
      </c>
      <c r="P71" t="s">
        <v>28</v>
      </c>
      <c r="Q71" t="s">
        <v>410</v>
      </c>
      <c r="R71" t="s">
        <v>411</v>
      </c>
      <c r="S71" t="s">
        <v>31</v>
      </c>
      <c r="T71">
        <v>0</v>
      </c>
    </row>
    <row r="72" spans="1:20" x14ac:dyDescent="0.25">
      <c r="A72" t="s">
        <v>412</v>
      </c>
      <c r="B72" s="1">
        <v>45812</v>
      </c>
      <c r="C72" s="5">
        <v>0.8341898148148148</v>
      </c>
      <c r="D72">
        <v>189.52</v>
      </c>
      <c r="E72" t="s">
        <v>44</v>
      </c>
      <c r="F72" t="s">
        <v>413</v>
      </c>
      <c r="G72" t="s">
        <v>46</v>
      </c>
      <c r="H72" t="s">
        <v>119</v>
      </c>
      <c r="I72" t="s">
        <v>414</v>
      </c>
      <c r="J72">
        <v>52</v>
      </c>
      <c r="K72" t="s">
        <v>37</v>
      </c>
      <c r="L72" t="s">
        <v>38</v>
      </c>
      <c r="M72" t="s">
        <v>112</v>
      </c>
      <c r="P72" t="s">
        <v>28</v>
      </c>
      <c r="Q72" t="s">
        <v>415</v>
      </c>
      <c r="R72" t="s">
        <v>416</v>
      </c>
      <c r="S72" t="s">
        <v>42</v>
      </c>
      <c r="T72">
        <v>0</v>
      </c>
    </row>
    <row r="73" spans="1:20" x14ac:dyDescent="0.25">
      <c r="A73" t="s">
        <v>417</v>
      </c>
      <c r="B73" s="1">
        <v>45939</v>
      </c>
      <c r="C73" s="5">
        <v>0.62186342592592592</v>
      </c>
      <c r="D73">
        <v>142.78</v>
      </c>
      <c r="E73" t="s">
        <v>44</v>
      </c>
      <c r="F73" t="s">
        <v>418</v>
      </c>
      <c r="G73" t="s">
        <v>124</v>
      </c>
      <c r="H73" t="s">
        <v>91</v>
      </c>
      <c r="I73" t="s">
        <v>419</v>
      </c>
      <c r="J73">
        <v>37</v>
      </c>
      <c r="K73" t="s">
        <v>37</v>
      </c>
      <c r="L73" t="s">
        <v>35</v>
      </c>
      <c r="M73" t="s">
        <v>84</v>
      </c>
      <c r="P73" t="s">
        <v>28</v>
      </c>
      <c r="Q73" t="s">
        <v>420</v>
      </c>
      <c r="R73" t="s">
        <v>421</v>
      </c>
      <c r="S73" t="s">
        <v>31</v>
      </c>
      <c r="T73">
        <v>0</v>
      </c>
    </row>
    <row r="74" spans="1:20" x14ac:dyDescent="0.25">
      <c r="A74" t="s">
        <v>422</v>
      </c>
      <c r="B74" s="1">
        <v>45940</v>
      </c>
      <c r="C74" s="5">
        <v>0.16837962962962963</v>
      </c>
      <c r="D74">
        <v>2277.85</v>
      </c>
      <c r="E74" t="s">
        <v>44</v>
      </c>
      <c r="F74" t="s">
        <v>423</v>
      </c>
      <c r="G74" t="s">
        <v>124</v>
      </c>
      <c r="H74" t="s">
        <v>110</v>
      </c>
      <c r="I74" t="s">
        <v>424</v>
      </c>
      <c r="J74">
        <v>75</v>
      </c>
      <c r="K74" t="s">
        <v>49</v>
      </c>
      <c r="L74" t="s">
        <v>66</v>
      </c>
      <c r="M74" t="s">
        <v>105</v>
      </c>
      <c r="P74" t="s">
        <v>28</v>
      </c>
      <c r="Q74" t="s">
        <v>425</v>
      </c>
      <c r="R74" t="s">
        <v>426</v>
      </c>
      <c r="S74" t="s">
        <v>31</v>
      </c>
      <c r="T74">
        <v>0</v>
      </c>
    </row>
    <row r="75" spans="1:20" x14ac:dyDescent="0.25">
      <c r="A75" t="s">
        <v>427</v>
      </c>
      <c r="B75" s="1">
        <v>45896</v>
      </c>
      <c r="C75" s="5">
        <v>0.50311342592592589</v>
      </c>
      <c r="D75">
        <v>142.08000000000001</v>
      </c>
      <c r="E75" t="s">
        <v>44</v>
      </c>
      <c r="F75" t="s">
        <v>428</v>
      </c>
      <c r="G75" t="s">
        <v>71</v>
      </c>
      <c r="H75" t="s">
        <v>91</v>
      </c>
      <c r="I75" t="s">
        <v>429</v>
      </c>
      <c r="J75">
        <v>33</v>
      </c>
      <c r="K75" t="s">
        <v>49</v>
      </c>
      <c r="L75" t="s">
        <v>26</v>
      </c>
      <c r="M75" t="s">
        <v>105</v>
      </c>
      <c r="P75" t="s">
        <v>28</v>
      </c>
      <c r="Q75" t="s">
        <v>430</v>
      </c>
      <c r="R75" t="s">
        <v>431</v>
      </c>
      <c r="S75" t="s">
        <v>101</v>
      </c>
      <c r="T75">
        <v>0</v>
      </c>
    </row>
    <row r="76" spans="1:20" x14ac:dyDescent="0.25">
      <c r="A76" t="s">
        <v>432</v>
      </c>
      <c r="B76" s="1">
        <v>45788</v>
      </c>
      <c r="C76" s="5">
        <v>0.24642361111111111</v>
      </c>
      <c r="D76">
        <v>40.78</v>
      </c>
      <c r="E76" t="s">
        <v>44</v>
      </c>
      <c r="F76" t="s">
        <v>433</v>
      </c>
      <c r="G76" t="s">
        <v>22</v>
      </c>
      <c r="H76" t="s">
        <v>97</v>
      </c>
      <c r="I76" t="s">
        <v>434</v>
      </c>
      <c r="J76">
        <v>20</v>
      </c>
      <c r="K76" t="s">
        <v>49</v>
      </c>
      <c r="L76" t="s">
        <v>35</v>
      </c>
      <c r="M76" t="s">
        <v>39</v>
      </c>
      <c r="P76" t="s">
        <v>28</v>
      </c>
      <c r="Q76" t="s">
        <v>435</v>
      </c>
      <c r="R76" t="s">
        <v>436</v>
      </c>
      <c r="S76" t="s">
        <v>31</v>
      </c>
      <c r="T76">
        <v>0</v>
      </c>
    </row>
    <row r="77" spans="1:20" x14ac:dyDescent="0.25">
      <c r="A77" t="s">
        <v>437</v>
      </c>
      <c r="B77" s="1">
        <v>45874</v>
      </c>
      <c r="C77" s="5">
        <v>0.35906250000000001</v>
      </c>
      <c r="D77">
        <v>50.89</v>
      </c>
      <c r="E77" t="s">
        <v>44</v>
      </c>
      <c r="F77" t="s">
        <v>438</v>
      </c>
      <c r="G77" t="s">
        <v>57</v>
      </c>
      <c r="H77" t="s">
        <v>91</v>
      </c>
      <c r="I77" t="s">
        <v>439</v>
      </c>
      <c r="J77">
        <v>43</v>
      </c>
      <c r="K77" t="s">
        <v>49</v>
      </c>
      <c r="L77" t="s">
        <v>35</v>
      </c>
      <c r="M77" t="s">
        <v>51</v>
      </c>
      <c r="N77" t="s">
        <v>173</v>
      </c>
      <c r="O77">
        <v>463621</v>
      </c>
      <c r="P77" t="s">
        <v>28</v>
      </c>
      <c r="Q77" t="s">
        <v>440</v>
      </c>
      <c r="R77" t="s">
        <v>441</v>
      </c>
      <c r="S77" t="s">
        <v>31</v>
      </c>
      <c r="T77">
        <v>0</v>
      </c>
    </row>
    <row r="78" spans="1:20" x14ac:dyDescent="0.25">
      <c r="A78" t="s">
        <v>442</v>
      </c>
      <c r="B78" s="1">
        <v>45919</v>
      </c>
      <c r="C78" s="5">
        <v>0.88567129629629626</v>
      </c>
      <c r="D78">
        <v>7.12</v>
      </c>
      <c r="E78" t="s">
        <v>44</v>
      </c>
      <c r="F78" t="s">
        <v>187</v>
      </c>
      <c r="G78" t="s">
        <v>46</v>
      </c>
      <c r="H78" t="s">
        <v>91</v>
      </c>
      <c r="I78" t="s">
        <v>443</v>
      </c>
      <c r="J78">
        <v>71</v>
      </c>
      <c r="K78" t="s">
        <v>37</v>
      </c>
      <c r="L78" t="s">
        <v>110</v>
      </c>
      <c r="M78" t="s">
        <v>27</v>
      </c>
      <c r="P78" t="s">
        <v>28</v>
      </c>
      <c r="Q78" t="s">
        <v>444</v>
      </c>
      <c r="R78" t="s">
        <v>445</v>
      </c>
      <c r="S78" t="s">
        <v>31</v>
      </c>
      <c r="T78">
        <v>0</v>
      </c>
    </row>
    <row r="79" spans="1:20" x14ac:dyDescent="0.25">
      <c r="A79" t="s">
        <v>446</v>
      </c>
      <c r="B79" s="1">
        <v>45927</v>
      </c>
      <c r="C79" s="5">
        <v>0.18436342592592592</v>
      </c>
      <c r="D79">
        <v>33.44</v>
      </c>
      <c r="E79" t="s">
        <v>44</v>
      </c>
      <c r="F79" t="s">
        <v>447</v>
      </c>
      <c r="G79" t="s">
        <v>64</v>
      </c>
      <c r="H79" t="s">
        <v>110</v>
      </c>
      <c r="I79" t="s">
        <v>448</v>
      </c>
      <c r="J79">
        <v>32</v>
      </c>
      <c r="K79" t="s">
        <v>25</v>
      </c>
      <c r="L79" t="s">
        <v>50</v>
      </c>
      <c r="M79" t="s">
        <v>39</v>
      </c>
      <c r="P79" t="s">
        <v>28</v>
      </c>
      <c r="Q79" t="s">
        <v>449</v>
      </c>
      <c r="R79" t="s">
        <v>450</v>
      </c>
      <c r="S79" t="s">
        <v>31</v>
      </c>
      <c r="T79">
        <v>0</v>
      </c>
    </row>
    <row r="80" spans="1:20" x14ac:dyDescent="0.25">
      <c r="A80" t="s">
        <v>451</v>
      </c>
      <c r="B80" s="1">
        <v>45875</v>
      </c>
      <c r="C80" s="5">
        <v>0.39283564814814814</v>
      </c>
      <c r="D80">
        <v>127.54</v>
      </c>
      <c r="E80" t="s">
        <v>44</v>
      </c>
      <c r="F80" t="s">
        <v>452</v>
      </c>
      <c r="G80" t="s">
        <v>77</v>
      </c>
      <c r="H80" t="s">
        <v>23</v>
      </c>
      <c r="I80" t="s">
        <v>453</v>
      </c>
      <c r="J80">
        <v>38</v>
      </c>
      <c r="K80" t="s">
        <v>49</v>
      </c>
      <c r="L80" t="s">
        <v>119</v>
      </c>
      <c r="M80" t="s">
        <v>105</v>
      </c>
      <c r="P80" t="s">
        <v>28</v>
      </c>
      <c r="Q80" t="s">
        <v>454</v>
      </c>
      <c r="R80" t="s">
        <v>455</v>
      </c>
      <c r="S80" t="s">
        <v>31</v>
      </c>
      <c r="T80">
        <v>0</v>
      </c>
    </row>
    <row r="81" spans="1:20" x14ac:dyDescent="0.25">
      <c r="A81" t="s">
        <v>456</v>
      </c>
      <c r="B81" s="1">
        <v>45920</v>
      </c>
      <c r="C81" s="5">
        <v>0.81403935185185183</v>
      </c>
      <c r="D81">
        <v>184.51</v>
      </c>
      <c r="E81" t="s">
        <v>44</v>
      </c>
      <c r="F81" t="s">
        <v>457</v>
      </c>
      <c r="G81" t="s">
        <v>124</v>
      </c>
      <c r="H81" t="s">
        <v>66</v>
      </c>
      <c r="I81" t="s">
        <v>458</v>
      </c>
      <c r="J81">
        <v>57</v>
      </c>
      <c r="K81" t="s">
        <v>37</v>
      </c>
      <c r="L81" t="s">
        <v>119</v>
      </c>
      <c r="M81" t="s">
        <v>105</v>
      </c>
      <c r="P81" t="s">
        <v>28</v>
      </c>
      <c r="Q81" t="s">
        <v>459</v>
      </c>
      <c r="R81" t="s">
        <v>460</v>
      </c>
      <c r="S81" t="s">
        <v>31</v>
      </c>
      <c r="T81">
        <v>0</v>
      </c>
    </row>
    <row r="82" spans="1:20" x14ac:dyDescent="0.25">
      <c r="A82" t="s">
        <v>461</v>
      </c>
      <c r="B82" s="1">
        <v>45892</v>
      </c>
      <c r="C82" s="5">
        <v>0.14675925925925926</v>
      </c>
      <c r="D82">
        <v>136.12</v>
      </c>
      <c r="E82" t="s">
        <v>44</v>
      </c>
      <c r="F82" t="s">
        <v>462</v>
      </c>
      <c r="G82" t="s">
        <v>124</v>
      </c>
      <c r="H82" t="s">
        <v>248</v>
      </c>
      <c r="I82" t="s">
        <v>463</v>
      </c>
      <c r="J82">
        <v>72</v>
      </c>
      <c r="K82" t="s">
        <v>49</v>
      </c>
      <c r="L82" t="s">
        <v>23</v>
      </c>
      <c r="M82" t="s">
        <v>112</v>
      </c>
      <c r="P82" t="s">
        <v>28</v>
      </c>
      <c r="Q82" t="s">
        <v>464</v>
      </c>
      <c r="R82" t="s">
        <v>465</v>
      </c>
      <c r="S82" t="s">
        <v>31</v>
      </c>
      <c r="T82">
        <v>0</v>
      </c>
    </row>
    <row r="83" spans="1:20" x14ac:dyDescent="0.25">
      <c r="A83" t="s">
        <v>466</v>
      </c>
      <c r="B83" s="1">
        <v>45840</v>
      </c>
      <c r="C83" s="5">
        <v>0.26164351851851853</v>
      </c>
      <c r="D83">
        <v>192.64</v>
      </c>
      <c r="E83" t="s">
        <v>44</v>
      </c>
      <c r="F83" t="s">
        <v>467</v>
      </c>
      <c r="G83" t="s">
        <v>46</v>
      </c>
      <c r="H83" t="s">
        <v>35</v>
      </c>
      <c r="I83" t="s">
        <v>468</v>
      </c>
      <c r="J83">
        <v>43</v>
      </c>
      <c r="K83" t="s">
        <v>37</v>
      </c>
      <c r="L83" t="s">
        <v>91</v>
      </c>
      <c r="M83" t="s">
        <v>51</v>
      </c>
      <c r="N83" t="s">
        <v>345</v>
      </c>
      <c r="O83">
        <v>477839</v>
      </c>
      <c r="P83" t="s">
        <v>28</v>
      </c>
      <c r="Q83" t="s">
        <v>469</v>
      </c>
      <c r="R83" t="s">
        <v>470</v>
      </c>
      <c r="S83" t="s">
        <v>31</v>
      </c>
      <c r="T83">
        <v>0</v>
      </c>
    </row>
    <row r="84" spans="1:20" x14ac:dyDescent="0.25">
      <c r="A84" t="s">
        <v>471</v>
      </c>
      <c r="B84" s="1">
        <v>45868</v>
      </c>
      <c r="C84" s="5">
        <v>1.2268518518518519E-2</v>
      </c>
      <c r="D84">
        <v>115.72</v>
      </c>
      <c r="E84" t="s">
        <v>44</v>
      </c>
      <c r="F84" t="s">
        <v>472</v>
      </c>
      <c r="G84" t="s">
        <v>64</v>
      </c>
      <c r="H84" t="s">
        <v>58</v>
      </c>
      <c r="I84" t="s">
        <v>473</v>
      </c>
      <c r="J84">
        <v>31</v>
      </c>
      <c r="K84" t="s">
        <v>49</v>
      </c>
      <c r="L84" t="s">
        <v>35</v>
      </c>
      <c r="M84" t="s">
        <v>27</v>
      </c>
      <c r="P84" t="s">
        <v>28</v>
      </c>
      <c r="Q84" t="s">
        <v>474</v>
      </c>
      <c r="R84" t="s">
        <v>475</v>
      </c>
      <c r="S84" t="s">
        <v>31</v>
      </c>
      <c r="T84">
        <v>0</v>
      </c>
    </row>
    <row r="85" spans="1:20" x14ac:dyDescent="0.25">
      <c r="A85" t="s">
        <v>476</v>
      </c>
      <c r="B85" s="1">
        <v>45855</v>
      </c>
      <c r="C85" s="5">
        <v>1.4375000000000001E-2</v>
      </c>
      <c r="D85">
        <v>115.33</v>
      </c>
      <c r="E85" t="s">
        <v>44</v>
      </c>
      <c r="F85" t="s">
        <v>63</v>
      </c>
      <c r="G85" t="s">
        <v>124</v>
      </c>
      <c r="H85" t="s">
        <v>47</v>
      </c>
      <c r="I85" t="s">
        <v>477</v>
      </c>
      <c r="J85">
        <v>75</v>
      </c>
      <c r="K85" t="s">
        <v>49</v>
      </c>
      <c r="L85" t="s">
        <v>38</v>
      </c>
      <c r="M85" t="s">
        <v>27</v>
      </c>
      <c r="P85" t="s">
        <v>28</v>
      </c>
      <c r="Q85" t="s">
        <v>478</v>
      </c>
      <c r="R85" t="s">
        <v>479</v>
      </c>
      <c r="S85" t="s">
        <v>31</v>
      </c>
      <c r="T85">
        <v>0</v>
      </c>
    </row>
    <row r="86" spans="1:20" x14ac:dyDescent="0.25">
      <c r="A86" t="s">
        <v>480</v>
      </c>
      <c r="B86" s="1">
        <v>45924</v>
      </c>
      <c r="C86" s="5">
        <v>0.66370370370370368</v>
      </c>
      <c r="D86">
        <v>230.06</v>
      </c>
      <c r="E86" t="s">
        <v>44</v>
      </c>
      <c r="F86" t="s">
        <v>481</v>
      </c>
      <c r="G86" t="s">
        <v>96</v>
      </c>
      <c r="H86" t="s">
        <v>130</v>
      </c>
      <c r="I86" t="s">
        <v>482</v>
      </c>
      <c r="J86">
        <v>41</v>
      </c>
      <c r="K86" t="s">
        <v>25</v>
      </c>
      <c r="L86" t="s">
        <v>110</v>
      </c>
      <c r="M86" t="s">
        <v>39</v>
      </c>
      <c r="P86" t="s">
        <v>28</v>
      </c>
      <c r="Q86" t="s">
        <v>483</v>
      </c>
      <c r="R86" t="s">
        <v>484</v>
      </c>
      <c r="S86" t="s">
        <v>42</v>
      </c>
      <c r="T86">
        <v>0</v>
      </c>
    </row>
    <row r="87" spans="1:20" x14ac:dyDescent="0.25">
      <c r="A87" t="s">
        <v>485</v>
      </c>
      <c r="B87" s="1">
        <v>45790</v>
      </c>
      <c r="C87" s="5">
        <v>0.64337962962962958</v>
      </c>
      <c r="D87">
        <v>47.96</v>
      </c>
      <c r="E87" t="s">
        <v>44</v>
      </c>
      <c r="F87" t="s">
        <v>486</v>
      </c>
      <c r="G87" t="s">
        <v>22</v>
      </c>
      <c r="H87" t="s">
        <v>58</v>
      </c>
      <c r="I87" t="s">
        <v>487</v>
      </c>
      <c r="J87">
        <v>55</v>
      </c>
      <c r="K87" t="s">
        <v>37</v>
      </c>
      <c r="L87" t="s">
        <v>23</v>
      </c>
      <c r="M87" t="s">
        <v>27</v>
      </c>
      <c r="P87" t="s">
        <v>28</v>
      </c>
      <c r="Q87" t="s">
        <v>488</v>
      </c>
      <c r="R87" t="s">
        <v>489</v>
      </c>
      <c r="S87" t="s">
        <v>31</v>
      </c>
      <c r="T87">
        <v>0</v>
      </c>
    </row>
    <row r="88" spans="1:20" x14ac:dyDescent="0.25">
      <c r="A88" t="s">
        <v>490</v>
      </c>
      <c r="B88" s="1">
        <v>45900</v>
      </c>
      <c r="C88" s="5">
        <v>0.80131944444444447</v>
      </c>
      <c r="D88">
        <v>1.33</v>
      </c>
      <c r="E88" t="s">
        <v>44</v>
      </c>
      <c r="F88" t="s">
        <v>161</v>
      </c>
      <c r="G88" t="s">
        <v>77</v>
      </c>
      <c r="H88" t="s">
        <v>91</v>
      </c>
      <c r="I88" t="s">
        <v>491</v>
      </c>
      <c r="J88">
        <v>75</v>
      </c>
      <c r="K88" t="s">
        <v>25</v>
      </c>
      <c r="L88" t="s">
        <v>23</v>
      </c>
      <c r="M88" t="s">
        <v>51</v>
      </c>
      <c r="N88" t="s">
        <v>345</v>
      </c>
      <c r="O88">
        <v>556195</v>
      </c>
      <c r="P88" t="s">
        <v>28</v>
      </c>
      <c r="Q88" t="s">
        <v>492</v>
      </c>
      <c r="R88" t="s">
        <v>493</v>
      </c>
      <c r="S88" t="s">
        <v>31</v>
      </c>
      <c r="T88">
        <v>0</v>
      </c>
    </row>
    <row r="89" spans="1:20" x14ac:dyDescent="0.25">
      <c r="A89" t="s">
        <v>494</v>
      </c>
      <c r="B89" s="1">
        <v>45900</v>
      </c>
      <c r="C89" s="5">
        <v>0.55738425925925927</v>
      </c>
      <c r="D89">
        <v>165.7</v>
      </c>
      <c r="E89" t="s">
        <v>44</v>
      </c>
      <c r="F89" t="s">
        <v>495</v>
      </c>
      <c r="G89" t="s">
        <v>34</v>
      </c>
      <c r="H89" t="s">
        <v>146</v>
      </c>
      <c r="I89" t="s">
        <v>496</v>
      </c>
      <c r="J89">
        <v>36</v>
      </c>
      <c r="K89" t="s">
        <v>49</v>
      </c>
      <c r="L89" t="s">
        <v>130</v>
      </c>
      <c r="M89" t="s">
        <v>84</v>
      </c>
      <c r="P89" t="s">
        <v>28</v>
      </c>
      <c r="Q89" t="s">
        <v>497</v>
      </c>
      <c r="R89" t="s">
        <v>498</v>
      </c>
      <c r="S89" t="s">
        <v>31</v>
      </c>
      <c r="T89">
        <v>0</v>
      </c>
    </row>
    <row r="90" spans="1:20" x14ac:dyDescent="0.25">
      <c r="A90" t="s">
        <v>499</v>
      </c>
      <c r="B90" s="1">
        <v>45865</v>
      </c>
      <c r="C90" s="5">
        <v>0.33037037037037037</v>
      </c>
      <c r="D90">
        <v>69.31</v>
      </c>
      <c r="E90" t="s">
        <v>44</v>
      </c>
      <c r="F90" t="s">
        <v>500</v>
      </c>
      <c r="G90" t="s">
        <v>96</v>
      </c>
      <c r="H90" t="s">
        <v>26</v>
      </c>
      <c r="I90" t="s">
        <v>501</v>
      </c>
      <c r="J90">
        <v>63</v>
      </c>
      <c r="K90" t="s">
        <v>37</v>
      </c>
      <c r="L90" t="s">
        <v>130</v>
      </c>
      <c r="M90" t="s">
        <v>39</v>
      </c>
      <c r="P90" t="s">
        <v>28</v>
      </c>
      <c r="Q90" t="s">
        <v>502</v>
      </c>
      <c r="R90" t="s">
        <v>503</v>
      </c>
      <c r="S90" t="s">
        <v>101</v>
      </c>
      <c r="T90">
        <v>0</v>
      </c>
    </row>
    <row r="91" spans="1:20" x14ac:dyDescent="0.25">
      <c r="A91" t="s">
        <v>504</v>
      </c>
      <c r="B91" s="1">
        <v>45949</v>
      </c>
      <c r="C91" s="5">
        <v>0.64776620370370375</v>
      </c>
      <c r="D91">
        <v>34.96</v>
      </c>
      <c r="E91" t="s">
        <v>44</v>
      </c>
      <c r="F91" t="s">
        <v>505</v>
      </c>
      <c r="G91" t="s">
        <v>124</v>
      </c>
      <c r="H91" t="s">
        <v>23</v>
      </c>
      <c r="I91" t="s">
        <v>506</v>
      </c>
      <c r="J91">
        <v>34</v>
      </c>
      <c r="K91" t="s">
        <v>25</v>
      </c>
      <c r="L91" t="s">
        <v>97</v>
      </c>
      <c r="M91" t="s">
        <v>51</v>
      </c>
      <c r="N91" t="s">
        <v>507</v>
      </c>
      <c r="O91">
        <v>436026</v>
      </c>
      <c r="P91" t="s">
        <v>28</v>
      </c>
      <c r="Q91" t="s">
        <v>508</v>
      </c>
      <c r="R91" t="s">
        <v>509</v>
      </c>
      <c r="S91" t="s">
        <v>31</v>
      </c>
      <c r="T91">
        <v>0</v>
      </c>
    </row>
    <row r="92" spans="1:20" x14ac:dyDescent="0.25">
      <c r="A92" t="s">
        <v>510</v>
      </c>
      <c r="B92" s="1">
        <v>45800</v>
      </c>
      <c r="C92" s="5">
        <v>0.31663194444444442</v>
      </c>
      <c r="D92">
        <v>61.32</v>
      </c>
      <c r="E92" t="s">
        <v>44</v>
      </c>
      <c r="F92" t="s">
        <v>511</v>
      </c>
      <c r="G92" t="s">
        <v>22</v>
      </c>
      <c r="H92" t="s">
        <v>35</v>
      </c>
      <c r="I92" t="s">
        <v>512</v>
      </c>
      <c r="J92">
        <v>28</v>
      </c>
      <c r="K92" t="s">
        <v>49</v>
      </c>
      <c r="L92" t="s">
        <v>23</v>
      </c>
      <c r="M92" t="s">
        <v>39</v>
      </c>
      <c r="P92" t="s">
        <v>28</v>
      </c>
      <c r="Q92" t="s">
        <v>513</v>
      </c>
      <c r="R92" t="s">
        <v>514</v>
      </c>
      <c r="S92" t="s">
        <v>31</v>
      </c>
      <c r="T92">
        <v>0</v>
      </c>
    </row>
    <row r="93" spans="1:20" x14ac:dyDescent="0.25">
      <c r="A93" t="s">
        <v>515</v>
      </c>
      <c r="B93" s="1">
        <v>45857</v>
      </c>
      <c r="C93" s="5">
        <v>0.85679398148148145</v>
      </c>
      <c r="D93">
        <v>117.74</v>
      </c>
      <c r="E93" t="s">
        <v>44</v>
      </c>
      <c r="F93" t="s">
        <v>516</v>
      </c>
      <c r="G93" t="s">
        <v>34</v>
      </c>
      <c r="H93" t="s">
        <v>35</v>
      </c>
      <c r="I93" t="s">
        <v>517</v>
      </c>
      <c r="J93">
        <v>72</v>
      </c>
      <c r="K93" t="s">
        <v>49</v>
      </c>
      <c r="L93" t="s">
        <v>35</v>
      </c>
      <c r="M93" t="s">
        <v>112</v>
      </c>
      <c r="P93" t="s">
        <v>113</v>
      </c>
      <c r="Q93" t="s">
        <v>518</v>
      </c>
      <c r="R93" t="s">
        <v>519</v>
      </c>
      <c r="S93" t="s">
        <v>31</v>
      </c>
      <c r="T93">
        <v>0</v>
      </c>
    </row>
    <row r="94" spans="1:20" x14ac:dyDescent="0.25">
      <c r="A94" t="s">
        <v>520</v>
      </c>
      <c r="B94" s="1">
        <v>45831</v>
      </c>
      <c r="C94" s="5">
        <v>0.9982523148148148</v>
      </c>
      <c r="D94">
        <v>66.66</v>
      </c>
      <c r="E94" t="s">
        <v>44</v>
      </c>
      <c r="F94" t="s">
        <v>521</v>
      </c>
      <c r="G94" t="s">
        <v>124</v>
      </c>
      <c r="H94" t="s">
        <v>58</v>
      </c>
      <c r="I94" t="s">
        <v>522</v>
      </c>
      <c r="J94">
        <v>46</v>
      </c>
      <c r="K94" t="s">
        <v>37</v>
      </c>
      <c r="L94" t="s">
        <v>23</v>
      </c>
      <c r="M94" t="s">
        <v>112</v>
      </c>
      <c r="P94" t="s">
        <v>28</v>
      </c>
      <c r="Q94" t="s">
        <v>523</v>
      </c>
      <c r="R94" t="s">
        <v>524</v>
      </c>
      <c r="S94" t="s">
        <v>31</v>
      </c>
      <c r="T94">
        <v>1</v>
      </c>
    </row>
    <row r="95" spans="1:20" x14ac:dyDescent="0.25">
      <c r="A95" t="s">
        <v>525</v>
      </c>
      <c r="B95" s="1">
        <v>45858</v>
      </c>
      <c r="C95" s="5">
        <v>0.28900462962962964</v>
      </c>
      <c r="D95">
        <v>190.29</v>
      </c>
      <c r="E95" t="s">
        <v>44</v>
      </c>
      <c r="F95" t="s">
        <v>526</v>
      </c>
      <c r="G95" t="s">
        <v>77</v>
      </c>
      <c r="H95" t="s">
        <v>50</v>
      </c>
      <c r="I95" t="s">
        <v>527</v>
      </c>
      <c r="J95">
        <v>26</v>
      </c>
      <c r="K95" t="s">
        <v>25</v>
      </c>
      <c r="L95" t="s">
        <v>130</v>
      </c>
      <c r="M95" t="s">
        <v>84</v>
      </c>
      <c r="P95" t="s">
        <v>28</v>
      </c>
      <c r="Q95" t="s">
        <v>528</v>
      </c>
      <c r="R95" t="s">
        <v>529</v>
      </c>
      <c r="S95" t="s">
        <v>31</v>
      </c>
      <c r="T95">
        <v>0</v>
      </c>
    </row>
    <row r="96" spans="1:20" x14ac:dyDescent="0.25">
      <c r="A96" t="s">
        <v>530</v>
      </c>
      <c r="B96" s="1">
        <v>45887</v>
      </c>
      <c r="C96" s="5">
        <v>0.39193287037037039</v>
      </c>
      <c r="D96">
        <v>173.16</v>
      </c>
      <c r="E96" t="s">
        <v>44</v>
      </c>
      <c r="F96" t="s">
        <v>531</v>
      </c>
      <c r="G96" t="s">
        <v>64</v>
      </c>
      <c r="H96" t="s">
        <v>35</v>
      </c>
      <c r="I96" t="s">
        <v>532</v>
      </c>
      <c r="J96">
        <v>38</v>
      </c>
      <c r="K96" t="s">
        <v>49</v>
      </c>
      <c r="L96" t="s">
        <v>38</v>
      </c>
      <c r="M96" t="s">
        <v>51</v>
      </c>
      <c r="N96" t="s">
        <v>345</v>
      </c>
      <c r="O96">
        <v>461423</v>
      </c>
      <c r="P96" t="s">
        <v>28</v>
      </c>
      <c r="Q96" t="s">
        <v>533</v>
      </c>
      <c r="R96" t="s">
        <v>534</v>
      </c>
      <c r="S96" t="s">
        <v>42</v>
      </c>
      <c r="T96">
        <v>0</v>
      </c>
    </row>
    <row r="97" spans="1:20" x14ac:dyDescent="0.25">
      <c r="A97" t="s">
        <v>535</v>
      </c>
      <c r="B97" s="1">
        <v>45805</v>
      </c>
      <c r="C97" s="5">
        <v>0.46050925925925928</v>
      </c>
      <c r="D97">
        <v>22.93</v>
      </c>
      <c r="E97" t="s">
        <v>44</v>
      </c>
      <c r="F97" t="s">
        <v>536</v>
      </c>
      <c r="G97" t="s">
        <v>57</v>
      </c>
      <c r="H97" t="s">
        <v>23</v>
      </c>
      <c r="I97" t="s">
        <v>537</v>
      </c>
      <c r="J97">
        <v>60</v>
      </c>
      <c r="K97" t="s">
        <v>25</v>
      </c>
      <c r="L97" t="s">
        <v>248</v>
      </c>
      <c r="M97" t="s">
        <v>39</v>
      </c>
      <c r="P97" t="s">
        <v>28</v>
      </c>
      <c r="Q97" t="s">
        <v>538</v>
      </c>
      <c r="R97" t="s">
        <v>539</v>
      </c>
      <c r="S97" t="s">
        <v>31</v>
      </c>
      <c r="T97">
        <v>0</v>
      </c>
    </row>
    <row r="98" spans="1:20" x14ac:dyDescent="0.25">
      <c r="A98" t="s">
        <v>540</v>
      </c>
      <c r="B98" s="1">
        <v>45885</v>
      </c>
      <c r="C98" s="5">
        <v>0.80859953703703702</v>
      </c>
      <c r="D98">
        <v>109.59</v>
      </c>
      <c r="E98" t="s">
        <v>44</v>
      </c>
      <c r="F98" t="s">
        <v>541</v>
      </c>
      <c r="G98" t="s">
        <v>34</v>
      </c>
      <c r="H98" t="s">
        <v>35</v>
      </c>
      <c r="I98" t="s">
        <v>542</v>
      </c>
      <c r="J98">
        <v>29</v>
      </c>
      <c r="K98" t="s">
        <v>37</v>
      </c>
      <c r="L98" t="s">
        <v>248</v>
      </c>
      <c r="M98" t="s">
        <v>84</v>
      </c>
      <c r="P98" t="s">
        <v>28</v>
      </c>
      <c r="Q98" t="s">
        <v>543</v>
      </c>
      <c r="R98" t="s">
        <v>544</v>
      </c>
      <c r="S98" t="s">
        <v>31</v>
      </c>
      <c r="T98">
        <v>0</v>
      </c>
    </row>
    <row r="99" spans="1:20" x14ac:dyDescent="0.25">
      <c r="A99" t="s">
        <v>545</v>
      </c>
      <c r="B99" s="1">
        <v>45827</v>
      </c>
      <c r="C99" s="5">
        <v>0.88293981481481476</v>
      </c>
      <c r="D99">
        <v>61.8</v>
      </c>
      <c r="E99" t="s">
        <v>44</v>
      </c>
      <c r="F99" t="s">
        <v>546</v>
      </c>
      <c r="G99" t="s">
        <v>57</v>
      </c>
      <c r="H99" t="s">
        <v>35</v>
      </c>
      <c r="I99" t="s">
        <v>547</v>
      </c>
      <c r="J99">
        <v>30</v>
      </c>
      <c r="K99" t="s">
        <v>25</v>
      </c>
      <c r="L99" t="s">
        <v>91</v>
      </c>
      <c r="M99" t="s">
        <v>27</v>
      </c>
      <c r="P99" t="s">
        <v>28</v>
      </c>
      <c r="Q99" t="s">
        <v>548</v>
      </c>
      <c r="R99" t="s">
        <v>549</v>
      </c>
      <c r="S99" t="s">
        <v>31</v>
      </c>
      <c r="T99">
        <v>0</v>
      </c>
    </row>
    <row r="100" spans="1:20" x14ac:dyDescent="0.25">
      <c r="A100" t="s">
        <v>550</v>
      </c>
      <c r="B100" s="1">
        <v>45792</v>
      </c>
      <c r="C100" s="5">
        <v>0.54403935185185182</v>
      </c>
      <c r="D100">
        <v>93.51</v>
      </c>
      <c r="E100" t="s">
        <v>44</v>
      </c>
      <c r="F100" t="s">
        <v>551</v>
      </c>
      <c r="G100" t="s">
        <v>89</v>
      </c>
      <c r="H100" t="s">
        <v>50</v>
      </c>
      <c r="I100" t="s">
        <v>552</v>
      </c>
      <c r="J100">
        <v>31</v>
      </c>
      <c r="K100" t="s">
        <v>25</v>
      </c>
      <c r="L100" t="s">
        <v>38</v>
      </c>
      <c r="M100" t="s">
        <v>84</v>
      </c>
      <c r="P100" t="s">
        <v>28</v>
      </c>
      <c r="Q100" t="s">
        <v>553</v>
      </c>
      <c r="R100" t="s">
        <v>554</v>
      </c>
      <c r="S100" t="s">
        <v>31</v>
      </c>
      <c r="T100">
        <v>0</v>
      </c>
    </row>
    <row r="101" spans="1:20" x14ac:dyDescent="0.25">
      <c r="A101" t="s">
        <v>555</v>
      </c>
      <c r="B101" s="1">
        <v>45866</v>
      </c>
      <c r="C101" s="5">
        <v>0.78418981481481487</v>
      </c>
      <c r="D101">
        <v>69.22</v>
      </c>
      <c r="E101" t="s">
        <v>44</v>
      </c>
      <c r="F101" t="s">
        <v>556</v>
      </c>
      <c r="G101" t="s">
        <v>71</v>
      </c>
      <c r="H101" t="s">
        <v>26</v>
      </c>
      <c r="I101" t="s">
        <v>557</v>
      </c>
      <c r="J101">
        <v>66</v>
      </c>
      <c r="K101" t="s">
        <v>37</v>
      </c>
      <c r="L101" t="s">
        <v>58</v>
      </c>
      <c r="M101" t="s">
        <v>105</v>
      </c>
      <c r="P101" t="s">
        <v>28</v>
      </c>
      <c r="Q101" t="s">
        <v>558</v>
      </c>
      <c r="R101" t="s">
        <v>559</v>
      </c>
      <c r="S101" t="s">
        <v>31</v>
      </c>
      <c r="T101">
        <v>0</v>
      </c>
    </row>
    <row r="102" spans="1:20" x14ac:dyDescent="0.25">
      <c r="A102" t="s">
        <v>560</v>
      </c>
      <c r="B102" s="1">
        <v>45875</v>
      </c>
      <c r="C102" s="5">
        <v>0.83740740740740738</v>
      </c>
      <c r="D102">
        <v>27.79</v>
      </c>
      <c r="E102" t="s">
        <v>44</v>
      </c>
      <c r="F102" t="s">
        <v>561</v>
      </c>
      <c r="G102" t="s">
        <v>77</v>
      </c>
      <c r="H102" t="s">
        <v>58</v>
      </c>
      <c r="I102" t="s">
        <v>562</v>
      </c>
      <c r="J102">
        <v>69</v>
      </c>
      <c r="K102" t="s">
        <v>37</v>
      </c>
      <c r="L102" t="s">
        <v>66</v>
      </c>
      <c r="M102" t="s">
        <v>84</v>
      </c>
      <c r="P102" t="s">
        <v>28</v>
      </c>
      <c r="Q102" t="s">
        <v>563</v>
      </c>
      <c r="R102" t="s">
        <v>564</v>
      </c>
      <c r="S102" t="s">
        <v>31</v>
      </c>
      <c r="T102">
        <v>0</v>
      </c>
    </row>
    <row r="103" spans="1:20" x14ac:dyDescent="0.25">
      <c r="A103" t="s">
        <v>565</v>
      </c>
      <c r="B103" s="1">
        <v>45784</v>
      </c>
      <c r="C103" s="5">
        <v>0.48675925925925928</v>
      </c>
      <c r="D103">
        <v>126.85</v>
      </c>
      <c r="E103" t="s">
        <v>44</v>
      </c>
      <c r="F103" t="s">
        <v>566</v>
      </c>
      <c r="G103" t="s">
        <v>124</v>
      </c>
      <c r="H103" t="s">
        <v>50</v>
      </c>
      <c r="I103" t="s">
        <v>567</v>
      </c>
      <c r="J103">
        <v>47</v>
      </c>
      <c r="K103" t="s">
        <v>49</v>
      </c>
      <c r="L103" t="s">
        <v>26</v>
      </c>
      <c r="M103" t="s">
        <v>105</v>
      </c>
      <c r="P103" t="s">
        <v>28</v>
      </c>
      <c r="Q103" t="s">
        <v>568</v>
      </c>
      <c r="R103" t="s">
        <v>569</v>
      </c>
      <c r="S103" t="s">
        <v>31</v>
      </c>
      <c r="T103">
        <v>0</v>
      </c>
    </row>
    <row r="104" spans="1:20" x14ac:dyDescent="0.25">
      <c r="A104" t="s">
        <v>570</v>
      </c>
      <c r="B104" s="1">
        <v>45886</v>
      </c>
      <c r="C104" s="5">
        <v>0.42903935185185182</v>
      </c>
      <c r="D104">
        <v>30.74</v>
      </c>
      <c r="E104" t="s">
        <v>44</v>
      </c>
      <c r="F104" t="s">
        <v>571</v>
      </c>
      <c r="G104" t="s">
        <v>96</v>
      </c>
      <c r="H104" t="s">
        <v>47</v>
      </c>
      <c r="I104" t="s">
        <v>572</v>
      </c>
      <c r="J104">
        <v>74</v>
      </c>
      <c r="K104" t="s">
        <v>37</v>
      </c>
      <c r="L104" t="s">
        <v>47</v>
      </c>
      <c r="M104" t="s">
        <v>105</v>
      </c>
      <c r="P104" t="s">
        <v>113</v>
      </c>
      <c r="Q104" t="s">
        <v>573</v>
      </c>
      <c r="R104" t="s">
        <v>574</v>
      </c>
      <c r="S104" t="s">
        <v>31</v>
      </c>
      <c r="T104">
        <v>0</v>
      </c>
    </row>
    <row r="105" spans="1:20" x14ac:dyDescent="0.25">
      <c r="A105" t="s">
        <v>575</v>
      </c>
      <c r="B105" s="1">
        <v>45834</v>
      </c>
      <c r="C105" s="5">
        <v>0.37788194444444445</v>
      </c>
      <c r="D105">
        <v>1002.53</v>
      </c>
      <c r="E105" t="s">
        <v>44</v>
      </c>
      <c r="F105" t="s">
        <v>576</v>
      </c>
      <c r="G105" t="s">
        <v>46</v>
      </c>
      <c r="H105" t="s">
        <v>146</v>
      </c>
      <c r="I105" t="s">
        <v>577</v>
      </c>
      <c r="J105">
        <v>56</v>
      </c>
      <c r="K105" t="s">
        <v>49</v>
      </c>
      <c r="L105" t="s">
        <v>38</v>
      </c>
      <c r="M105" t="s">
        <v>84</v>
      </c>
      <c r="P105" t="s">
        <v>28</v>
      </c>
      <c r="Q105" t="s">
        <v>578</v>
      </c>
      <c r="R105" t="s">
        <v>579</v>
      </c>
      <c r="S105" t="s">
        <v>31</v>
      </c>
      <c r="T105">
        <v>0</v>
      </c>
    </row>
    <row r="106" spans="1:20" x14ac:dyDescent="0.25">
      <c r="A106" t="s">
        <v>580</v>
      </c>
      <c r="B106" s="1">
        <v>45899</v>
      </c>
      <c r="C106" s="5">
        <v>0.34412037037037035</v>
      </c>
      <c r="D106">
        <v>54.57</v>
      </c>
      <c r="E106" t="s">
        <v>44</v>
      </c>
      <c r="F106" t="s">
        <v>581</v>
      </c>
      <c r="G106" t="s">
        <v>89</v>
      </c>
      <c r="H106" t="s">
        <v>38</v>
      </c>
      <c r="I106" t="s">
        <v>582</v>
      </c>
      <c r="J106">
        <v>24</v>
      </c>
      <c r="K106" t="s">
        <v>37</v>
      </c>
      <c r="L106" t="s">
        <v>58</v>
      </c>
      <c r="M106" t="s">
        <v>112</v>
      </c>
      <c r="P106" t="s">
        <v>28</v>
      </c>
      <c r="Q106" t="s">
        <v>583</v>
      </c>
      <c r="R106" t="s">
        <v>584</v>
      </c>
      <c r="S106" t="s">
        <v>31</v>
      </c>
      <c r="T106">
        <v>1</v>
      </c>
    </row>
    <row r="107" spans="1:20" x14ac:dyDescent="0.25">
      <c r="A107" t="s">
        <v>585</v>
      </c>
      <c r="B107" s="1">
        <v>45920</v>
      </c>
      <c r="C107" s="5">
        <v>0.51976851851851846</v>
      </c>
      <c r="D107">
        <v>168.6</v>
      </c>
      <c r="E107" t="s">
        <v>44</v>
      </c>
      <c r="F107" t="s">
        <v>586</v>
      </c>
      <c r="G107" t="s">
        <v>22</v>
      </c>
      <c r="H107" t="s">
        <v>58</v>
      </c>
      <c r="I107" t="s">
        <v>587</v>
      </c>
      <c r="J107">
        <v>28</v>
      </c>
      <c r="K107" t="s">
        <v>37</v>
      </c>
      <c r="L107" t="s">
        <v>130</v>
      </c>
      <c r="M107" t="s">
        <v>39</v>
      </c>
      <c r="P107" t="s">
        <v>28</v>
      </c>
      <c r="Q107" t="s">
        <v>588</v>
      </c>
      <c r="R107" t="s">
        <v>589</v>
      </c>
      <c r="S107" t="s">
        <v>31</v>
      </c>
      <c r="T107">
        <v>0</v>
      </c>
    </row>
    <row r="108" spans="1:20" x14ac:dyDescent="0.25">
      <c r="A108" t="s">
        <v>590</v>
      </c>
      <c r="B108" s="1">
        <v>45914</v>
      </c>
      <c r="C108" s="5">
        <v>5.2384259259259262E-2</v>
      </c>
      <c r="D108">
        <v>23.08</v>
      </c>
      <c r="E108" t="s">
        <v>44</v>
      </c>
      <c r="F108" t="s">
        <v>591</v>
      </c>
      <c r="G108" t="s">
        <v>22</v>
      </c>
      <c r="H108" t="s">
        <v>35</v>
      </c>
      <c r="I108" t="s">
        <v>592</v>
      </c>
      <c r="J108">
        <v>38</v>
      </c>
      <c r="K108" t="s">
        <v>49</v>
      </c>
      <c r="L108" t="s">
        <v>47</v>
      </c>
      <c r="M108" t="s">
        <v>84</v>
      </c>
      <c r="P108" t="s">
        <v>28</v>
      </c>
      <c r="Q108" t="s">
        <v>593</v>
      </c>
      <c r="R108" t="s">
        <v>594</v>
      </c>
      <c r="S108" t="s">
        <v>31</v>
      </c>
      <c r="T108">
        <v>0</v>
      </c>
    </row>
    <row r="109" spans="1:20" x14ac:dyDescent="0.25">
      <c r="A109" t="s">
        <v>595</v>
      </c>
      <c r="B109" s="1">
        <v>45800</v>
      </c>
      <c r="C109" s="5">
        <v>0.64659722222222227</v>
      </c>
      <c r="D109">
        <v>846.05</v>
      </c>
      <c r="E109" t="s">
        <v>44</v>
      </c>
      <c r="F109" t="s">
        <v>596</v>
      </c>
      <c r="G109" t="s">
        <v>34</v>
      </c>
      <c r="H109" t="s">
        <v>58</v>
      </c>
      <c r="I109" t="s">
        <v>597</v>
      </c>
      <c r="J109">
        <v>45</v>
      </c>
      <c r="K109" t="s">
        <v>49</v>
      </c>
      <c r="L109" t="s">
        <v>38</v>
      </c>
      <c r="M109" t="s">
        <v>27</v>
      </c>
      <c r="P109" t="s">
        <v>28</v>
      </c>
      <c r="Q109" t="s">
        <v>598</v>
      </c>
      <c r="R109" t="s">
        <v>599</v>
      </c>
      <c r="S109" t="s">
        <v>31</v>
      </c>
      <c r="T109">
        <v>0</v>
      </c>
    </row>
    <row r="110" spans="1:20" x14ac:dyDescent="0.25">
      <c r="A110" t="s">
        <v>600</v>
      </c>
      <c r="B110" s="1">
        <v>45787</v>
      </c>
      <c r="C110" s="5">
        <v>0.71785879629629634</v>
      </c>
      <c r="D110">
        <v>80.650000000000006</v>
      </c>
      <c r="E110" t="s">
        <v>44</v>
      </c>
      <c r="F110" t="s">
        <v>601</v>
      </c>
      <c r="G110" t="s">
        <v>71</v>
      </c>
      <c r="H110" t="s">
        <v>146</v>
      </c>
      <c r="I110" t="s">
        <v>602</v>
      </c>
      <c r="J110">
        <v>62</v>
      </c>
      <c r="K110" t="s">
        <v>37</v>
      </c>
      <c r="L110" t="s">
        <v>66</v>
      </c>
      <c r="M110" t="s">
        <v>84</v>
      </c>
      <c r="P110" t="s">
        <v>28</v>
      </c>
      <c r="Q110" t="s">
        <v>603</v>
      </c>
      <c r="R110" t="s">
        <v>604</v>
      </c>
      <c r="S110" t="s">
        <v>31</v>
      </c>
      <c r="T110">
        <v>0</v>
      </c>
    </row>
    <row r="111" spans="1:20" x14ac:dyDescent="0.25">
      <c r="A111" t="s">
        <v>605</v>
      </c>
      <c r="B111" s="1">
        <v>45811</v>
      </c>
      <c r="C111" s="5">
        <v>0.90546296296296291</v>
      </c>
      <c r="D111">
        <v>133.93</v>
      </c>
      <c r="E111" t="s">
        <v>44</v>
      </c>
      <c r="F111" t="s">
        <v>606</v>
      </c>
      <c r="G111" t="s">
        <v>22</v>
      </c>
      <c r="H111" t="s">
        <v>130</v>
      </c>
      <c r="I111" t="s">
        <v>607</v>
      </c>
      <c r="J111">
        <v>24</v>
      </c>
      <c r="K111" t="s">
        <v>25</v>
      </c>
      <c r="L111" t="s">
        <v>23</v>
      </c>
      <c r="M111" t="s">
        <v>51</v>
      </c>
      <c r="N111" t="s">
        <v>52</v>
      </c>
      <c r="O111">
        <v>544301</v>
      </c>
      <c r="P111" t="s">
        <v>28</v>
      </c>
      <c r="Q111" t="s">
        <v>608</v>
      </c>
      <c r="R111" t="s">
        <v>609</v>
      </c>
      <c r="S111" t="s">
        <v>31</v>
      </c>
      <c r="T111">
        <v>0</v>
      </c>
    </row>
    <row r="112" spans="1:20" x14ac:dyDescent="0.25">
      <c r="A112" t="s">
        <v>610</v>
      </c>
      <c r="B112" s="1">
        <v>45929</v>
      </c>
      <c r="C112" s="5">
        <v>0.23965277777777777</v>
      </c>
      <c r="D112">
        <v>137.27000000000001</v>
      </c>
      <c r="E112" t="s">
        <v>44</v>
      </c>
      <c r="F112" t="s">
        <v>611</v>
      </c>
      <c r="G112" t="s">
        <v>22</v>
      </c>
      <c r="H112" t="s">
        <v>66</v>
      </c>
      <c r="I112" t="s">
        <v>612</v>
      </c>
      <c r="J112">
        <v>39</v>
      </c>
      <c r="K112" t="s">
        <v>25</v>
      </c>
      <c r="L112" t="s">
        <v>47</v>
      </c>
      <c r="M112" t="s">
        <v>39</v>
      </c>
      <c r="P112" t="s">
        <v>28</v>
      </c>
      <c r="Q112" t="s">
        <v>613</v>
      </c>
      <c r="R112" t="s">
        <v>614</v>
      </c>
      <c r="S112" t="s">
        <v>31</v>
      </c>
      <c r="T112">
        <v>0</v>
      </c>
    </row>
    <row r="113" spans="1:20" x14ac:dyDescent="0.25">
      <c r="A113" t="s">
        <v>615</v>
      </c>
      <c r="B113" s="1">
        <v>45810</v>
      </c>
      <c r="C113" s="5">
        <v>0.72048611111111116</v>
      </c>
      <c r="D113">
        <v>2.91</v>
      </c>
      <c r="E113" t="s">
        <v>44</v>
      </c>
      <c r="F113" t="s">
        <v>616</v>
      </c>
      <c r="G113" t="s">
        <v>71</v>
      </c>
      <c r="H113" t="s">
        <v>146</v>
      </c>
      <c r="I113" t="s">
        <v>617</v>
      </c>
      <c r="J113">
        <v>47</v>
      </c>
      <c r="K113" t="s">
        <v>25</v>
      </c>
      <c r="L113" t="s">
        <v>248</v>
      </c>
      <c r="M113" t="s">
        <v>39</v>
      </c>
      <c r="P113" t="s">
        <v>28</v>
      </c>
      <c r="Q113" t="s">
        <v>618</v>
      </c>
      <c r="R113" t="s">
        <v>619</v>
      </c>
      <c r="S113" t="s">
        <v>31</v>
      </c>
      <c r="T113">
        <v>0</v>
      </c>
    </row>
    <row r="114" spans="1:20" x14ac:dyDescent="0.25">
      <c r="A114" t="s">
        <v>620</v>
      </c>
      <c r="B114" s="1">
        <v>45949</v>
      </c>
      <c r="C114" s="5">
        <v>0.4074652777777778</v>
      </c>
      <c r="D114">
        <v>199.95</v>
      </c>
      <c r="E114" t="s">
        <v>44</v>
      </c>
      <c r="F114" t="s">
        <v>621</v>
      </c>
      <c r="G114" t="s">
        <v>77</v>
      </c>
      <c r="H114" t="s">
        <v>97</v>
      </c>
      <c r="I114" t="s">
        <v>622</v>
      </c>
      <c r="J114">
        <v>38</v>
      </c>
      <c r="K114" t="s">
        <v>25</v>
      </c>
      <c r="L114" t="s">
        <v>66</v>
      </c>
      <c r="M114" t="s">
        <v>84</v>
      </c>
      <c r="P114" t="s">
        <v>28</v>
      </c>
      <c r="Q114" t="s">
        <v>623</v>
      </c>
      <c r="R114" t="s">
        <v>624</v>
      </c>
      <c r="S114" t="s">
        <v>31</v>
      </c>
      <c r="T114">
        <v>0</v>
      </c>
    </row>
    <row r="115" spans="1:20" x14ac:dyDescent="0.25">
      <c r="A115" t="s">
        <v>625</v>
      </c>
      <c r="B115" s="1">
        <v>45942</v>
      </c>
      <c r="C115" s="5">
        <v>0.66311342592592593</v>
      </c>
      <c r="D115">
        <v>54.21</v>
      </c>
      <c r="E115" t="s">
        <v>44</v>
      </c>
      <c r="F115" t="s">
        <v>413</v>
      </c>
      <c r="G115" t="s">
        <v>96</v>
      </c>
      <c r="H115" t="s">
        <v>38</v>
      </c>
      <c r="I115" t="s">
        <v>626</v>
      </c>
      <c r="J115">
        <v>26</v>
      </c>
      <c r="K115" t="s">
        <v>25</v>
      </c>
      <c r="L115" t="s">
        <v>26</v>
      </c>
      <c r="M115" t="s">
        <v>51</v>
      </c>
      <c r="N115" t="s">
        <v>173</v>
      </c>
      <c r="O115">
        <v>547121</v>
      </c>
      <c r="P115" t="s">
        <v>28</v>
      </c>
      <c r="Q115" t="s">
        <v>627</v>
      </c>
      <c r="R115" t="s">
        <v>628</v>
      </c>
      <c r="S115" t="s">
        <v>31</v>
      </c>
      <c r="T115">
        <v>0</v>
      </c>
    </row>
    <row r="116" spans="1:20" x14ac:dyDescent="0.25">
      <c r="A116" t="s">
        <v>629</v>
      </c>
      <c r="B116" s="1">
        <v>45810</v>
      </c>
      <c r="C116" s="5">
        <v>0.3240972222222222</v>
      </c>
      <c r="D116">
        <v>36.35</v>
      </c>
      <c r="E116" t="s">
        <v>44</v>
      </c>
      <c r="F116" t="s">
        <v>630</v>
      </c>
      <c r="G116" t="s">
        <v>96</v>
      </c>
      <c r="H116" t="s">
        <v>146</v>
      </c>
      <c r="I116" t="s">
        <v>631</v>
      </c>
      <c r="J116">
        <v>55</v>
      </c>
      <c r="K116" t="s">
        <v>37</v>
      </c>
      <c r="L116" t="s">
        <v>50</v>
      </c>
      <c r="M116" t="s">
        <v>39</v>
      </c>
      <c r="P116" t="s">
        <v>28</v>
      </c>
      <c r="Q116" t="s">
        <v>632</v>
      </c>
      <c r="R116" t="s">
        <v>633</v>
      </c>
      <c r="S116" t="s">
        <v>31</v>
      </c>
      <c r="T116">
        <v>0</v>
      </c>
    </row>
    <row r="117" spans="1:20" x14ac:dyDescent="0.25">
      <c r="A117" t="s">
        <v>634</v>
      </c>
      <c r="B117" s="1">
        <v>45908</v>
      </c>
      <c r="C117" s="5">
        <v>0.44259259259259259</v>
      </c>
      <c r="D117">
        <v>29.42</v>
      </c>
      <c r="E117" t="s">
        <v>44</v>
      </c>
      <c r="F117" t="s">
        <v>467</v>
      </c>
      <c r="G117" t="s">
        <v>77</v>
      </c>
      <c r="H117" t="s">
        <v>66</v>
      </c>
      <c r="I117" t="s">
        <v>635</v>
      </c>
      <c r="J117">
        <v>65</v>
      </c>
      <c r="K117" t="s">
        <v>49</v>
      </c>
      <c r="L117" t="s">
        <v>58</v>
      </c>
      <c r="M117" t="s">
        <v>39</v>
      </c>
      <c r="P117" t="s">
        <v>28</v>
      </c>
      <c r="Q117" t="s">
        <v>636</v>
      </c>
      <c r="R117" t="s">
        <v>637</v>
      </c>
      <c r="S117" t="s">
        <v>31</v>
      </c>
      <c r="T117">
        <v>0</v>
      </c>
    </row>
    <row r="118" spans="1:20" x14ac:dyDescent="0.25">
      <c r="A118" t="s">
        <v>638</v>
      </c>
      <c r="B118" s="1">
        <v>45780</v>
      </c>
      <c r="C118" s="5">
        <v>0.60818287037037033</v>
      </c>
      <c r="D118">
        <v>161.13</v>
      </c>
      <c r="E118" t="s">
        <v>44</v>
      </c>
      <c r="F118" t="s">
        <v>639</v>
      </c>
      <c r="G118" t="s">
        <v>64</v>
      </c>
      <c r="H118" t="s">
        <v>97</v>
      </c>
      <c r="I118" t="s">
        <v>640</v>
      </c>
      <c r="J118">
        <v>27</v>
      </c>
      <c r="K118" t="s">
        <v>49</v>
      </c>
      <c r="L118" t="s">
        <v>35</v>
      </c>
      <c r="M118" t="s">
        <v>27</v>
      </c>
      <c r="P118" t="s">
        <v>28</v>
      </c>
      <c r="Q118" t="s">
        <v>641</v>
      </c>
      <c r="R118" t="s">
        <v>642</v>
      </c>
      <c r="S118" t="s">
        <v>31</v>
      </c>
      <c r="T118">
        <v>0</v>
      </c>
    </row>
    <row r="119" spans="1:20" x14ac:dyDescent="0.25">
      <c r="A119" t="s">
        <v>643</v>
      </c>
      <c r="B119" s="1">
        <v>45799</v>
      </c>
      <c r="C119" s="5">
        <v>0.89144675925925931</v>
      </c>
      <c r="D119">
        <v>107.4</v>
      </c>
      <c r="E119" t="s">
        <v>44</v>
      </c>
      <c r="F119" t="s">
        <v>644</v>
      </c>
      <c r="G119" t="s">
        <v>64</v>
      </c>
      <c r="H119" t="s">
        <v>38</v>
      </c>
      <c r="I119" t="s">
        <v>645</v>
      </c>
      <c r="J119">
        <v>20</v>
      </c>
      <c r="K119" t="s">
        <v>37</v>
      </c>
      <c r="L119" t="s">
        <v>110</v>
      </c>
      <c r="M119" t="s">
        <v>84</v>
      </c>
      <c r="P119" t="s">
        <v>28</v>
      </c>
      <c r="Q119" t="s">
        <v>646</v>
      </c>
      <c r="R119" t="s">
        <v>647</v>
      </c>
      <c r="S119" t="s">
        <v>31</v>
      </c>
      <c r="T119">
        <v>0</v>
      </c>
    </row>
    <row r="120" spans="1:20" x14ac:dyDescent="0.25">
      <c r="A120" t="s">
        <v>648</v>
      </c>
      <c r="B120" s="1">
        <v>45910</v>
      </c>
      <c r="C120" s="5">
        <v>0.52537037037037038</v>
      </c>
      <c r="D120">
        <v>194.76</v>
      </c>
      <c r="E120" t="s">
        <v>44</v>
      </c>
      <c r="F120" t="s">
        <v>649</v>
      </c>
      <c r="G120" t="s">
        <v>46</v>
      </c>
      <c r="H120" t="s">
        <v>38</v>
      </c>
      <c r="I120" t="s">
        <v>650</v>
      </c>
      <c r="J120">
        <v>24</v>
      </c>
      <c r="K120" t="s">
        <v>49</v>
      </c>
      <c r="L120" t="s">
        <v>35</v>
      </c>
      <c r="M120" t="s">
        <v>39</v>
      </c>
      <c r="P120" t="s">
        <v>28</v>
      </c>
      <c r="Q120" t="s">
        <v>651</v>
      </c>
      <c r="R120" t="s">
        <v>652</v>
      </c>
      <c r="S120" t="s">
        <v>31</v>
      </c>
      <c r="T120">
        <v>0</v>
      </c>
    </row>
    <row r="121" spans="1:20" x14ac:dyDescent="0.25">
      <c r="A121" t="s">
        <v>653</v>
      </c>
      <c r="B121" s="1">
        <v>45905</v>
      </c>
      <c r="C121" s="5">
        <v>0.97493055555555552</v>
      </c>
      <c r="D121">
        <v>161.58000000000001</v>
      </c>
      <c r="E121" t="s">
        <v>44</v>
      </c>
      <c r="F121" t="s">
        <v>349</v>
      </c>
      <c r="G121" t="s">
        <v>46</v>
      </c>
      <c r="H121" t="s">
        <v>119</v>
      </c>
      <c r="I121" t="s">
        <v>654</v>
      </c>
      <c r="J121">
        <v>24</v>
      </c>
      <c r="K121" t="s">
        <v>37</v>
      </c>
      <c r="L121" t="s">
        <v>146</v>
      </c>
      <c r="M121" t="s">
        <v>105</v>
      </c>
      <c r="P121" t="s">
        <v>28</v>
      </c>
      <c r="Q121" t="s">
        <v>655</v>
      </c>
      <c r="R121" t="s">
        <v>656</v>
      </c>
      <c r="S121" t="s">
        <v>31</v>
      </c>
      <c r="T121">
        <v>0</v>
      </c>
    </row>
    <row r="122" spans="1:20" x14ac:dyDescent="0.25">
      <c r="A122" t="s">
        <v>657</v>
      </c>
      <c r="B122" s="1">
        <v>45932</v>
      </c>
      <c r="C122" s="5">
        <v>0.61695601851851856</v>
      </c>
      <c r="D122">
        <v>524.6</v>
      </c>
      <c r="E122" t="s">
        <v>44</v>
      </c>
      <c r="F122" t="s">
        <v>658</v>
      </c>
      <c r="G122" t="s">
        <v>34</v>
      </c>
      <c r="H122" t="s">
        <v>23</v>
      </c>
      <c r="I122" t="s">
        <v>659</v>
      </c>
      <c r="J122">
        <v>67</v>
      </c>
      <c r="K122" t="s">
        <v>25</v>
      </c>
      <c r="L122" t="s">
        <v>146</v>
      </c>
      <c r="M122" t="s">
        <v>51</v>
      </c>
      <c r="N122" t="s">
        <v>304</v>
      </c>
      <c r="O122">
        <v>482860</v>
      </c>
      <c r="P122" t="s">
        <v>28</v>
      </c>
      <c r="Q122" t="s">
        <v>660</v>
      </c>
      <c r="R122" t="s">
        <v>661</v>
      </c>
      <c r="S122" t="s">
        <v>31</v>
      </c>
      <c r="T122">
        <v>0</v>
      </c>
    </row>
    <row r="123" spans="1:20" x14ac:dyDescent="0.25">
      <c r="A123" t="s">
        <v>662</v>
      </c>
      <c r="B123" s="1">
        <v>45948</v>
      </c>
      <c r="C123" s="5">
        <v>0.85519675925925931</v>
      </c>
      <c r="D123">
        <v>98.03</v>
      </c>
      <c r="E123" t="s">
        <v>44</v>
      </c>
      <c r="F123" t="s">
        <v>663</v>
      </c>
      <c r="G123" t="s">
        <v>64</v>
      </c>
      <c r="H123" t="s">
        <v>146</v>
      </c>
      <c r="I123" t="s">
        <v>664</v>
      </c>
      <c r="J123">
        <v>54</v>
      </c>
      <c r="K123" t="s">
        <v>37</v>
      </c>
      <c r="L123" t="s">
        <v>47</v>
      </c>
      <c r="M123" t="s">
        <v>84</v>
      </c>
      <c r="P123" t="s">
        <v>28</v>
      </c>
      <c r="Q123" t="s">
        <v>665</v>
      </c>
      <c r="R123" t="s">
        <v>666</v>
      </c>
      <c r="S123" t="s">
        <v>31</v>
      </c>
      <c r="T123">
        <v>0</v>
      </c>
    </row>
    <row r="124" spans="1:20" x14ac:dyDescent="0.25">
      <c r="A124" t="s">
        <v>667</v>
      </c>
      <c r="B124" s="1">
        <v>45827</v>
      </c>
      <c r="C124" s="5">
        <v>0.39605324074074072</v>
      </c>
      <c r="D124">
        <v>46.19</v>
      </c>
      <c r="E124" t="s">
        <v>44</v>
      </c>
      <c r="F124" t="s">
        <v>668</v>
      </c>
      <c r="G124" t="s">
        <v>46</v>
      </c>
      <c r="H124" t="s">
        <v>47</v>
      </c>
      <c r="I124" t="s">
        <v>669</v>
      </c>
      <c r="J124">
        <v>26</v>
      </c>
      <c r="K124" t="s">
        <v>25</v>
      </c>
      <c r="L124" t="s">
        <v>110</v>
      </c>
      <c r="M124" t="s">
        <v>105</v>
      </c>
      <c r="P124" t="s">
        <v>28</v>
      </c>
      <c r="Q124" t="s">
        <v>670</v>
      </c>
      <c r="R124" t="s">
        <v>671</v>
      </c>
      <c r="S124" t="s">
        <v>31</v>
      </c>
      <c r="T124">
        <v>1</v>
      </c>
    </row>
    <row r="125" spans="1:20" x14ac:dyDescent="0.25">
      <c r="A125" t="s">
        <v>672</v>
      </c>
      <c r="B125" s="1">
        <v>45886</v>
      </c>
      <c r="C125" s="5">
        <v>0.57773148148148146</v>
      </c>
      <c r="D125">
        <v>53.47</v>
      </c>
      <c r="E125" t="s">
        <v>44</v>
      </c>
      <c r="F125" t="s">
        <v>673</v>
      </c>
      <c r="G125" t="s">
        <v>46</v>
      </c>
      <c r="H125" t="s">
        <v>23</v>
      </c>
      <c r="I125" t="s">
        <v>674</v>
      </c>
      <c r="J125">
        <v>62</v>
      </c>
      <c r="K125" t="s">
        <v>25</v>
      </c>
      <c r="L125" t="s">
        <v>110</v>
      </c>
      <c r="M125" t="s">
        <v>51</v>
      </c>
      <c r="N125" t="s">
        <v>507</v>
      </c>
      <c r="O125">
        <v>437636</v>
      </c>
      <c r="P125" t="s">
        <v>28</v>
      </c>
      <c r="Q125" t="s">
        <v>675</v>
      </c>
      <c r="R125" t="s">
        <v>676</v>
      </c>
      <c r="S125" t="s">
        <v>31</v>
      </c>
      <c r="T125">
        <v>0</v>
      </c>
    </row>
    <row r="126" spans="1:20" x14ac:dyDescent="0.25">
      <c r="A126" t="s">
        <v>677</v>
      </c>
      <c r="B126" s="1">
        <v>45904</v>
      </c>
      <c r="C126" s="5">
        <v>0.99677083333333338</v>
      </c>
      <c r="D126">
        <v>27.9</v>
      </c>
      <c r="E126" t="s">
        <v>44</v>
      </c>
      <c r="F126" t="s">
        <v>678</v>
      </c>
      <c r="G126" t="s">
        <v>124</v>
      </c>
      <c r="H126" t="s">
        <v>38</v>
      </c>
      <c r="I126" t="s">
        <v>679</v>
      </c>
      <c r="J126">
        <v>113</v>
      </c>
      <c r="K126" t="s">
        <v>49</v>
      </c>
      <c r="L126" t="s">
        <v>130</v>
      </c>
      <c r="M126" t="s">
        <v>27</v>
      </c>
      <c r="P126" t="s">
        <v>28</v>
      </c>
      <c r="Q126" t="s">
        <v>680</v>
      </c>
      <c r="R126" t="s">
        <v>681</v>
      </c>
      <c r="S126" t="s">
        <v>31</v>
      </c>
      <c r="T126">
        <v>0</v>
      </c>
    </row>
    <row r="127" spans="1:20" x14ac:dyDescent="0.25">
      <c r="A127" t="s">
        <v>682</v>
      </c>
      <c r="B127" s="1">
        <v>45842</v>
      </c>
      <c r="C127" s="5">
        <v>0.41181712962962963</v>
      </c>
      <c r="D127">
        <v>27.09</v>
      </c>
      <c r="E127" t="s">
        <v>44</v>
      </c>
      <c r="F127" t="s">
        <v>683</v>
      </c>
      <c r="G127" t="s">
        <v>77</v>
      </c>
      <c r="H127" t="s">
        <v>26</v>
      </c>
      <c r="I127" t="s">
        <v>684</v>
      </c>
      <c r="J127">
        <v>22</v>
      </c>
      <c r="K127" t="s">
        <v>49</v>
      </c>
      <c r="L127" t="s">
        <v>47</v>
      </c>
      <c r="M127" t="s">
        <v>27</v>
      </c>
      <c r="P127" t="s">
        <v>28</v>
      </c>
      <c r="Q127" t="s">
        <v>685</v>
      </c>
      <c r="R127" t="s">
        <v>686</v>
      </c>
      <c r="S127" t="s">
        <v>31</v>
      </c>
      <c r="T127">
        <v>0</v>
      </c>
    </row>
    <row r="128" spans="1:20" x14ac:dyDescent="0.25">
      <c r="A128" t="s">
        <v>687</v>
      </c>
      <c r="B128" s="1">
        <v>45907</v>
      </c>
      <c r="C128" s="5">
        <v>0.67527777777777775</v>
      </c>
      <c r="D128">
        <v>816.11</v>
      </c>
      <c r="E128" t="s">
        <v>44</v>
      </c>
      <c r="F128" t="s">
        <v>688</v>
      </c>
      <c r="G128" t="s">
        <v>89</v>
      </c>
      <c r="H128" t="s">
        <v>146</v>
      </c>
      <c r="I128" t="s">
        <v>689</v>
      </c>
      <c r="J128">
        <v>20</v>
      </c>
      <c r="K128" t="s">
        <v>25</v>
      </c>
      <c r="L128" t="s">
        <v>35</v>
      </c>
      <c r="M128" t="s">
        <v>112</v>
      </c>
      <c r="P128" t="s">
        <v>28</v>
      </c>
      <c r="Q128" t="s">
        <v>690</v>
      </c>
      <c r="R128" t="s">
        <v>691</v>
      </c>
      <c r="S128" t="s">
        <v>31</v>
      </c>
      <c r="T128">
        <v>0</v>
      </c>
    </row>
    <row r="129" spans="1:20" x14ac:dyDescent="0.25">
      <c r="A129" t="s">
        <v>692</v>
      </c>
      <c r="B129" s="1">
        <v>45937</v>
      </c>
      <c r="C129" s="5">
        <v>0.96126157407407409</v>
      </c>
      <c r="D129">
        <v>150.80000000000001</v>
      </c>
      <c r="E129" t="s">
        <v>44</v>
      </c>
      <c r="F129" t="s">
        <v>693</v>
      </c>
      <c r="G129" t="s">
        <v>71</v>
      </c>
      <c r="H129" t="s">
        <v>119</v>
      </c>
      <c r="I129" t="s">
        <v>694</v>
      </c>
      <c r="J129">
        <v>70</v>
      </c>
      <c r="K129" t="s">
        <v>49</v>
      </c>
      <c r="L129" t="s">
        <v>50</v>
      </c>
      <c r="M129" t="s">
        <v>112</v>
      </c>
      <c r="P129" t="s">
        <v>28</v>
      </c>
      <c r="Q129" t="s">
        <v>695</v>
      </c>
      <c r="R129" t="s">
        <v>696</v>
      </c>
      <c r="S129" t="s">
        <v>101</v>
      </c>
      <c r="T129">
        <v>0</v>
      </c>
    </row>
    <row r="130" spans="1:20" x14ac:dyDescent="0.25">
      <c r="A130" t="s">
        <v>697</v>
      </c>
      <c r="B130" s="1">
        <v>45832</v>
      </c>
      <c r="C130" s="5">
        <v>0.64659722222222227</v>
      </c>
      <c r="D130">
        <v>194.48</v>
      </c>
      <c r="E130" t="s">
        <v>44</v>
      </c>
      <c r="F130" t="s">
        <v>698</v>
      </c>
      <c r="G130" t="s">
        <v>22</v>
      </c>
      <c r="H130" t="s">
        <v>47</v>
      </c>
      <c r="I130" t="s">
        <v>699</v>
      </c>
      <c r="J130">
        <v>32</v>
      </c>
      <c r="K130" t="s">
        <v>37</v>
      </c>
      <c r="L130" t="s">
        <v>146</v>
      </c>
      <c r="M130" t="s">
        <v>112</v>
      </c>
      <c r="P130" t="s">
        <v>28</v>
      </c>
      <c r="Q130" t="s">
        <v>700</v>
      </c>
      <c r="R130" t="s">
        <v>701</v>
      </c>
      <c r="S130" t="s">
        <v>31</v>
      </c>
      <c r="T130">
        <v>0</v>
      </c>
    </row>
    <row r="131" spans="1:20" x14ac:dyDescent="0.25">
      <c r="A131" t="s">
        <v>702</v>
      </c>
      <c r="B131" s="1">
        <v>45921</v>
      </c>
      <c r="C131" s="5">
        <v>0.71454861111111112</v>
      </c>
      <c r="D131">
        <v>184.6</v>
      </c>
      <c r="E131" t="s">
        <v>44</v>
      </c>
      <c r="F131" t="s">
        <v>703</v>
      </c>
      <c r="G131" t="s">
        <v>64</v>
      </c>
      <c r="H131" t="s">
        <v>35</v>
      </c>
      <c r="I131" t="s">
        <v>704</v>
      </c>
      <c r="J131">
        <v>31</v>
      </c>
      <c r="K131" t="s">
        <v>49</v>
      </c>
      <c r="L131" t="s">
        <v>119</v>
      </c>
      <c r="M131" t="s">
        <v>112</v>
      </c>
      <c r="P131" t="s">
        <v>28</v>
      </c>
      <c r="Q131" t="s">
        <v>705</v>
      </c>
      <c r="R131" t="s">
        <v>706</v>
      </c>
      <c r="S131" t="s">
        <v>31</v>
      </c>
      <c r="T131">
        <v>0</v>
      </c>
    </row>
    <row r="132" spans="1:20" x14ac:dyDescent="0.25">
      <c r="A132" t="s">
        <v>707</v>
      </c>
      <c r="B132" s="1">
        <v>45922</v>
      </c>
      <c r="C132" s="5">
        <v>0.65171296296296299</v>
      </c>
      <c r="D132">
        <v>12.45</v>
      </c>
      <c r="E132" t="s">
        <v>44</v>
      </c>
      <c r="F132" t="s">
        <v>708</v>
      </c>
      <c r="G132" t="s">
        <v>57</v>
      </c>
      <c r="H132" t="s">
        <v>50</v>
      </c>
      <c r="I132" t="s">
        <v>709</v>
      </c>
      <c r="J132">
        <v>21</v>
      </c>
      <c r="K132" t="s">
        <v>49</v>
      </c>
      <c r="L132" t="s">
        <v>50</v>
      </c>
      <c r="M132" t="s">
        <v>39</v>
      </c>
      <c r="P132" t="s">
        <v>113</v>
      </c>
      <c r="Q132" t="s">
        <v>710</v>
      </c>
      <c r="R132" t="s">
        <v>711</v>
      </c>
      <c r="S132" t="s">
        <v>31</v>
      </c>
      <c r="T132">
        <v>0</v>
      </c>
    </row>
    <row r="133" spans="1:20" x14ac:dyDescent="0.25">
      <c r="A133" t="s">
        <v>712</v>
      </c>
      <c r="B133" s="1">
        <v>45864</v>
      </c>
      <c r="C133" s="5">
        <v>0.16043981481481481</v>
      </c>
      <c r="D133">
        <v>727.26</v>
      </c>
      <c r="E133" t="s">
        <v>44</v>
      </c>
      <c r="F133" t="s">
        <v>713</v>
      </c>
      <c r="G133" t="s">
        <v>77</v>
      </c>
      <c r="H133" t="s">
        <v>66</v>
      </c>
      <c r="I133" t="s">
        <v>714</v>
      </c>
      <c r="J133">
        <v>44</v>
      </c>
      <c r="K133" t="s">
        <v>49</v>
      </c>
      <c r="L133" t="s">
        <v>97</v>
      </c>
      <c r="M133" t="s">
        <v>112</v>
      </c>
      <c r="P133" t="s">
        <v>28</v>
      </c>
      <c r="Q133" t="s">
        <v>715</v>
      </c>
      <c r="R133" t="s">
        <v>716</v>
      </c>
      <c r="S133" t="s">
        <v>31</v>
      </c>
      <c r="T133">
        <v>0</v>
      </c>
    </row>
    <row r="134" spans="1:20" x14ac:dyDescent="0.25">
      <c r="A134" t="s">
        <v>717</v>
      </c>
      <c r="B134" s="1">
        <v>45817</v>
      </c>
      <c r="C134" s="5">
        <v>0.4493287037037037</v>
      </c>
      <c r="D134">
        <v>42.64</v>
      </c>
      <c r="E134" t="s">
        <v>44</v>
      </c>
      <c r="F134" t="s">
        <v>718</v>
      </c>
      <c r="G134" t="s">
        <v>64</v>
      </c>
      <c r="H134" t="s">
        <v>66</v>
      </c>
      <c r="I134" t="s">
        <v>719</v>
      </c>
      <c r="J134">
        <v>61</v>
      </c>
      <c r="K134" t="s">
        <v>25</v>
      </c>
      <c r="L134" t="s">
        <v>130</v>
      </c>
      <c r="M134" t="s">
        <v>112</v>
      </c>
      <c r="P134" t="s">
        <v>28</v>
      </c>
      <c r="Q134" t="s">
        <v>720</v>
      </c>
      <c r="R134" t="s">
        <v>721</v>
      </c>
      <c r="S134" t="s">
        <v>31</v>
      </c>
      <c r="T134">
        <v>1</v>
      </c>
    </row>
    <row r="135" spans="1:20" x14ac:dyDescent="0.25">
      <c r="A135" t="s">
        <v>722</v>
      </c>
      <c r="B135" s="1">
        <v>45949</v>
      </c>
      <c r="C135" s="5">
        <v>0.93905092592592587</v>
      </c>
      <c r="D135">
        <v>106.31</v>
      </c>
      <c r="E135" t="s">
        <v>44</v>
      </c>
      <c r="F135" t="s">
        <v>723</v>
      </c>
      <c r="G135" t="s">
        <v>34</v>
      </c>
      <c r="H135" t="s">
        <v>58</v>
      </c>
      <c r="I135" t="s">
        <v>724</v>
      </c>
      <c r="J135">
        <v>58</v>
      </c>
      <c r="K135" t="s">
        <v>49</v>
      </c>
      <c r="L135" t="s">
        <v>91</v>
      </c>
      <c r="M135" t="s">
        <v>27</v>
      </c>
      <c r="P135" t="s">
        <v>28</v>
      </c>
      <c r="Q135" t="s">
        <v>725</v>
      </c>
      <c r="R135" t="s">
        <v>726</v>
      </c>
      <c r="S135" t="s">
        <v>31</v>
      </c>
      <c r="T135">
        <v>0</v>
      </c>
    </row>
    <row r="136" spans="1:20" x14ac:dyDescent="0.25">
      <c r="A136" t="s">
        <v>727</v>
      </c>
      <c r="B136" s="1">
        <v>45930</v>
      </c>
      <c r="C136" s="5">
        <v>0.6443402777777778</v>
      </c>
      <c r="D136">
        <v>4304.66</v>
      </c>
      <c r="E136" t="s">
        <v>44</v>
      </c>
      <c r="F136" t="s">
        <v>728</v>
      </c>
      <c r="G136" t="s">
        <v>57</v>
      </c>
      <c r="H136" t="s">
        <v>119</v>
      </c>
      <c r="I136" t="s">
        <v>729</v>
      </c>
      <c r="J136">
        <v>18</v>
      </c>
      <c r="K136" t="s">
        <v>25</v>
      </c>
      <c r="L136" t="s">
        <v>130</v>
      </c>
      <c r="M136" t="s">
        <v>27</v>
      </c>
      <c r="P136" t="s">
        <v>28</v>
      </c>
      <c r="Q136" t="s">
        <v>730</v>
      </c>
      <c r="R136" t="s">
        <v>731</v>
      </c>
      <c r="S136" t="s">
        <v>31</v>
      </c>
      <c r="T136">
        <v>0</v>
      </c>
    </row>
    <row r="137" spans="1:20" x14ac:dyDescent="0.25">
      <c r="A137" t="s">
        <v>732</v>
      </c>
      <c r="B137" s="1">
        <v>45806</v>
      </c>
      <c r="C137" s="5">
        <v>0.87270833333333331</v>
      </c>
      <c r="D137">
        <v>178.7</v>
      </c>
      <c r="E137" t="s">
        <v>44</v>
      </c>
      <c r="F137" t="s">
        <v>733</v>
      </c>
      <c r="G137" t="s">
        <v>77</v>
      </c>
      <c r="H137" t="s">
        <v>130</v>
      </c>
      <c r="I137" t="s">
        <v>734</v>
      </c>
      <c r="J137">
        <v>49</v>
      </c>
      <c r="K137" t="s">
        <v>49</v>
      </c>
      <c r="L137" t="s">
        <v>130</v>
      </c>
      <c r="M137" t="s">
        <v>84</v>
      </c>
      <c r="P137" t="s">
        <v>113</v>
      </c>
      <c r="Q137" t="s">
        <v>735</v>
      </c>
      <c r="R137" t="s">
        <v>736</v>
      </c>
      <c r="S137" t="s">
        <v>31</v>
      </c>
      <c r="T137">
        <v>0</v>
      </c>
    </row>
    <row r="138" spans="1:20" x14ac:dyDescent="0.25">
      <c r="A138" t="s">
        <v>737</v>
      </c>
      <c r="B138" s="1">
        <v>45793</v>
      </c>
      <c r="C138" s="5">
        <v>0.81534722222222222</v>
      </c>
      <c r="D138">
        <v>1033.9000000000001</v>
      </c>
      <c r="E138" t="s">
        <v>44</v>
      </c>
      <c r="F138" t="s">
        <v>738</v>
      </c>
      <c r="G138" t="s">
        <v>124</v>
      </c>
      <c r="H138" t="s">
        <v>110</v>
      </c>
      <c r="I138" t="s">
        <v>739</v>
      </c>
      <c r="J138">
        <v>34</v>
      </c>
      <c r="K138" t="s">
        <v>25</v>
      </c>
      <c r="L138" t="s">
        <v>66</v>
      </c>
      <c r="M138" t="s">
        <v>51</v>
      </c>
      <c r="N138" t="s">
        <v>507</v>
      </c>
      <c r="O138">
        <v>424101</v>
      </c>
      <c r="P138" t="s">
        <v>28</v>
      </c>
      <c r="Q138" t="s">
        <v>740</v>
      </c>
      <c r="R138" t="s">
        <v>741</v>
      </c>
      <c r="S138" t="s">
        <v>31</v>
      </c>
      <c r="T138">
        <v>0</v>
      </c>
    </row>
    <row r="139" spans="1:20" x14ac:dyDescent="0.25">
      <c r="A139" t="s">
        <v>742</v>
      </c>
      <c r="B139" s="1">
        <v>45887</v>
      </c>
      <c r="C139" s="5">
        <v>0.49168981481481483</v>
      </c>
      <c r="D139">
        <v>112.46</v>
      </c>
      <c r="E139" t="s">
        <v>44</v>
      </c>
      <c r="F139" t="s">
        <v>743</v>
      </c>
      <c r="G139" t="s">
        <v>96</v>
      </c>
      <c r="H139" t="s">
        <v>97</v>
      </c>
      <c r="I139" t="s">
        <v>744</v>
      </c>
      <c r="J139">
        <v>65</v>
      </c>
      <c r="K139" t="s">
        <v>49</v>
      </c>
      <c r="L139" t="s">
        <v>38</v>
      </c>
      <c r="M139" t="s">
        <v>112</v>
      </c>
      <c r="P139" t="s">
        <v>28</v>
      </c>
      <c r="Q139" t="s">
        <v>745</v>
      </c>
      <c r="R139" t="s">
        <v>746</v>
      </c>
      <c r="S139" t="s">
        <v>31</v>
      </c>
      <c r="T139">
        <v>0</v>
      </c>
    </row>
    <row r="140" spans="1:20" x14ac:dyDescent="0.25">
      <c r="A140" t="s">
        <v>747</v>
      </c>
      <c r="B140" s="1">
        <v>45815</v>
      </c>
      <c r="C140" s="5">
        <v>0.35774305555555558</v>
      </c>
      <c r="D140">
        <v>99.56</v>
      </c>
      <c r="E140" t="s">
        <v>44</v>
      </c>
      <c r="F140" t="s">
        <v>748</v>
      </c>
      <c r="G140" t="s">
        <v>89</v>
      </c>
      <c r="H140" t="s">
        <v>35</v>
      </c>
      <c r="I140" t="s">
        <v>749</v>
      </c>
      <c r="J140">
        <v>30</v>
      </c>
      <c r="K140" t="s">
        <v>49</v>
      </c>
      <c r="L140" t="s">
        <v>97</v>
      </c>
      <c r="M140" t="s">
        <v>105</v>
      </c>
      <c r="P140" t="s">
        <v>28</v>
      </c>
      <c r="Q140" t="s">
        <v>750</v>
      </c>
      <c r="R140" t="s">
        <v>751</v>
      </c>
      <c r="S140" t="s">
        <v>31</v>
      </c>
      <c r="T140">
        <v>0</v>
      </c>
    </row>
    <row r="141" spans="1:20" x14ac:dyDescent="0.25">
      <c r="A141" t="s">
        <v>752</v>
      </c>
      <c r="B141" s="1">
        <v>45837</v>
      </c>
      <c r="C141" s="5">
        <v>0.57313657407407403</v>
      </c>
      <c r="D141">
        <v>176.94</v>
      </c>
      <c r="E141" t="s">
        <v>44</v>
      </c>
      <c r="F141" t="s">
        <v>753</v>
      </c>
      <c r="G141" t="s">
        <v>96</v>
      </c>
      <c r="H141" t="s">
        <v>38</v>
      </c>
      <c r="I141" t="s">
        <v>754</v>
      </c>
      <c r="J141">
        <v>50</v>
      </c>
      <c r="K141" t="s">
        <v>49</v>
      </c>
      <c r="L141" t="s">
        <v>130</v>
      </c>
      <c r="M141" t="s">
        <v>105</v>
      </c>
      <c r="P141" t="s">
        <v>28</v>
      </c>
      <c r="Q141" t="s">
        <v>755</v>
      </c>
      <c r="R141" t="s">
        <v>756</v>
      </c>
      <c r="S141" t="s">
        <v>31</v>
      </c>
      <c r="T141">
        <v>0</v>
      </c>
    </row>
    <row r="142" spans="1:20" x14ac:dyDescent="0.25">
      <c r="A142" t="s">
        <v>757</v>
      </c>
      <c r="B142" s="1">
        <v>45926</v>
      </c>
      <c r="C142" s="5">
        <v>0.62923611111111111</v>
      </c>
      <c r="D142">
        <v>192.09</v>
      </c>
      <c r="E142" t="s">
        <v>44</v>
      </c>
      <c r="F142" t="s">
        <v>758</v>
      </c>
      <c r="G142" t="s">
        <v>57</v>
      </c>
      <c r="H142" t="s">
        <v>23</v>
      </c>
      <c r="I142" t="s">
        <v>759</v>
      </c>
      <c r="K142" t="s">
        <v>37</v>
      </c>
      <c r="L142" t="s">
        <v>97</v>
      </c>
      <c r="M142" t="s">
        <v>84</v>
      </c>
      <c r="P142" t="s">
        <v>28</v>
      </c>
      <c r="Q142" t="s">
        <v>760</v>
      </c>
      <c r="R142" t="s">
        <v>761</v>
      </c>
      <c r="S142" t="s">
        <v>31</v>
      </c>
      <c r="T142">
        <v>0</v>
      </c>
    </row>
    <row r="143" spans="1:20" x14ac:dyDescent="0.25">
      <c r="A143" t="s">
        <v>762</v>
      </c>
      <c r="B143" s="1">
        <v>45858</v>
      </c>
      <c r="C143" s="5">
        <v>0.20587962962962963</v>
      </c>
      <c r="D143">
        <v>192.41</v>
      </c>
      <c r="E143" t="s">
        <v>44</v>
      </c>
      <c r="F143" t="s">
        <v>763</v>
      </c>
      <c r="G143" t="s">
        <v>64</v>
      </c>
      <c r="H143" t="s">
        <v>248</v>
      </c>
      <c r="I143" t="s">
        <v>764</v>
      </c>
      <c r="J143">
        <v>51</v>
      </c>
      <c r="K143" t="s">
        <v>25</v>
      </c>
      <c r="L143" t="s">
        <v>26</v>
      </c>
      <c r="M143" t="s">
        <v>84</v>
      </c>
      <c r="P143" t="s">
        <v>28</v>
      </c>
      <c r="Q143" t="s">
        <v>765</v>
      </c>
      <c r="R143" t="s">
        <v>766</v>
      </c>
      <c r="S143" t="s">
        <v>42</v>
      </c>
      <c r="T143">
        <v>0</v>
      </c>
    </row>
    <row r="144" spans="1:20" x14ac:dyDescent="0.25">
      <c r="A144" t="s">
        <v>767</v>
      </c>
      <c r="B144" s="1">
        <v>45853</v>
      </c>
      <c r="C144" s="5">
        <v>0.57906250000000004</v>
      </c>
      <c r="D144">
        <v>102.23</v>
      </c>
      <c r="E144" t="s">
        <v>44</v>
      </c>
      <c r="F144" t="s">
        <v>768</v>
      </c>
      <c r="G144" t="s">
        <v>34</v>
      </c>
      <c r="H144" t="s">
        <v>47</v>
      </c>
      <c r="I144" t="s">
        <v>769</v>
      </c>
      <c r="J144">
        <v>32</v>
      </c>
      <c r="K144" t="s">
        <v>49</v>
      </c>
      <c r="L144" t="s">
        <v>23</v>
      </c>
      <c r="M144" t="s">
        <v>27</v>
      </c>
      <c r="P144" t="s">
        <v>28</v>
      </c>
      <c r="Q144" t="s">
        <v>770</v>
      </c>
      <c r="R144" t="s">
        <v>771</v>
      </c>
      <c r="S144" t="s">
        <v>101</v>
      </c>
      <c r="T144">
        <v>0</v>
      </c>
    </row>
    <row r="145" spans="1:20" x14ac:dyDescent="0.25">
      <c r="A145" t="s">
        <v>772</v>
      </c>
      <c r="B145" s="1">
        <v>45946</v>
      </c>
      <c r="C145" s="5">
        <v>0.89021990740740742</v>
      </c>
      <c r="D145">
        <v>135.05000000000001</v>
      </c>
      <c r="E145" t="s">
        <v>44</v>
      </c>
      <c r="F145" t="s">
        <v>21</v>
      </c>
      <c r="G145" t="s">
        <v>71</v>
      </c>
      <c r="H145" t="s">
        <v>110</v>
      </c>
      <c r="I145" t="s">
        <v>773</v>
      </c>
      <c r="J145">
        <v>30</v>
      </c>
      <c r="K145" t="s">
        <v>49</v>
      </c>
      <c r="L145" t="s">
        <v>248</v>
      </c>
      <c r="M145" t="s">
        <v>84</v>
      </c>
      <c r="P145" t="s">
        <v>28</v>
      </c>
      <c r="Q145" t="s">
        <v>774</v>
      </c>
      <c r="R145" t="s">
        <v>775</v>
      </c>
      <c r="S145" t="s">
        <v>31</v>
      </c>
      <c r="T145">
        <v>0</v>
      </c>
    </row>
    <row r="146" spans="1:20" x14ac:dyDescent="0.25">
      <c r="A146" t="s">
        <v>776</v>
      </c>
      <c r="B146" s="1">
        <v>45951</v>
      </c>
      <c r="C146" s="5">
        <v>1.2314814814814815E-2</v>
      </c>
      <c r="D146">
        <v>7.59</v>
      </c>
      <c r="E146" t="s">
        <v>44</v>
      </c>
      <c r="F146" t="s">
        <v>777</v>
      </c>
      <c r="G146" t="s">
        <v>57</v>
      </c>
      <c r="H146" t="s">
        <v>47</v>
      </c>
      <c r="I146" t="s">
        <v>778</v>
      </c>
      <c r="J146">
        <v>63</v>
      </c>
      <c r="K146" t="s">
        <v>25</v>
      </c>
      <c r="L146" t="s">
        <v>97</v>
      </c>
      <c r="M146" t="s">
        <v>112</v>
      </c>
      <c r="P146" t="s">
        <v>28</v>
      </c>
      <c r="Q146" t="s">
        <v>779</v>
      </c>
      <c r="R146" t="s">
        <v>780</v>
      </c>
      <c r="S146" t="s">
        <v>31</v>
      </c>
      <c r="T146">
        <v>0</v>
      </c>
    </row>
    <row r="147" spans="1:20" x14ac:dyDescent="0.25">
      <c r="A147" t="s">
        <v>781</v>
      </c>
      <c r="B147" s="1">
        <v>45807</v>
      </c>
      <c r="C147" s="5">
        <v>0.62493055555555554</v>
      </c>
      <c r="D147">
        <v>99.17</v>
      </c>
      <c r="E147" t="s">
        <v>44</v>
      </c>
      <c r="F147" t="s">
        <v>782</v>
      </c>
      <c r="G147" t="s">
        <v>77</v>
      </c>
      <c r="H147" t="s">
        <v>58</v>
      </c>
      <c r="I147" t="s">
        <v>783</v>
      </c>
      <c r="J147">
        <v>38</v>
      </c>
      <c r="K147" t="s">
        <v>25</v>
      </c>
      <c r="L147" t="s">
        <v>97</v>
      </c>
      <c r="M147" t="s">
        <v>51</v>
      </c>
      <c r="N147" t="s">
        <v>173</v>
      </c>
      <c r="O147">
        <v>455228</v>
      </c>
      <c r="P147" t="s">
        <v>28</v>
      </c>
      <c r="Q147" t="s">
        <v>784</v>
      </c>
      <c r="R147" t="s">
        <v>785</v>
      </c>
      <c r="S147" t="s">
        <v>31</v>
      </c>
      <c r="T147">
        <v>0</v>
      </c>
    </row>
    <row r="148" spans="1:20" x14ac:dyDescent="0.25">
      <c r="A148" t="s">
        <v>786</v>
      </c>
      <c r="B148" s="1">
        <v>45910</v>
      </c>
      <c r="C148" s="5">
        <v>1.6979166666666667E-2</v>
      </c>
      <c r="D148">
        <v>62.39</v>
      </c>
      <c r="E148" t="s">
        <v>44</v>
      </c>
      <c r="F148" t="s">
        <v>787</v>
      </c>
      <c r="G148" t="s">
        <v>34</v>
      </c>
      <c r="H148" t="s">
        <v>58</v>
      </c>
      <c r="I148" t="s">
        <v>788</v>
      </c>
      <c r="J148">
        <v>21</v>
      </c>
      <c r="K148" t="s">
        <v>49</v>
      </c>
      <c r="L148" t="s">
        <v>110</v>
      </c>
      <c r="M148" t="s">
        <v>39</v>
      </c>
      <c r="P148" t="s">
        <v>28</v>
      </c>
      <c r="Q148" t="s">
        <v>789</v>
      </c>
      <c r="R148" t="s">
        <v>790</v>
      </c>
      <c r="S148" t="s">
        <v>31</v>
      </c>
      <c r="T148">
        <v>0</v>
      </c>
    </row>
    <row r="149" spans="1:20" x14ac:dyDescent="0.25">
      <c r="A149" t="s">
        <v>791</v>
      </c>
      <c r="B149" s="1">
        <v>45859</v>
      </c>
      <c r="C149" s="5">
        <v>0.57255787037037043</v>
      </c>
      <c r="D149">
        <v>589.04999999999995</v>
      </c>
      <c r="E149" t="s">
        <v>44</v>
      </c>
      <c r="F149" t="s">
        <v>792</v>
      </c>
      <c r="G149" t="s">
        <v>34</v>
      </c>
      <c r="H149" t="s">
        <v>35</v>
      </c>
      <c r="I149" t="s">
        <v>793</v>
      </c>
      <c r="J149">
        <v>63</v>
      </c>
      <c r="K149" t="s">
        <v>37</v>
      </c>
      <c r="L149" t="s">
        <v>47</v>
      </c>
      <c r="M149" t="s">
        <v>27</v>
      </c>
      <c r="P149" t="s">
        <v>28</v>
      </c>
      <c r="Q149" t="s">
        <v>794</v>
      </c>
      <c r="R149" t="s">
        <v>795</v>
      </c>
      <c r="S149" t="s">
        <v>42</v>
      </c>
      <c r="T149">
        <v>0</v>
      </c>
    </row>
    <row r="150" spans="1:20" x14ac:dyDescent="0.25">
      <c r="A150" t="s">
        <v>796</v>
      </c>
      <c r="B150" s="1">
        <v>45869</v>
      </c>
      <c r="C150" s="5">
        <v>0.29201388888888891</v>
      </c>
      <c r="D150">
        <v>170.78</v>
      </c>
      <c r="E150" t="s">
        <v>44</v>
      </c>
      <c r="F150" t="s">
        <v>797</v>
      </c>
      <c r="G150" t="s">
        <v>46</v>
      </c>
      <c r="H150" t="s">
        <v>26</v>
      </c>
      <c r="I150" t="s">
        <v>798</v>
      </c>
      <c r="J150">
        <v>51</v>
      </c>
      <c r="K150" t="s">
        <v>49</v>
      </c>
      <c r="L150" t="s">
        <v>23</v>
      </c>
      <c r="M150" t="s">
        <v>39</v>
      </c>
      <c r="P150" t="s">
        <v>28</v>
      </c>
      <c r="Q150" t="s">
        <v>799</v>
      </c>
      <c r="R150" t="s">
        <v>800</v>
      </c>
      <c r="S150" t="s">
        <v>31</v>
      </c>
      <c r="T150">
        <v>0</v>
      </c>
    </row>
    <row r="151" spans="1:20" x14ac:dyDescent="0.25">
      <c r="A151" t="s">
        <v>801</v>
      </c>
      <c r="B151" s="1">
        <v>45797</v>
      </c>
      <c r="C151" s="5">
        <v>0.16160879629629629</v>
      </c>
      <c r="D151">
        <v>174.87</v>
      </c>
      <c r="E151" t="s">
        <v>44</v>
      </c>
      <c r="F151" t="s">
        <v>222</v>
      </c>
      <c r="G151" t="s">
        <v>71</v>
      </c>
      <c r="H151" t="s">
        <v>146</v>
      </c>
      <c r="I151" t="s">
        <v>802</v>
      </c>
      <c r="J151">
        <v>68</v>
      </c>
      <c r="K151" t="s">
        <v>37</v>
      </c>
      <c r="L151" t="s">
        <v>58</v>
      </c>
      <c r="M151" t="s">
        <v>51</v>
      </c>
      <c r="N151" t="s">
        <v>507</v>
      </c>
      <c r="O151">
        <v>411002</v>
      </c>
      <c r="P151" t="s">
        <v>28</v>
      </c>
      <c r="Q151" t="s">
        <v>803</v>
      </c>
      <c r="R151" t="s">
        <v>804</v>
      </c>
      <c r="S151" t="s">
        <v>31</v>
      </c>
      <c r="T151">
        <v>0</v>
      </c>
    </row>
    <row r="152" spans="1:20" x14ac:dyDescent="0.25">
      <c r="A152" t="s">
        <v>805</v>
      </c>
      <c r="B152" s="1">
        <v>45843</v>
      </c>
      <c r="C152" s="5">
        <v>0.59307870370370375</v>
      </c>
      <c r="D152">
        <v>191.71</v>
      </c>
      <c r="E152" t="s">
        <v>44</v>
      </c>
      <c r="F152" t="s">
        <v>328</v>
      </c>
      <c r="G152" t="s">
        <v>22</v>
      </c>
      <c r="H152" t="s">
        <v>146</v>
      </c>
      <c r="I152" t="s">
        <v>806</v>
      </c>
      <c r="J152">
        <v>21</v>
      </c>
      <c r="K152" t="s">
        <v>25</v>
      </c>
      <c r="L152" t="s">
        <v>66</v>
      </c>
      <c r="M152" t="s">
        <v>27</v>
      </c>
      <c r="P152" t="s">
        <v>28</v>
      </c>
      <c r="Q152" t="s">
        <v>807</v>
      </c>
      <c r="R152" t="s">
        <v>808</v>
      </c>
      <c r="S152" t="s">
        <v>31</v>
      </c>
      <c r="T152">
        <v>0</v>
      </c>
    </row>
    <row r="153" spans="1:20" x14ac:dyDescent="0.25">
      <c r="A153" t="s">
        <v>809</v>
      </c>
      <c r="B153" s="1">
        <v>45928</v>
      </c>
      <c r="C153" s="5">
        <v>0.91468749999999999</v>
      </c>
      <c r="D153">
        <v>31.68</v>
      </c>
      <c r="E153" t="s">
        <v>44</v>
      </c>
      <c r="F153" t="s">
        <v>810</v>
      </c>
      <c r="G153" t="s">
        <v>71</v>
      </c>
      <c r="H153" t="s">
        <v>110</v>
      </c>
      <c r="I153" t="s">
        <v>811</v>
      </c>
      <c r="J153">
        <v>38</v>
      </c>
      <c r="K153" t="s">
        <v>25</v>
      </c>
      <c r="L153" t="s">
        <v>50</v>
      </c>
      <c r="M153" t="s">
        <v>105</v>
      </c>
      <c r="P153" t="s">
        <v>28</v>
      </c>
      <c r="Q153" t="s">
        <v>812</v>
      </c>
      <c r="R153" t="s">
        <v>397</v>
      </c>
      <c r="S153" t="s">
        <v>31</v>
      </c>
      <c r="T153">
        <v>0</v>
      </c>
    </row>
    <row r="154" spans="1:20" x14ac:dyDescent="0.25">
      <c r="A154" t="s">
        <v>813</v>
      </c>
      <c r="B154" s="1">
        <v>45840</v>
      </c>
      <c r="C154" s="5">
        <v>0.50519675925925922</v>
      </c>
      <c r="D154">
        <v>129.76</v>
      </c>
      <c r="E154" t="s">
        <v>44</v>
      </c>
      <c r="F154" t="s">
        <v>814</v>
      </c>
      <c r="G154" t="s">
        <v>96</v>
      </c>
      <c r="H154" t="s">
        <v>38</v>
      </c>
      <c r="I154" t="s">
        <v>815</v>
      </c>
      <c r="J154">
        <v>31</v>
      </c>
      <c r="K154" t="s">
        <v>37</v>
      </c>
      <c r="L154" t="s">
        <v>50</v>
      </c>
      <c r="M154" t="s">
        <v>84</v>
      </c>
      <c r="P154" t="s">
        <v>28</v>
      </c>
      <c r="Q154" t="s">
        <v>816</v>
      </c>
      <c r="R154" t="s">
        <v>817</v>
      </c>
      <c r="S154" t="s">
        <v>31</v>
      </c>
      <c r="T154">
        <v>0</v>
      </c>
    </row>
    <row r="155" spans="1:20" x14ac:dyDescent="0.25">
      <c r="A155" t="s">
        <v>818</v>
      </c>
      <c r="B155" s="1">
        <v>45868</v>
      </c>
      <c r="C155" s="5">
        <v>0.96240740740740738</v>
      </c>
      <c r="D155">
        <v>44.45</v>
      </c>
      <c r="E155" t="s">
        <v>44</v>
      </c>
      <c r="F155" t="s">
        <v>819</v>
      </c>
      <c r="G155" t="s">
        <v>71</v>
      </c>
      <c r="H155" t="s">
        <v>119</v>
      </c>
      <c r="I155" t="s">
        <v>820</v>
      </c>
      <c r="J155">
        <v>42</v>
      </c>
      <c r="K155" t="s">
        <v>49</v>
      </c>
      <c r="L155" t="s">
        <v>35</v>
      </c>
      <c r="M155" t="s">
        <v>112</v>
      </c>
      <c r="P155" t="s">
        <v>28</v>
      </c>
      <c r="Q155" t="s">
        <v>821</v>
      </c>
      <c r="R155" t="s">
        <v>822</v>
      </c>
      <c r="S155" t="s">
        <v>31</v>
      </c>
      <c r="T155">
        <v>0</v>
      </c>
    </row>
    <row r="156" spans="1:20" x14ac:dyDescent="0.25">
      <c r="A156" t="s">
        <v>823</v>
      </c>
      <c r="B156" s="1">
        <v>45802</v>
      </c>
      <c r="C156" s="5">
        <v>0.19063657407407408</v>
      </c>
      <c r="D156">
        <v>73.53</v>
      </c>
      <c r="E156" t="s">
        <v>44</v>
      </c>
      <c r="F156" t="s">
        <v>824</v>
      </c>
      <c r="G156" t="s">
        <v>124</v>
      </c>
      <c r="H156" t="s">
        <v>23</v>
      </c>
      <c r="I156" t="s">
        <v>825</v>
      </c>
      <c r="J156">
        <v>45</v>
      </c>
      <c r="K156" t="s">
        <v>25</v>
      </c>
      <c r="L156" t="s">
        <v>26</v>
      </c>
      <c r="M156" t="s">
        <v>27</v>
      </c>
      <c r="P156" t="s">
        <v>28</v>
      </c>
      <c r="Q156" t="s">
        <v>826</v>
      </c>
      <c r="R156" t="s">
        <v>827</v>
      </c>
      <c r="S156" t="s">
        <v>31</v>
      </c>
      <c r="T156">
        <v>0</v>
      </c>
    </row>
    <row r="157" spans="1:20" x14ac:dyDescent="0.25">
      <c r="A157" t="s">
        <v>828</v>
      </c>
      <c r="B157" s="1">
        <v>45836</v>
      </c>
      <c r="C157" s="5">
        <v>0.38144675925925925</v>
      </c>
      <c r="D157">
        <v>153.05000000000001</v>
      </c>
      <c r="E157" t="s">
        <v>44</v>
      </c>
      <c r="F157" t="s">
        <v>829</v>
      </c>
      <c r="G157" t="s">
        <v>34</v>
      </c>
      <c r="H157" t="s">
        <v>50</v>
      </c>
      <c r="I157" t="s">
        <v>830</v>
      </c>
      <c r="J157">
        <v>68</v>
      </c>
      <c r="K157" t="s">
        <v>49</v>
      </c>
      <c r="L157" t="s">
        <v>47</v>
      </c>
      <c r="M157" t="s">
        <v>112</v>
      </c>
      <c r="P157" t="s">
        <v>28</v>
      </c>
      <c r="Q157" t="s">
        <v>831</v>
      </c>
      <c r="R157" t="s">
        <v>832</v>
      </c>
      <c r="S157" t="s">
        <v>101</v>
      </c>
      <c r="T157">
        <v>1</v>
      </c>
    </row>
    <row r="158" spans="1:20" x14ac:dyDescent="0.25">
      <c r="A158" t="s">
        <v>833</v>
      </c>
      <c r="B158" s="1">
        <v>45793</v>
      </c>
      <c r="C158" s="5">
        <v>0.21778935185185186</v>
      </c>
      <c r="D158">
        <v>68.8</v>
      </c>
      <c r="E158" t="s">
        <v>44</v>
      </c>
      <c r="F158" t="s">
        <v>834</v>
      </c>
      <c r="G158" t="s">
        <v>46</v>
      </c>
      <c r="H158" t="s">
        <v>58</v>
      </c>
      <c r="I158" t="s">
        <v>835</v>
      </c>
      <c r="J158">
        <v>22</v>
      </c>
      <c r="K158" t="s">
        <v>37</v>
      </c>
      <c r="L158" t="s">
        <v>91</v>
      </c>
      <c r="M158" t="s">
        <v>27</v>
      </c>
      <c r="P158" t="s">
        <v>28</v>
      </c>
      <c r="Q158" t="s">
        <v>836</v>
      </c>
      <c r="R158" t="s">
        <v>837</v>
      </c>
      <c r="S158" t="s">
        <v>31</v>
      </c>
      <c r="T158">
        <v>0</v>
      </c>
    </row>
    <row r="159" spans="1:20" x14ac:dyDescent="0.25">
      <c r="A159" t="s">
        <v>838</v>
      </c>
      <c r="B159" s="1">
        <v>45934</v>
      </c>
      <c r="C159" s="5">
        <v>0.97013888888888888</v>
      </c>
      <c r="D159">
        <v>160.97999999999999</v>
      </c>
      <c r="E159" t="s">
        <v>44</v>
      </c>
      <c r="F159" t="s">
        <v>839</v>
      </c>
      <c r="G159" t="s">
        <v>71</v>
      </c>
      <c r="H159" t="s">
        <v>58</v>
      </c>
      <c r="I159" t="s">
        <v>840</v>
      </c>
      <c r="J159">
        <v>64</v>
      </c>
      <c r="K159" t="s">
        <v>37</v>
      </c>
      <c r="L159" t="s">
        <v>110</v>
      </c>
      <c r="M159" t="s">
        <v>51</v>
      </c>
      <c r="N159" t="s">
        <v>52</v>
      </c>
      <c r="O159">
        <v>468835</v>
      </c>
      <c r="P159" t="s">
        <v>28</v>
      </c>
      <c r="Q159" t="s">
        <v>841</v>
      </c>
      <c r="R159" t="s">
        <v>842</v>
      </c>
      <c r="S159" t="s">
        <v>31</v>
      </c>
      <c r="T159">
        <v>1</v>
      </c>
    </row>
    <row r="160" spans="1:20" x14ac:dyDescent="0.25">
      <c r="A160" t="s">
        <v>843</v>
      </c>
      <c r="B160" s="1">
        <v>45878</v>
      </c>
      <c r="C160" s="5">
        <v>0.17321759259259259</v>
      </c>
      <c r="D160">
        <v>143.04</v>
      </c>
      <c r="E160" t="s">
        <v>44</v>
      </c>
      <c r="F160" t="s">
        <v>844</v>
      </c>
      <c r="G160" t="s">
        <v>77</v>
      </c>
      <c r="H160" t="s">
        <v>91</v>
      </c>
      <c r="I160" t="s">
        <v>845</v>
      </c>
      <c r="J160">
        <v>47</v>
      </c>
      <c r="K160" t="s">
        <v>37</v>
      </c>
      <c r="L160" t="s">
        <v>35</v>
      </c>
      <c r="M160" t="s">
        <v>51</v>
      </c>
      <c r="N160" t="s">
        <v>304</v>
      </c>
      <c r="O160">
        <v>436336</v>
      </c>
      <c r="P160" t="s">
        <v>28</v>
      </c>
      <c r="Q160" t="s">
        <v>846</v>
      </c>
      <c r="R160" t="s">
        <v>847</v>
      </c>
      <c r="S160" t="s">
        <v>101</v>
      </c>
      <c r="T160">
        <v>0</v>
      </c>
    </row>
    <row r="161" spans="1:20" x14ac:dyDescent="0.25">
      <c r="A161" t="s">
        <v>848</v>
      </c>
      <c r="B161" s="1">
        <v>45855</v>
      </c>
      <c r="C161" s="5">
        <v>0.49841435185185184</v>
      </c>
      <c r="D161">
        <v>125.19</v>
      </c>
      <c r="E161" t="s">
        <v>44</v>
      </c>
      <c r="F161" t="s">
        <v>849</v>
      </c>
      <c r="G161" t="s">
        <v>57</v>
      </c>
      <c r="H161" t="s">
        <v>119</v>
      </c>
      <c r="I161" t="s">
        <v>850</v>
      </c>
      <c r="J161">
        <v>58</v>
      </c>
      <c r="K161" t="s">
        <v>37</v>
      </c>
      <c r="L161" t="s">
        <v>97</v>
      </c>
      <c r="M161" t="s">
        <v>105</v>
      </c>
      <c r="P161" t="s">
        <v>28</v>
      </c>
      <c r="Q161" t="s">
        <v>851</v>
      </c>
      <c r="R161" t="s">
        <v>852</v>
      </c>
      <c r="S161" t="s">
        <v>31</v>
      </c>
      <c r="T161">
        <v>0</v>
      </c>
    </row>
    <row r="162" spans="1:20" x14ac:dyDescent="0.25">
      <c r="A162" t="s">
        <v>853</v>
      </c>
      <c r="B162" s="1">
        <v>45883</v>
      </c>
      <c r="C162" s="5">
        <v>0.97822916666666671</v>
      </c>
      <c r="D162">
        <v>122.61</v>
      </c>
      <c r="E162" t="s">
        <v>44</v>
      </c>
      <c r="F162" t="s">
        <v>854</v>
      </c>
      <c r="G162" t="s">
        <v>22</v>
      </c>
      <c r="H162" t="s">
        <v>66</v>
      </c>
      <c r="I162" t="s">
        <v>855</v>
      </c>
      <c r="J162">
        <v>30</v>
      </c>
      <c r="K162" t="s">
        <v>37</v>
      </c>
      <c r="L162" t="s">
        <v>119</v>
      </c>
      <c r="M162" t="s">
        <v>51</v>
      </c>
      <c r="N162" t="s">
        <v>173</v>
      </c>
      <c r="O162">
        <v>452656</v>
      </c>
      <c r="P162" t="s">
        <v>28</v>
      </c>
      <c r="Q162" t="s">
        <v>856</v>
      </c>
      <c r="R162" t="s">
        <v>857</v>
      </c>
      <c r="S162" t="s">
        <v>31</v>
      </c>
      <c r="T162">
        <v>0</v>
      </c>
    </row>
    <row r="163" spans="1:20" x14ac:dyDescent="0.25">
      <c r="A163" t="s">
        <v>858</v>
      </c>
      <c r="B163" s="1">
        <v>45846</v>
      </c>
      <c r="C163" s="5">
        <v>0.61660879629629628</v>
      </c>
      <c r="D163">
        <v>46.64</v>
      </c>
      <c r="E163" t="s">
        <v>44</v>
      </c>
      <c r="F163" t="s">
        <v>673</v>
      </c>
      <c r="G163" t="s">
        <v>57</v>
      </c>
      <c r="H163" t="s">
        <v>248</v>
      </c>
      <c r="I163" t="s">
        <v>859</v>
      </c>
      <c r="J163">
        <v>51</v>
      </c>
      <c r="K163" t="s">
        <v>25</v>
      </c>
      <c r="L163" t="s">
        <v>26</v>
      </c>
      <c r="M163" t="s">
        <v>105</v>
      </c>
      <c r="P163" t="s">
        <v>28</v>
      </c>
      <c r="Q163" t="s">
        <v>860</v>
      </c>
      <c r="R163" t="s">
        <v>861</v>
      </c>
      <c r="S163" t="s">
        <v>31</v>
      </c>
      <c r="T163">
        <v>0</v>
      </c>
    </row>
    <row r="164" spans="1:20" x14ac:dyDescent="0.25">
      <c r="A164" t="s">
        <v>862</v>
      </c>
      <c r="B164" s="1">
        <v>45796</v>
      </c>
      <c r="C164" s="5">
        <v>7.7199074074074073E-2</v>
      </c>
      <c r="D164">
        <v>73.239999999999995</v>
      </c>
      <c r="E164" t="s">
        <v>44</v>
      </c>
      <c r="F164" t="s">
        <v>863</v>
      </c>
      <c r="G164" t="s">
        <v>89</v>
      </c>
      <c r="H164" t="s">
        <v>66</v>
      </c>
      <c r="I164" t="s">
        <v>864</v>
      </c>
      <c r="J164">
        <v>68</v>
      </c>
      <c r="K164" t="s">
        <v>37</v>
      </c>
      <c r="L164" t="s">
        <v>47</v>
      </c>
      <c r="M164" t="s">
        <v>112</v>
      </c>
      <c r="P164" t="s">
        <v>28</v>
      </c>
      <c r="Q164" t="s">
        <v>865</v>
      </c>
      <c r="R164" t="s">
        <v>866</v>
      </c>
      <c r="S164" t="s">
        <v>31</v>
      </c>
      <c r="T164">
        <v>0</v>
      </c>
    </row>
    <row r="165" spans="1:20" x14ac:dyDescent="0.25">
      <c r="A165" t="s">
        <v>867</v>
      </c>
      <c r="B165" s="1">
        <v>45868</v>
      </c>
      <c r="C165" s="5">
        <v>0.69349537037037035</v>
      </c>
      <c r="D165">
        <v>39.89</v>
      </c>
      <c r="E165" t="s">
        <v>44</v>
      </c>
      <c r="F165" t="s">
        <v>868</v>
      </c>
      <c r="G165" t="s">
        <v>57</v>
      </c>
      <c r="H165" t="s">
        <v>26</v>
      </c>
      <c r="I165" t="s">
        <v>869</v>
      </c>
      <c r="J165">
        <v>30</v>
      </c>
      <c r="K165" t="s">
        <v>49</v>
      </c>
      <c r="L165" t="s">
        <v>130</v>
      </c>
      <c r="M165" t="s">
        <v>51</v>
      </c>
      <c r="N165" t="s">
        <v>870</v>
      </c>
      <c r="O165">
        <v>537989</v>
      </c>
      <c r="P165" t="s">
        <v>28</v>
      </c>
      <c r="Q165" t="s">
        <v>871</v>
      </c>
      <c r="R165" t="s">
        <v>872</v>
      </c>
      <c r="S165" t="s">
        <v>42</v>
      </c>
      <c r="T165">
        <v>0</v>
      </c>
    </row>
    <row r="166" spans="1:20" x14ac:dyDescent="0.25">
      <c r="A166" t="s">
        <v>873</v>
      </c>
      <c r="B166" s="1">
        <v>45912</v>
      </c>
      <c r="C166" s="5">
        <v>5.7152777777777775E-2</v>
      </c>
      <c r="D166">
        <v>127.36</v>
      </c>
      <c r="E166" t="s">
        <v>44</v>
      </c>
      <c r="F166" t="s">
        <v>874</v>
      </c>
      <c r="G166" t="s">
        <v>124</v>
      </c>
      <c r="H166" t="s">
        <v>97</v>
      </c>
      <c r="I166" t="s">
        <v>875</v>
      </c>
      <c r="J166">
        <v>27</v>
      </c>
      <c r="K166" t="s">
        <v>25</v>
      </c>
      <c r="L166" t="s">
        <v>119</v>
      </c>
      <c r="M166" t="s">
        <v>112</v>
      </c>
      <c r="P166" t="s">
        <v>28</v>
      </c>
      <c r="Q166" t="s">
        <v>876</v>
      </c>
      <c r="R166" t="s">
        <v>877</v>
      </c>
      <c r="S166" t="s">
        <v>101</v>
      </c>
      <c r="T166">
        <v>0</v>
      </c>
    </row>
    <row r="167" spans="1:20" x14ac:dyDescent="0.25">
      <c r="A167" t="s">
        <v>878</v>
      </c>
      <c r="B167" s="1">
        <v>45824</v>
      </c>
      <c r="C167" s="5">
        <v>0.72401620370370368</v>
      </c>
      <c r="D167">
        <v>6.22</v>
      </c>
      <c r="E167" t="s">
        <v>44</v>
      </c>
      <c r="F167" t="s">
        <v>308</v>
      </c>
      <c r="G167" t="s">
        <v>124</v>
      </c>
      <c r="H167" t="s">
        <v>58</v>
      </c>
      <c r="I167" t="s">
        <v>879</v>
      </c>
      <c r="J167">
        <v>57</v>
      </c>
      <c r="K167" t="s">
        <v>37</v>
      </c>
      <c r="L167" t="s">
        <v>23</v>
      </c>
      <c r="M167" t="s">
        <v>39</v>
      </c>
      <c r="P167" t="s">
        <v>28</v>
      </c>
      <c r="Q167" t="s">
        <v>880</v>
      </c>
      <c r="R167" t="s">
        <v>881</v>
      </c>
      <c r="S167" t="s">
        <v>31</v>
      </c>
      <c r="T167">
        <v>0</v>
      </c>
    </row>
    <row r="168" spans="1:20" x14ac:dyDescent="0.25">
      <c r="A168" t="s">
        <v>882</v>
      </c>
      <c r="B168" s="1">
        <v>45786</v>
      </c>
      <c r="C168" s="5">
        <v>2.8356481481481483E-3</v>
      </c>
      <c r="D168">
        <v>192.15</v>
      </c>
      <c r="E168" t="s">
        <v>44</v>
      </c>
      <c r="F168" t="s">
        <v>883</v>
      </c>
      <c r="G168" t="s">
        <v>89</v>
      </c>
      <c r="H168" t="s">
        <v>130</v>
      </c>
      <c r="I168" t="s">
        <v>884</v>
      </c>
      <c r="J168">
        <v>45</v>
      </c>
      <c r="K168" t="s">
        <v>37</v>
      </c>
      <c r="L168" t="s">
        <v>23</v>
      </c>
      <c r="M168" t="s">
        <v>27</v>
      </c>
      <c r="P168" t="s">
        <v>28</v>
      </c>
      <c r="Q168" t="s">
        <v>885</v>
      </c>
      <c r="R168" t="s">
        <v>886</v>
      </c>
      <c r="S168" t="s">
        <v>31</v>
      </c>
      <c r="T168">
        <v>0</v>
      </c>
    </row>
    <row r="169" spans="1:20" x14ac:dyDescent="0.25">
      <c r="A169" t="s">
        <v>887</v>
      </c>
      <c r="B169" s="1">
        <v>45828</v>
      </c>
      <c r="C169" s="5">
        <v>0.91886574074074079</v>
      </c>
      <c r="D169">
        <v>787.45</v>
      </c>
      <c r="E169" t="s">
        <v>44</v>
      </c>
      <c r="F169" t="s">
        <v>888</v>
      </c>
      <c r="G169" t="s">
        <v>34</v>
      </c>
      <c r="H169" t="s">
        <v>91</v>
      </c>
      <c r="I169" t="s">
        <v>889</v>
      </c>
      <c r="J169">
        <v>47</v>
      </c>
      <c r="K169" t="s">
        <v>25</v>
      </c>
      <c r="L169" t="s">
        <v>47</v>
      </c>
      <c r="M169" t="s">
        <v>84</v>
      </c>
      <c r="P169" t="s">
        <v>28</v>
      </c>
      <c r="Q169" t="s">
        <v>890</v>
      </c>
      <c r="R169" t="s">
        <v>891</v>
      </c>
      <c r="S169" t="s">
        <v>101</v>
      </c>
      <c r="T169">
        <v>0</v>
      </c>
    </row>
    <row r="170" spans="1:20" x14ac:dyDescent="0.25">
      <c r="A170" t="s">
        <v>892</v>
      </c>
      <c r="B170" s="1">
        <v>45916</v>
      </c>
      <c r="C170" s="5">
        <v>0.68574074074074076</v>
      </c>
      <c r="D170">
        <v>904.57</v>
      </c>
      <c r="E170" t="s">
        <v>44</v>
      </c>
      <c r="F170" t="s">
        <v>893</v>
      </c>
      <c r="G170" t="s">
        <v>64</v>
      </c>
      <c r="H170" t="s">
        <v>146</v>
      </c>
      <c r="I170" t="s">
        <v>894</v>
      </c>
      <c r="J170">
        <v>57</v>
      </c>
      <c r="K170" t="s">
        <v>37</v>
      </c>
      <c r="L170" t="s">
        <v>66</v>
      </c>
      <c r="M170" t="s">
        <v>51</v>
      </c>
      <c r="N170" t="s">
        <v>173</v>
      </c>
      <c r="O170">
        <v>448857</v>
      </c>
      <c r="P170" t="s">
        <v>28</v>
      </c>
      <c r="Q170" t="s">
        <v>895</v>
      </c>
      <c r="R170" t="s">
        <v>896</v>
      </c>
      <c r="S170" t="s">
        <v>31</v>
      </c>
      <c r="T170">
        <v>0</v>
      </c>
    </row>
    <row r="171" spans="1:20" x14ac:dyDescent="0.25">
      <c r="A171" t="s">
        <v>897</v>
      </c>
      <c r="B171" s="1">
        <v>45812</v>
      </c>
      <c r="C171" s="5">
        <v>0.25896990740740738</v>
      </c>
      <c r="D171">
        <v>174</v>
      </c>
      <c r="E171" t="s">
        <v>44</v>
      </c>
      <c r="F171" t="s">
        <v>898</v>
      </c>
      <c r="G171" t="s">
        <v>46</v>
      </c>
      <c r="H171" t="s">
        <v>50</v>
      </c>
      <c r="I171" t="s">
        <v>899</v>
      </c>
      <c r="J171">
        <v>64</v>
      </c>
      <c r="K171" t="s">
        <v>37</v>
      </c>
      <c r="L171" t="s">
        <v>248</v>
      </c>
      <c r="M171" t="s">
        <v>112</v>
      </c>
      <c r="P171" t="s">
        <v>28</v>
      </c>
      <c r="Q171" t="s">
        <v>900</v>
      </c>
      <c r="R171" t="s">
        <v>901</v>
      </c>
      <c r="S171" t="s">
        <v>42</v>
      </c>
      <c r="T171">
        <v>0</v>
      </c>
    </row>
    <row r="172" spans="1:20" x14ac:dyDescent="0.25">
      <c r="A172" t="s">
        <v>902</v>
      </c>
      <c r="B172" s="1">
        <v>45838</v>
      </c>
      <c r="C172" s="5">
        <v>0.48158564814814814</v>
      </c>
      <c r="D172">
        <v>42.44</v>
      </c>
      <c r="E172" t="s">
        <v>44</v>
      </c>
      <c r="F172" t="s">
        <v>903</v>
      </c>
      <c r="G172" t="s">
        <v>46</v>
      </c>
      <c r="H172" t="s">
        <v>119</v>
      </c>
      <c r="I172" t="s">
        <v>904</v>
      </c>
      <c r="J172">
        <v>45</v>
      </c>
      <c r="K172" t="s">
        <v>37</v>
      </c>
      <c r="L172" t="s">
        <v>110</v>
      </c>
      <c r="M172" t="s">
        <v>39</v>
      </c>
      <c r="P172" t="s">
        <v>28</v>
      </c>
      <c r="Q172" t="s">
        <v>905</v>
      </c>
      <c r="R172" t="s">
        <v>906</v>
      </c>
      <c r="S172" t="s">
        <v>31</v>
      </c>
      <c r="T172">
        <v>0</v>
      </c>
    </row>
    <row r="173" spans="1:20" x14ac:dyDescent="0.25">
      <c r="A173" t="s">
        <v>907</v>
      </c>
      <c r="B173" s="1">
        <v>45902</v>
      </c>
      <c r="C173" s="5">
        <v>0.2318287037037037</v>
      </c>
      <c r="D173">
        <v>118.9</v>
      </c>
      <c r="E173" t="s">
        <v>44</v>
      </c>
      <c r="F173" t="s">
        <v>908</v>
      </c>
      <c r="G173" t="s">
        <v>124</v>
      </c>
      <c r="H173" t="s">
        <v>119</v>
      </c>
      <c r="I173" t="s">
        <v>909</v>
      </c>
      <c r="J173">
        <v>55</v>
      </c>
      <c r="K173" t="s">
        <v>49</v>
      </c>
      <c r="L173" t="s">
        <v>66</v>
      </c>
      <c r="M173" t="s">
        <v>105</v>
      </c>
      <c r="P173" t="s">
        <v>28</v>
      </c>
      <c r="Q173" t="s">
        <v>910</v>
      </c>
      <c r="R173" t="s">
        <v>911</v>
      </c>
      <c r="S173" t="s">
        <v>31</v>
      </c>
      <c r="T173">
        <v>0</v>
      </c>
    </row>
    <row r="174" spans="1:20" x14ac:dyDescent="0.25">
      <c r="A174" t="s">
        <v>912</v>
      </c>
      <c r="B174" s="1">
        <v>45941</v>
      </c>
      <c r="C174" s="5">
        <v>4.5208333333333336E-2</v>
      </c>
      <c r="D174">
        <v>83.23</v>
      </c>
      <c r="E174" t="s">
        <v>44</v>
      </c>
      <c r="F174" t="s">
        <v>913</v>
      </c>
      <c r="G174" t="s">
        <v>89</v>
      </c>
      <c r="H174" t="s">
        <v>26</v>
      </c>
      <c r="I174" t="s">
        <v>914</v>
      </c>
      <c r="J174">
        <v>27</v>
      </c>
      <c r="K174" t="s">
        <v>25</v>
      </c>
      <c r="L174" t="s">
        <v>119</v>
      </c>
      <c r="M174" t="s">
        <v>84</v>
      </c>
      <c r="P174" t="s">
        <v>28</v>
      </c>
      <c r="Q174" t="s">
        <v>915</v>
      </c>
      <c r="R174" t="s">
        <v>916</v>
      </c>
      <c r="S174" t="s">
        <v>31</v>
      </c>
      <c r="T174">
        <v>0</v>
      </c>
    </row>
    <row r="175" spans="1:20" x14ac:dyDescent="0.25">
      <c r="A175" t="s">
        <v>917</v>
      </c>
      <c r="B175" s="1">
        <v>45875</v>
      </c>
      <c r="C175" s="5">
        <v>0.40717592592592594</v>
      </c>
      <c r="D175">
        <v>56.51</v>
      </c>
      <c r="E175" t="s">
        <v>44</v>
      </c>
      <c r="F175" t="s">
        <v>718</v>
      </c>
      <c r="G175" t="s">
        <v>34</v>
      </c>
      <c r="H175" t="s">
        <v>58</v>
      </c>
      <c r="I175" t="s">
        <v>918</v>
      </c>
      <c r="J175">
        <v>19</v>
      </c>
      <c r="K175" t="s">
        <v>49</v>
      </c>
      <c r="L175" t="s">
        <v>47</v>
      </c>
      <c r="M175" t="s">
        <v>105</v>
      </c>
      <c r="P175" t="s">
        <v>28</v>
      </c>
      <c r="Q175" t="s">
        <v>919</v>
      </c>
      <c r="R175" t="s">
        <v>920</v>
      </c>
      <c r="S175" t="s">
        <v>42</v>
      </c>
      <c r="T175">
        <v>0</v>
      </c>
    </row>
    <row r="176" spans="1:20" x14ac:dyDescent="0.25">
      <c r="A176" t="s">
        <v>921</v>
      </c>
      <c r="B176" s="1">
        <v>45956</v>
      </c>
      <c r="C176" s="5">
        <v>0.34449074074074076</v>
      </c>
      <c r="D176">
        <v>22.99</v>
      </c>
      <c r="E176" t="s">
        <v>44</v>
      </c>
      <c r="F176" t="s">
        <v>922</v>
      </c>
      <c r="G176" t="s">
        <v>96</v>
      </c>
      <c r="H176" t="s">
        <v>97</v>
      </c>
      <c r="I176" t="s">
        <v>923</v>
      </c>
      <c r="J176">
        <v>21</v>
      </c>
      <c r="K176" t="s">
        <v>37</v>
      </c>
      <c r="L176" t="s">
        <v>58</v>
      </c>
      <c r="M176" t="s">
        <v>39</v>
      </c>
      <c r="P176" t="s">
        <v>28</v>
      </c>
      <c r="Q176" t="s">
        <v>924</v>
      </c>
      <c r="R176" t="s">
        <v>925</v>
      </c>
      <c r="S176" t="s">
        <v>42</v>
      </c>
      <c r="T176">
        <v>0</v>
      </c>
    </row>
    <row r="177" spans="1:20" x14ac:dyDescent="0.25">
      <c r="A177" t="s">
        <v>926</v>
      </c>
      <c r="B177" s="1">
        <v>45862</v>
      </c>
      <c r="C177" s="5">
        <v>0.78017361111111116</v>
      </c>
      <c r="D177">
        <v>198.71</v>
      </c>
      <c r="E177" t="s">
        <v>44</v>
      </c>
      <c r="F177" t="s">
        <v>927</v>
      </c>
      <c r="G177" t="s">
        <v>64</v>
      </c>
      <c r="H177" t="s">
        <v>91</v>
      </c>
      <c r="I177" t="s">
        <v>928</v>
      </c>
      <c r="J177">
        <v>50</v>
      </c>
      <c r="K177" t="s">
        <v>25</v>
      </c>
      <c r="L177" t="s">
        <v>91</v>
      </c>
      <c r="M177" t="s">
        <v>105</v>
      </c>
      <c r="P177" t="s">
        <v>113</v>
      </c>
      <c r="Q177" t="s">
        <v>929</v>
      </c>
      <c r="R177" t="s">
        <v>930</v>
      </c>
      <c r="S177" t="s">
        <v>31</v>
      </c>
      <c r="T177">
        <v>0</v>
      </c>
    </row>
    <row r="178" spans="1:20" x14ac:dyDescent="0.25">
      <c r="A178" t="s">
        <v>931</v>
      </c>
      <c r="B178" s="1">
        <v>45855</v>
      </c>
      <c r="C178" s="5">
        <v>0.51538194444444441</v>
      </c>
      <c r="D178">
        <v>130.15</v>
      </c>
      <c r="E178" t="s">
        <v>44</v>
      </c>
      <c r="F178" t="s">
        <v>932</v>
      </c>
      <c r="G178" t="s">
        <v>64</v>
      </c>
      <c r="H178" t="s">
        <v>38</v>
      </c>
      <c r="I178" t="s">
        <v>933</v>
      </c>
      <c r="J178">
        <v>23</v>
      </c>
      <c r="K178" t="s">
        <v>25</v>
      </c>
      <c r="L178" t="s">
        <v>50</v>
      </c>
      <c r="M178" t="s">
        <v>84</v>
      </c>
      <c r="P178" t="s">
        <v>28</v>
      </c>
      <c r="Q178" t="s">
        <v>934</v>
      </c>
      <c r="R178" t="s">
        <v>935</v>
      </c>
      <c r="S178" t="s">
        <v>31</v>
      </c>
      <c r="T178">
        <v>0</v>
      </c>
    </row>
    <row r="179" spans="1:20" x14ac:dyDescent="0.25">
      <c r="A179" t="s">
        <v>936</v>
      </c>
      <c r="B179" s="1">
        <v>45953</v>
      </c>
      <c r="C179" s="5">
        <v>0.23814814814814814</v>
      </c>
      <c r="D179">
        <v>166.7</v>
      </c>
      <c r="E179" t="s">
        <v>44</v>
      </c>
      <c r="F179" t="s">
        <v>937</v>
      </c>
      <c r="G179" t="s">
        <v>34</v>
      </c>
      <c r="H179" t="s">
        <v>26</v>
      </c>
      <c r="I179" t="s">
        <v>938</v>
      </c>
      <c r="J179">
        <v>32</v>
      </c>
      <c r="K179" t="s">
        <v>25</v>
      </c>
      <c r="L179" t="s">
        <v>47</v>
      </c>
      <c r="M179" t="s">
        <v>27</v>
      </c>
      <c r="P179" t="s">
        <v>28</v>
      </c>
      <c r="Q179" t="s">
        <v>939</v>
      </c>
      <c r="R179" t="s">
        <v>940</v>
      </c>
      <c r="S179" t="s">
        <v>42</v>
      </c>
      <c r="T179">
        <v>0</v>
      </c>
    </row>
    <row r="180" spans="1:20" x14ac:dyDescent="0.25">
      <c r="A180" t="s">
        <v>941</v>
      </c>
      <c r="B180" s="1">
        <v>45900</v>
      </c>
      <c r="C180" s="5">
        <v>0.50163194444444448</v>
      </c>
      <c r="D180">
        <v>149.94999999999999</v>
      </c>
      <c r="E180" t="s">
        <v>44</v>
      </c>
      <c r="F180" t="s">
        <v>145</v>
      </c>
      <c r="G180" t="s">
        <v>71</v>
      </c>
      <c r="H180" t="s">
        <v>66</v>
      </c>
      <c r="I180" t="s">
        <v>942</v>
      </c>
      <c r="J180">
        <v>73</v>
      </c>
      <c r="K180" t="s">
        <v>37</v>
      </c>
      <c r="L180" t="s">
        <v>23</v>
      </c>
      <c r="M180" t="s">
        <v>27</v>
      </c>
      <c r="P180" t="s">
        <v>28</v>
      </c>
      <c r="Q180" t="s">
        <v>943</v>
      </c>
      <c r="R180" t="s">
        <v>944</v>
      </c>
      <c r="S180" t="s">
        <v>31</v>
      </c>
      <c r="T180">
        <v>0</v>
      </c>
    </row>
    <row r="181" spans="1:20" x14ac:dyDescent="0.25">
      <c r="A181" t="s">
        <v>945</v>
      </c>
      <c r="B181" s="1">
        <v>45886</v>
      </c>
      <c r="C181" s="5">
        <v>0.44997685185185188</v>
      </c>
      <c r="D181">
        <v>170</v>
      </c>
      <c r="E181" t="s">
        <v>44</v>
      </c>
      <c r="F181" t="s">
        <v>946</v>
      </c>
      <c r="G181" t="s">
        <v>77</v>
      </c>
      <c r="H181" t="s">
        <v>26</v>
      </c>
      <c r="I181" t="s">
        <v>947</v>
      </c>
      <c r="J181">
        <v>74</v>
      </c>
      <c r="K181" t="s">
        <v>25</v>
      </c>
      <c r="L181" t="s">
        <v>248</v>
      </c>
      <c r="M181" t="s">
        <v>27</v>
      </c>
      <c r="P181" t="s">
        <v>28</v>
      </c>
      <c r="Q181" t="s">
        <v>948</v>
      </c>
      <c r="R181" t="s">
        <v>949</v>
      </c>
      <c r="S181" t="s">
        <v>31</v>
      </c>
      <c r="T181">
        <v>0</v>
      </c>
    </row>
    <row r="182" spans="1:20" x14ac:dyDescent="0.25">
      <c r="A182" t="s">
        <v>950</v>
      </c>
      <c r="B182" s="1">
        <v>45808</v>
      </c>
      <c r="C182" s="5">
        <v>0.52156250000000004</v>
      </c>
      <c r="D182">
        <v>113.5</v>
      </c>
      <c r="E182" t="s">
        <v>44</v>
      </c>
      <c r="F182" t="s">
        <v>601</v>
      </c>
      <c r="G182" t="s">
        <v>34</v>
      </c>
      <c r="H182" t="s">
        <v>146</v>
      </c>
      <c r="I182" t="s">
        <v>951</v>
      </c>
      <c r="J182">
        <v>59</v>
      </c>
      <c r="K182" t="s">
        <v>25</v>
      </c>
      <c r="L182" t="s">
        <v>26</v>
      </c>
      <c r="M182" t="s">
        <v>39</v>
      </c>
      <c r="P182" t="s">
        <v>28</v>
      </c>
      <c r="Q182" t="s">
        <v>952</v>
      </c>
      <c r="R182" t="s">
        <v>953</v>
      </c>
      <c r="S182" t="s">
        <v>31</v>
      </c>
      <c r="T182">
        <v>0</v>
      </c>
    </row>
    <row r="183" spans="1:20" x14ac:dyDescent="0.25">
      <c r="A183" t="s">
        <v>954</v>
      </c>
      <c r="B183" s="1">
        <v>45920</v>
      </c>
      <c r="C183" s="5">
        <v>5.6828703703703701E-2</v>
      </c>
      <c r="D183">
        <v>7.36</v>
      </c>
      <c r="E183" t="s">
        <v>44</v>
      </c>
      <c r="F183" t="s">
        <v>874</v>
      </c>
      <c r="G183" t="s">
        <v>124</v>
      </c>
      <c r="H183" t="s">
        <v>130</v>
      </c>
      <c r="I183" t="s">
        <v>955</v>
      </c>
      <c r="J183">
        <v>41</v>
      </c>
      <c r="K183" t="s">
        <v>37</v>
      </c>
      <c r="L183" t="s">
        <v>47</v>
      </c>
      <c r="M183" t="s">
        <v>39</v>
      </c>
      <c r="P183" t="s">
        <v>28</v>
      </c>
      <c r="Q183" t="s">
        <v>956</v>
      </c>
      <c r="R183" t="s">
        <v>957</v>
      </c>
      <c r="S183" t="s">
        <v>31</v>
      </c>
      <c r="T183">
        <v>0</v>
      </c>
    </row>
    <row r="184" spans="1:20" x14ac:dyDescent="0.25">
      <c r="A184" t="s">
        <v>958</v>
      </c>
      <c r="B184" s="1">
        <v>45883</v>
      </c>
      <c r="C184" s="5">
        <v>1.2418981481481482E-2</v>
      </c>
      <c r="D184">
        <v>101.9</v>
      </c>
      <c r="E184" t="s">
        <v>44</v>
      </c>
      <c r="F184" t="s">
        <v>959</v>
      </c>
      <c r="G184" t="s">
        <v>46</v>
      </c>
      <c r="H184" t="s">
        <v>248</v>
      </c>
      <c r="I184" t="s">
        <v>960</v>
      </c>
      <c r="J184">
        <v>26</v>
      </c>
      <c r="K184" t="s">
        <v>49</v>
      </c>
      <c r="L184" t="s">
        <v>119</v>
      </c>
      <c r="M184" t="s">
        <v>105</v>
      </c>
      <c r="P184" t="s">
        <v>28</v>
      </c>
      <c r="Q184" t="s">
        <v>961</v>
      </c>
      <c r="R184" t="s">
        <v>962</v>
      </c>
      <c r="S184" t="s">
        <v>31</v>
      </c>
      <c r="T184">
        <v>0</v>
      </c>
    </row>
    <row r="185" spans="1:20" x14ac:dyDescent="0.25">
      <c r="A185" t="s">
        <v>963</v>
      </c>
      <c r="B185" s="1">
        <v>45951</v>
      </c>
      <c r="C185" s="5">
        <v>0.42925925925925928</v>
      </c>
      <c r="D185">
        <v>109.82</v>
      </c>
      <c r="E185" t="s">
        <v>44</v>
      </c>
      <c r="F185" t="s">
        <v>748</v>
      </c>
      <c r="G185" t="s">
        <v>46</v>
      </c>
      <c r="H185" t="s">
        <v>110</v>
      </c>
      <c r="I185" t="s">
        <v>964</v>
      </c>
      <c r="K185" t="s">
        <v>37</v>
      </c>
      <c r="L185" t="s">
        <v>91</v>
      </c>
      <c r="M185" t="s">
        <v>112</v>
      </c>
      <c r="P185" t="s">
        <v>28</v>
      </c>
      <c r="Q185" t="s">
        <v>965</v>
      </c>
      <c r="R185" t="s">
        <v>966</v>
      </c>
      <c r="S185" t="s">
        <v>31</v>
      </c>
      <c r="T185">
        <v>0</v>
      </c>
    </row>
    <row r="186" spans="1:20" x14ac:dyDescent="0.25">
      <c r="A186" t="s">
        <v>967</v>
      </c>
      <c r="B186" s="1">
        <v>45789</v>
      </c>
      <c r="C186" s="5">
        <v>0.3485300925925926</v>
      </c>
      <c r="D186">
        <v>102.16</v>
      </c>
      <c r="E186" t="s">
        <v>44</v>
      </c>
      <c r="F186" t="s">
        <v>968</v>
      </c>
      <c r="G186" t="s">
        <v>64</v>
      </c>
      <c r="H186" t="s">
        <v>97</v>
      </c>
      <c r="I186" t="s">
        <v>969</v>
      </c>
      <c r="J186">
        <v>11</v>
      </c>
      <c r="K186" t="s">
        <v>25</v>
      </c>
      <c r="L186" t="s">
        <v>23</v>
      </c>
      <c r="M186" t="s">
        <v>105</v>
      </c>
      <c r="P186" t="s">
        <v>28</v>
      </c>
      <c r="Q186" t="s">
        <v>970</v>
      </c>
      <c r="R186" t="s">
        <v>971</v>
      </c>
      <c r="S186" t="s">
        <v>31</v>
      </c>
      <c r="T186">
        <v>0</v>
      </c>
    </row>
    <row r="187" spans="1:20" x14ac:dyDescent="0.25">
      <c r="A187" t="s">
        <v>972</v>
      </c>
      <c r="B187" s="1">
        <v>45792</v>
      </c>
      <c r="C187" s="5">
        <v>0.80488425925925922</v>
      </c>
      <c r="D187">
        <v>604.79999999999995</v>
      </c>
      <c r="E187" t="s">
        <v>44</v>
      </c>
      <c r="F187" t="s">
        <v>973</v>
      </c>
      <c r="G187" t="s">
        <v>34</v>
      </c>
      <c r="H187" t="s">
        <v>26</v>
      </c>
      <c r="I187" t="s">
        <v>974</v>
      </c>
      <c r="J187">
        <v>27</v>
      </c>
      <c r="K187" t="s">
        <v>25</v>
      </c>
      <c r="L187" t="s">
        <v>35</v>
      </c>
      <c r="M187" t="s">
        <v>105</v>
      </c>
      <c r="P187" t="s">
        <v>28</v>
      </c>
      <c r="Q187" t="s">
        <v>975</v>
      </c>
      <c r="R187" t="s">
        <v>976</v>
      </c>
      <c r="S187" t="s">
        <v>31</v>
      </c>
      <c r="T187">
        <v>0</v>
      </c>
    </row>
    <row r="188" spans="1:20" x14ac:dyDescent="0.25">
      <c r="A188" t="s">
        <v>977</v>
      </c>
      <c r="B188" s="1">
        <v>45793</v>
      </c>
      <c r="C188" s="5">
        <v>0.64812499999999995</v>
      </c>
      <c r="D188">
        <v>56.29</v>
      </c>
      <c r="E188" t="s">
        <v>44</v>
      </c>
      <c r="F188" t="s">
        <v>978</v>
      </c>
      <c r="G188" t="s">
        <v>22</v>
      </c>
      <c r="H188" t="s">
        <v>35</v>
      </c>
      <c r="I188" t="s">
        <v>979</v>
      </c>
      <c r="K188" t="s">
        <v>25</v>
      </c>
      <c r="L188" t="s">
        <v>58</v>
      </c>
      <c r="M188" t="s">
        <v>84</v>
      </c>
      <c r="P188" t="s">
        <v>28</v>
      </c>
      <c r="Q188" t="s">
        <v>980</v>
      </c>
      <c r="R188" t="s">
        <v>981</v>
      </c>
      <c r="S188" t="s">
        <v>31</v>
      </c>
      <c r="T188">
        <v>0</v>
      </c>
    </row>
    <row r="189" spans="1:20" x14ac:dyDescent="0.25">
      <c r="A189" t="s">
        <v>982</v>
      </c>
      <c r="B189" s="1">
        <v>45918</v>
      </c>
      <c r="C189" s="5">
        <v>1.2916666666666667E-2</v>
      </c>
      <c r="D189">
        <v>120.99</v>
      </c>
      <c r="E189" t="s">
        <v>44</v>
      </c>
      <c r="F189" t="s">
        <v>983</v>
      </c>
      <c r="G189" t="s">
        <v>124</v>
      </c>
      <c r="H189" t="s">
        <v>146</v>
      </c>
      <c r="I189" t="s">
        <v>984</v>
      </c>
      <c r="J189">
        <v>69</v>
      </c>
      <c r="K189" t="s">
        <v>25</v>
      </c>
      <c r="L189" t="s">
        <v>248</v>
      </c>
      <c r="M189" t="s">
        <v>51</v>
      </c>
      <c r="N189" t="s">
        <v>52</v>
      </c>
      <c r="O189">
        <v>491040</v>
      </c>
      <c r="P189" t="s">
        <v>28</v>
      </c>
      <c r="Q189" t="s">
        <v>985</v>
      </c>
      <c r="R189" t="s">
        <v>986</v>
      </c>
      <c r="S189" t="s">
        <v>31</v>
      </c>
      <c r="T189">
        <v>0</v>
      </c>
    </row>
    <row r="190" spans="1:20" x14ac:dyDescent="0.25">
      <c r="A190" t="s">
        <v>987</v>
      </c>
      <c r="B190" s="1">
        <v>45952</v>
      </c>
      <c r="C190" s="5">
        <v>0.12341435185185186</v>
      </c>
      <c r="D190">
        <v>72.27</v>
      </c>
      <c r="E190" t="s">
        <v>44</v>
      </c>
      <c r="F190" t="s">
        <v>988</v>
      </c>
      <c r="G190" t="s">
        <v>46</v>
      </c>
      <c r="H190" t="s">
        <v>110</v>
      </c>
      <c r="I190" t="s">
        <v>989</v>
      </c>
      <c r="J190">
        <v>35</v>
      </c>
      <c r="K190" t="s">
        <v>37</v>
      </c>
      <c r="L190" t="s">
        <v>110</v>
      </c>
      <c r="M190" t="s">
        <v>27</v>
      </c>
      <c r="P190" t="s">
        <v>113</v>
      </c>
      <c r="Q190" t="s">
        <v>990</v>
      </c>
      <c r="R190" t="s">
        <v>991</v>
      </c>
      <c r="S190" t="s">
        <v>31</v>
      </c>
      <c r="T190">
        <v>0</v>
      </c>
    </row>
    <row r="191" spans="1:20" x14ac:dyDescent="0.25">
      <c r="A191" t="s">
        <v>992</v>
      </c>
      <c r="B191" s="1">
        <v>45934</v>
      </c>
      <c r="C191" s="5">
        <v>0.65748842592592593</v>
      </c>
      <c r="D191">
        <v>158.87</v>
      </c>
      <c r="E191" t="s">
        <v>44</v>
      </c>
      <c r="F191" t="s">
        <v>343</v>
      </c>
      <c r="G191" t="s">
        <v>46</v>
      </c>
      <c r="H191" t="s">
        <v>91</v>
      </c>
      <c r="I191" t="s">
        <v>993</v>
      </c>
      <c r="J191">
        <v>43</v>
      </c>
      <c r="K191" t="s">
        <v>37</v>
      </c>
      <c r="L191" t="s">
        <v>38</v>
      </c>
      <c r="M191" t="s">
        <v>112</v>
      </c>
      <c r="P191" t="s">
        <v>28</v>
      </c>
      <c r="Q191" t="s">
        <v>994</v>
      </c>
      <c r="R191" t="s">
        <v>995</v>
      </c>
      <c r="S191" t="s">
        <v>31</v>
      </c>
      <c r="T191">
        <v>1</v>
      </c>
    </row>
    <row r="192" spans="1:20" x14ac:dyDescent="0.25">
      <c r="A192" t="s">
        <v>996</v>
      </c>
      <c r="B192" s="1">
        <v>45946</v>
      </c>
      <c r="C192" s="5">
        <v>0.74164351851851851</v>
      </c>
      <c r="D192">
        <v>65.400000000000006</v>
      </c>
      <c r="E192" t="s">
        <v>44</v>
      </c>
      <c r="F192" t="s">
        <v>997</v>
      </c>
      <c r="G192" t="s">
        <v>22</v>
      </c>
      <c r="H192" t="s">
        <v>110</v>
      </c>
      <c r="I192" t="s">
        <v>998</v>
      </c>
      <c r="J192">
        <v>22</v>
      </c>
      <c r="K192" t="s">
        <v>49</v>
      </c>
      <c r="L192" t="s">
        <v>26</v>
      </c>
      <c r="M192" t="s">
        <v>39</v>
      </c>
      <c r="P192" t="s">
        <v>28</v>
      </c>
      <c r="Q192" t="s">
        <v>999</v>
      </c>
      <c r="R192" t="s">
        <v>1000</v>
      </c>
      <c r="S192" t="s">
        <v>31</v>
      </c>
      <c r="T192">
        <v>0</v>
      </c>
    </row>
    <row r="193" spans="1:20" x14ac:dyDescent="0.25">
      <c r="A193" t="s">
        <v>1001</v>
      </c>
      <c r="B193" s="1">
        <v>45826</v>
      </c>
      <c r="C193" s="5">
        <v>0.49918981481481484</v>
      </c>
      <c r="D193">
        <v>329.5</v>
      </c>
      <c r="E193" t="s">
        <v>44</v>
      </c>
      <c r="F193" t="s">
        <v>1002</v>
      </c>
      <c r="G193" t="s">
        <v>124</v>
      </c>
      <c r="H193" t="s">
        <v>146</v>
      </c>
      <c r="I193" t="s">
        <v>1003</v>
      </c>
      <c r="J193">
        <v>19</v>
      </c>
      <c r="K193" t="s">
        <v>37</v>
      </c>
      <c r="L193" t="s">
        <v>130</v>
      </c>
      <c r="M193" t="s">
        <v>112</v>
      </c>
      <c r="P193" t="s">
        <v>28</v>
      </c>
      <c r="Q193" t="s">
        <v>1004</v>
      </c>
      <c r="R193" t="s">
        <v>1005</v>
      </c>
      <c r="S193" t="s">
        <v>31</v>
      </c>
      <c r="T193">
        <v>0</v>
      </c>
    </row>
    <row r="194" spans="1:20" x14ac:dyDescent="0.25">
      <c r="A194" t="s">
        <v>1006</v>
      </c>
      <c r="B194" s="1">
        <v>45907</v>
      </c>
      <c r="C194" s="5">
        <v>0.1388888888888889</v>
      </c>
      <c r="D194">
        <v>148.97</v>
      </c>
      <c r="E194" t="s">
        <v>44</v>
      </c>
      <c r="F194" t="s">
        <v>1007</v>
      </c>
      <c r="G194" t="s">
        <v>57</v>
      </c>
      <c r="H194" t="s">
        <v>47</v>
      </c>
      <c r="I194" t="s">
        <v>1008</v>
      </c>
      <c r="J194">
        <v>65</v>
      </c>
      <c r="K194" t="s">
        <v>25</v>
      </c>
      <c r="L194" t="s">
        <v>248</v>
      </c>
      <c r="M194" t="s">
        <v>112</v>
      </c>
      <c r="P194" t="s">
        <v>28</v>
      </c>
      <c r="Q194" t="s">
        <v>1009</v>
      </c>
      <c r="R194" t="s">
        <v>1010</v>
      </c>
      <c r="S194" t="s">
        <v>31</v>
      </c>
      <c r="T194">
        <v>0</v>
      </c>
    </row>
    <row r="195" spans="1:20" x14ac:dyDescent="0.25">
      <c r="A195" t="s">
        <v>1011</v>
      </c>
      <c r="B195" s="1">
        <v>45809</v>
      </c>
      <c r="C195" s="5">
        <v>0.47282407407407406</v>
      </c>
      <c r="D195">
        <v>65.150000000000006</v>
      </c>
      <c r="E195" t="s">
        <v>44</v>
      </c>
      <c r="F195" t="s">
        <v>1012</v>
      </c>
      <c r="G195" t="s">
        <v>64</v>
      </c>
      <c r="H195" t="s">
        <v>97</v>
      </c>
      <c r="I195" t="s">
        <v>1013</v>
      </c>
      <c r="J195">
        <v>29</v>
      </c>
      <c r="K195" t="s">
        <v>49</v>
      </c>
      <c r="L195" t="s">
        <v>248</v>
      </c>
      <c r="M195" t="s">
        <v>84</v>
      </c>
      <c r="P195" t="s">
        <v>28</v>
      </c>
      <c r="Q195" t="s">
        <v>1014</v>
      </c>
      <c r="R195" t="s">
        <v>1015</v>
      </c>
      <c r="S195" t="s">
        <v>31</v>
      </c>
      <c r="T195">
        <v>0</v>
      </c>
    </row>
    <row r="196" spans="1:20" x14ac:dyDescent="0.25">
      <c r="A196" t="s">
        <v>1016</v>
      </c>
      <c r="B196" s="1">
        <v>45839</v>
      </c>
      <c r="C196" s="5">
        <v>0.27236111111111111</v>
      </c>
      <c r="D196">
        <v>118.66</v>
      </c>
      <c r="E196" t="s">
        <v>44</v>
      </c>
      <c r="F196" t="s">
        <v>1017</v>
      </c>
      <c r="G196" t="s">
        <v>57</v>
      </c>
      <c r="H196" t="s">
        <v>26</v>
      </c>
      <c r="I196" t="s">
        <v>1018</v>
      </c>
      <c r="J196">
        <v>23</v>
      </c>
      <c r="K196" t="s">
        <v>37</v>
      </c>
      <c r="L196" t="s">
        <v>110</v>
      </c>
      <c r="M196" t="s">
        <v>84</v>
      </c>
      <c r="P196" t="s">
        <v>28</v>
      </c>
      <c r="Q196" t="s">
        <v>1019</v>
      </c>
      <c r="R196" t="s">
        <v>1020</v>
      </c>
      <c r="S196" t="s">
        <v>31</v>
      </c>
      <c r="T196">
        <v>0</v>
      </c>
    </row>
    <row r="197" spans="1:20" x14ac:dyDescent="0.25">
      <c r="A197" t="s">
        <v>1021</v>
      </c>
      <c r="B197" s="1">
        <v>45935</v>
      </c>
      <c r="C197" s="5">
        <v>0.58535879629629628</v>
      </c>
      <c r="D197">
        <v>177.99</v>
      </c>
      <c r="E197" t="s">
        <v>44</v>
      </c>
      <c r="F197" t="s">
        <v>946</v>
      </c>
      <c r="G197" t="s">
        <v>64</v>
      </c>
      <c r="H197" t="s">
        <v>119</v>
      </c>
      <c r="I197" t="s">
        <v>1022</v>
      </c>
      <c r="J197">
        <v>62</v>
      </c>
      <c r="K197" t="s">
        <v>37</v>
      </c>
      <c r="L197" t="s">
        <v>110</v>
      </c>
      <c r="M197" t="s">
        <v>51</v>
      </c>
      <c r="N197" t="s">
        <v>304</v>
      </c>
      <c r="O197">
        <v>546046</v>
      </c>
      <c r="P197" t="s">
        <v>28</v>
      </c>
      <c r="Q197" t="s">
        <v>1023</v>
      </c>
      <c r="R197" t="s">
        <v>1024</v>
      </c>
      <c r="S197" t="s">
        <v>31</v>
      </c>
      <c r="T197">
        <v>0</v>
      </c>
    </row>
    <row r="198" spans="1:20" x14ac:dyDescent="0.25">
      <c r="A198" t="s">
        <v>1025</v>
      </c>
      <c r="B198" s="1">
        <v>45802</v>
      </c>
      <c r="C198" s="5">
        <v>0.83787037037037038</v>
      </c>
      <c r="D198">
        <v>4166.6400000000003</v>
      </c>
      <c r="E198" t="s">
        <v>44</v>
      </c>
      <c r="F198" t="s">
        <v>621</v>
      </c>
      <c r="G198" t="s">
        <v>124</v>
      </c>
      <c r="H198" t="s">
        <v>47</v>
      </c>
      <c r="I198" t="s">
        <v>1026</v>
      </c>
      <c r="J198">
        <v>28</v>
      </c>
      <c r="K198" t="s">
        <v>49</v>
      </c>
      <c r="L198" t="s">
        <v>26</v>
      </c>
      <c r="M198" t="s">
        <v>39</v>
      </c>
      <c r="P198" t="s">
        <v>28</v>
      </c>
      <c r="Q198" t="s">
        <v>1027</v>
      </c>
      <c r="R198" t="s">
        <v>1028</v>
      </c>
      <c r="S198" t="s">
        <v>31</v>
      </c>
      <c r="T198">
        <v>0</v>
      </c>
    </row>
    <row r="199" spans="1:20" x14ac:dyDescent="0.25">
      <c r="A199" t="s">
        <v>1029</v>
      </c>
      <c r="B199" s="1">
        <v>45945</v>
      </c>
      <c r="C199" s="5">
        <v>0.25994212962962965</v>
      </c>
      <c r="D199">
        <v>50.81</v>
      </c>
      <c r="E199" t="s">
        <v>44</v>
      </c>
      <c r="F199" t="s">
        <v>1030</v>
      </c>
      <c r="G199" t="s">
        <v>124</v>
      </c>
      <c r="H199" t="s">
        <v>23</v>
      </c>
      <c r="I199" t="s">
        <v>1031</v>
      </c>
      <c r="J199">
        <v>25</v>
      </c>
      <c r="K199" t="s">
        <v>37</v>
      </c>
      <c r="L199" t="s">
        <v>58</v>
      </c>
      <c r="M199" t="s">
        <v>39</v>
      </c>
      <c r="P199" t="s">
        <v>28</v>
      </c>
      <c r="Q199" t="s">
        <v>1032</v>
      </c>
      <c r="R199" t="s">
        <v>1033</v>
      </c>
      <c r="S199" t="s">
        <v>31</v>
      </c>
      <c r="T199">
        <v>0</v>
      </c>
    </row>
    <row r="200" spans="1:20" x14ac:dyDescent="0.25">
      <c r="A200" t="s">
        <v>1034</v>
      </c>
      <c r="B200" s="1">
        <v>45819</v>
      </c>
      <c r="C200" s="5">
        <v>0.15406249999999999</v>
      </c>
      <c r="D200">
        <v>281.20999999999998</v>
      </c>
      <c r="E200" t="s">
        <v>44</v>
      </c>
      <c r="F200" t="s">
        <v>1035</v>
      </c>
      <c r="G200" t="s">
        <v>71</v>
      </c>
      <c r="H200" t="s">
        <v>110</v>
      </c>
      <c r="I200" t="s">
        <v>1036</v>
      </c>
      <c r="J200">
        <v>29</v>
      </c>
      <c r="K200" t="s">
        <v>25</v>
      </c>
      <c r="L200" t="s">
        <v>146</v>
      </c>
      <c r="M200" t="s">
        <v>51</v>
      </c>
      <c r="N200" t="s">
        <v>345</v>
      </c>
      <c r="O200">
        <v>445034</v>
      </c>
      <c r="P200" t="s">
        <v>28</v>
      </c>
      <c r="Q200" t="s">
        <v>1037</v>
      </c>
      <c r="R200" t="s">
        <v>1038</v>
      </c>
      <c r="S200" t="s">
        <v>101</v>
      </c>
      <c r="T200">
        <v>0</v>
      </c>
    </row>
    <row r="201" spans="1:20" x14ac:dyDescent="0.25">
      <c r="A201" t="s">
        <v>1039</v>
      </c>
      <c r="B201" s="1">
        <v>45796</v>
      </c>
      <c r="C201" s="5">
        <v>0.37556712962962963</v>
      </c>
      <c r="D201">
        <v>24.09</v>
      </c>
      <c r="E201" t="s">
        <v>44</v>
      </c>
      <c r="F201" t="s">
        <v>1040</v>
      </c>
      <c r="G201" t="s">
        <v>96</v>
      </c>
      <c r="H201" t="s">
        <v>119</v>
      </c>
      <c r="I201" t="s">
        <v>1041</v>
      </c>
      <c r="J201">
        <v>73</v>
      </c>
      <c r="K201" t="s">
        <v>25</v>
      </c>
      <c r="L201" t="s">
        <v>130</v>
      </c>
      <c r="M201" t="s">
        <v>112</v>
      </c>
      <c r="P201" t="s">
        <v>28</v>
      </c>
      <c r="Q201" t="s">
        <v>1042</v>
      </c>
      <c r="R201" t="s">
        <v>1043</v>
      </c>
      <c r="S201" t="s">
        <v>31</v>
      </c>
      <c r="T201">
        <v>0</v>
      </c>
    </row>
    <row r="202" spans="1:20" x14ac:dyDescent="0.25">
      <c r="A202" t="s">
        <v>1044</v>
      </c>
      <c r="B202" s="1">
        <v>45888</v>
      </c>
      <c r="C202" s="5">
        <v>0.14583333333333334</v>
      </c>
      <c r="D202">
        <v>106.72</v>
      </c>
      <c r="E202" t="s">
        <v>44</v>
      </c>
      <c r="F202" t="s">
        <v>1045</v>
      </c>
      <c r="G202" t="s">
        <v>77</v>
      </c>
      <c r="H202" t="s">
        <v>23</v>
      </c>
      <c r="I202" t="s">
        <v>1046</v>
      </c>
      <c r="J202">
        <v>68</v>
      </c>
      <c r="K202" t="s">
        <v>25</v>
      </c>
      <c r="L202" t="s">
        <v>146</v>
      </c>
      <c r="M202" t="s">
        <v>27</v>
      </c>
      <c r="P202" t="s">
        <v>28</v>
      </c>
      <c r="Q202" t="s">
        <v>1047</v>
      </c>
      <c r="R202" t="s">
        <v>1048</v>
      </c>
      <c r="S202" t="s">
        <v>31</v>
      </c>
      <c r="T202">
        <v>0</v>
      </c>
    </row>
    <row r="203" spans="1:20" x14ac:dyDescent="0.25">
      <c r="A203" t="s">
        <v>1049</v>
      </c>
      <c r="B203" s="1">
        <v>45814</v>
      </c>
      <c r="C203" s="5">
        <v>0.73175925925925922</v>
      </c>
      <c r="D203">
        <v>59.18</v>
      </c>
      <c r="E203" t="s">
        <v>44</v>
      </c>
      <c r="F203" t="s">
        <v>1050</v>
      </c>
      <c r="G203" t="s">
        <v>89</v>
      </c>
      <c r="H203" t="s">
        <v>146</v>
      </c>
      <c r="I203" t="s">
        <v>1051</v>
      </c>
      <c r="K203" t="s">
        <v>37</v>
      </c>
      <c r="L203" t="s">
        <v>50</v>
      </c>
      <c r="M203" t="s">
        <v>84</v>
      </c>
      <c r="P203" t="s">
        <v>28</v>
      </c>
      <c r="Q203" t="s">
        <v>1052</v>
      </c>
      <c r="R203" t="s">
        <v>1053</v>
      </c>
      <c r="S203" t="s">
        <v>42</v>
      </c>
      <c r="T203">
        <v>0</v>
      </c>
    </row>
    <row r="204" spans="1:20" x14ac:dyDescent="0.25">
      <c r="A204" t="s">
        <v>1054</v>
      </c>
      <c r="B204" s="1">
        <v>45794</v>
      </c>
      <c r="C204" s="5">
        <v>0.39435185185185184</v>
      </c>
      <c r="D204">
        <v>984.15</v>
      </c>
      <c r="E204" t="s">
        <v>44</v>
      </c>
      <c r="F204" t="s">
        <v>541</v>
      </c>
      <c r="G204" t="s">
        <v>77</v>
      </c>
      <c r="H204" t="s">
        <v>66</v>
      </c>
      <c r="I204" t="s">
        <v>1055</v>
      </c>
      <c r="J204">
        <v>70</v>
      </c>
      <c r="K204" t="s">
        <v>25</v>
      </c>
      <c r="L204" t="s">
        <v>23</v>
      </c>
      <c r="M204" t="s">
        <v>39</v>
      </c>
      <c r="P204" t="s">
        <v>28</v>
      </c>
      <c r="Q204" t="s">
        <v>1056</v>
      </c>
      <c r="R204" t="s">
        <v>1057</v>
      </c>
      <c r="S204" t="s">
        <v>31</v>
      </c>
      <c r="T204">
        <v>0</v>
      </c>
    </row>
    <row r="205" spans="1:20" x14ac:dyDescent="0.25">
      <c r="A205" t="s">
        <v>1058</v>
      </c>
      <c r="B205" s="1">
        <v>45817</v>
      </c>
      <c r="C205" s="5">
        <v>0.73246527777777781</v>
      </c>
      <c r="D205">
        <v>37.92</v>
      </c>
      <c r="E205" t="s">
        <v>44</v>
      </c>
      <c r="F205" t="s">
        <v>777</v>
      </c>
      <c r="G205" t="s">
        <v>34</v>
      </c>
      <c r="H205" t="s">
        <v>97</v>
      </c>
      <c r="I205" t="s">
        <v>1059</v>
      </c>
      <c r="J205">
        <v>21</v>
      </c>
      <c r="K205" t="s">
        <v>37</v>
      </c>
      <c r="L205" t="s">
        <v>146</v>
      </c>
      <c r="M205" t="s">
        <v>51</v>
      </c>
      <c r="N205" t="s">
        <v>52</v>
      </c>
      <c r="O205">
        <v>537511</v>
      </c>
      <c r="P205" t="s">
        <v>28</v>
      </c>
      <c r="Q205" t="s">
        <v>1060</v>
      </c>
      <c r="R205" t="s">
        <v>1061</v>
      </c>
      <c r="S205" t="s">
        <v>31</v>
      </c>
      <c r="T205">
        <v>0</v>
      </c>
    </row>
    <row r="206" spans="1:20" x14ac:dyDescent="0.25">
      <c r="A206" t="s">
        <v>1062</v>
      </c>
      <c r="B206" s="1">
        <v>45898</v>
      </c>
      <c r="C206" s="5">
        <v>0.33135416666666667</v>
      </c>
      <c r="D206">
        <v>143.79</v>
      </c>
      <c r="E206" t="s">
        <v>44</v>
      </c>
      <c r="F206" t="s">
        <v>1063</v>
      </c>
      <c r="G206" t="s">
        <v>22</v>
      </c>
      <c r="H206" t="s">
        <v>26</v>
      </c>
      <c r="I206" t="s">
        <v>1064</v>
      </c>
      <c r="J206">
        <v>49</v>
      </c>
      <c r="K206" t="s">
        <v>37</v>
      </c>
      <c r="L206" t="s">
        <v>38</v>
      </c>
      <c r="M206" t="s">
        <v>27</v>
      </c>
      <c r="P206" t="s">
        <v>28</v>
      </c>
      <c r="Q206" t="s">
        <v>1065</v>
      </c>
      <c r="R206" t="s">
        <v>1066</v>
      </c>
      <c r="S206" t="s">
        <v>101</v>
      </c>
      <c r="T206">
        <v>0</v>
      </c>
    </row>
    <row r="207" spans="1:20" x14ac:dyDescent="0.25">
      <c r="A207" t="s">
        <v>1067</v>
      </c>
      <c r="B207" s="1">
        <v>45863</v>
      </c>
      <c r="C207" s="5">
        <v>0.75770833333333332</v>
      </c>
      <c r="D207">
        <v>1014.41</v>
      </c>
      <c r="E207" t="s">
        <v>44</v>
      </c>
      <c r="F207" t="s">
        <v>1068</v>
      </c>
      <c r="G207" t="s">
        <v>96</v>
      </c>
      <c r="H207" t="s">
        <v>23</v>
      </c>
      <c r="I207" t="s">
        <v>1069</v>
      </c>
      <c r="J207">
        <v>23</v>
      </c>
      <c r="K207" t="s">
        <v>25</v>
      </c>
      <c r="L207" t="s">
        <v>91</v>
      </c>
      <c r="M207" t="s">
        <v>105</v>
      </c>
      <c r="P207" t="s">
        <v>28</v>
      </c>
      <c r="Q207" t="s">
        <v>1070</v>
      </c>
      <c r="R207" t="s">
        <v>1071</v>
      </c>
      <c r="S207" t="s">
        <v>31</v>
      </c>
      <c r="T207">
        <v>0</v>
      </c>
    </row>
    <row r="208" spans="1:20" x14ac:dyDescent="0.25">
      <c r="A208" t="s">
        <v>1072</v>
      </c>
      <c r="B208" s="1">
        <v>45832</v>
      </c>
      <c r="C208" s="5">
        <v>0.97415509259259259</v>
      </c>
      <c r="D208">
        <v>116.76</v>
      </c>
      <c r="E208" t="s">
        <v>44</v>
      </c>
      <c r="F208" t="s">
        <v>323</v>
      </c>
      <c r="G208" t="s">
        <v>34</v>
      </c>
      <c r="H208" t="s">
        <v>66</v>
      </c>
      <c r="I208" t="s">
        <v>1073</v>
      </c>
      <c r="J208">
        <v>20</v>
      </c>
      <c r="K208" t="s">
        <v>25</v>
      </c>
      <c r="L208" t="s">
        <v>110</v>
      </c>
      <c r="M208" t="s">
        <v>112</v>
      </c>
      <c r="P208" t="s">
        <v>28</v>
      </c>
      <c r="Q208" t="s">
        <v>1074</v>
      </c>
      <c r="R208" t="s">
        <v>1075</v>
      </c>
      <c r="S208" t="s">
        <v>31</v>
      </c>
      <c r="T208">
        <v>0</v>
      </c>
    </row>
    <row r="209" spans="1:20" x14ac:dyDescent="0.25">
      <c r="A209" t="s">
        <v>1076</v>
      </c>
      <c r="B209" s="1">
        <v>45857</v>
      </c>
      <c r="C209" s="5">
        <v>0.35344907407407405</v>
      </c>
      <c r="D209">
        <v>159.66</v>
      </c>
      <c r="E209" t="s">
        <v>44</v>
      </c>
      <c r="F209" t="s">
        <v>1077</v>
      </c>
      <c r="G209" t="s">
        <v>96</v>
      </c>
      <c r="H209" t="s">
        <v>130</v>
      </c>
      <c r="I209" t="s">
        <v>1078</v>
      </c>
      <c r="J209">
        <v>19</v>
      </c>
      <c r="K209" t="s">
        <v>37</v>
      </c>
      <c r="L209" t="s">
        <v>26</v>
      </c>
      <c r="M209" t="s">
        <v>84</v>
      </c>
      <c r="P209" t="s">
        <v>28</v>
      </c>
      <c r="Q209" t="s">
        <v>1079</v>
      </c>
      <c r="R209" t="s">
        <v>1080</v>
      </c>
      <c r="S209" t="s">
        <v>31</v>
      </c>
      <c r="T209">
        <v>0</v>
      </c>
    </row>
    <row r="210" spans="1:20" x14ac:dyDescent="0.25">
      <c r="A210" t="s">
        <v>1081</v>
      </c>
      <c r="B210" s="1">
        <v>45814</v>
      </c>
      <c r="C210" s="5">
        <v>0.90951388888888884</v>
      </c>
      <c r="D210">
        <v>130.22999999999999</v>
      </c>
      <c r="E210" t="s">
        <v>44</v>
      </c>
      <c r="F210" t="s">
        <v>1082</v>
      </c>
      <c r="G210" t="s">
        <v>96</v>
      </c>
      <c r="H210" t="s">
        <v>66</v>
      </c>
      <c r="I210" t="s">
        <v>1083</v>
      </c>
      <c r="J210">
        <v>23</v>
      </c>
      <c r="K210" t="s">
        <v>49</v>
      </c>
      <c r="L210" t="s">
        <v>110</v>
      </c>
      <c r="M210" t="s">
        <v>51</v>
      </c>
      <c r="N210" t="s">
        <v>304</v>
      </c>
      <c r="O210">
        <v>402799</v>
      </c>
      <c r="P210" t="s">
        <v>28</v>
      </c>
      <c r="Q210" t="s">
        <v>1084</v>
      </c>
      <c r="R210" t="s">
        <v>1085</v>
      </c>
      <c r="S210" t="s">
        <v>101</v>
      </c>
      <c r="T210">
        <v>0</v>
      </c>
    </row>
    <row r="211" spans="1:20" x14ac:dyDescent="0.25">
      <c r="A211" t="s">
        <v>1086</v>
      </c>
      <c r="B211" s="1">
        <v>45902</v>
      </c>
      <c r="C211" s="5">
        <v>0.86754629629629632</v>
      </c>
      <c r="D211">
        <v>103.86</v>
      </c>
      <c r="E211" t="s">
        <v>44</v>
      </c>
      <c r="F211" t="s">
        <v>1087</v>
      </c>
      <c r="G211" t="s">
        <v>96</v>
      </c>
      <c r="H211" t="s">
        <v>47</v>
      </c>
      <c r="I211" t="s">
        <v>1088</v>
      </c>
      <c r="J211">
        <v>51</v>
      </c>
      <c r="K211" t="s">
        <v>37</v>
      </c>
      <c r="L211" t="s">
        <v>97</v>
      </c>
      <c r="M211" t="s">
        <v>84</v>
      </c>
      <c r="P211" t="s">
        <v>28</v>
      </c>
      <c r="Q211" t="s">
        <v>1089</v>
      </c>
      <c r="R211" t="s">
        <v>1090</v>
      </c>
      <c r="S211" t="s">
        <v>31</v>
      </c>
      <c r="T211">
        <v>0</v>
      </c>
    </row>
    <row r="212" spans="1:20" x14ac:dyDescent="0.25">
      <c r="A212" t="s">
        <v>1091</v>
      </c>
      <c r="B212" s="1">
        <v>45849</v>
      </c>
      <c r="C212" s="5">
        <v>0.516087962962963</v>
      </c>
      <c r="D212">
        <v>29.11</v>
      </c>
      <c r="E212" t="s">
        <v>44</v>
      </c>
      <c r="F212" t="s">
        <v>1092</v>
      </c>
      <c r="G212" t="s">
        <v>22</v>
      </c>
      <c r="H212" t="s">
        <v>38</v>
      </c>
      <c r="I212" t="s">
        <v>1093</v>
      </c>
      <c r="J212">
        <v>19</v>
      </c>
      <c r="K212" t="s">
        <v>37</v>
      </c>
      <c r="L212" t="s">
        <v>146</v>
      </c>
      <c r="M212" t="s">
        <v>112</v>
      </c>
      <c r="P212" t="s">
        <v>28</v>
      </c>
      <c r="Q212" t="s">
        <v>1094</v>
      </c>
      <c r="R212" t="s">
        <v>1095</v>
      </c>
      <c r="S212" t="s">
        <v>31</v>
      </c>
      <c r="T212">
        <v>0</v>
      </c>
    </row>
    <row r="213" spans="1:20" x14ac:dyDescent="0.25">
      <c r="A213" t="s">
        <v>1096</v>
      </c>
      <c r="B213" s="1">
        <v>45884</v>
      </c>
      <c r="C213" s="5">
        <v>0.65212962962962961</v>
      </c>
      <c r="D213">
        <v>483.03</v>
      </c>
      <c r="E213" t="s">
        <v>44</v>
      </c>
      <c r="F213" t="s">
        <v>1035</v>
      </c>
      <c r="G213" t="s">
        <v>64</v>
      </c>
      <c r="H213" t="s">
        <v>35</v>
      </c>
      <c r="I213" t="s">
        <v>1097</v>
      </c>
      <c r="J213">
        <v>55</v>
      </c>
      <c r="K213" t="s">
        <v>25</v>
      </c>
      <c r="L213" t="s">
        <v>50</v>
      </c>
      <c r="M213" t="s">
        <v>39</v>
      </c>
      <c r="P213" t="s">
        <v>28</v>
      </c>
      <c r="Q213" t="s">
        <v>1098</v>
      </c>
      <c r="R213" t="s">
        <v>1099</v>
      </c>
      <c r="S213" t="s">
        <v>31</v>
      </c>
      <c r="T213">
        <v>0</v>
      </c>
    </row>
    <row r="214" spans="1:20" x14ac:dyDescent="0.25">
      <c r="A214" t="s">
        <v>1100</v>
      </c>
      <c r="B214" s="1">
        <v>45864</v>
      </c>
      <c r="C214" s="5">
        <v>0.15427083333333333</v>
      </c>
      <c r="D214">
        <v>970.24</v>
      </c>
      <c r="E214" t="s">
        <v>44</v>
      </c>
      <c r="F214" t="s">
        <v>1101</v>
      </c>
      <c r="G214" t="s">
        <v>124</v>
      </c>
      <c r="H214" t="s">
        <v>110</v>
      </c>
      <c r="I214" t="s">
        <v>1102</v>
      </c>
      <c r="J214">
        <v>53</v>
      </c>
      <c r="K214" t="s">
        <v>37</v>
      </c>
      <c r="L214" t="s">
        <v>119</v>
      </c>
      <c r="M214" t="s">
        <v>112</v>
      </c>
      <c r="P214" t="s">
        <v>28</v>
      </c>
      <c r="Q214" t="s">
        <v>1103</v>
      </c>
      <c r="R214" t="s">
        <v>1104</v>
      </c>
      <c r="S214" t="s">
        <v>31</v>
      </c>
      <c r="T214">
        <v>0</v>
      </c>
    </row>
    <row r="215" spans="1:20" x14ac:dyDescent="0.25">
      <c r="A215" t="s">
        <v>1105</v>
      </c>
      <c r="B215" s="1">
        <v>45949</v>
      </c>
      <c r="C215" s="5">
        <v>0.62964120370370369</v>
      </c>
      <c r="D215">
        <v>165.08</v>
      </c>
      <c r="E215" t="s">
        <v>44</v>
      </c>
      <c r="F215" t="s">
        <v>723</v>
      </c>
      <c r="G215" t="s">
        <v>124</v>
      </c>
      <c r="H215" t="s">
        <v>97</v>
      </c>
      <c r="I215" t="s">
        <v>1106</v>
      </c>
      <c r="J215">
        <v>62</v>
      </c>
      <c r="K215" t="s">
        <v>49</v>
      </c>
      <c r="L215" t="s">
        <v>97</v>
      </c>
      <c r="M215" t="s">
        <v>84</v>
      </c>
      <c r="P215" t="s">
        <v>113</v>
      </c>
      <c r="Q215" t="s">
        <v>1107</v>
      </c>
      <c r="R215" t="s">
        <v>1108</v>
      </c>
      <c r="S215" t="s">
        <v>31</v>
      </c>
      <c r="T215">
        <v>1</v>
      </c>
    </row>
    <row r="216" spans="1:20" x14ac:dyDescent="0.25">
      <c r="A216" t="s">
        <v>1109</v>
      </c>
      <c r="B216" s="1">
        <v>45905</v>
      </c>
      <c r="C216" s="5">
        <v>0.99479166666666663</v>
      </c>
      <c r="D216">
        <v>177.47</v>
      </c>
      <c r="E216" t="s">
        <v>44</v>
      </c>
      <c r="F216" t="s">
        <v>1110</v>
      </c>
      <c r="G216" t="s">
        <v>34</v>
      </c>
      <c r="H216" t="s">
        <v>146</v>
      </c>
      <c r="I216" t="s">
        <v>1111</v>
      </c>
      <c r="J216">
        <v>63</v>
      </c>
      <c r="K216" t="s">
        <v>25</v>
      </c>
      <c r="L216" t="s">
        <v>38</v>
      </c>
      <c r="M216" t="s">
        <v>51</v>
      </c>
      <c r="N216" t="s">
        <v>304</v>
      </c>
      <c r="O216">
        <v>520241</v>
      </c>
      <c r="P216" t="s">
        <v>28</v>
      </c>
      <c r="Q216" t="s">
        <v>1112</v>
      </c>
      <c r="R216" t="s">
        <v>1113</v>
      </c>
      <c r="S216" t="s">
        <v>42</v>
      </c>
      <c r="T216">
        <v>0</v>
      </c>
    </row>
    <row r="217" spans="1:20" x14ac:dyDescent="0.25">
      <c r="A217" t="s">
        <v>1114</v>
      </c>
      <c r="B217" s="1">
        <v>45786</v>
      </c>
      <c r="C217" s="5">
        <v>0.62914351851851846</v>
      </c>
      <c r="D217">
        <v>114.88</v>
      </c>
      <c r="E217" t="s">
        <v>44</v>
      </c>
      <c r="F217" t="s">
        <v>1115</v>
      </c>
      <c r="G217" t="s">
        <v>34</v>
      </c>
      <c r="H217" t="s">
        <v>38</v>
      </c>
      <c r="I217" t="s">
        <v>1116</v>
      </c>
      <c r="J217">
        <v>67</v>
      </c>
      <c r="K217" t="s">
        <v>37</v>
      </c>
      <c r="L217" t="s">
        <v>66</v>
      </c>
      <c r="M217" t="s">
        <v>39</v>
      </c>
      <c r="P217" t="s">
        <v>28</v>
      </c>
      <c r="Q217" t="s">
        <v>1117</v>
      </c>
      <c r="R217" t="s">
        <v>1118</v>
      </c>
      <c r="S217" t="s">
        <v>31</v>
      </c>
      <c r="T217">
        <v>0</v>
      </c>
    </row>
    <row r="218" spans="1:20" x14ac:dyDescent="0.25">
      <c r="A218" t="s">
        <v>1119</v>
      </c>
      <c r="B218" s="1">
        <v>45783</v>
      </c>
      <c r="C218" s="5">
        <v>0.41494212962962962</v>
      </c>
      <c r="D218">
        <v>97.36</v>
      </c>
      <c r="E218" t="s">
        <v>44</v>
      </c>
      <c r="F218" t="s">
        <v>1120</v>
      </c>
      <c r="G218" t="s">
        <v>34</v>
      </c>
      <c r="H218" t="s">
        <v>119</v>
      </c>
      <c r="I218" t="s">
        <v>1121</v>
      </c>
      <c r="J218">
        <v>26</v>
      </c>
      <c r="K218" t="s">
        <v>49</v>
      </c>
      <c r="L218" t="s">
        <v>66</v>
      </c>
      <c r="M218" t="s">
        <v>39</v>
      </c>
      <c r="P218" t="s">
        <v>28</v>
      </c>
      <c r="Q218" t="s">
        <v>1122</v>
      </c>
      <c r="R218" t="s">
        <v>1123</v>
      </c>
      <c r="S218" t="s">
        <v>31</v>
      </c>
      <c r="T218">
        <v>0</v>
      </c>
    </row>
    <row r="219" spans="1:20" x14ac:dyDescent="0.25">
      <c r="A219" t="s">
        <v>1124</v>
      </c>
      <c r="B219" s="1">
        <v>45805</v>
      </c>
      <c r="C219" s="5">
        <v>0.34444444444444444</v>
      </c>
      <c r="D219">
        <v>23.44</v>
      </c>
      <c r="E219" t="s">
        <v>44</v>
      </c>
      <c r="F219" t="s">
        <v>863</v>
      </c>
      <c r="G219" t="s">
        <v>57</v>
      </c>
      <c r="H219" t="s">
        <v>50</v>
      </c>
      <c r="I219" t="s">
        <v>1125</v>
      </c>
      <c r="J219">
        <v>33</v>
      </c>
      <c r="K219" t="s">
        <v>37</v>
      </c>
      <c r="L219" t="s">
        <v>119</v>
      </c>
      <c r="M219" t="s">
        <v>27</v>
      </c>
      <c r="P219" t="s">
        <v>28</v>
      </c>
      <c r="Q219" t="s">
        <v>1126</v>
      </c>
      <c r="R219" t="s">
        <v>1127</v>
      </c>
      <c r="S219" t="s">
        <v>31</v>
      </c>
      <c r="T219">
        <v>0</v>
      </c>
    </row>
    <row r="220" spans="1:20" x14ac:dyDescent="0.25">
      <c r="A220" t="s">
        <v>1128</v>
      </c>
      <c r="B220" s="1">
        <v>45846</v>
      </c>
      <c r="C220" s="5">
        <v>0.17906250000000001</v>
      </c>
      <c r="D220">
        <v>37.119999999999997</v>
      </c>
      <c r="E220" t="s">
        <v>44</v>
      </c>
      <c r="F220" t="s">
        <v>768</v>
      </c>
      <c r="G220" t="s">
        <v>22</v>
      </c>
      <c r="H220" t="s">
        <v>58</v>
      </c>
      <c r="I220" t="s">
        <v>1129</v>
      </c>
      <c r="J220">
        <v>19</v>
      </c>
      <c r="K220" t="s">
        <v>49</v>
      </c>
      <c r="L220" t="s">
        <v>38</v>
      </c>
      <c r="M220" t="s">
        <v>105</v>
      </c>
      <c r="P220" t="s">
        <v>28</v>
      </c>
      <c r="Q220" t="s">
        <v>1130</v>
      </c>
      <c r="R220" t="s">
        <v>1131</v>
      </c>
      <c r="S220" t="s">
        <v>31</v>
      </c>
      <c r="T220">
        <v>0</v>
      </c>
    </row>
    <row r="221" spans="1:20" x14ac:dyDescent="0.25">
      <c r="A221" t="s">
        <v>1132</v>
      </c>
      <c r="B221" s="1">
        <v>45838</v>
      </c>
      <c r="C221" s="5">
        <v>5.4710648148148147E-2</v>
      </c>
      <c r="D221">
        <v>4.75</v>
      </c>
      <c r="E221" t="s">
        <v>44</v>
      </c>
      <c r="F221" t="s">
        <v>1133</v>
      </c>
      <c r="G221" t="s">
        <v>46</v>
      </c>
      <c r="H221" t="s">
        <v>146</v>
      </c>
      <c r="I221" t="s">
        <v>1134</v>
      </c>
      <c r="J221">
        <v>67</v>
      </c>
      <c r="K221" t="s">
        <v>49</v>
      </c>
      <c r="L221" t="s">
        <v>23</v>
      </c>
      <c r="M221" t="s">
        <v>84</v>
      </c>
      <c r="P221" t="s">
        <v>28</v>
      </c>
      <c r="Q221" t="s">
        <v>1135</v>
      </c>
      <c r="R221" t="s">
        <v>1136</v>
      </c>
      <c r="S221" t="s">
        <v>31</v>
      </c>
      <c r="T221">
        <v>0</v>
      </c>
    </row>
    <row r="222" spans="1:20" x14ac:dyDescent="0.25">
      <c r="A222" t="s">
        <v>1137</v>
      </c>
      <c r="B222" s="1">
        <v>45834</v>
      </c>
      <c r="C222" s="5">
        <v>0.61746527777777782</v>
      </c>
      <c r="D222">
        <v>73.290000000000006</v>
      </c>
      <c r="E222" t="s">
        <v>44</v>
      </c>
      <c r="F222" t="s">
        <v>1138</v>
      </c>
      <c r="G222" t="s">
        <v>22</v>
      </c>
      <c r="H222" t="s">
        <v>248</v>
      </c>
      <c r="I222" t="s">
        <v>1139</v>
      </c>
      <c r="J222">
        <v>67</v>
      </c>
      <c r="K222" t="s">
        <v>25</v>
      </c>
      <c r="L222" t="s">
        <v>248</v>
      </c>
      <c r="M222" t="s">
        <v>39</v>
      </c>
      <c r="P222" t="s">
        <v>113</v>
      </c>
      <c r="Q222" t="s">
        <v>1140</v>
      </c>
      <c r="R222" t="s">
        <v>1141</v>
      </c>
      <c r="S222" t="s">
        <v>31</v>
      </c>
      <c r="T222">
        <v>0</v>
      </c>
    </row>
    <row r="223" spans="1:20" x14ac:dyDescent="0.25">
      <c r="A223" t="s">
        <v>1142</v>
      </c>
      <c r="B223" s="1">
        <v>45859</v>
      </c>
      <c r="C223" s="5">
        <v>0.85560185185185189</v>
      </c>
      <c r="D223">
        <v>114.37</v>
      </c>
      <c r="E223" t="s">
        <v>44</v>
      </c>
      <c r="F223" t="s">
        <v>1143</v>
      </c>
      <c r="G223" t="s">
        <v>96</v>
      </c>
      <c r="H223" t="s">
        <v>248</v>
      </c>
      <c r="I223" t="s">
        <v>1144</v>
      </c>
      <c r="J223">
        <v>34</v>
      </c>
      <c r="K223" t="s">
        <v>49</v>
      </c>
      <c r="L223" t="s">
        <v>23</v>
      </c>
      <c r="M223" t="s">
        <v>112</v>
      </c>
      <c r="P223" t="s">
        <v>28</v>
      </c>
      <c r="Q223" t="s">
        <v>1145</v>
      </c>
      <c r="R223" t="s">
        <v>1146</v>
      </c>
      <c r="S223" t="s">
        <v>31</v>
      </c>
      <c r="T223">
        <v>0</v>
      </c>
    </row>
    <row r="224" spans="1:20" x14ac:dyDescent="0.25">
      <c r="A224" t="s">
        <v>1147</v>
      </c>
      <c r="B224" s="1">
        <v>45910</v>
      </c>
      <c r="C224" s="5">
        <v>0.66446759259259258</v>
      </c>
      <c r="D224">
        <v>102.04</v>
      </c>
      <c r="E224" t="s">
        <v>44</v>
      </c>
      <c r="F224" t="s">
        <v>1148</v>
      </c>
      <c r="G224" t="s">
        <v>46</v>
      </c>
      <c r="H224" t="s">
        <v>91</v>
      </c>
      <c r="I224" t="s">
        <v>1149</v>
      </c>
      <c r="J224">
        <v>66</v>
      </c>
      <c r="K224" t="s">
        <v>25</v>
      </c>
      <c r="L224" t="s">
        <v>58</v>
      </c>
      <c r="M224" t="s">
        <v>84</v>
      </c>
      <c r="P224" t="s">
        <v>28</v>
      </c>
      <c r="Q224" t="s">
        <v>1150</v>
      </c>
      <c r="R224" t="s">
        <v>1151</v>
      </c>
      <c r="S224" t="s">
        <v>31</v>
      </c>
      <c r="T224">
        <v>0</v>
      </c>
    </row>
    <row r="225" spans="1:20" x14ac:dyDescent="0.25">
      <c r="A225" t="s">
        <v>1152</v>
      </c>
      <c r="B225" s="1">
        <v>45960</v>
      </c>
      <c r="C225" s="5">
        <v>4.6990740740740743E-2</v>
      </c>
      <c r="D225">
        <v>102.74</v>
      </c>
      <c r="E225" t="s">
        <v>44</v>
      </c>
      <c r="F225" t="s">
        <v>1153</v>
      </c>
      <c r="G225" t="s">
        <v>77</v>
      </c>
      <c r="H225" t="s">
        <v>146</v>
      </c>
      <c r="I225" t="s">
        <v>1154</v>
      </c>
      <c r="J225">
        <v>41</v>
      </c>
      <c r="K225" t="s">
        <v>49</v>
      </c>
      <c r="L225" t="s">
        <v>91</v>
      </c>
      <c r="M225" t="s">
        <v>39</v>
      </c>
      <c r="P225" t="s">
        <v>28</v>
      </c>
      <c r="Q225" t="s">
        <v>1155</v>
      </c>
      <c r="R225" t="s">
        <v>1156</v>
      </c>
      <c r="S225" t="s">
        <v>31</v>
      </c>
      <c r="T225">
        <v>0</v>
      </c>
    </row>
    <row r="226" spans="1:20" x14ac:dyDescent="0.25">
      <c r="A226" t="s">
        <v>1157</v>
      </c>
      <c r="B226" s="1">
        <v>45812</v>
      </c>
      <c r="C226" s="5">
        <v>0.48071759259259261</v>
      </c>
      <c r="D226">
        <v>149.12</v>
      </c>
      <c r="E226" t="s">
        <v>44</v>
      </c>
      <c r="F226" t="s">
        <v>1158</v>
      </c>
      <c r="G226" t="s">
        <v>71</v>
      </c>
      <c r="H226" t="s">
        <v>35</v>
      </c>
      <c r="I226" t="s">
        <v>1159</v>
      </c>
      <c r="J226">
        <v>70</v>
      </c>
      <c r="K226" t="s">
        <v>37</v>
      </c>
      <c r="L226" t="s">
        <v>119</v>
      </c>
      <c r="M226" t="s">
        <v>39</v>
      </c>
      <c r="P226" t="s">
        <v>28</v>
      </c>
      <c r="Q226" t="s">
        <v>1160</v>
      </c>
      <c r="R226" t="s">
        <v>1161</v>
      </c>
      <c r="S226" t="s">
        <v>31</v>
      </c>
      <c r="T226">
        <v>0</v>
      </c>
    </row>
    <row r="227" spans="1:20" x14ac:dyDescent="0.25">
      <c r="A227" t="s">
        <v>1162</v>
      </c>
      <c r="B227" s="1">
        <v>45808</v>
      </c>
      <c r="C227" s="5">
        <v>0.14890046296296297</v>
      </c>
      <c r="D227">
        <v>588.4</v>
      </c>
      <c r="E227" t="s">
        <v>44</v>
      </c>
      <c r="F227" t="s">
        <v>1163</v>
      </c>
      <c r="G227" t="s">
        <v>64</v>
      </c>
      <c r="H227" t="s">
        <v>248</v>
      </c>
      <c r="I227" t="s">
        <v>1164</v>
      </c>
      <c r="J227">
        <v>31</v>
      </c>
      <c r="K227" t="s">
        <v>37</v>
      </c>
      <c r="L227" t="s">
        <v>130</v>
      </c>
      <c r="M227" t="s">
        <v>105</v>
      </c>
      <c r="P227" t="s">
        <v>28</v>
      </c>
      <c r="Q227" t="s">
        <v>1165</v>
      </c>
      <c r="R227" t="s">
        <v>1166</v>
      </c>
      <c r="S227" t="s">
        <v>31</v>
      </c>
      <c r="T227">
        <v>0</v>
      </c>
    </row>
    <row r="228" spans="1:20" x14ac:dyDescent="0.25">
      <c r="A228" t="s">
        <v>1167</v>
      </c>
      <c r="B228" s="1">
        <v>45790</v>
      </c>
      <c r="C228" s="5">
        <v>0.35263888888888889</v>
      </c>
      <c r="D228">
        <v>107.48</v>
      </c>
      <c r="E228" t="s">
        <v>44</v>
      </c>
      <c r="F228" t="s">
        <v>1168</v>
      </c>
      <c r="G228" t="s">
        <v>71</v>
      </c>
      <c r="H228" t="s">
        <v>248</v>
      </c>
      <c r="I228" t="s">
        <v>1169</v>
      </c>
      <c r="J228">
        <v>68</v>
      </c>
      <c r="K228" t="s">
        <v>25</v>
      </c>
      <c r="L228" t="s">
        <v>110</v>
      </c>
      <c r="M228" t="s">
        <v>112</v>
      </c>
      <c r="P228" t="s">
        <v>28</v>
      </c>
      <c r="Q228" t="s">
        <v>1170</v>
      </c>
      <c r="R228" t="s">
        <v>1171</v>
      </c>
      <c r="S228" t="s">
        <v>31</v>
      </c>
      <c r="T228">
        <v>0</v>
      </c>
    </row>
    <row r="229" spans="1:20" x14ac:dyDescent="0.25">
      <c r="A229" t="s">
        <v>1172</v>
      </c>
      <c r="B229" s="1">
        <v>45938</v>
      </c>
      <c r="C229" s="5">
        <v>0.10657407407407407</v>
      </c>
      <c r="D229">
        <v>146.72999999999999</v>
      </c>
      <c r="E229" t="s">
        <v>44</v>
      </c>
      <c r="F229" t="s">
        <v>237</v>
      </c>
      <c r="G229" t="s">
        <v>96</v>
      </c>
      <c r="H229" t="s">
        <v>66</v>
      </c>
      <c r="I229" t="s">
        <v>1173</v>
      </c>
      <c r="J229">
        <v>25</v>
      </c>
      <c r="K229" t="s">
        <v>49</v>
      </c>
      <c r="L229" t="s">
        <v>47</v>
      </c>
      <c r="M229" t="s">
        <v>112</v>
      </c>
      <c r="P229" t="s">
        <v>28</v>
      </c>
      <c r="Q229" t="s">
        <v>1174</v>
      </c>
      <c r="R229" t="s">
        <v>1175</v>
      </c>
      <c r="S229" t="s">
        <v>42</v>
      </c>
      <c r="T229">
        <v>0</v>
      </c>
    </row>
    <row r="230" spans="1:20" x14ac:dyDescent="0.25">
      <c r="A230" t="s">
        <v>1176</v>
      </c>
      <c r="B230" s="1">
        <v>45843</v>
      </c>
      <c r="C230" s="5">
        <v>0.11799768518518519</v>
      </c>
      <c r="D230">
        <v>1.48</v>
      </c>
      <c r="E230" t="s">
        <v>44</v>
      </c>
      <c r="F230" t="s">
        <v>1177</v>
      </c>
      <c r="G230" t="s">
        <v>64</v>
      </c>
      <c r="H230" t="s">
        <v>47</v>
      </c>
      <c r="I230" t="s">
        <v>1178</v>
      </c>
      <c r="J230">
        <v>40</v>
      </c>
      <c r="K230" t="s">
        <v>37</v>
      </c>
      <c r="L230" t="s">
        <v>35</v>
      </c>
      <c r="M230" t="s">
        <v>39</v>
      </c>
      <c r="P230" t="s">
        <v>28</v>
      </c>
      <c r="Q230" t="s">
        <v>1179</v>
      </c>
      <c r="R230" t="s">
        <v>1180</v>
      </c>
      <c r="S230" t="s">
        <v>31</v>
      </c>
      <c r="T230">
        <v>0</v>
      </c>
    </row>
    <row r="231" spans="1:20" x14ac:dyDescent="0.25">
      <c r="A231" t="s">
        <v>1181</v>
      </c>
      <c r="B231" s="1">
        <v>45787</v>
      </c>
      <c r="C231" s="5">
        <v>0.50026620370370367</v>
      </c>
      <c r="D231">
        <v>189.67</v>
      </c>
      <c r="E231" t="s">
        <v>44</v>
      </c>
      <c r="F231" t="s">
        <v>1182</v>
      </c>
      <c r="G231" t="s">
        <v>34</v>
      </c>
      <c r="H231" t="s">
        <v>119</v>
      </c>
      <c r="I231" t="s">
        <v>1183</v>
      </c>
      <c r="J231">
        <v>25</v>
      </c>
      <c r="K231" t="s">
        <v>49</v>
      </c>
      <c r="L231" t="s">
        <v>119</v>
      </c>
      <c r="M231" t="s">
        <v>27</v>
      </c>
      <c r="P231" t="s">
        <v>113</v>
      </c>
      <c r="Q231" t="s">
        <v>1184</v>
      </c>
      <c r="R231" t="s">
        <v>1185</v>
      </c>
      <c r="S231" t="s">
        <v>31</v>
      </c>
      <c r="T231">
        <v>0</v>
      </c>
    </row>
    <row r="232" spans="1:20" x14ac:dyDescent="0.25">
      <c r="A232" t="s">
        <v>1186</v>
      </c>
      <c r="B232" s="1">
        <v>45867</v>
      </c>
      <c r="C232" s="5">
        <v>0.7025231481481482</v>
      </c>
      <c r="D232">
        <v>60.73</v>
      </c>
      <c r="E232" t="s">
        <v>44</v>
      </c>
      <c r="F232" t="s">
        <v>797</v>
      </c>
      <c r="G232" t="s">
        <v>34</v>
      </c>
      <c r="H232" t="s">
        <v>110</v>
      </c>
      <c r="I232" t="s">
        <v>1187</v>
      </c>
      <c r="J232">
        <v>68</v>
      </c>
      <c r="K232" t="s">
        <v>37</v>
      </c>
      <c r="L232" t="s">
        <v>26</v>
      </c>
      <c r="M232" t="s">
        <v>84</v>
      </c>
      <c r="P232" t="s">
        <v>28</v>
      </c>
      <c r="Q232" t="s">
        <v>1188</v>
      </c>
      <c r="R232" t="s">
        <v>1189</v>
      </c>
      <c r="S232" t="s">
        <v>31</v>
      </c>
      <c r="T232">
        <v>0</v>
      </c>
    </row>
    <row r="233" spans="1:20" x14ac:dyDescent="0.25">
      <c r="A233" t="s">
        <v>1190</v>
      </c>
      <c r="B233" s="1">
        <v>45904</v>
      </c>
      <c r="C233" s="5">
        <v>0.35842592592592593</v>
      </c>
      <c r="D233">
        <v>54.11</v>
      </c>
      <c r="E233" t="s">
        <v>44</v>
      </c>
      <c r="F233" t="s">
        <v>1002</v>
      </c>
      <c r="G233" t="s">
        <v>46</v>
      </c>
      <c r="H233" t="s">
        <v>35</v>
      </c>
      <c r="I233" t="s">
        <v>1191</v>
      </c>
      <c r="J233">
        <v>64</v>
      </c>
      <c r="K233" t="s">
        <v>37</v>
      </c>
      <c r="L233" t="s">
        <v>119</v>
      </c>
      <c r="M233" t="s">
        <v>84</v>
      </c>
      <c r="P233" t="s">
        <v>28</v>
      </c>
      <c r="Q233" t="s">
        <v>1192</v>
      </c>
      <c r="R233" t="s">
        <v>1193</v>
      </c>
      <c r="S233" t="s">
        <v>31</v>
      </c>
      <c r="T233">
        <v>0</v>
      </c>
    </row>
    <row r="234" spans="1:20" x14ac:dyDescent="0.25">
      <c r="A234" t="s">
        <v>1194</v>
      </c>
      <c r="B234" s="1">
        <v>45854</v>
      </c>
      <c r="C234" s="5">
        <v>0.14836805555555554</v>
      </c>
      <c r="D234">
        <v>55.97</v>
      </c>
      <c r="E234" t="s">
        <v>44</v>
      </c>
      <c r="F234" t="s">
        <v>1195</v>
      </c>
      <c r="G234" t="s">
        <v>34</v>
      </c>
      <c r="H234" t="s">
        <v>66</v>
      </c>
      <c r="I234" t="s">
        <v>1196</v>
      </c>
      <c r="J234">
        <v>36</v>
      </c>
      <c r="K234" t="s">
        <v>25</v>
      </c>
      <c r="L234" t="s">
        <v>26</v>
      </c>
      <c r="M234" t="s">
        <v>112</v>
      </c>
      <c r="P234" t="s">
        <v>28</v>
      </c>
      <c r="Q234" t="s">
        <v>1197</v>
      </c>
      <c r="R234" t="s">
        <v>1198</v>
      </c>
      <c r="S234" t="s">
        <v>31</v>
      </c>
      <c r="T234">
        <v>0</v>
      </c>
    </row>
    <row r="235" spans="1:20" x14ac:dyDescent="0.25">
      <c r="A235" t="s">
        <v>1199</v>
      </c>
      <c r="B235" s="1">
        <v>45796</v>
      </c>
      <c r="C235" s="5">
        <v>0.35547453703703702</v>
      </c>
      <c r="D235">
        <v>112.35</v>
      </c>
      <c r="E235" t="s">
        <v>44</v>
      </c>
      <c r="F235" t="s">
        <v>1200</v>
      </c>
      <c r="G235" t="s">
        <v>71</v>
      </c>
      <c r="H235" t="s">
        <v>91</v>
      </c>
      <c r="I235" t="s">
        <v>1201</v>
      </c>
      <c r="J235">
        <v>51</v>
      </c>
      <c r="K235" t="s">
        <v>49</v>
      </c>
      <c r="L235" t="s">
        <v>97</v>
      </c>
      <c r="M235" t="s">
        <v>112</v>
      </c>
      <c r="P235" t="s">
        <v>28</v>
      </c>
      <c r="Q235" t="s">
        <v>1202</v>
      </c>
      <c r="R235" t="s">
        <v>1203</v>
      </c>
      <c r="S235" t="s">
        <v>31</v>
      </c>
      <c r="T235">
        <v>0</v>
      </c>
    </row>
    <row r="236" spans="1:20" x14ac:dyDescent="0.25">
      <c r="A236" t="s">
        <v>1204</v>
      </c>
      <c r="B236" s="1">
        <v>45940</v>
      </c>
      <c r="C236" s="5">
        <v>0.66824074074074069</v>
      </c>
      <c r="D236">
        <v>25.93</v>
      </c>
      <c r="E236" t="s">
        <v>44</v>
      </c>
      <c r="F236" t="s">
        <v>1205</v>
      </c>
      <c r="G236" t="s">
        <v>46</v>
      </c>
      <c r="H236" t="s">
        <v>47</v>
      </c>
      <c r="I236" t="s">
        <v>1206</v>
      </c>
      <c r="J236">
        <v>58</v>
      </c>
      <c r="K236" t="s">
        <v>25</v>
      </c>
      <c r="L236" t="s">
        <v>50</v>
      </c>
      <c r="M236" t="s">
        <v>112</v>
      </c>
      <c r="P236" t="s">
        <v>28</v>
      </c>
      <c r="Q236" t="s">
        <v>1207</v>
      </c>
      <c r="R236" t="s">
        <v>1208</v>
      </c>
      <c r="S236" t="s">
        <v>31</v>
      </c>
      <c r="T236">
        <v>0</v>
      </c>
    </row>
    <row r="237" spans="1:20" x14ac:dyDescent="0.25">
      <c r="A237" t="s">
        <v>1209</v>
      </c>
      <c r="B237" s="1">
        <v>45931</v>
      </c>
      <c r="C237" s="5">
        <v>0.24712962962962962</v>
      </c>
      <c r="D237">
        <v>3427.42</v>
      </c>
      <c r="E237" t="s">
        <v>44</v>
      </c>
      <c r="F237" t="s">
        <v>1210</v>
      </c>
      <c r="G237" t="s">
        <v>71</v>
      </c>
      <c r="H237" t="s">
        <v>66</v>
      </c>
      <c r="I237" t="s">
        <v>1211</v>
      </c>
      <c r="J237">
        <v>41</v>
      </c>
      <c r="K237" t="s">
        <v>49</v>
      </c>
      <c r="L237" t="s">
        <v>50</v>
      </c>
      <c r="M237" t="s">
        <v>39</v>
      </c>
      <c r="P237" t="s">
        <v>28</v>
      </c>
      <c r="Q237" t="s">
        <v>1212</v>
      </c>
      <c r="R237" t="s">
        <v>1213</v>
      </c>
      <c r="S237" t="s">
        <v>31</v>
      </c>
      <c r="T237">
        <v>0</v>
      </c>
    </row>
    <row r="238" spans="1:20" x14ac:dyDescent="0.25">
      <c r="A238" t="s">
        <v>1214</v>
      </c>
      <c r="B238" s="1">
        <v>45861</v>
      </c>
      <c r="C238" s="5">
        <v>9.194444444444444E-2</v>
      </c>
      <c r="D238">
        <v>189.02</v>
      </c>
      <c r="E238" t="s">
        <v>44</v>
      </c>
      <c r="F238" t="s">
        <v>1215</v>
      </c>
      <c r="G238" t="s">
        <v>46</v>
      </c>
      <c r="H238" t="s">
        <v>23</v>
      </c>
      <c r="I238" t="s">
        <v>1216</v>
      </c>
      <c r="J238">
        <v>37</v>
      </c>
      <c r="K238" t="s">
        <v>37</v>
      </c>
      <c r="L238" t="s">
        <v>58</v>
      </c>
      <c r="M238" t="s">
        <v>27</v>
      </c>
      <c r="P238" t="s">
        <v>28</v>
      </c>
      <c r="Q238" t="s">
        <v>1217</v>
      </c>
      <c r="R238" t="s">
        <v>1218</v>
      </c>
      <c r="S238" t="s">
        <v>31</v>
      </c>
      <c r="T238">
        <v>0</v>
      </c>
    </row>
    <row r="239" spans="1:20" x14ac:dyDescent="0.25">
      <c r="A239" t="s">
        <v>1219</v>
      </c>
      <c r="B239" s="1">
        <v>45877</v>
      </c>
      <c r="C239" s="5">
        <v>0.16674768518518518</v>
      </c>
      <c r="D239">
        <v>168.42</v>
      </c>
      <c r="E239" t="s">
        <v>44</v>
      </c>
      <c r="F239" t="s">
        <v>140</v>
      </c>
      <c r="G239" t="s">
        <v>34</v>
      </c>
      <c r="H239" t="s">
        <v>130</v>
      </c>
      <c r="I239" t="s">
        <v>1220</v>
      </c>
      <c r="J239">
        <v>35</v>
      </c>
      <c r="K239" t="s">
        <v>25</v>
      </c>
      <c r="L239" t="s">
        <v>119</v>
      </c>
      <c r="M239" t="s">
        <v>112</v>
      </c>
      <c r="P239" t="s">
        <v>28</v>
      </c>
      <c r="Q239" t="s">
        <v>1221</v>
      </c>
      <c r="R239" t="s">
        <v>1222</v>
      </c>
      <c r="S239" t="s">
        <v>31</v>
      </c>
      <c r="T239">
        <v>0</v>
      </c>
    </row>
    <row r="240" spans="1:20" x14ac:dyDescent="0.25">
      <c r="A240" t="s">
        <v>1223</v>
      </c>
      <c r="B240" s="1">
        <v>45939</v>
      </c>
      <c r="C240" s="5">
        <v>0.86425925925925928</v>
      </c>
      <c r="D240">
        <v>602.24</v>
      </c>
      <c r="E240" t="s">
        <v>44</v>
      </c>
      <c r="F240" t="s">
        <v>1224</v>
      </c>
      <c r="G240" t="s">
        <v>64</v>
      </c>
      <c r="H240" t="s">
        <v>35</v>
      </c>
      <c r="I240" t="s">
        <v>1225</v>
      </c>
      <c r="J240">
        <v>59</v>
      </c>
      <c r="K240" t="s">
        <v>25</v>
      </c>
      <c r="L240" t="s">
        <v>26</v>
      </c>
      <c r="M240" t="s">
        <v>39</v>
      </c>
      <c r="P240" t="s">
        <v>28</v>
      </c>
      <c r="Q240" t="s">
        <v>1226</v>
      </c>
      <c r="R240" t="s">
        <v>1227</v>
      </c>
      <c r="S240" t="s">
        <v>31</v>
      </c>
      <c r="T240">
        <v>0</v>
      </c>
    </row>
    <row r="241" spans="1:20" x14ac:dyDescent="0.25">
      <c r="A241" t="s">
        <v>1228</v>
      </c>
      <c r="B241" s="1">
        <v>45925</v>
      </c>
      <c r="C241" s="5">
        <v>0.44500000000000001</v>
      </c>
      <c r="D241">
        <v>33.69</v>
      </c>
      <c r="E241" t="s">
        <v>44</v>
      </c>
      <c r="F241" t="s">
        <v>1229</v>
      </c>
      <c r="G241" t="s">
        <v>57</v>
      </c>
      <c r="H241" t="s">
        <v>130</v>
      </c>
      <c r="I241" t="s">
        <v>1230</v>
      </c>
      <c r="J241">
        <v>39</v>
      </c>
      <c r="K241" t="s">
        <v>37</v>
      </c>
      <c r="L241" t="s">
        <v>66</v>
      </c>
      <c r="M241" t="s">
        <v>112</v>
      </c>
      <c r="P241" t="s">
        <v>28</v>
      </c>
      <c r="Q241" t="s">
        <v>1231</v>
      </c>
      <c r="R241" t="s">
        <v>1232</v>
      </c>
      <c r="S241" t="s">
        <v>31</v>
      </c>
      <c r="T241">
        <v>0</v>
      </c>
    </row>
    <row r="242" spans="1:20" x14ac:dyDescent="0.25">
      <c r="A242" t="s">
        <v>1233</v>
      </c>
      <c r="B242" s="1">
        <v>45928</v>
      </c>
      <c r="C242" s="5">
        <v>0.22364583333333332</v>
      </c>
      <c r="D242">
        <v>43.92</v>
      </c>
      <c r="E242" t="s">
        <v>44</v>
      </c>
      <c r="F242" t="s">
        <v>1234</v>
      </c>
      <c r="G242" t="s">
        <v>34</v>
      </c>
      <c r="H242" t="s">
        <v>66</v>
      </c>
      <c r="I242" t="s">
        <v>1235</v>
      </c>
      <c r="J242">
        <v>67</v>
      </c>
      <c r="K242" t="s">
        <v>49</v>
      </c>
      <c r="L242" t="s">
        <v>248</v>
      </c>
      <c r="M242" t="s">
        <v>39</v>
      </c>
      <c r="P242" t="s">
        <v>28</v>
      </c>
      <c r="Q242" t="s">
        <v>1236</v>
      </c>
      <c r="R242" t="s">
        <v>1237</v>
      </c>
      <c r="S242" t="s">
        <v>31</v>
      </c>
      <c r="T242">
        <v>0</v>
      </c>
    </row>
    <row r="243" spans="1:20" x14ac:dyDescent="0.25">
      <c r="A243" t="s">
        <v>1238</v>
      </c>
      <c r="B243" s="1">
        <v>45885</v>
      </c>
      <c r="C243" s="5">
        <v>0.34244212962962961</v>
      </c>
      <c r="D243">
        <v>18.02</v>
      </c>
      <c r="E243" t="s">
        <v>44</v>
      </c>
      <c r="F243" t="s">
        <v>777</v>
      </c>
      <c r="G243" t="s">
        <v>96</v>
      </c>
      <c r="H243" t="s">
        <v>50</v>
      </c>
      <c r="I243" t="s">
        <v>1239</v>
      </c>
      <c r="K243" t="s">
        <v>25</v>
      </c>
      <c r="L243" t="s">
        <v>110</v>
      </c>
      <c r="M243" t="s">
        <v>84</v>
      </c>
      <c r="P243" t="s">
        <v>28</v>
      </c>
      <c r="Q243" t="s">
        <v>1240</v>
      </c>
      <c r="R243" t="s">
        <v>1241</v>
      </c>
      <c r="S243" t="s">
        <v>31</v>
      </c>
      <c r="T243">
        <v>0</v>
      </c>
    </row>
    <row r="244" spans="1:20" x14ac:dyDescent="0.25">
      <c r="A244" t="s">
        <v>1242</v>
      </c>
      <c r="B244" s="1">
        <v>45848</v>
      </c>
      <c r="C244" s="5">
        <v>0.45781250000000001</v>
      </c>
      <c r="D244">
        <v>38.020000000000003</v>
      </c>
      <c r="E244" t="s">
        <v>44</v>
      </c>
      <c r="F244" t="s">
        <v>649</v>
      </c>
      <c r="G244" t="s">
        <v>71</v>
      </c>
      <c r="H244" t="s">
        <v>110</v>
      </c>
      <c r="I244" t="s">
        <v>1243</v>
      </c>
      <c r="J244">
        <v>18</v>
      </c>
      <c r="K244" t="s">
        <v>49</v>
      </c>
      <c r="L244" t="s">
        <v>91</v>
      </c>
      <c r="M244" t="s">
        <v>112</v>
      </c>
      <c r="P244" t="s">
        <v>28</v>
      </c>
      <c r="Q244" t="s">
        <v>1244</v>
      </c>
      <c r="R244" t="s">
        <v>1245</v>
      </c>
      <c r="S244" t="s">
        <v>31</v>
      </c>
      <c r="T244">
        <v>0</v>
      </c>
    </row>
    <row r="245" spans="1:20" x14ac:dyDescent="0.25">
      <c r="A245" t="s">
        <v>1246</v>
      </c>
      <c r="B245" s="1">
        <v>45904</v>
      </c>
      <c r="C245" s="5">
        <v>0.8049884259259259</v>
      </c>
      <c r="D245">
        <v>305.73</v>
      </c>
      <c r="E245" t="s">
        <v>44</v>
      </c>
      <c r="F245" t="s">
        <v>1247</v>
      </c>
      <c r="G245" t="s">
        <v>57</v>
      </c>
      <c r="H245" t="s">
        <v>66</v>
      </c>
      <c r="I245" t="s">
        <v>1248</v>
      </c>
      <c r="J245">
        <v>74</v>
      </c>
      <c r="K245" t="s">
        <v>49</v>
      </c>
      <c r="L245" t="s">
        <v>248</v>
      </c>
      <c r="M245" t="s">
        <v>84</v>
      </c>
      <c r="P245" t="s">
        <v>28</v>
      </c>
      <c r="Q245" t="s">
        <v>1249</v>
      </c>
      <c r="R245" t="s">
        <v>1250</v>
      </c>
      <c r="S245" t="s">
        <v>101</v>
      </c>
      <c r="T245">
        <v>0</v>
      </c>
    </row>
    <row r="246" spans="1:20" x14ac:dyDescent="0.25">
      <c r="A246" t="s">
        <v>1251</v>
      </c>
      <c r="B246" s="1">
        <v>45790</v>
      </c>
      <c r="C246" s="5">
        <v>0.50572916666666667</v>
      </c>
      <c r="D246">
        <v>64.81</v>
      </c>
      <c r="E246" t="s">
        <v>44</v>
      </c>
      <c r="F246" t="s">
        <v>1252</v>
      </c>
      <c r="G246" t="s">
        <v>77</v>
      </c>
      <c r="H246" t="s">
        <v>66</v>
      </c>
      <c r="I246" t="s">
        <v>1253</v>
      </c>
      <c r="J246">
        <v>46</v>
      </c>
      <c r="K246" t="s">
        <v>37</v>
      </c>
      <c r="L246" t="s">
        <v>66</v>
      </c>
      <c r="M246" t="s">
        <v>84</v>
      </c>
      <c r="P246" t="s">
        <v>113</v>
      </c>
      <c r="Q246" t="s">
        <v>1254</v>
      </c>
      <c r="R246" t="s">
        <v>1255</v>
      </c>
      <c r="S246" t="s">
        <v>31</v>
      </c>
      <c r="T246">
        <v>0</v>
      </c>
    </row>
    <row r="247" spans="1:20" x14ac:dyDescent="0.25">
      <c r="A247" t="s">
        <v>1256</v>
      </c>
      <c r="B247" s="1">
        <v>45807</v>
      </c>
      <c r="C247" s="5">
        <v>0.24855324074074073</v>
      </c>
      <c r="D247">
        <v>166</v>
      </c>
      <c r="E247" t="s">
        <v>44</v>
      </c>
      <c r="F247" t="s">
        <v>1257</v>
      </c>
      <c r="G247" t="s">
        <v>22</v>
      </c>
      <c r="H247" t="s">
        <v>97</v>
      </c>
      <c r="I247" t="s">
        <v>1258</v>
      </c>
      <c r="J247">
        <v>44</v>
      </c>
      <c r="K247" t="s">
        <v>37</v>
      </c>
      <c r="L247" t="s">
        <v>26</v>
      </c>
      <c r="M247" t="s">
        <v>39</v>
      </c>
      <c r="P247" t="s">
        <v>28</v>
      </c>
      <c r="Q247" t="s">
        <v>1259</v>
      </c>
      <c r="R247" t="s">
        <v>1260</v>
      </c>
      <c r="S247" t="s">
        <v>31</v>
      </c>
      <c r="T247">
        <v>0</v>
      </c>
    </row>
    <row r="248" spans="1:20" x14ac:dyDescent="0.25">
      <c r="A248" t="s">
        <v>1261</v>
      </c>
      <c r="B248" s="1">
        <v>45891</v>
      </c>
      <c r="C248" s="5">
        <v>0.97391203703703699</v>
      </c>
      <c r="D248">
        <v>186.62</v>
      </c>
      <c r="E248" t="s">
        <v>44</v>
      </c>
      <c r="F248" t="s">
        <v>1262</v>
      </c>
      <c r="G248" t="s">
        <v>34</v>
      </c>
      <c r="H248" t="s">
        <v>50</v>
      </c>
      <c r="I248" t="s">
        <v>1263</v>
      </c>
      <c r="J248">
        <v>61</v>
      </c>
      <c r="K248" t="s">
        <v>25</v>
      </c>
      <c r="L248" t="s">
        <v>130</v>
      </c>
      <c r="M248" t="s">
        <v>112</v>
      </c>
      <c r="P248" t="s">
        <v>28</v>
      </c>
      <c r="Q248" t="s">
        <v>1264</v>
      </c>
      <c r="R248" t="s">
        <v>1265</v>
      </c>
      <c r="S248" t="s">
        <v>31</v>
      </c>
      <c r="T248">
        <v>0</v>
      </c>
    </row>
    <row r="249" spans="1:20" x14ac:dyDescent="0.25">
      <c r="A249" t="s">
        <v>1266</v>
      </c>
      <c r="B249" s="1">
        <v>45810</v>
      </c>
      <c r="C249" s="5">
        <v>6.5277777777777782E-2</v>
      </c>
      <c r="D249">
        <v>103.46</v>
      </c>
      <c r="E249" t="s">
        <v>44</v>
      </c>
      <c r="F249" t="s">
        <v>1267</v>
      </c>
      <c r="G249" t="s">
        <v>64</v>
      </c>
      <c r="H249" t="s">
        <v>23</v>
      </c>
      <c r="I249" t="s">
        <v>1268</v>
      </c>
      <c r="J249">
        <v>21</v>
      </c>
      <c r="K249" t="s">
        <v>37</v>
      </c>
      <c r="L249" t="s">
        <v>38</v>
      </c>
      <c r="M249" t="s">
        <v>112</v>
      </c>
      <c r="P249" t="s">
        <v>28</v>
      </c>
      <c r="Q249" t="s">
        <v>1269</v>
      </c>
      <c r="R249" t="s">
        <v>1270</v>
      </c>
      <c r="S249" t="s">
        <v>31</v>
      </c>
      <c r="T249">
        <v>1</v>
      </c>
    </row>
    <row r="250" spans="1:20" x14ac:dyDescent="0.25">
      <c r="A250" t="s">
        <v>1271</v>
      </c>
      <c r="B250" s="1">
        <v>45911</v>
      </c>
      <c r="C250" s="5">
        <v>0.72315972222222225</v>
      </c>
      <c r="D250">
        <v>64.17</v>
      </c>
      <c r="E250" t="s">
        <v>44</v>
      </c>
      <c r="F250" t="s">
        <v>1272</v>
      </c>
      <c r="G250" t="s">
        <v>34</v>
      </c>
      <c r="H250" t="s">
        <v>97</v>
      </c>
      <c r="I250" t="s">
        <v>1273</v>
      </c>
      <c r="J250">
        <v>59</v>
      </c>
      <c r="K250" t="s">
        <v>37</v>
      </c>
      <c r="L250" t="s">
        <v>97</v>
      </c>
      <c r="M250" t="s">
        <v>105</v>
      </c>
      <c r="P250" t="s">
        <v>113</v>
      </c>
      <c r="Q250" t="s">
        <v>1274</v>
      </c>
      <c r="R250" t="s">
        <v>1275</v>
      </c>
      <c r="S250" t="s">
        <v>31</v>
      </c>
      <c r="T250">
        <v>0</v>
      </c>
    </row>
    <row r="251" spans="1:20" x14ac:dyDescent="0.25">
      <c r="A251" t="s">
        <v>1276</v>
      </c>
      <c r="B251" s="1">
        <v>45868</v>
      </c>
      <c r="C251" s="5">
        <v>0.84778935185185189</v>
      </c>
      <c r="D251">
        <v>137.02000000000001</v>
      </c>
      <c r="E251" t="s">
        <v>44</v>
      </c>
      <c r="F251" t="s">
        <v>1277</v>
      </c>
      <c r="G251" t="s">
        <v>22</v>
      </c>
      <c r="H251" t="s">
        <v>146</v>
      </c>
      <c r="I251" t="s">
        <v>1278</v>
      </c>
      <c r="J251">
        <v>57</v>
      </c>
      <c r="K251" t="s">
        <v>49</v>
      </c>
      <c r="L251" t="s">
        <v>66</v>
      </c>
      <c r="M251" t="s">
        <v>51</v>
      </c>
      <c r="N251" t="s">
        <v>52</v>
      </c>
      <c r="O251">
        <v>411982</v>
      </c>
      <c r="P251" t="s">
        <v>28</v>
      </c>
      <c r="Q251" t="s">
        <v>1279</v>
      </c>
      <c r="R251" t="s">
        <v>1280</v>
      </c>
      <c r="S251" t="s">
        <v>31</v>
      </c>
      <c r="T251">
        <v>0</v>
      </c>
    </row>
    <row r="252" spans="1:20" x14ac:dyDescent="0.25">
      <c r="A252" t="s">
        <v>1281</v>
      </c>
      <c r="B252" s="1">
        <v>45897</v>
      </c>
      <c r="C252" s="5">
        <v>0.42980324074074072</v>
      </c>
      <c r="D252">
        <v>132.13</v>
      </c>
      <c r="E252" t="s">
        <v>44</v>
      </c>
      <c r="F252" t="s">
        <v>1282</v>
      </c>
      <c r="G252" t="s">
        <v>22</v>
      </c>
      <c r="H252" t="s">
        <v>47</v>
      </c>
      <c r="I252" t="s">
        <v>1283</v>
      </c>
      <c r="J252">
        <v>37</v>
      </c>
      <c r="K252" t="s">
        <v>49</v>
      </c>
      <c r="L252" t="s">
        <v>66</v>
      </c>
      <c r="M252" t="s">
        <v>39</v>
      </c>
      <c r="P252" t="s">
        <v>28</v>
      </c>
      <c r="Q252" t="s">
        <v>1284</v>
      </c>
      <c r="R252" t="s">
        <v>1285</v>
      </c>
      <c r="S252" t="s">
        <v>31</v>
      </c>
      <c r="T252">
        <v>0</v>
      </c>
    </row>
    <row r="253" spans="1:20" x14ac:dyDescent="0.25">
      <c r="A253" t="s">
        <v>1286</v>
      </c>
      <c r="B253" s="1">
        <v>45931</v>
      </c>
      <c r="C253" s="5">
        <v>0.56156249999999996</v>
      </c>
      <c r="D253">
        <v>55.53</v>
      </c>
      <c r="E253" t="s">
        <v>44</v>
      </c>
      <c r="F253" t="s">
        <v>1082</v>
      </c>
      <c r="G253" t="s">
        <v>22</v>
      </c>
      <c r="H253" t="s">
        <v>146</v>
      </c>
      <c r="I253" t="s">
        <v>1287</v>
      </c>
      <c r="J253">
        <v>19</v>
      </c>
      <c r="K253" t="s">
        <v>37</v>
      </c>
      <c r="L253" t="s">
        <v>66</v>
      </c>
      <c r="M253" t="s">
        <v>27</v>
      </c>
      <c r="P253" t="s">
        <v>28</v>
      </c>
      <c r="Q253" t="s">
        <v>1288</v>
      </c>
      <c r="R253" t="s">
        <v>1289</v>
      </c>
      <c r="S253" t="s">
        <v>31</v>
      </c>
      <c r="T253">
        <v>0</v>
      </c>
    </row>
    <row r="254" spans="1:20" x14ac:dyDescent="0.25">
      <c r="A254" t="s">
        <v>1290</v>
      </c>
      <c r="B254" s="1">
        <v>45792</v>
      </c>
      <c r="C254" s="5">
        <v>0.62016203703703698</v>
      </c>
      <c r="D254">
        <v>3743.34</v>
      </c>
      <c r="E254" t="s">
        <v>44</v>
      </c>
      <c r="F254" t="s">
        <v>1291</v>
      </c>
      <c r="G254" t="s">
        <v>89</v>
      </c>
      <c r="H254" t="s">
        <v>58</v>
      </c>
      <c r="I254" t="s">
        <v>1292</v>
      </c>
      <c r="J254">
        <v>61</v>
      </c>
      <c r="K254" t="s">
        <v>49</v>
      </c>
      <c r="L254" t="s">
        <v>91</v>
      </c>
      <c r="M254" t="s">
        <v>39</v>
      </c>
      <c r="P254" t="s">
        <v>28</v>
      </c>
      <c r="Q254" t="s">
        <v>1293</v>
      </c>
      <c r="R254" t="s">
        <v>1294</v>
      </c>
      <c r="S254" t="s">
        <v>31</v>
      </c>
      <c r="T254">
        <v>0</v>
      </c>
    </row>
    <row r="255" spans="1:20" x14ac:dyDescent="0.25">
      <c r="A255" t="s">
        <v>1295</v>
      </c>
      <c r="B255" s="1">
        <v>45848</v>
      </c>
      <c r="C255" s="5">
        <v>0.84418981481481481</v>
      </c>
      <c r="D255">
        <v>38.729999999999997</v>
      </c>
      <c r="E255" t="s">
        <v>44</v>
      </c>
      <c r="F255" t="s">
        <v>1296</v>
      </c>
      <c r="G255" t="s">
        <v>96</v>
      </c>
      <c r="H255" t="s">
        <v>50</v>
      </c>
      <c r="I255" t="s">
        <v>1297</v>
      </c>
      <c r="J255">
        <v>41</v>
      </c>
      <c r="K255" t="s">
        <v>25</v>
      </c>
      <c r="L255" t="s">
        <v>47</v>
      </c>
      <c r="M255" t="s">
        <v>105</v>
      </c>
      <c r="P255" t="s">
        <v>28</v>
      </c>
      <c r="Q255" t="s">
        <v>1298</v>
      </c>
      <c r="R255" t="s">
        <v>1299</v>
      </c>
      <c r="S255" t="s">
        <v>31</v>
      </c>
      <c r="T255">
        <v>0</v>
      </c>
    </row>
    <row r="256" spans="1:20" x14ac:dyDescent="0.25">
      <c r="A256" t="s">
        <v>1300</v>
      </c>
      <c r="B256" s="1">
        <v>45889</v>
      </c>
      <c r="C256" s="5">
        <v>0.44666666666666666</v>
      </c>
      <c r="D256">
        <v>6.09</v>
      </c>
      <c r="E256" t="s">
        <v>44</v>
      </c>
      <c r="F256" t="s">
        <v>1301</v>
      </c>
      <c r="G256" t="s">
        <v>64</v>
      </c>
      <c r="H256" t="s">
        <v>26</v>
      </c>
      <c r="I256" t="s">
        <v>1302</v>
      </c>
      <c r="K256" t="s">
        <v>25</v>
      </c>
      <c r="L256" t="s">
        <v>110</v>
      </c>
      <c r="M256" t="s">
        <v>27</v>
      </c>
      <c r="P256" t="s">
        <v>28</v>
      </c>
      <c r="Q256" t="s">
        <v>1303</v>
      </c>
      <c r="R256" t="s">
        <v>1304</v>
      </c>
      <c r="S256" t="s">
        <v>31</v>
      </c>
      <c r="T256">
        <v>0</v>
      </c>
    </row>
    <row r="257" spans="1:20" x14ac:dyDescent="0.25">
      <c r="A257" t="s">
        <v>1305</v>
      </c>
      <c r="B257" s="1">
        <v>45843</v>
      </c>
      <c r="C257" s="5">
        <v>0.10394675925925925</v>
      </c>
      <c r="D257">
        <v>99.06</v>
      </c>
      <c r="E257" t="s">
        <v>44</v>
      </c>
      <c r="F257" t="s">
        <v>1306</v>
      </c>
      <c r="G257" t="s">
        <v>124</v>
      </c>
      <c r="H257" t="s">
        <v>50</v>
      </c>
      <c r="I257" t="s">
        <v>1307</v>
      </c>
      <c r="J257">
        <v>43</v>
      </c>
      <c r="K257" t="s">
        <v>49</v>
      </c>
      <c r="L257" t="s">
        <v>119</v>
      </c>
      <c r="M257" t="s">
        <v>39</v>
      </c>
      <c r="P257" t="s">
        <v>28</v>
      </c>
      <c r="Q257" t="s">
        <v>1308</v>
      </c>
      <c r="R257" t="s">
        <v>1309</v>
      </c>
      <c r="S257" t="s">
        <v>31</v>
      </c>
      <c r="T257">
        <v>0</v>
      </c>
    </row>
    <row r="258" spans="1:20" x14ac:dyDescent="0.25">
      <c r="A258" t="s">
        <v>1310</v>
      </c>
      <c r="B258" s="1">
        <v>45945</v>
      </c>
      <c r="C258" s="5">
        <v>0.20106481481481481</v>
      </c>
      <c r="D258">
        <v>181.7</v>
      </c>
      <c r="E258" t="s">
        <v>44</v>
      </c>
      <c r="F258" t="s">
        <v>1311</v>
      </c>
      <c r="G258" t="s">
        <v>22</v>
      </c>
      <c r="H258" t="s">
        <v>110</v>
      </c>
      <c r="I258" t="s">
        <v>1312</v>
      </c>
      <c r="J258">
        <v>28</v>
      </c>
      <c r="K258" t="s">
        <v>25</v>
      </c>
      <c r="L258" t="s">
        <v>130</v>
      </c>
      <c r="M258" t="s">
        <v>112</v>
      </c>
      <c r="P258" t="s">
        <v>28</v>
      </c>
      <c r="Q258" t="s">
        <v>1313</v>
      </c>
      <c r="R258" t="s">
        <v>1314</v>
      </c>
      <c r="S258" t="s">
        <v>31</v>
      </c>
      <c r="T258">
        <v>0</v>
      </c>
    </row>
    <row r="259" spans="1:20" x14ac:dyDescent="0.25">
      <c r="A259" t="s">
        <v>1315</v>
      </c>
      <c r="B259" s="1">
        <v>45866</v>
      </c>
      <c r="C259" s="5">
        <v>0.36519675925925926</v>
      </c>
      <c r="D259">
        <v>97.92</v>
      </c>
      <c r="E259" t="s">
        <v>44</v>
      </c>
      <c r="F259" t="s">
        <v>1316</v>
      </c>
      <c r="G259" t="s">
        <v>96</v>
      </c>
      <c r="H259" t="s">
        <v>91</v>
      </c>
      <c r="I259" t="s">
        <v>1317</v>
      </c>
      <c r="J259">
        <v>40</v>
      </c>
      <c r="K259" t="s">
        <v>49</v>
      </c>
      <c r="L259" t="s">
        <v>248</v>
      </c>
      <c r="M259" t="s">
        <v>105</v>
      </c>
      <c r="P259" t="s">
        <v>28</v>
      </c>
      <c r="Q259" t="s">
        <v>1318</v>
      </c>
      <c r="R259" t="s">
        <v>1319</v>
      </c>
      <c r="S259" t="s">
        <v>31</v>
      </c>
      <c r="T259">
        <v>0</v>
      </c>
    </row>
    <row r="260" spans="1:20" x14ac:dyDescent="0.25">
      <c r="A260" t="s">
        <v>1320</v>
      </c>
      <c r="B260" s="1">
        <v>45863</v>
      </c>
      <c r="C260" s="5">
        <v>0.39870370370370373</v>
      </c>
      <c r="D260">
        <v>37.28</v>
      </c>
      <c r="E260" t="s">
        <v>44</v>
      </c>
      <c r="F260" t="s">
        <v>1321</v>
      </c>
      <c r="G260" t="s">
        <v>34</v>
      </c>
      <c r="H260" t="s">
        <v>38</v>
      </c>
      <c r="I260" t="s">
        <v>1322</v>
      </c>
      <c r="J260">
        <v>58</v>
      </c>
      <c r="K260" t="s">
        <v>25</v>
      </c>
      <c r="L260" t="s">
        <v>119</v>
      </c>
      <c r="M260" t="s">
        <v>105</v>
      </c>
      <c r="P260" t="s">
        <v>28</v>
      </c>
      <c r="Q260" t="s">
        <v>1323</v>
      </c>
      <c r="R260" t="s">
        <v>1324</v>
      </c>
      <c r="S260" t="s">
        <v>31</v>
      </c>
      <c r="T260">
        <v>0</v>
      </c>
    </row>
    <row r="261" spans="1:20" x14ac:dyDescent="0.25">
      <c r="A261" t="s">
        <v>1325</v>
      </c>
      <c r="B261" s="1">
        <v>45902</v>
      </c>
      <c r="C261" s="5">
        <v>0.52475694444444443</v>
      </c>
      <c r="D261">
        <v>2.38</v>
      </c>
      <c r="E261" t="s">
        <v>44</v>
      </c>
      <c r="F261" t="s">
        <v>1326</v>
      </c>
      <c r="G261" t="s">
        <v>34</v>
      </c>
      <c r="H261" t="s">
        <v>66</v>
      </c>
      <c r="I261" t="s">
        <v>1327</v>
      </c>
      <c r="J261">
        <v>25</v>
      </c>
      <c r="K261" t="s">
        <v>37</v>
      </c>
      <c r="L261" t="s">
        <v>130</v>
      </c>
      <c r="M261" t="s">
        <v>39</v>
      </c>
      <c r="P261" t="s">
        <v>28</v>
      </c>
      <c r="Q261" t="s">
        <v>1328</v>
      </c>
      <c r="R261" t="s">
        <v>1329</v>
      </c>
      <c r="S261" t="s">
        <v>31</v>
      </c>
      <c r="T261">
        <v>0</v>
      </c>
    </row>
    <row r="262" spans="1:20" x14ac:dyDescent="0.25">
      <c r="A262" t="s">
        <v>1330</v>
      </c>
      <c r="B262" s="1">
        <v>45874</v>
      </c>
      <c r="C262" s="5">
        <v>0.22148148148148147</v>
      </c>
      <c r="D262">
        <v>139.08000000000001</v>
      </c>
      <c r="E262" t="s">
        <v>44</v>
      </c>
      <c r="F262" t="s">
        <v>1331</v>
      </c>
      <c r="G262" t="s">
        <v>96</v>
      </c>
      <c r="H262" t="s">
        <v>47</v>
      </c>
      <c r="I262" t="s">
        <v>1332</v>
      </c>
      <c r="J262">
        <v>24</v>
      </c>
      <c r="K262" t="s">
        <v>25</v>
      </c>
      <c r="L262" t="s">
        <v>47</v>
      </c>
      <c r="M262" t="s">
        <v>51</v>
      </c>
      <c r="N262" t="s">
        <v>507</v>
      </c>
      <c r="O262">
        <v>482482</v>
      </c>
      <c r="P262" t="s">
        <v>113</v>
      </c>
      <c r="Q262" t="s">
        <v>1333</v>
      </c>
      <c r="R262" t="s">
        <v>1334</v>
      </c>
      <c r="S262" t="s">
        <v>31</v>
      </c>
      <c r="T262">
        <v>0</v>
      </c>
    </row>
    <row r="263" spans="1:20" x14ac:dyDescent="0.25">
      <c r="A263" t="s">
        <v>1335</v>
      </c>
      <c r="B263" s="1">
        <v>45956</v>
      </c>
      <c r="C263" s="5">
        <v>0.42943287037037037</v>
      </c>
      <c r="D263">
        <v>52.66</v>
      </c>
      <c r="E263" t="s">
        <v>44</v>
      </c>
      <c r="F263" t="s">
        <v>1336</v>
      </c>
      <c r="G263" t="s">
        <v>57</v>
      </c>
      <c r="H263" t="s">
        <v>38</v>
      </c>
      <c r="I263" t="s">
        <v>1337</v>
      </c>
      <c r="J263">
        <v>31</v>
      </c>
      <c r="K263" t="s">
        <v>49</v>
      </c>
      <c r="L263" t="s">
        <v>110</v>
      </c>
      <c r="M263" t="s">
        <v>51</v>
      </c>
      <c r="N263" t="s">
        <v>304</v>
      </c>
      <c r="O263">
        <v>404752</v>
      </c>
      <c r="P263" t="s">
        <v>28</v>
      </c>
      <c r="Q263" t="s">
        <v>1338</v>
      </c>
      <c r="R263" t="s">
        <v>1339</v>
      </c>
      <c r="S263" t="s">
        <v>101</v>
      </c>
      <c r="T263">
        <v>0</v>
      </c>
    </row>
    <row r="264" spans="1:20" x14ac:dyDescent="0.25">
      <c r="A264" t="s">
        <v>1340</v>
      </c>
      <c r="B264" s="1">
        <v>45792</v>
      </c>
      <c r="C264" s="5">
        <v>0.78226851851851853</v>
      </c>
      <c r="D264">
        <v>38.29</v>
      </c>
      <c r="E264" t="s">
        <v>44</v>
      </c>
      <c r="F264" t="s">
        <v>1341</v>
      </c>
      <c r="G264" t="s">
        <v>22</v>
      </c>
      <c r="H264" t="s">
        <v>119</v>
      </c>
      <c r="I264" t="s">
        <v>1342</v>
      </c>
      <c r="J264">
        <v>74</v>
      </c>
      <c r="K264" t="s">
        <v>25</v>
      </c>
      <c r="L264" t="s">
        <v>26</v>
      </c>
      <c r="M264" t="s">
        <v>39</v>
      </c>
      <c r="P264" t="s">
        <v>28</v>
      </c>
      <c r="Q264" t="s">
        <v>1343</v>
      </c>
      <c r="R264" t="s">
        <v>1344</v>
      </c>
      <c r="S264" t="s">
        <v>31</v>
      </c>
      <c r="T264">
        <v>0</v>
      </c>
    </row>
    <row r="265" spans="1:20" x14ac:dyDescent="0.25">
      <c r="A265" t="s">
        <v>1345</v>
      </c>
      <c r="B265" s="1">
        <v>45826</v>
      </c>
      <c r="C265" s="5">
        <v>0.97127314814814814</v>
      </c>
      <c r="D265">
        <v>113.12</v>
      </c>
      <c r="E265" t="s">
        <v>44</v>
      </c>
      <c r="F265" t="s">
        <v>1346</v>
      </c>
      <c r="G265" t="s">
        <v>124</v>
      </c>
      <c r="H265" t="s">
        <v>146</v>
      </c>
      <c r="I265" t="s">
        <v>1347</v>
      </c>
      <c r="J265">
        <v>49</v>
      </c>
      <c r="K265" t="s">
        <v>37</v>
      </c>
      <c r="L265" t="s">
        <v>35</v>
      </c>
      <c r="M265" t="s">
        <v>105</v>
      </c>
      <c r="P265" t="s">
        <v>28</v>
      </c>
      <c r="Q265" t="s">
        <v>1348</v>
      </c>
      <c r="R265" t="s">
        <v>1349</v>
      </c>
      <c r="S265" t="s">
        <v>31</v>
      </c>
      <c r="T265">
        <v>0</v>
      </c>
    </row>
    <row r="266" spans="1:20" x14ac:dyDescent="0.25">
      <c r="A266" t="s">
        <v>1350</v>
      </c>
      <c r="B266" s="1">
        <v>45817</v>
      </c>
      <c r="C266" s="5">
        <v>0.46425925925925926</v>
      </c>
      <c r="D266">
        <v>61.45</v>
      </c>
      <c r="E266" t="s">
        <v>44</v>
      </c>
      <c r="F266" t="s">
        <v>1351</v>
      </c>
      <c r="G266" t="s">
        <v>89</v>
      </c>
      <c r="H266" t="s">
        <v>58</v>
      </c>
      <c r="I266" t="s">
        <v>1352</v>
      </c>
      <c r="J266">
        <v>40</v>
      </c>
      <c r="K266" t="s">
        <v>25</v>
      </c>
      <c r="L266" t="s">
        <v>248</v>
      </c>
      <c r="M266" t="s">
        <v>27</v>
      </c>
      <c r="P266" t="s">
        <v>28</v>
      </c>
      <c r="Q266" t="s">
        <v>1353</v>
      </c>
      <c r="R266" t="s">
        <v>1354</v>
      </c>
      <c r="S266" t="s">
        <v>31</v>
      </c>
      <c r="T266">
        <v>0</v>
      </c>
    </row>
    <row r="267" spans="1:20" x14ac:dyDescent="0.25">
      <c r="A267" t="s">
        <v>1355</v>
      </c>
      <c r="B267" s="1">
        <v>45931</v>
      </c>
      <c r="C267" s="5">
        <v>0.70204861111111116</v>
      </c>
      <c r="D267">
        <v>71.09</v>
      </c>
      <c r="E267" t="s">
        <v>44</v>
      </c>
      <c r="F267" t="s">
        <v>1356</v>
      </c>
      <c r="G267" t="s">
        <v>77</v>
      </c>
      <c r="H267" t="s">
        <v>35</v>
      </c>
      <c r="I267" t="s">
        <v>1357</v>
      </c>
      <c r="J267">
        <v>62</v>
      </c>
      <c r="K267" t="s">
        <v>37</v>
      </c>
      <c r="L267" t="s">
        <v>66</v>
      </c>
      <c r="M267" t="s">
        <v>112</v>
      </c>
      <c r="P267" t="s">
        <v>28</v>
      </c>
      <c r="Q267" t="s">
        <v>1358</v>
      </c>
      <c r="R267" t="s">
        <v>1359</v>
      </c>
      <c r="S267" t="s">
        <v>31</v>
      </c>
      <c r="T267">
        <v>0</v>
      </c>
    </row>
    <row r="268" spans="1:20" x14ac:dyDescent="0.25">
      <c r="A268" t="s">
        <v>1360</v>
      </c>
      <c r="B268" s="1">
        <v>45929</v>
      </c>
      <c r="C268" s="5">
        <v>0.77642361111111113</v>
      </c>
      <c r="D268">
        <v>113.98</v>
      </c>
      <c r="E268" t="s">
        <v>44</v>
      </c>
      <c r="F268" t="s">
        <v>1361</v>
      </c>
      <c r="G268" t="s">
        <v>46</v>
      </c>
      <c r="H268" t="s">
        <v>110</v>
      </c>
      <c r="I268" t="s">
        <v>1362</v>
      </c>
      <c r="J268">
        <v>45</v>
      </c>
      <c r="K268" t="s">
        <v>25</v>
      </c>
      <c r="L268" t="s">
        <v>97</v>
      </c>
      <c r="M268" t="s">
        <v>39</v>
      </c>
      <c r="P268" t="s">
        <v>28</v>
      </c>
      <c r="Q268" t="s">
        <v>1363</v>
      </c>
      <c r="R268" t="s">
        <v>1364</v>
      </c>
      <c r="S268" t="s">
        <v>31</v>
      </c>
      <c r="T268">
        <v>0</v>
      </c>
    </row>
    <row r="269" spans="1:20" x14ac:dyDescent="0.25">
      <c r="A269" t="s">
        <v>1365</v>
      </c>
      <c r="B269" s="1">
        <v>45945</v>
      </c>
      <c r="C269" s="5">
        <v>0.76800925925925922</v>
      </c>
      <c r="D269">
        <v>67.5</v>
      </c>
      <c r="E269" t="s">
        <v>44</v>
      </c>
      <c r="F269" t="s">
        <v>1366</v>
      </c>
      <c r="G269" t="s">
        <v>96</v>
      </c>
      <c r="H269" t="s">
        <v>58</v>
      </c>
      <c r="I269" t="s">
        <v>1367</v>
      </c>
      <c r="J269">
        <v>71</v>
      </c>
      <c r="K269" t="s">
        <v>25</v>
      </c>
      <c r="L269" t="s">
        <v>58</v>
      </c>
      <c r="M269" t="s">
        <v>84</v>
      </c>
      <c r="P269" t="s">
        <v>113</v>
      </c>
      <c r="Q269" t="s">
        <v>1368</v>
      </c>
      <c r="R269" t="s">
        <v>1369</v>
      </c>
      <c r="S269" t="s">
        <v>31</v>
      </c>
      <c r="T269">
        <v>0</v>
      </c>
    </row>
    <row r="270" spans="1:20" x14ac:dyDescent="0.25">
      <c r="A270" t="s">
        <v>1370</v>
      </c>
      <c r="B270" s="1">
        <v>45827</v>
      </c>
      <c r="C270" s="5">
        <v>0.96468750000000003</v>
      </c>
      <c r="D270">
        <v>140.30000000000001</v>
      </c>
      <c r="E270" t="s">
        <v>44</v>
      </c>
      <c r="F270" t="s">
        <v>1371</v>
      </c>
      <c r="G270" t="s">
        <v>46</v>
      </c>
      <c r="H270" t="s">
        <v>23</v>
      </c>
      <c r="I270" t="s">
        <v>1372</v>
      </c>
      <c r="J270">
        <v>45</v>
      </c>
      <c r="K270" t="s">
        <v>49</v>
      </c>
      <c r="L270" t="s">
        <v>97</v>
      </c>
      <c r="M270" t="s">
        <v>112</v>
      </c>
      <c r="P270" t="s">
        <v>28</v>
      </c>
      <c r="Q270" t="s">
        <v>1373</v>
      </c>
      <c r="R270" t="s">
        <v>1374</v>
      </c>
      <c r="S270" t="s">
        <v>31</v>
      </c>
      <c r="T270">
        <v>0</v>
      </c>
    </row>
    <row r="271" spans="1:20" x14ac:dyDescent="0.25">
      <c r="A271" t="s">
        <v>1375</v>
      </c>
      <c r="B271" s="1">
        <v>45809</v>
      </c>
      <c r="C271" s="5">
        <v>0.50065972222222221</v>
      </c>
      <c r="D271">
        <v>51.26</v>
      </c>
      <c r="E271" t="s">
        <v>44</v>
      </c>
      <c r="F271" t="s">
        <v>232</v>
      </c>
      <c r="G271" t="s">
        <v>46</v>
      </c>
      <c r="H271" t="s">
        <v>248</v>
      </c>
      <c r="I271" t="s">
        <v>1376</v>
      </c>
      <c r="J271">
        <v>75</v>
      </c>
      <c r="K271" t="s">
        <v>37</v>
      </c>
      <c r="L271" t="s">
        <v>130</v>
      </c>
      <c r="M271" t="s">
        <v>39</v>
      </c>
      <c r="P271" t="s">
        <v>28</v>
      </c>
      <c r="Q271" t="s">
        <v>1377</v>
      </c>
      <c r="R271" t="s">
        <v>1378</v>
      </c>
      <c r="S271" t="s">
        <v>31</v>
      </c>
      <c r="T271">
        <v>0</v>
      </c>
    </row>
    <row r="272" spans="1:20" x14ac:dyDescent="0.25">
      <c r="A272" t="s">
        <v>1379</v>
      </c>
      <c r="B272" s="1">
        <v>45930</v>
      </c>
      <c r="C272" s="5">
        <v>0.2658564814814815</v>
      </c>
      <c r="D272">
        <v>292.66000000000003</v>
      </c>
      <c r="E272" t="s">
        <v>44</v>
      </c>
      <c r="F272" t="s">
        <v>1380</v>
      </c>
      <c r="G272" t="s">
        <v>89</v>
      </c>
      <c r="H272" t="s">
        <v>26</v>
      </c>
      <c r="I272" t="s">
        <v>1381</v>
      </c>
      <c r="J272">
        <v>65</v>
      </c>
      <c r="K272" t="s">
        <v>37</v>
      </c>
      <c r="L272" t="s">
        <v>97</v>
      </c>
      <c r="M272" t="s">
        <v>105</v>
      </c>
      <c r="P272" t="s">
        <v>28</v>
      </c>
      <c r="Q272" t="s">
        <v>1382</v>
      </c>
      <c r="R272" t="s">
        <v>1383</v>
      </c>
      <c r="S272" t="s">
        <v>42</v>
      </c>
      <c r="T272">
        <v>0</v>
      </c>
    </row>
    <row r="273" spans="1:20" x14ac:dyDescent="0.25">
      <c r="A273" t="s">
        <v>1384</v>
      </c>
      <c r="B273" s="1">
        <v>45841</v>
      </c>
      <c r="C273" s="5">
        <v>0.91744212962962968</v>
      </c>
      <c r="D273">
        <v>28.38</v>
      </c>
      <c r="E273" t="s">
        <v>44</v>
      </c>
      <c r="F273" t="s">
        <v>596</v>
      </c>
      <c r="G273" t="s">
        <v>124</v>
      </c>
      <c r="H273" t="s">
        <v>248</v>
      </c>
      <c r="I273" t="s">
        <v>1385</v>
      </c>
      <c r="J273">
        <v>64</v>
      </c>
      <c r="K273" t="s">
        <v>25</v>
      </c>
      <c r="L273" t="s">
        <v>58</v>
      </c>
      <c r="M273" t="s">
        <v>112</v>
      </c>
      <c r="P273" t="s">
        <v>28</v>
      </c>
      <c r="Q273" t="s">
        <v>1386</v>
      </c>
      <c r="R273" t="s">
        <v>1387</v>
      </c>
      <c r="S273" t="s">
        <v>31</v>
      </c>
      <c r="T273">
        <v>0</v>
      </c>
    </row>
    <row r="274" spans="1:20" x14ac:dyDescent="0.25">
      <c r="A274" t="s">
        <v>1388</v>
      </c>
      <c r="B274" s="1">
        <v>45915</v>
      </c>
      <c r="C274" s="5">
        <v>0.69313657407407403</v>
      </c>
      <c r="D274">
        <v>145.35</v>
      </c>
      <c r="E274" t="s">
        <v>44</v>
      </c>
      <c r="F274" t="s">
        <v>467</v>
      </c>
      <c r="G274" t="s">
        <v>89</v>
      </c>
      <c r="H274" t="s">
        <v>248</v>
      </c>
      <c r="I274" t="s">
        <v>1389</v>
      </c>
      <c r="J274">
        <v>31</v>
      </c>
      <c r="K274" t="s">
        <v>49</v>
      </c>
      <c r="L274" t="s">
        <v>50</v>
      </c>
      <c r="M274" t="s">
        <v>84</v>
      </c>
      <c r="P274" t="s">
        <v>28</v>
      </c>
      <c r="Q274" t="s">
        <v>1390</v>
      </c>
      <c r="R274" t="s">
        <v>1391</v>
      </c>
      <c r="S274" t="s">
        <v>101</v>
      </c>
      <c r="T274">
        <v>0</v>
      </c>
    </row>
    <row r="275" spans="1:20" x14ac:dyDescent="0.25">
      <c r="A275" t="s">
        <v>1392</v>
      </c>
      <c r="B275" s="1">
        <v>45893</v>
      </c>
      <c r="C275" s="5">
        <v>0.96539351851851851</v>
      </c>
      <c r="D275">
        <v>175.94</v>
      </c>
      <c r="E275" t="s">
        <v>44</v>
      </c>
      <c r="F275" t="s">
        <v>1393</v>
      </c>
      <c r="G275" t="s">
        <v>96</v>
      </c>
      <c r="H275" t="s">
        <v>110</v>
      </c>
      <c r="I275" t="s">
        <v>1394</v>
      </c>
      <c r="J275">
        <v>29</v>
      </c>
      <c r="K275" t="s">
        <v>49</v>
      </c>
      <c r="L275" t="s">
        <v>23</v>
      </c>
      <c r="M275" t="s">
        <v>27</v>
      </c>
      <c r="P275" t="s">
        <v>28</v>
      </c>
      <c r="Q275" t="s">
        <v>1395</v>
      </c>
      <c r="R275" t="s">
        <v>1396</v>
      </c>
      <c r="S275" t="s">
        <v>31</v>
      </c>
      <c r="T275">
        <v>0</v>
      </c>
    </row>
    <row r="276" spans="1:20" x14ac:dyDescent="0.25">
      <c r="A276" t="s">
        <v>1397</v>
      </c>
      <c r="B276" s="1">
        <v>45847</v>
      </c>
      <c r="C276" s="5">
        <v>0.65513888888888894</v>
      </c>
      <c r="D276">
        <v>156.15</v>
      </c>
      <c r="E276" t="s">
        <v>44</v>
      </c>
      <c r="F276" t="s">
        <v>1398</v>
      </c>
      <c r="G276" t="s">
        <v>34</v>
      </c>
      <c r="H276" t="s">
        <v>130</v>
      </c>
      <c r="I276" t="s">
        <v>1399</v>
      </c>
      <c r="J276">
        <v>52</v>
      </c>
      <c r="K276" t="s">
        <v>25</v>
      </c>
      <c r="L276" t="s">
        <v>248</v>
      </c>
      <c r="M276" t="s">
        <v>112</v>
      </c>
      <c r="P276" t="s">
        <v>28</v>
      </c>
      <c r="Q276" t="s">
        <v>1400</v>
      </c>
      <c r="R276" t="s">
        <v>1401</v>
      </c>
      <c r="S276" t="s">
        <v>31</v>
      </c>
      <c r="T276">
        <v>0</v>
      </c>
    </row>
    <row r="277" spans="1:20" x14ac:dyDescent="0.25">
      <c r="A277" t="s">
        <v>1402</v>
      </c>
      <c r="B277" s="1">
        <v>45839</v>
      </c>
      <c r="C277" s="5">
        <v>0.63109953703703703</v>
      </c>
      <c r="D277">
        <v>184.77</v>
      </c>
      <c r="E277" t="s">
        <v>44</v>
      </c>
      <c r="F277" t="s">
        <v>1403</v>
      </c>
      <c r="G277" t="s">
        <v>71</v>
      </c>
      <c r="H277" t="s">
        <v>50</v>
      </c>
      <c r="I277" t="s">
        <v>1404</v>
      </c>
      <c r="J277">
        <v>40</v>
      </c>
      <c r="K277" t="s">
        <v>25</v>
      </c>
      <c r="L277" t="s">
        <v>66</v>
      </c>
      <c r="M277" t="s">
        <v>105</v>
      </c>
      <c r="P277" t="s">
        <v>28</v>
      </c>
      <c r="Q277" t="s">
        <v>1405</v>
      </c>
      <c r="R277" t="s">
        <v>1406</v>
      </c>
      <c r="S277" t="s">
        <v>31</v>
      </c>
      <c r="T277">
        <v>0</v>
      </c>
    </row>
    <row r="278" spans="1:20" x14ac:dyDescent="0.25">
      <c r="A278" t="s">
        <v>1407</v>
      </c>
      <c r="B278" s="1">
        <v>45951</v>
      </c>
      <c r="C278" s="5">
        <v>0.33850694444444446</v>
      </c>
      <c r="D278">
        <v>877.12</v>
      </c>
      <c r="E278" t="s">
        <v>44</v>
      </c>
      <c r="F278" t="s">
        <v>1408</v>
      </c>
      <c r="G278" t="s">
        <v>124</v>
      </c>
      <c r="H278" t="s">
        <v>26</v>
      </c>
      <c r="I278" t="s">
        <v>1409</v>
      </c>
      <c r="J278">
        <v>25</v>
      </c>
      <c r="K278" t="s">
        <v>49</v>
      </c>
      <c r="L278" t="s">
        <v>35</v>
      </c>
      <c r="M278" t="s">
        <v>39</v>
      </c>
      <c r="P278" t="s">
        <v>28</v>
      </c>
      <c r="Q278" t="s">
        <v>1410</v>
      </c>
      <c r="R278" t="s">
        <v>1411</v>
      </c>
      <c r="S278" t="s">
        <v>31</v>
      </c>
      <c r="T278">
        <v>0</v>
      </c>
    </row>
    <row r="279" spans="1:20" x14ac:dyDescent="0.25">
      <c r="A279" t="s">
        <v>1412</v>
      </c>
      <c r="B279" s="1">
        <v>45848</v>
      </c>
      <c r="C279" s="5">
        <v>0.93905092592592587</v>
      </c>
      <c r="D279">
        <v>162.41</v>
      </c>
      <c r="E279" t="s">
        <v>44</v>
      </c>
      <c r="F279" t="s">
        <v>1413</v>
      </c>
      <c r="G279" t="s">
        <v>124</v>
      </c>
      <c r="H279" t="s">
        <v>38</v>
      </c>
      <c r="I279" t="s">
        <v>1414</v>
      </c>
      <c r="J279">
        <v>26</v>
      </c>
      <c r="K279" t="s">
        <v>37</v>
      </c>
      <c r="L279" t="s">
        <v>26</v>
      </c>
      <c r="M279" t="s">
        <v>112</v>
      </c>
      <c r="P279" t="s">
        <v>28</v>
      </c>
      <c r="Q279" t="s">
        <v>1415</v>
      </c>
      <c r="R279" t="s">
        <v>1416</v>
      </c>
      <c r="S279" t="s">
        <v>31</v>
      </c>
      <c r="T279">
        <v>0</v>
      </c>
    </row>
    <row r="280" spans="1:20" x14ac:dyDescent="0.25">
      <c r="A280" t="s">
        <v>1417</v>
      </c>
      <c r="B280" s="1">
        <v>45892</v>
      </c>
      <c r="C280" s="5">
        <v>0.89878472222222228</v>
      </c>
      <c r="D280">
        <v>199.88</v>
      </c>
      <c r="E280" t="s">
        <v>44</v>
      </c>
      <c r="F280" t="s">
        <v>1418</v>
      </c>
      <c r="G280" t="s">
        <v>22</v>
      </c>
      <c r="H280" t="s">
        <v>38</v>
      </c>
      <c r="I280" t="s">
        <v>1419</v>
      </c>
      <c r="J280">
        <v>66</v>
      </c>
      <c r="K280" t="s">
        <v>37</v>
      </c>
      <c r="L280" t="s">
        <v>66</v>
      </c>
      <c r="M280" t="s">
        <v>39</v>
      </c>
      <c r="P280" t="s">
        <v>28</v>
      </c>
      <c r="Q280" t="s">
        <v>1420</v>
      </c>
      <c r="R280" t="s">
        <v>1421</v>
      </c>
      <c r="S280" t="s">
        <v>31</v>
      </c>
      <c r="T280">
        <v>0</v>
      </c>
    </row>
    <row r="281" spans="1:20" x14ac:dyDescent="0.25">
      <c r="A281" t="s">
        <v>1422</v>
      </c>
      <c r="B281" s="1">
        <v>45791</v>
      </c>
      <c r="C281" s="5">
        <v>0.66718750000000004</v>
      </c>
      <c r="D281">
        <v>42.14</v>
      </c>
      <c r="E281" t="s">
        <v>44</v>
      </c>
      <c r="F281" t="s">
        <v>733</v>
      </c>
      <c r="G281" t="s">
        <v>34</v>
      </c>
      <c r="H281" t="s">
        <v>35</v>
      </c>
      <c r="I281" t="s">
        <v>1423</v>
      </c>
      <c r="J281">
        <v>26</v>
      </c>
      <c r="K281" t="s">
        <v>49</v>
      </c>
      <c r="L281" t="s">
        <v>91</v>
      </c>
      <c r="M281" t="s">
        <v>84</v>
      </c>
      <c r="P281" t="s">
        <v>28</v>
      </c>
      <c r="Q281" t="s">
        <v>1424</v>
      </c>
      <c r="R281" t="s">
        <v>1425</v>
      </c>
      <c r="S281" t="s">
        <v>31</v>
      </c>
      <c r="T281">
        <v>0</v>
      </c>
    </row>
    <row r="282" spans="1:20" x14ac:dyDescent="0.25">
      <c r="A282" t="s">
        <v>1426</v>
      </c>
      <c r="B282" s="1">
        <v>45823</v>
      </c>
      <c r="C282" s="5">
        <v>0.55910879629629628</v>
      </c>
      <c r="D282">
        <v>156.27000000000001</v>
      </c>
      <c r="E282" t="s">
        <v>44</v>
      </c>
      <c r="F282" t="s">
        <v>1427</v>
      </c>
      <c r="G282" t="s">
        <v>71</v>
      </c>
      <c r="H282" t="s">
        <v>35</v>
      </c>
      <c r="I282" t="s">
        <v>1428</v>
      </c>
      <c r="J282">
        <v>44</v>
      </c>
      <c r="K282" t="s">
        <v>25</v>
      </c>
      <c r="L282" t="s">
        <v>47</v>
      </c>
      <c r="M282" t="s">
        <v>84</v>
      </c>
      <c r="P282" t="s">
        <v>28</v>
      </c>
      <c r="Q282" t="s">
        <v>1429</v>
      </c>
      <c r="R282" t="s">
        <v>1430</v>
      </c>
      <c r="S282" t="s">
        <v>31</v>
      </c>
      <c r="T282">
        <v>0</v>
      </c>
    </row>
    <row r="283" spans="1:20" x14ac:dyDescent="0.25">
      <c r="A283" t="s">
        <v>1431</v>
      </c>
      <c r="B283" s="1">
        <v>45908</v>
      </c>
      <c r="C283" s="5">
        <v>5.4895833333333331E-2</v>
      </c>
      <c r="D283">
        <v>64.930000000000007</v>
      </c>
      <c r="E283" t="s">
        <v>44</v>
      </c>
      <c r="F283" t="s">
        <v>541</v>
      </c>
      <c r="G283" t="s">
        <v>71</v>
      </c>
      <c r="H283" t="s">
        <v>35</v>
      </c>
      <c r="I283" t="s">
        <v>1432</v>
      </c>
      <c r="J283">
        <v>37</v>
      </c>
      <c r="K283" t="s">
        <v>25</v>
      </c>
      <c r="L283" t="s">
        <v>110</v>
      </c>
      <c r="M283" t="s">
        <v>84</v>
      </c>
      <c r="P283" t="s">
        <v>28</v>
      </c>
      <c r="Q283" t="s">
        <v>1433</v>
      </c>
      <c r="R283" t="s">
        <v>1434</v>
      </c>
      <c r="S283" t="s">
        <v>31</v>
      </c>
      <c r="T283">
        <v>0</v>
      </c>
    </row>
    <row r="284" spans="1:20" x14ac:dyDescent="0.25">
      <c r="A284" t="s">
        <v>1435</v>
      </c>
      <c r="B284" s="1">
        <v>45809</v>
      </c>
      <c r="C284" s="5">
        <v>0.18153935185185185</v>
      </c>
      <c r="D284">
        <v>2.12</v>
      </c>
      <c r="E284" t="s">
        <v>44</v>
      </c>
      <c r="F284" t="s">
        <v>1436</v>
      </c>
      <c r="G284" t="s">
        <v>96</v>
      </c>
      <c r="H284" t="s">
        <v>91</v>
      </c>
      <c r="I284" t="s">
        <v>1437</v>
      </c>
      <c r="J284">
        <v>59</v>
      </c>
      <c r="K284" t="s">
        <v>49</v>
      </c>
      <c r="L284" t="s">
        <v>38</v>
      </c>
      <c r="M284" t="s">
        <v>39</v>
      </c>
      <c r="P284" t="s">
        <v>28</v>
      </c>
      <c r="Q284" t="s">
        <v>1438</v>
      </c>
      <c r="R284" t="s">
        <v>1439</v>
      </c>
      <c r="S284" t="s">
        <v>31</v>
      </c>
      <c r="T284">
        <v>0</v>
      </c>
    </row>
    <row r="285" spans="1:20" x14ac:dyDescent="0.25">
      <c r="A285" t="s">
        <v>1440</v>
      </c>
      <c r="B285" s="1">
        <v>45832</v>
      </c>
      <c r="C285" s="5">
        <v>0.86320601851851853</v>
      </c>
      <c r="D285">
        <v>146.24</v>
      </c>
      <c r="E285" t="s">
        <v>44</v>
      </c>
      <c r="F285" t="s">
        <v>1441</v>
      </c>
      <c r="G285" t="s">
        <v>34</v>
      </c>
      <c r="H285" t="s">
        <v>97</v>
      </c>
      <c r="I285" t="s">
        <v>1442</v>
      </c>
      <c r="J285">
        <v>26</v>
      </c>
      <c r="K285" t="s">
        <v>25</v>
      </c>
      <c r="L285" t="s">
        <v>97</v>
      </c>
      <c r="M285" t="s">
        <v>112</v>
      </c>
      <c r="P285" t="s">
        <v>113</v>
      </c>
      <c r="Q285" t="s">
        <v>1443</v>
      </c>
      <c r="R285" t="s">
        <v>1444</v>
      </c>
      <c r="S285" t="s">
        <v>31</v>
      </c>
      <c r="T285">
        <v>0</v>
      </c>
    </row>
    <row r="286" spans="1:20" x14ac:dyDescent="0.25">
      <c r="A286" t="s">
        <v>1445</v>
      </c>
      <c r="B286" s="1">
        <v>45841</v>
      </c>
      <c r="C286" s="5">
        <v>0.31969907407407405</v>
      </c>
      <c r="D286">
        <v>171.6</v>
      </c>
      <c r="E286" t="s">
        <v>44</v>
      </c>
      <c r="F286" t="s">
        <v>1446</v>
      </c>
      <c r="G286" t="s">
        <v>124</v>
      </c>
      <c r="H286" t="s">
        <v>23</v>
      </c>
      <c r="I286" t="s">
        <v>1447</v>
      </c>
      <c r="J286">
        <v>109</v>
      </c>
      <c r="K286" t="s">
        <v>49</v>
      </c>
      <c r="L286" t="s">
        <v>50</v>
      </c>
      <c r="M286" t="s">
        <v>51</v>
      </c>
      <c r="N286" t="s">
        <v>507</v>
      </c>
      <c r="O286">
        <v>512882</v>
      </c>
      <c r="P286" t="s">
        <v>28</v>
      </c>
      <c r="Q286" t="s">
        <v>1448</v>
      </c>
      <c r="R286" t="s">
        <v>1449</v>
      </c>
      <c r="S286" t="s">
        <v>31</v>
      </c>
      <c r="T286">
        <v>0</v>
      </c>
    </row>
    <row r="287" spans="1:20" x14ac:dyDescent="0.25">
      <c r="A287" t="s">
        <v>1450</v>
      </c>
      <c r="B287" s="1">
        <v>45831</v>
      </c>
      <c r="C287" s="5">
        <v>7.2615740740740745E-2</v>
      </c>
      <c r="D287">
        <v>48.94</v>
      </c>
      <c r="E287" t="s">
        <v>44</v>
      </c>
      <c r="F287" t="s">
        <v>1451</v>
      </c>
      <c r="G287" t="s">
        <v>96</v>
      </c>
      <c r="H287" t="s">
        <v>35</v>
      </c>
      <c r="I287" t="s">
        <v>1452</v>
      </c>
      <c r="J287">
        <v>64</v>
      </c>
      <c r="K287" t="s">
        <v>49</v>
      </c>
      <c r="L287" t="s">
        <v>26</v>
      </c>
      <c r="M287" t="s">
        <v>39</v>
      </c>
      <c r="P287" t="s">
        <v>28</v>
      </c>
      <c r="Q287" t="s">
        <v>1453</v>
      </c>
      <c r="R287" t="s">
        <v>1454</v>
      </c>
      <c r="S287" t="s">
        <v>31</v>
      </c>
      <c r="T287">
        <v>0</v>
      </c>
    </row>
    <row r="288" spans="1:20" x14ac:dyDescent="0.25">
      <c r="A288" t="s">
        <v>1455</v>
      </c>
      <c r="B288" s="1">
        <v>45783</v>
      </c>
      <c r="C288" s="5">
        <v>0.2767013888888889</v>
      </c>
      <c r="D288">
        <v>156.99</v>
      </c>
      <c r="E288" t="s">
        <v>44</v>
      </c>
      <c r="F288" t="s">
        <v>1456</v>
      </c>
      <c r="G288" t="s">
        <v>96</v>
      </c>
      <c r="H288" t="s">
        <v>26</v>
      </c>
      <c r="I288" t="s">
        <v>1457</v>
      </c>
      <c r="J288">
        <v>66</v>
      </c>
      <c r="K288" t="s">
        <v>49</v>
      </c>
      <c r="L288" t="s">
        <v>130</v>
      </c>
      <c r="M288" t="s">
        <v>84</v>
      </c>
      <c r="P288" t="s">
        <v>28</v>
      </c>
      <c r="Q288" t="s">
        <v>1458</v>
      </c>
      <c r="R288" t="s">
        <v>1459</v>
      </c>
      <c r="S288" t="s">
        <v>31</v>
      </c>
      <c r="T288">
        <v>0</v>
      </c>
    </row>
    <row r="289" spans="1:20" x14ac:dyDescent="0.25">
      <c r="A289" t="s">
        <v>1460</v>
      </c>
      <c r="B289" s="1">
        <v>45953</v>
      </c>
      <c r="C289" s="5">
        <v>0.25050925925925926</v>
      </c>
      <c r="D289">
        <v>76.86</v>
      </c>
      <c r="E289" t="s">
        <v>44</v>
      </c>
      <c r="F289" t="s">
        <v>1017</v>
      </c>
      <c r="G289" t="s">
        <v>124</v>
      </c>
      <c r="H289" t="s">
        <v>47</v>
      </c>
      <c r="I289" t="s">
        <v>1461</v>
      </c>
      <c r="J289">
        <v>32</v>
      </c>
      <c r="K289" t="s">
        <v>37</v>
      </c>
      <c r="L289" t="s">
        <v>248</v>
      </c>
      <c r="M289" t="s">
        <v>112</v>
      </c>
      <c r="P289" t="s">
        <v>28</v>
      </c>
      <c r="Q289" t="s">
        <v>1462</v>
      </c>
      <c r="R289" t="s">
        <v>1463</v>
      </c>
      <c r="S289" t="s">
        <v>31</v>
      </c>
      <c r="T289">
        <v>0</v>
      </c>
    </row>
    <row r="290" spans="1:20" x14ac:dyDescent="0.25">
      <c r="A290" t="s">
        <v>1464</v>
      </c>
      <c r="B290" s="1">
        <v>45805</v>
      </c>
      <c r="C290" s="5">
        <v>0.93201388888888892</v>
      </c>
      <c r="D290">
        <v>168.5</v>
      </c>
      <c r="E290" t="s">
        <v>44</v>
      </c>
      <c r="F290" t="s">
        <v>1465</v>
      </c>
      <c r="G290" t="s">
        <v>71</v>
      </c>
      <c r="H290" t="s">
        <v>35</v>
      </c>
      <c r="I290" t="s">
        <v>1466</v>
      </c>
      <c r="J290">
        <v>29</v>
      </c>
      <c r="K290" t="s">
        <v>25</v>
      </c>
      <c r="L290" t="s">
        <v>35</v>
      </c>
      <c r="M290" t="s">
        <v>27</v>
      </c>
      <c r="P290" t="s">
        <v>113</v>
      </c>
      <c r="Q290" t="s">
        <v>1467</v>
      </c>
      <c r="R290" t="s">
        <v>1468</v>
      </c>
      <c r="S290" t="s">
        <v>31</v>
      </c>
      <c r="T290">
        <v>0</v>
      </c>
    </row>
    <row r="291" spans="1:20" x14ac:dyDescent="0.25">
      <c r="A291" t="s">
        <v>1469</v>
      </c>
      <c r="B291" s="1">
        <v>45811</v>
      </c>
      <c r="C291" s="5">
        <v>9.5324074074074075E-2</v>
      </c>
      <c r="D291">
        <v>159.69999999999999</v>
      </c>
      <c r="E291" t="s">
        <v>44</v>
      </c>
      <c r="F291" t="s">
        <v>1470</v>
      </c>
      <c r="G291" t="s">
        <v>124</v>
      </c>
      <c r="H291" t="s">
        <v>130</v>
      </c>
      <c r="I291" t="s">
        <v>1471</v>
      </c>
      <c r="J291">
        <v>55</v>
      </c>
      <c r="K291" t="s">
        <v>49</v>
      </c>
      <c r="L291" t="s">
        <v>66</v>
      </c>
      <c r="M291" t="s">
        <v>27</v>
      </c>
      <c r="P291" t="s">
        <v>28</v>
      </c>
      <c r="Q291" t="s">
        <v>1472</v>
      </c>
      <c r="R291" t="s">
        <v>1473</v>
      </c>
      <c r="S291" t="s">
        <v>31</v>
      </c>
      <c r="T291">
        <v>0</v>
      </c>
    </row>
    <row r="292" spans="1:20" x14ac:dyDescent="0.25">
      <c r="A292" t="s">
        <v>1474</v>
      </c>
      <c r="B292" s="1">
        <v>45892</v>
      </c>
      <c r="C292" s="5">
        <v>0.16396990740740741</v>
      </c>
      <c r="D292">
        <v>580.44000000000005</v>
      </c>
      <c r="E292" t="s">
        <v>44</v>
      </c>
      <c r="F292" t="s">
        <v>1475</v>
      </c>
      <c r="G292" t="s">
        <v>22</v>
      </c>
      <c r="H292" t="s">
        <v>146</v>
      </c>
      <c r="I292" t="s">
        <v>1476</v>
      </c>
      <c r="J292">
        <v>51</v>
      </c>
      <c r="K292" t="s">
        <v>25</v>
      </c>
      <c r="L292" t="s">
        <v>23</v>
      </c>
      <c r="M292" t="s">
        <v>112</v>
      </c>
      <c r="P292" t="s">
        <v>28</v>
      </c>
      <c r="Q292" t="s">
        <v>1477</v>
      </c>
      <c r="R292" t="s">
        <v>1478</v>
      </c>
      <c r="S292" t="s">
        <v>31</v>
      </c>
      <c r="T292">
        <v>0</v>
      </c>
    </row>
    <row r="293" spans="1:20" x14ac:dyDescent="0.25">
      <c r="A293" t="s">
        <v>1479</v>
      </c>
      <c r="B293" s="1">
        <v>45947</v>
      </c>
      <c r="C293" s="5">
        <v>0.6761921296296296</v>
      </c>
      <c r="D293">
        <v>124.51</v>
      </c>
      <c r="E293" t="s">
        <v>44</v>
      </c>
      <c r="F293" t="s">
        <v>1480</v>
      </c>
      <c r="G293" t="s">
        <v>71</v>
      </c>
      <c r="H293" t="s">
        <v>146</v>
      </c>
      <c r="I293" t="s">
        <v>1481</v>
      </c>
      <c r="J293">
        <v>29</v>
      </c>
      <c r="K293" t="s">
        <v>25</v>
      </c>
      <c r="L293" t="s">
        <v>50</v>
      </c>
      <c r="M293" t="s">
        <v>84</v>
      </c>
      <c r="P293" t="s">
        <v>28</v>
      </c>
      <c r="Q293" t="s">
        <v>1482</v>
      </c>
      <c r="R293" t="s">
        <v>1483</v>
      </c>
      <c r="S293" t="s">
        <v>31</v>
      </c>
      <c r="T293">
        <v>0</v>
      </c>
    </row>
    <row r="294" spans="1:20" x14ac:dyDescent="0.25">
      <c r="A294" t="s">
        <v>1484</v>
      </c>
      <c r="B294" s="1">
        <v>45835</v>
      </c>
      <c r="C294" s="5">
        <v>0.68606481481481485</v>
      </c>
      <c r="D294">
        <v>97.83</v>
      </c>
      <c r="E294" t="s">
        <v>44</v>
      </c>
      <c r="F294" t="s">
        <v>1485</v>
      </c>
      <c r="G294" t="s">
        <v>77</v>
      </c>
      <c r="H294" t="s">
        <v>35</v>
      </c>
      <c r="I294" t="s">
        <v>1486</v>
      </c>
      <c r="J294">
        <v>25</v>
      </c>
      <c r="K294" t="s">
        <v>37</v>
      </c>
      <c r="L294" t="s">
        <v>146</v>
      </c>
      <c r="M294" t="s">
        <v>105</v>
      </c>
      <c r="P294" t="s">
        <v>28</v>
      </c>
      <c r="Q294" t="s">
        <v>1487</v>
      </c>
      <c r="R294" t="s">
        <v>1488</v>
      </c>
      <c r="S294" t="s">
        <v>31</v>
      </c>
      <c r="T294">
        <v>0</v>
      </c>
    </row>
    <row r="295" spans="1:20" x14ac:dyDescent="0.25">
      <c r="A295" t="s">
        <v>1489</v>
      </c>
      <c r="B295" s="1">
        <v>45949</v>
      </c>
      <c r="C295" s="5">
        <v>0.96744212962962961</v>
      </c>
      <c r="D295">
        <v>177.43</v>
      </c>
      <c r="E295" t="s">
        <v>44</v>
      </c>
      <c r="F295" t="s">
        <v>1490</v>
      </c>
      <c r="G295" t="s">
        <v>46</v>
      </c>
      <c r="H295" t="s">
        <v>110</v>
      </c>
      <c r="I295" t="s">
        <v>1491</v>
      </c>
      <c r="J295">
        <v>51</v>
      </c>
      <c r="K295" t="s">
        <v>25</v>
      </c>
      <c r="L295" t="s">
        <v>248</v>
      </c>
      <c r="M295" t="s">
        <v>112</v>
      </c>
      <c r="P295" t="s">
        <v>28</v>
      </c>
      <c r="Q295" t="s">
        <v>1492</v>
      </c>
      <c r="R295" t="s">
        <v>1493</v>
      </c>
      <c r="S295" t="s">
        <v>31</v>
      </c>
      <c r="T295">
        <v>0</v>
      </c>
    </row>
    <row r="296" spans="1:20" x14ac:dyDescent="0.25">
      <c r="A296" t="s">
        <v>1494</v>
      </c>
      <c r="B296" s="1">
        <v>45923</v>
      </c>
      <c r="C296" s="5">
        <v>0.18114583333333334</v>
      </c>
      <c r="D296">
        <v>45.91</v>
      </c>
      <c r="E296" t="s">
        <v>44</v>
      </c>
      <c r="F296" t="s">
        <v>486</v>
      </c>
      <c r="G296" t="s">
        <v>96</v>
      </c>
      <c r="H296" t="s">
        <v>47</v>
      </c>
      <c r="I296" t="s">
        <v>1495</v>
      </c>
      <c r="J296">
        <v>63</v>
      </c>
      <c r="K296" t="s">
        <v>25</v>
      </c>
      <c r="L296" t="s">
        <v>23</v>
      </c>
      <c r="M296" t="s">
        <v>39</v>
      </c>
      <c r="P296" t="s">
        <v>28</v>
      </c>
      <c r="Q296" t="s">
        <v>1496</v>
      </c>
      <c r="R296" t="s">
        <v>1497</v>
      </c>
      <c r="S296" t="s">
        <v>31</v>
      </c>
      <c r="T296">
        <v>0</v>
      </c>
    </row>
    <row r="297" spans="1:20" x14ac:dyDescent="0.25">
      <c r="A297" t="s">
        <v>1498</v>
      </c>
      <c r="B297" s="1">
        <v>45817</v>
      </c>
      <c r="C297" s="5">
        <v>0.54222222222222227</v>
      </c>
      <c r="D297">
        <v>82.71</v>
      </c>
      <c r="E297" t="s">
        <v>44</v>
      </c>
      <c r="F297" t="s">
        <v>1499</v>
      </c>
      <c r="G297" t="s">
        <v>89</v>
      </c>
      <c r="H297" t="s">
        <v>35</v>
      </c>
      <c r="I297" t="s">
        <v>1500</v>
      </c>
      <c r="J297">
        <v>50</v>
      </c>
      <c r="K297" t="s">
        <v>25</v>
      </c>
      <c r="L297" t="s">
        <v>23</v>
      </c>
      <c r="M297" t="s">
        <v>112</v>
      </c>
      <c r="P297" t="s">
        <v>28</v>
      </c>
      <c r="Q297" t="s">
        <v>1501</v>
      </c>
      <c r="R297" t="s">
        <v>1502</v>
      </c>
      <c r="S297" t="s">
        <v>31</v>
      </c>
      <c r="T297">
        <v>0</v>
      </c>
    </row>
    <row r="298" spans="1:20" x14ac:dyDescent="0.25">
      <c r="A298" t="s">
        <v>1503</v>
      </c>
      <c r="B298" s="1">
        <v>45948</v>
      </c>
      <c r="C298" s="5">
        <v>0.47833333333333333</v>
      </c>
      <c r="D298">
        <v>4753.9799999999996</v>
      </c>
      <c r="E298" t="s">
        <v>44</v>
      </c>
      <c r="F298" t="s">
        <v>1504</v>
      </c>
      <c r="G298" t="s">
        <v>46</v>
      </c>
      <c r="H298" t="s">
        <v>248</v>
      </c>
      <c r="I298" t="s">
        <v>1505</v>
      </c>
      <c r="J298">
        <v>56</v>
      </c>
      <c r="K298" t="s">
        <v>49</v>
      </c>
      <c r="L298" t="s">
        <v>110</v>
      </c>
      <c r="M298" t="s">
        <v>112</v>
      </c>
      <c r="P298" t="s">
        <v>28</v>
      </c>
      <c r="Q298" t="s">
        <v>1506</v>
      </c>
      <c r="R298" t="s">
        <v>1507</v>
      </c>
      <c r="S298" t="s">
        <v>31</v>
      </c>
      <c r="T298">
        <v>1</v>
      </c>
    </row>
    <row r="299" spans="1:20" x14ac:dyDescent="0.25">
      <c r="A299" t="s">
        <v>1508</v>
      </c>
      <c r="B299" s="1">
        <v>45925</v>
      </c>
      <c r="C299" s="5">
        <v>0.22744212962962962</v>
      </c>
      <c r="D299">
        <v>34.28</v>
      </c>
      <c r="E299" t="s">
        <v>44</v>
      </c>
      <c r="F299" t="s">
        <v>1509</v>
      </c>
      <c r="G299" t="s">
        <v>71</v>
      </c>
      <c r="H299" t="s">
        <v>248</v>
      </c>
      <c r="I299" t="s">
        <v>1510</v>
      </c>
      <c r="J299">
        <v>47</v>
      </c>
      <c r="K299" t="s">
        <v>49</v>
      </c>
      <c r="L299" t="s">
        <v>50</v>
      </c>
      <c r="M299" t="s">
        <v>112</v>
      </c>
      <c r="P299" t="s">
        <v>28</v>
      </c>
      <c r="Q299" t="s">
        <v>1511</v>
      </c>
      <c r="R299" t="s">
        <v>1512</v>
      </c>
      <c r="S299" t="s">
        <v>31</v>
      </c>
      <c r="T299">
        <v>0</v>
      </c>
    </row>
    <row r="300" spans="1:20" x14ac:dyDescent="0.25">
      <c r="A300" t="s">
        <v>1513</v>
      </c>
      <c r="B300" s="1">
        <v>45881</v>
      </c>
      <c r="C300" s="5">
        <v>3.2615740740740744E-2</v>
      </c>
      <c r="D300">
        <v>12.15</v>
      </c>
      <c r="E300" t="s">
        <v>44</v>
      </c>
      <c r="F300" t="s">
        <v>1514</v>
      </c>
      <c r="G300" t="s">
        <v>22</v>
      </c>
      <c r="H300" t="s">
        <v>110</v>
      </c>
      <c r="I300" t="s">
        <v>1515</v>
      </c>
      <c r="J300">
        <v>51</v>
      </c>
      <c r="K300" t="s">
        <v>25</v>
      </c>
      <c r="L300" t="s">
        <v>58</v>
      </c>
      <c r="M300" t="s">
        <v>51</v>
      </c>
      <c r="N300" t="s">
        <v>52</v>
      </c>
      <c r="O300">
        <v>426161</v>
      </c>
      <c r="P300" t="s">
        <v>28</v>
      </c>
      <c r="Q300" t="s">
        <v>1516</v>
      </c>
      <c r="R300" t="s">
        <v>1517</v>
      </c>
      <c r="S300" t="s">
        <v>31</v>
      </c>
      <c r="T300">
        <v>0</v>
      </c>
    </row>
    <row r="301" spans="1:20" x14ac:dyDescent="0.25">
      <c r="A301" t="s">
        <v>1518</v>
      </c>
      <c r="B301" s="1">
        <v>45804</v>
      </c>
      <c r="C301" s="5">
        <v>0.9496296296296296</v>
      </c>
      <c r="D301">
        <v>24.73</v>
      </c>
      <c r="E301" t="s">
        <v>44</v>
      </c>
      <c r="F301" t="s">
        <v>1519</v>
      </c>
      <c r="G301" t="s">
        <v>46</v>
      </c>
      <c r="H301" t="s">
        <v>47</v>
      </c>
      <c r="I301" t="s">
        <v>1520</v>
      </c>
      <c r="K301" t="s">
        <v>25</v>
      </c>
      <c r="L301" t="s">
        <v>38</v>
      </c>
      <c r="M301" t="s">
        <v>105</v>
      </c>
      <c r="P301" t="s">
        <v>28</v>
      </c>
      <c r="Q301" t="s">
        <v>1521</v>
      </c>
      <c r="R301" t="s">
        <v>1522</v>
      </c>
      <c r="S301" t="s">
        <v>31</v>
      </c>
      <c r="T301">
        <v>0</v>
      </c>
    </row>
    <row r="302" spans="1:20" x14ac:dyDescent="0.25">
      <c r="A302" t="s">
        <v>1523</v>
      </c>
      <c r="B302" s="1">
        <v>45806</v>
      </c>
      <c r="C302" s="5">
        <v>0.43493055555555554</v>
      </c>
      <c r="D302">
        <v>86.87</v>
      </c>
      <c r="E302" t="s">
        <v>44</v>
      </c>
      <c r="F302" t="s">
        <v>1524</v>
      </c>
      <c r="G302" t="s">
        <v>34</v>
      </c>
      <c r="H302" t="s">
        <v>66</v>
      </c>
      <c r="I302" t="s">
        <v>1525</v>
      </c>
      <c r="K302" t="s">
        <v>25</v>
      </c>
      <c r="L302" t="s">
        <v>110</v>
      </c>
      <c r="M302" t="s">
        <v>105</v>
      </c>
      <c r="P302" t="s">
        <v>28</v>
      </c>
      <c r="Q302" t="s">
        <v>1526</v>
      </c>
      <c r="R302" t="s">
        <v>1527</v>
      </c>
      <c r="S302" t="s">
        <v>31</v>
      </c>
      <c r="T302">
        <v>0</v>
      </c>
    </row>
    <row r="303" spans="1:20" x14ac:dyDescent="0.25">
      <c r="A303" t="s">
        <v>1528</v>
      </c>
      <c r="B303" s="1">
        <v>45917</v>
      </c>
      <c r="C303" s="5">
        <v>5.5787037037037038E-3</v>
      </c>
      <c r="D303">
        <v>61.73</v>
      </c>
      <c r="E303" t="s">
        <v>44</v>
      </c>
      <c r="F303" t="s">
        <v>1529</v>
      </c>
      <c r="G303" t="s">
        <v>77</v>
      </c>
      <c r="H303" t="s">
        <v>130</v>
      </c>
      <c r="I303" t="s">
        <v>1530</v>
      </c>
      <c r="J303">
        <v>74</v>
      </c>
      <c r="K303" t="s">
        <v>37</v>
      </c>
      <c r="L303" t="s">
        <v>146</v>
      </c>
      <c r="M303" t="s">
        <v>105</v>
      </c>
      <c r="P303" t="s">
        <v>28</v>
      </c>
      <c r="Q303" t="s">
        <v>1531</v>
      </c>
      <c r="R303" t="s">
        <v>1532</v>
      </c>
      <c r="S303" t="s">
        <v>31</v>
      </c>
      <c r="T303">
        <v>0</v>
      </c>
    </row>
    <row r="304" spans="1:20" x14ac:dyDescent="0.25">
      <c r="A304" t="s">
        <v>1533</v>
      </c>
      <c r="B304" s="1">
        <v>45786</v>
      </c>
      <c r="C304" s="5">
        <v>0.16541666666666666</v>
      </c>
      <c r="D304">
        <v>53.4</v>
      </c>
      <c r="E304" t="s">
        <v>44</v>
      </c>
      <c r="F304" t="s">
        <v>824</v>
      </c>
      <c r="G304" t="s">
        <v>89</v>
      </c>
      <c r="H304" t="s">
        <v>66</v>
      </c>
      <c r="I304" t="s">
        <v>1534</v>
      </c>
      <c r="J304">
        <v>40</v>
      </c>
      <c r="K304" t="s">
        <v>37</v>
      </c>
      <c r="L304" t="s">
        <v>50</v>
      </c>
      <c r="M304" t="s">
        <v>105</v>
      </c>
      <c r="P304" t="s">
        <v>28</v>
      </c>
      <c r="Q304" t="s">
        <v>1535</v>
      </c>
      <c r="R304" t="s">
        <v>1536</v>
      </c>
      <c r="S304" t="s">
        <v>31</v>
      </c>
      <c r="T304">
        <v>0</v>
      </c>
    </row>
    <row r="305" spans="1:20" x14ac:dyDescent="0.25">
      <c r="A305" t="s">
        <v>1537</v>
      </c>
      <c r="B305" s="1">
        <v>45892</v>
      </c>
      <c r="C305" s="5">
        <v>8.518518518518519E-3</v>
      </c>
      <c r="D305">
        <v>103.22</v>
      </c>
      <c r="E305" t="s">
        <v>44</v>
      </c>
      <c r="F305" t="s">
        <v>1538</v>
      </c>
      <c r="G305" t="s">
        <v>71</v>
      </c>
      <c r="H305" t="s">
        <v>58</v>
      </c>
      <c r="I305" t="s">
        <v>1539</v>
      </c>
      <c r="J305">
        <v>22</v>
      </c>
      <c r="K305" t="s">
        <v>25</v>
      </c>
      <c r="L305" t="s">
        <v>97</v>
      </c>
      <c r="M305" t="s">
        <v>39</v>
      </c>
      <c r="P305" t="s">
        <v>28</v>
      </c>
      <c r="Q305" t="s">
        <v>1540</v>
      </c>
      <c r="R305" t="s">
        <v>1541</v>
      </c>
      <c r="S305" t="s">
        <v>31</v>
      </c>
      <c r="T305">
        <v>0</v>
      </c>
    </row>
    <row r="306" spans="1:20" x14ac:dyDescent="0.25">
      <c r="A306" t="s">
        <v>1542</v>
      </c>
      <c r="B306" s="1">
        <v>45884</v>
      </c>
      <c r="C306" s="5">
        <v>0.22403935185185186</v>
      </c>
      <c r="D306">
        <v>102.12</v>
      </c>
      <c r="E306" t="s">
        <v>44</v>
      </c>
      <c r="F306" t="s">
        <v>1543</v>
      </c>
      <c r="G306" t="s">
        <v>46</v>
      </c>
      <c r="H306" t="s">
        <v>130</v>
      </c>
      <c r="I306" t="s">
        <v>1544</v>
      </c>
      <c r="J306">
        <v>54</v>
      </c>
      <c r="K306" t="s">
        <v>37</v>
      </c>
      <c r="L306" t="s">
        <v>35</v>
      </c>
      <c r="M306" t="s">
        <v>51</v>
      </c>
      <c r="N306" t="s">
        <v>304</v>
      </c>
      <c r="O306">
        <v>547514</v>
      </c>
      <c r="P306" t="s">
        <v>28</v>
      </c>
      <c r="Q306" t="s">
        <v>1545</v>
      </c>
      <c r="R306" t="s">
        <v>1546</v>
      </c>
      <c r="S306" t="s">
        <v>31</v>
      </c>
      <c r="T306">
        <v>0</v>
      </c>
    </row>
    <row r="307" spans="1:20" x14ac:dyDescent="0.25">
      <c r="A307" t="s">
        <v>1547</v>
      </c>
      <c r="B307" s="1">
        <v>45884</v>
      </c>
      <c r="C307" s="5">
        <v>0.58381944444444445</v>
      </c>
      <c r="D307">
        <v>44.75</v>
      </c>
      <c r="E307" t="s">
        <v>44</v>
      </c>
      <c r="F307" t="s">
        <v>1548</v>
      </c>
      <c r="G307" t="s">
        <v>34</v>
      </c>
      <c r="H307" t="s">
        <v>38</v>
      </c>
      <c r="I307" t="s">
        <v>1549</v>
      </c>
      <c r="J307">
        <v>75</v>
      </c>
      <c r="K307" t="s">
        <v>49</v>
      </c>
      <c r="L307" t="s">
        <v>26</v>
      </c>
      <c r="M307" t="s">
        <v>39</v>
      </c>
      <c r="P307" t="s">
        <v>28</v>
      </c>
      <c r="Q307" t="s">
        <v>1550</v>
      </c>
      <c r="R307" t="s">
        <v>1551</v>
      </c>
      <c r="S307" t="s">
        <v>31</v>
      </c>
      <c r="T307">
        <v>0</v>
      </c>
    </row>
    <row r="308" spans="1:20" x14ac:dyDescent="0.25">
      <c r="A308" t="s">
        <v>1552</v>
      </c>
      <c r="B308" s="1">
        <v>45852</v>
      </c>
      <c r="C308" s="5">
        <v>0.66238425925925926</v>
      </c>
      <c r="D308">
        <v>706.75</v>
      </c>
      <c r="E308" t="s">
        <v>44</v>
      </c>
      <c r="F308" t="s">
        <v>1553</v>
      </c>
      <c r="G308" t="s">
        <v>57</v>
      </c>
      <c r="H308" t="s">
        <v>50</v>
      </c>
      <c r="I308" t="s">
        <v>1554</v>
      </c>
      <c r="J308">
        <v>59</v>
      </c>
      <c r="K308" t="s">
        <v>25</v>
      </c>
      <c r="L308" t="s">
        <v>26</v>
      </c>
      <c r="M308" t="s">
        <v>39</v>
      </c>
      <c r="P308" t="s">
        <v>28</v>
      </c>
      <c r="Q308" t="s">
        <v>1555</v>
      </c>
      <c r="R308" t="s">
        <v>1556</v>
      </c>
      <c r="S308" t="s">
        <v>31</v>
      </c>
      <c r="T308">
        <v>0</v>
      </c>
    </row>
    <row r="309" spans="1:20" x14ac:dyDescent="0.25">
      <c r="A309" t="s">
        <v>1557</v>
      </c>
      <c r="B309" s="1">
        <v>45879</v>
      </c>
      <c r="C309" s="5">
        <v>0.31993055555555555</v>
      </c>
      <c r="D309">
        <v>31.9</v>
      </c>
      <c r="E309" t="s">
        <v>44</v>
      </c>
      <c r="F309" t="s">
        <v>1558</v>
      </c>
      <c r="G309" t="s">
        <v>89</v>
      </c>
      <c r="H309" t="s">
        <v>146</v>
      </c>
      <c r="I309" t="s">
        <v>1559</v>
      </c>
      <c r="J309">
        <v>60</v>
      </c>
      <c r="K309" t="s">
        <v>25</v>
      </c>
      <c r="L309" t="s">
        <v>58</v>
      </c>
      <c r="M309" t="s">
        <v>84</v>
      </c>
      <c r="P309" t="s">
        <v>28</v>
      </c>
      <c r="Q309" t="s">
        <v>1560</v>
      </c>
      <c r="R309" t="s">
        <v>1561</v>
      </c>
      <c r="S309" t="s">
        <v>42</v>
      </c>
      <c r="T309">
        <v>0</v>
      </c>
    </row>
    <row r="310" spans="1:20" x14ac:dyDescent="0.25">
      <c r="A310" t="s">
        <v>1562</v>
      </c>
      <c r="B310" s="1">
        <v>45869</v>
      </c>
      <c r="C310" s="5">
        <v>0.22849537037037038</v>
      </c>
      <c r="D310">
        <v>3.21</v>
      </c>
      <c r="E310" t="s">
        <v>44</v>
      </c>
      <c r="F310" t="s">
        <v>1563</v>
      </c>
      <c r="G310" t="s">
        <v>96</v>
      </c>
      <c r="H310" t="s">
        <v>38</v>
      </c>
      <c r="I310" t="s">
        <v>1564</v>
      </c>
      <c r="J310">
        <v>66</v>
      </c>
      <c r="K310" t="s">
        <v>25</v>
      </c>
      <c r="L310" t="s">
        <v>91</v>
      </c>
      <c r="M310" t="s">
        <v>39</v>
      </c>
      <c r="P310" t="s">
        <v>28</v>
      </c>
      <c r="Q310" t="s">
        <v>1565</v>
      </c>
      <c r="R310" t="s">
        <v>1566</v>
      </c>
      <c r="S310" t="s">
        <v>31</v>
      </c>
      <c r="T310">
        <v>0</v>
      </c>
    </row>
    <row r="311" spans="1:20" x14ac:dyDescent="0.25">
      <c r="A311" t="s">
        <v>1567</v>
      </c>
      <c r="B311" s="1">
        <v>45800</v>
      </c>
      <c r="C311" s="5">
        <v>0.44990740740740742</v>
      </c>
      <c r="D311">
        <v>74.27</v>
      </c>
      <c r="E311" t="s">
        <v>44</v>
      </c>
      <c r="F311" t="s">
        <v>1568</v>
      </c>
      <c r="G311" t="s">
        <v>46</v>
      </c>
      <c r="H311" t="s">
        <v>119</v>
      </c>
      <c r="I311" t="s">
        <v>1569</v>
      </c>
      <c r="J311">
        <v>58</v>
      </c>
      <c r="K311" t="s">
        <v>37</v>
      </c>
      <c r="L311" t="s">
        <v>38</v>
      </c>
      <c r="M311" t="s">
        <v>51</v>
      </c>
      <c r="N311" t="s">
        <v>173</v>
      </c>
      <c r="O311">
        <v>438766</v>
      </c>
      <c r="P311" t="s">
        <v>28</v>
      </c>
      <c r="Q311" t="s">
        <v>1570</v>
      </c>
      <c r="R311" t="s">
        <v>1571</v>
      </c>
      <c r="S311" t="s">
        <v>31</v>
      </c>
      <c r="T311">
        <v>0</v>
      </c>
    </row>
    <row r="312" spans="1:20" x14ac:dyDescent="0.25">
      <c r="A312" t="s">
        <v>1572</v>
      </c>
      <c r="B312" s="1">
        <v>45800</v>
      </c>
      <c r="C312" s="5">
        <v>0.65888888888888886</v>
      </c>
      <c r="D312">
        <v>101.42</v>
      </c>
      <c r="E312" t="s">
        <v>44</v>
      </c>
      <c r="F312" t="s">
        <v>1573</v>
      </c>
      <c r="G312" t="s">
        <v>124</v>
      </c>
      <c r="H312" t="s">
        <v>248</v>
      </c>
      <c r="I312" t="s">
        <v>1574</v>
      </c>
      <c r="J312">
        <v>75</v>
      </c>
      <c r="K312" t="s">
        <v>49</v>
      </c>
      <c r="L312" t="s">
        <v>130</v>
      </c>
      <c r="M312" t="s">
        <v>39</v>
      </c>
      <c r="P312" t="s">
        <v>28</v>
      </c>
      <c r="Q312" t="s">
        <v>1575</v>
      </c>
      <c r="R312" t="s">
        <v>1576</v>
      </c>
      <c r="S312" t="s">
        <v>31</v>
      </c>
      <c r="T312">
        <v>0</v>
      </c>
    </row>
    <row r="313" spans="1:20" x14ac:dyDescent="0.25">
      <c r="A313" t="s">
        <v>1577</v>
      </c>
      <c r="B313" s="1">
        <v>45885</v>
      </c>
      <c r="C313" s="5">
        <v>0.2663773148148148</v>
      </c>
      <c r="D313">
        <v>134.66999999999999</v>
      </c>
      <c r="E313" t="s">
        <v>44</v>
      </c>
      <c r="F313" t="s">
        <v>1578</v>
      </c>
      <c r="G313" t="s">
        <v>77</v>
      </c>
      <c r="H313" t="s">
        <v>91</v>
      </c>
      <c r="I313" t="s">
        <v>1579</v>
      </c>
      <c r="J313">
        <v>34</v>
      </c>
      <c r="K313" t="s">
        <v>49</v>
      </c>
      <c r="L313" t="s">
        <v>50</v>
      </c>
      <c r="M313" t="s">
        <v>27</v>
      </c>
      <c r="P313" t="s">
        <v>28</v>
      </c>
      <c r="Q313" t="s">
        <v>1580</v>
      </c>
      <c r="R313" t="s">
        <v>1581</v>
      </c>
      <c r="S313" t="s">
        <v>31</v>
      </c>
      <c r="T313">
        <v>0</v>
      </c>
    </row>
    <row r="314" spans="1:20" x14ac:dyDescent="0.25">
      <c r="A314" t="s">
        <v>1582</v>
      </c>
      <c r="B314" s="1">
        <v>45906</v>
      </c>
      <c r="C314" s="5">
        <v>5.0231481481481481E-3</v>
      </c>
      <c r="D314">
        <v>165.69</v>
      </c>
      <c r="E314" t="s">
        <v>44</v>
      </c>
      <c r="F314" t="s">
        <v>1583</v>
      </c>
      <c r="G314" t="s">
        <v>71</v>
      </c>
      <c r="H314" t="s">
        <v>248</v>
      </c>
      <c r="I314" t="s">
        <v>1584</v>
      </c>
      <c r="J314">
        <v>51</v>
      </c>
      <c r="K314" t="s">
        <v>25</v>
      </c>
      <c r="L314" t="s">
        <v>38</v>
      </c>
      <c r="M314" t="s">
        <v>84</v>
      </c>
      <c r="P314" t="s">
        <v>28</v>
      </c>
      <c r="Q314" t="s">
        <v>1585</v>
      </c>
      <c r="R314" t="s">
        <v>1586</v>
      </c>
      <c r="S314" t="s">
        <v>31</v>
      </c>
      <c r="T314">
        <v>0</v>
      </c>
    </row>
    <row r="315" spans="1:20" x14ac:dyDescent="0.25">
      <c r="A315" t="s">
        <v>1587</v>
      </c>
      <c r="B315" s="1">
        <v>45913</v>
      </c>
      <c r="C315" s="5">
        <v>0.69841435185185186</v>
      </c>
      <c r="D315">
        <v>44.25</v>
      </c>
      <c r="E315" t="s">
        <v>44</v>
      </c>
      <c r="F315" t="s">
        <v>1588</v>
      </c>
      <c r="G315" t="s">
        <v>96</v>
      </c>
      <c r="H315" t="s">
        <v>91</v>
      </c>
      <c r="I315" t="s">
        <v>1589</v>
      </c>
      <c r="J315">
        <v>44</v>
      </c>
      <c r="K315" t="s">
        <v>37</v>
      </c>
      <c r="L315" t="s">
        <v>35</v>
      </c>
      <c r="M315" t="s">
        <v>112</v>
      </c>
      <c r="P315" t="s">
        <v>28</v>
      </c>
      <c r="Q315" t="s">
        <v>1590</v>
      </c>
      <c r="R315" t="s">
        <v>1591</v>
      </c>
      <c r="S315" t="s">
        <v>31</v>
      </c>
      <c r="T315">
        <v>0</v>
      </c>
    </row>
    <row r="316" spans="1:20" x14ac:dyDescent="0.25">
      <c r="A316" t="s">
        <v>1592</v>
      </c>
      <c r="B316" s="1">
        <v>45831</v>
      </c>
      <c r="C316" s="5">
        <v>0.43605324074074076</v>
      </c>
      <c r="D316">
        <v>110.25</v>
      </c>
      <c r="E316" t="s">
        <v>44</v>
      </c>
      <c r="F316" t="s">
        <v>1593</v>
      </c>
      <c r="G316" t="s">
        <v>77</v>
      </c>
      <c r="H316" t="s">
        <v>248</v>
      </c>
      <c r="I316" t="s">
        <v>1594</v>
      </c>
      <c r="J316">
        <v>35</v>
      </c>
      <c r="K316" t="s">
        <v>37</v>
      </c>
      <c r="L316" t="s">
        <v>91</v>
      </c>
      <c r="M316" t="s">
        <v>84</v>
      </c>
      <c r="P316" t="s">
        <v>28</v>
      </c>
      <c r="Q316" t="s">
        <v>1595</v>
      </c>
      <c r="R316" t="s">
        <v>1596</v>
      </c>
      <c r="S316" t="s">
        <v>31</v>
      </c>
      <c r="T316">
        <v>0</v>
      </c>
    </row>
    <row r="317" spans="1:20" x14ac:dyDescent="0.25">
      <c r="A317" t="s">
        <v>1597</v>
      </c>
      <c r="B317" s="1">
        <v>45917</v>
      </c>
      <c r="C317" s="5">
        <v>0.97843749999999996</v>
      </c>
      <c r="D317">
        <v>75.709999999999994</v>
      </c>
      <c r="E317" t="s">
        <v>44</v>
      </c>
      <c r="F317" t="s">
        <v>1598</v>
      </c>
      <c r="G317" t="s">
        <v>89</v>
      </c>
      <c r="H317" t="s">
        <v>35</v>
      </c>
      <c r="I317" t="s">
        <v>1599</v>
      </c>
      <c r="J317">
        <v>36</v>
      </c>
      <c r="K317" t="s">
        <v>37</v>
      </c>
      <c r="L317" t="s">
        <v>58</v>
      </c>
      <c r="M317" t="s">
        <v>39</v>
      </c>
      <c r="P317" t="s">
        <v>28</v>
      </c>
      <c r="Q317" t="s">
        <v>1600</v>
      </c>
      <c r="R317" t="s">
        <v>1601</v>
      </c>
      <c r="S317" t="s">
        <v>31</v>
      </c>
      <c r="T317">
        <v>0</v>
      </c>
    </row>
    <row r="318" spans="1:20" x14ac:dyDescent="0.25">
      <c r="A318" t="s">
        <v>1602</v>
      </c>
      <c r="B318" s="1">
        <v>45812</v>
      </c>
      <c r="C318" s="5">
        <v>0.88856481481481486</v>
      </c>
      <c r="D318">
        <v>803.57</v>
      </c>
      <c r="E318" t="s">
        <v>44</v>
      </c>
      <c r="F318" t="s">
        <v>1603</v>
      </c>
      <c r="G318" t="s">
        <v>89</v>
      </c>
      <c r="H318" t="s">
        <v>130</v>
      </c>
      <c r="I318" t="s">
        <v>1302</v>
      </c>
      <c r="J318">
        <v>56</v>
      </c>
      <c r="K318" t="s">
        <v>25</v>
      </c>
      <c r="L318" t="s">
        <v>35</v>
      </c>
      <c r="M318" t="s">
        <v>84</v>
      </c>
      <c r="P318" t="s">
        <v>28</v>
      </c>
      <c r="Q318" t="s">
        <v>1604</v>
      </c>
      <c r="R318" t="s">
        <v>1605</v>
      </c>
      <c r="S318" t="s">
        <v>31</v>
      </c>
      <c r="T318">
        <v>0</v>
      </c>
    </row>
    <row r="319" spans="1:20" x14ac:dyDescent="0.25">
      <c r="A319" t="s">
        <v>1606</v>
      </c>
      <c r="B319" s="1">
        <v>45891</v>
      </c>
      <c r="C319" s="5">
        <v>0.56144675925925924</v>
      </c>
      <c r="D319">
        <v>142.54</v>
      </c>
      <c r="E319" t="s">
        <v>44</v>
      </c>
      <c r="F319" t="s">
        <v>1607</v>
      </c>
      <c r="G319" t="s">
        <v>71</v>
      </c>
      <c r="H319" t="s">
        <v>23</v>
      </c>
      <c r="I319" t="s">
        <v>1608</v>
      </c>
      <c r="K319" t="s">
        <v>25</v>
      </c>
      <c r="L319" t="s">
        <v>248</v>
      </c>
      <c r="M319" t="s">
        <v>51</v>
      </c>
      <c r="N319" t="s">
        <v>304</v>
      </c>
      <c r="O319">
        <v>545379</v>
      </c>
      <c r="P319" t="s">
        <v>28</v>
      </c>
      <c r="Q319" t="s">
        <v>1609</v>
      </c>
      <c r="R319" t="s">
        <v>1610</v>
      </c>
      <c r="S319" t="s">
        <v>31</v>
      </c>
      <c r="T319">
        <v>0</v>
      </c>
    </row>
    <row r="320" spans="1:20" x14ac:dyDescent="0.25">
      <c r="A320" t="s">
        <v>1611</v>
      </c>
      <c r="B320" s="1">
        <v>45843</v>
      </c>
      <c r="C320" s="5">
        <v>1.2326388888888888E-2</v>
      </c>
      <c r="D320">
        <v>13.99</v>
      </c>
      <c r="E320" t="s">
        <v>44</v>
      </c>
      <c r="F320" t="s">
        <v>1612</v>
      </c>
      <c r="G320" t="s">
        <v>57</v>
      </c>
      <c r="H320" t="s">
        <v>110</v>
      </c>
      <c r="I320" t="s">
        <v>1613</v>
      </c>
      <c r="J320">
        <v>60</v>
      </c>
      <c r="K320" t="s">
        <v>25</v>
      </c>
      <c r="L320" t="s">
        <v>58</v>
      </c>
      <c r="M320" t="s">
        <v>105</v>
      </c>
      <c r="P320" t="s">
        <v>28</v>
      </c>
      <c r="Q320" t="s">
        <v>1614</v>
      </c>
      <c r="R320" t="s">
        <v>1615</v>
      </c>
      <c r="S320" t="s">
        <v>31</v>
      </c>
      <c r="T320">
        <v>0</v>
      </c>
    </row>
    <row r="321" spans="1:20" x14ac:dyDescent="0.25">
      <c r="A321" t="s">
        <v>1616</v>
      </c>
      <c r="B321" s="1">
        <v>45878</v>
      </c>
      <c r="C321" s="5">
        <v>0.77719907407407407</v>
      </c>
      <c r="D321">
        <v>632.02</v>
      </c>
      <c r="E321" t="s">
        <v>44</v>
      </c>
      <c r="F321" t="s">
        <v>1617</v>
      </c>
      <c r="G321" t="s">
        <v>57</v>
      </c>
      <c r="H321" t="s">
        <v>130</v>
      </c>
      <c r="I321" t="s">
        <v>1618</v>
      </c>
      <c r="J321">
        <v>75</v>
      </c>
      <c r="K321" t="s">
        <v>49</v>
      </c>
      <c r="L321" t="s">
        <v>119</v>
      </c>
      <c r="M321" t="s">
        <v>39</v>
      </c>
      <c r="P321" t="s">
        <v>28</v>
      </c>
      <c r="Q321" t="s">
        <v>1619</v>
      </c>
      <c r="R321" t="s">
        <v>1620</v>
      </c>
      <c r="S321" t="s">
        <v>31</v>
      </c>
      <c r="T321">
        <v>1</v>
      </c>
    </row>
    <row r="322" spans="1:20" x14ac:dyDescent="0.25">
      <c r="A322" t="s">
        <v>1621</v>
      </c>
      <c r="B322" s="1">
        <v>45852</v>
      </c>
      <c r="C322" s="5">
        <v>0.22399305555555554</v>
      </c>
      <c r="D322">
        <v>39.700000000000003</v>
      </c>
      <c r="E322" t="s">
        <v>44</v>
      </c>
      <c r="F322" t="s">
        <v>1622</v>
      </c>
      <c r="G322" t="s">
        <v>124</v>
      </c>
      <c r="H322" t="s">
        <v>23</v>
      </c>
      <c r="I322" t="s">
        <v>1623</v>
      </c>
      <c r="J322">
        <v>66</v>
      </c>
      <c r="K322" t="s">
        <v>25</v>
      </c>
      <c r="L322" t="s">
        <v>248</v>
      </c>
      <c r="M322" t="s">
        <v>27</v>
      </c>
      <c r="P322" t="s">
        <v>28</v>
      </c>
      <c r="Q322" t="s">
        <v>1624</v>
      </c>
      <c r="R322" t="s">
        <v>1625</v>
      </c>
      <c r="S322" t="s">
        <v>31</v>
      </c>
      <c r="T322">
        <v>0</v>
      </c>
    </row>
    <row r="323" spans="1:20" x14ac:dyDescent="0.25">
      <c r="A323" t="s">
        <v>1626</v>
      </c>
      <c r="B323" s="1">
        <v>45837</v>
      </c>
      <c r="C323" s="5">
        <v>0.25666666666666665</v>
      </c>
      <c r="D323">
        <v>175.86</v>
      </c>
      <c r="E323" t="s">
        <v>44</v>
      </c>
      <c r="F323" t="s">
        <v>1627</v>
      </c>
      <c r="G323" t="s">
        <v>124</v>
      </c>
      <c r="H323" t="s">
        <v>97</v>
      </c>
      <c r="I323" t="s">
        <v>1628</v>
      </c>
      <c r="J323">
        <v>56</v>
      </c>
      <c r="K323" t="s">
        <v>37</v>
      </c>
      <c r="L323" t="s">
        <v>146</v>
      </c>
      <c r="M323" t="s">
        <v>112</v>
      </c>
      <c r="P323" t="s">
        <v>28</v>
      </c>
      <c r="Q323" t="s">
        <v>1629</v>
      </c>
      <c r="R323" t="s">
        <v>1630</v>
      </c>
      <c r="S323" t="s">
        <v>31</v>
      </c>
      <c r="T323">
        <v>0</v>
      </c>
    </row>
    <row r="324" spans="1:20" x14ac:dyDescent="0.25">
      <c r="A324" t="s">
        <v>1631</v>
      </c>
      <c r="B324" s="1">
        <v>45906</v>
      </c>
      <c r="C324" s="5">
        <v>0.3021064814814815</v>
      </c>
      <c r="D324">
        <v>55.1</v>
      </c>
      <c r="E324" t="s">
        <v>44</v>
      </c>
      <c r="F324" t="s">
        <v>1632</v>
      </c>
      <c r="G324" t="s">
        <v>89</v>
      </c>
      <c r="H324" t="s">
        <v>248</v>
      </c>
      <c r="I324" t="s">
        <v>1633</v>
      </c>
      <c r="J324">
        <v>28</v>
      </c>
      <c r="K324" t="s">
        <v>37</v>
      </c>
      <c r="L324" t="s">
        <v>66</v>
      </c>
      <c r="M324" t="s">
        <v>84</v>
      </c>
      <c r="P324" t="s">
        <v>28</v>
      </c>
      <c r="Q324" t="s">
        <v>1634</v>
      </c>
      <c r="R324" t="s">
        <v>1635</v>
      </c>
      <c r="S324" t="s">
        <v>101</v>
      </c>
      <c r="T324">
        <v>0</v>
      </c>
    </row>
    <row r="325" spans="1:20" x14ac:dyDescent="0.25">
      <c r="A325" t="s">
        <v>1636</v>
      </c>
      <c r="B325" s="1">
        <v>45922</v>
      </c>
      <c r="C325" s="5">
        <v>0.22921296296296295</v>
      </c>
      <c r="D325">
        <v>191.49</v>
      </c>
      <c r="E325" t="s">
        <v>44</v>
      </c>
      <c r="F325" t="s">
        <v>1637</v>
      </c>
      <c r="G325" t="s">
        <v>22</v>
      </c>
      <c r="H325" t="s">
        <v>23</v>
      </c>
      <c r="I325" t="s">
        <v>1638</v>
      </c>
      <c r="J325">
        <v>69</v>
      </c>
      <c r="K325" t="s">
        <v>37</v>
      </c>
      <c r="L325" t="s">
        <v>110</v>
      </c>
      <c r="M325" t="s">
        <v>51</v>
      </c>
      <c r="N325" t="s">
        <v>870</v>
      </c>
      <c r="O325">
        <v>418420</v>
      </c>
      <c r="P325" t="s">
        <v>28</v>
      </c>
      <c r="Q325" t="s">
        <v>1639</v>
      </c>
      <c r="R325" t="s">
        <v>1640</v>
      </c>
      <c r="S325" t="s">
        <v>31</v>
      </c>
      <c r="T325">
        <v>0</v>
      </c>
    </row>
    <row r="326" spans="1:20" x14ac:dyDescent="0.25">
      <c r="A326" t="s">
        <v>1641</v>
      </c>
      <c r="B326" s="1">
        <v>45947</v>
      </c>
      <c r="C326" s="5">
        <v>0.66122685185185182</v>
      </c>
      <c r="D326">
        <v>123.91</v>
      </c>
      <c r="E326" t="s">
        <v>44</v>
      </c>
      <c r="F326" t="s">
        <v>1642</v>
      </c>
      <c r="G326" t="s">
        <v>124</v>
      </c>
      <c r="H326" t="s">
        <v>146</v>
      </c>
      <c r="I326" t="s">
        <v>1643</v>
      </c>
      <c r="J326">
        <v>36</v>
      </c>
      <c r="K326" t="s">
        <v>49</v>
      </c>
      <c r="L326" t="s">
        <v>66</v>
      </c>
      <c r="M326" t="s">
        <v>39</v>
      </c>
      <c r="P326" t="s">
        <v>28</v>
      </c>
      <c r="Q326" t="s">
        <v>1644</v>
      </c>
      <c r="R326" t="s">
        <v>1645</v>
      </c>
      <c r="S326" t="s">
        <v>31</v>
      </c>
      <c r="T326">
        <v>0</v>
      </c>
    </row>
    <row r="327" spans="1:20" x14ac:dyDescent="0.25">
      <c r="A327" t="s">
        <v>1646</v>
      </c>
      <c r="B327" s="1">
        <v>45882</v>
      </c>
      <c r="C327" s="5">
        <v>0.67996527777777782</v>
      </c>
      <c r="D327">
        <v>103.88</v>
      </c>
      <c r="E327" t="s">
        <v>44</v>
      </c>
      <c r="F327" t="s">
        <v>1647</v>
      </c>
      <c r="G327" t="s">
        <v>64</v>
      </c>
      <c r="H327" t="s">
        <v>66</v>
      </c>
      <c r="I327" t="s">
        <v>1648</v>
      </c>
      <c r="J327">
        <v>23</v>
      </c>
      <c r="K327" t="s">
        <v>25</v>
      </c>
      <c r="L327" t="s">
        <v>248</v>
      </c>
      <c r="M327" t="s">
        <v>84</v>
      </c>
      <c r="P327" t="s">
        <v>28</v>
      </c>
      <c r="Q327" t="s">
        <v>1649</v>
      </c>
      <c r="R327" t="s">
        <v>1650</v>
      </c>
      <c r="S327" t="s">
        <v>31</v>
      </c>
      <c r="T327">
        <v>0</v>
      </c>
    </row>
    <row r="328" spans="1:20" x14ac:dyDescent="0.25">
      <c r="A328" t="s">
        <v>1651</v>
      </c>
      <c r="B328" s="1">
        <v>45795</v>
      </c>
      <c r="C328" s="5">
        <v>0.82246527777777778</v>
      </c>
      <c r="D328">
        <v>20.91</v>
      </c>
      <c r="E328" t="s">
        <v>44</v>
      </c>
      <c r="F328" t="s">
        <v>1652</v>
      </c>
      <c r="G328" t="s">
        <v>96</v>
      </c>
      <c r="H328" t="s">
        <v>97</v>
      </c>
      <c r="I328" t="s">
        <v>1653</v>
      </c>
      <c r="J328">
        <v>58</v>
      </c>
      <c r="K328" t="s">
        <v>25</v>
      </c>
      <c r="L328" t="s">
        <v>35</v>
      </c>
      <c r="M328" t="s">
        <v>105</v>
      </c>
      <c r="P328" t="s">
        <v>28</v>
      </c>
      <c r="Q328" t="s">
        <v>1654</v>
      </c>
      <c r="R328" t="s">
        <v>1655</v>
      </c>
      <c r="S328" t="s">
        <v>42</v>
      </c>
      <c r="T328">
        <v>0</v>
      </c>
    </row>
    <row r="329" spans="1:20" x14ac:dyDescent="0.25">
      <c r="A329" t="s">
        <v>1656</v>
      </c>
      <c r="B329" s="1">
        <v>45941</v>
      </c>
      <c r="C329" s="5">
        <v>0.65307870370370369</v>
      </c>
      <c r="D329">
        <v>867.6</v>
      </c>
      <c r="E329" t="s">
        <v>44</v>
      </c>
      <c r="F329" t="s">
        <v>505</v>
      </c>
      <c r="G329" t="s">
        <v>77</v>
      </c>
      <c r="H329" t="s">
        <v>97</v>
      </c>
      <c r="I329" t="s">
        <v>1657</v>
      </c>
      <c r="J329">
        <v>69</v>
      </c>
      <c r="K329" t="s">
        <v>37</v>
      </c>
      <c r="L329" t="s">
        <v>110</v>
      </c>
      <c r="M329" t="s">
        <v>39</v>
      </c>
      <c r="P329" t="s">
        <v>28</v>
      </c>
      <c r="Q329" t="s">
        <v>1658</v>
      </c>
      <c r="R329" t="s">
        <v>1659</v>
      </c>
      <c r="S329" t="s">
        <v>31</v>
      </c>
      <c r="T329">
        <v>0</v>
      </c>
    </row>
    <row r="330" spans="1:20" x14ac:dyDescent="0.25">
      <c r="A330" t="s">
        <v>1660</v>
      </c>
      <c r="B330" s="1">
        <v>45935</v>
      </c>
      <c r="C330" s="5">
        <v>0.74626157407407412</v>
      </c>
      <c r="D330">
        <v>25.07</v>
      </c>
      <c r="E330" t="s">
        <v>44</v>
      </c>
      <c r="F330" t="s">
        <v>1661</v>
      </c>
      <c r="G330" t="s">
        <v>64</v>
      </c>
      <c r="H330" t="s">
        <v>47</v>
      </c>
      <c r="I330" t="s">
        <v>1662</v>
      </c>
      <c r="J330">
        <v>75</v>
      </c>
      <c r="K330" t="s">
        <v>25</v>
      </c>
      <c r="L330" t="s">
        <v>119</v>
      </c>
      <c r="M330" t="s">
        <v>84</v>
      </c>
      <c r="P330" t="s">
        <v>28</v>
      </c>
      <c r="Q330" t="s">
        <v>1663</v>
      </c>
      <c r="R330" t="s">
        <v>1664</v>
      </c>
      <c r="S330" t="s">
        <v>31</v>
      </c>
      <c r="T330">
        <v>0</v>
      </c>
    </row>
    <row r="331" spans="1:20" x14ac:dyDescent="0.25">
      <c r="A331" t="s">
        <v>1665</v>
      </c>
      <c r="B331" s="1">
        <v>45847</v>
      </c>
      <c r="C331" s="5">
        <v>0.42748842592592595</v>
      </c>
      <c r="D331">
        <v>339.29</v>
      </c>
      <c r="E331" t="s">
        <v>44</v>
      </c>
      <c r="F331" t="s">
        <v>1666</v>
      </c>
      <c r="G331" t="s">
        <v>57</v>
      </c>
      <c r="H331" t="s">
        <v>248</v>
      </c>
      <c r="I331" t="s">
        <v>1667</v>
      </c>
      <c r="J331">
        <v>31</v>
      </c>
      <c r="K331" t="s">
        <v>25</v>
      </c>
      <c r="L331" t="s">
        <v>38</v>
      </c>
      <c r="M331" t="s">
        <v>84</v>
      </c>
      <c r="P331" t="s">
        <v>28</v>
      </c>
      <c r="Q331" t="s">
        <v>1668</v>
      </c>
      <c r="R331" t="s">
        <v>1669</v>
      </c>
      <c r="S331" t="s">
        <v>101</v>
      </c>
      <c r="T331">
        <v>0</v>
      </c>
    </row>
    <row r="332" spans="1:20" x14ac:dyDescent="0.25">
      <c r="A332" t="s">
        <v>1670</v>
      </c>
      <c r="B332" s="1">
        <v>45827</v>
      </c>
      <c r="C332" s="5">
        <v>0.90643518518518518</v>
      </c>
      <c r="D332">
        <v>163.30000000000001</v>
      </c>
      <c r="E332" t="s">
        <v>44</v>
      </c>
      <c r="F332" t="s">
        <v>1647</v>
      </c>
      <c r="G332" t="s">
        <v>46</v>
      </c>
      <c r="H332" t="s">
        <v>146</v>
      </c>
      <c r="I332" t="s">
        <v>1671</v>
      </c>
      <c r="J332">
        <v>65</v>
      </c>
      <c r="K332" t="s">
        <v>25</v>
      </c>
      <c r="L332" t="s">
        <v>23</v>
      </c>
      <c r="M332" t="s">
        <v>84</v>
      </c>
      <c r="P332" t="s">
        <v>28</v>
      </c>
      <c r="Q332" t="s">
        <v>1672</v>
      </c>
      <c r="R332" t="s">
        <v>1673</v>
      </c>
      <c r="S332" t="s">
        <v>31</v>
      </c>
      <c r="T332">
        <v>0</v>
      </c>
    </row>
    <row r="333" spans="1:20" x14ac:dyDescent="0.25">
      <c r="A333" t="s">
        <v>1674</v>
      </c>
      <c r="B333" s="1">
        <v>45870</v>
      </c>
      <c r="C333" s="5">
        <v>0.87258101851851855</v>
      </c>
      <c r="D333">
        <v>5.14</v>
      </c>
      <c r="E333" t="s">
        <v>44</v>
      </c>
      <c r="F333" t="s">
        <v>1341</v>
      </c>
      <c r="G333" t="s">
        <v>57</v>
      </c>
      <c r="H333" t="s">
        <v>91</v>
      </c>
      <c r="I333" t="s">
        <v>1675</v>
      </c>
      <c r="J333">
        <v>30</v>
      </c>
      <c r="K333" t="s">
        <v>25</v>
      </c>
      <c r="L333" t="s">
        <v>248</v>
      </c>
      <c r="M333" t="s">
        <v>112</v>
      </c>
      <c r="P333" t="s">
        <v>28</v>
      </c>
      <c r="Q333" t="s">
        <v>1676</v>
      </c>
      <c r="R333" t="s">
        <v>1677</v>
      </c>
      <c r="S333" t="s">
        <v>31</v>
      </c>
      <c r="T333">
        <v>0</v>
      </c>
    </row>
    <row r="334" spans="1:20" x14ac:dyDescent="0.25">
      <c r="A334" t="s">
        <v>1678</v>
      </c>
      <c r="B334" s="1">
        <v>45904</v>
      </c>
      <c r="C334" s="5">
        <v>0.83254629629629628</v>
      </c>
      <c r="D334">
        <v>30.66</v>
      </c>
      <c r="E334" t="s">
        <v>44</v>
      </c>
      <c r="F334" t="s">
        <v>467</v>
      </c>
      <c r="G334" t="s">
        <v>22</v>
      </c>
      <c r="H334" t="s">
        <v>66</v>
      </c>
      <c r="I334" t="s">
        <v>1679</v>
      </c>
      <c r="J334">
        <v>23</v>
      </c>
      <c r="K334" t="s">
        <v>37</v>
      </c>
      <c r="L334" t="s">
        <v>38</v>
      </c>
      <c r="M334" t="s">
        <v>105</v>
      </c>
      <c r="P334" t="s">
        <v>28</v>
      </c>
      <c r="Q334" t="s">
        <v>1680</v>
      </c>
      <c r="R334" t="s">
        <v>1681</v>
      </c>
      <c r="S334" t="s">
        <v>31</v>
      </c>
      <c r="T334">
        <v>0</v>
      </c>
    </row>
    <row r="335" spans="1:20" x14ac:dyDescent="0.25">
      <c r="A335" t="s">
        <v>1682</v>
      </c>
      <c r="B335" s="1">
        <v>45907</v>
      </c>
      <c r="C335" s="5">
        <v>0.5189583333333333</v>
      </c>
      <c r="D335">
        <v>8.51</v>
      </c>
      <c r="E335" t="s">
        <v>44</v>
      </c>
      <c r="F335" t="s">
        <v>1683</v>
      </c>
      <c r="G335" t="s">
        <v>124</v>
      </c>
      <c r="H335" t="s">
        <v>26</v>
      </c>
      <c r="I335" t="s">
        <v>1684</v>
      </c>
      <c r="J335">
        <v>64</v>
      </c>
      <c r="K335" t="s">
        <v>25</v>
      </c>
      <c r="L335" t="s">
        <v>26</v>
      </c>
      <c r="M335" t="s">
        <v>51</v>
      </c>
      <c r="N335" t="s">
        <v>870</v>
      </c>
      <c r="O335">
        <v>434263</v>
      </c>
      <c r="P335" t="s">
        <v>113</v>
      </c>
      <c r="Q335" t="s">
        <v>1685</v>
      </c>
      <c r="R335" t="s">
        <v>1686</v>
      </c>
      <c r="S335" t="s">
        <v>31</v>
      </c>
      <c r="T335">
        <v>0</v>
      </c>
    </row>
    <row r="336" spans="1:20" x14ac:dyDescent="0.25">
      <c r="A336" t="s">
        <v>1687</v>
      </c>
      <c r="B336" s="1">
        <v>45910</v>
      </c>
      <c r="C336" s="5">
        <v>0.28381944444444446</v>
      </c>
      <c r="D336">
        <v>759.1</v>
      </c>
      <c r="E336" t="s">
        <v>44</v>
      </c>
      <c r="F336" t="s">
        <v>1291</v>
      </c>
      <c r="G336" t="s">
        <v>89</v>
      </c>
      <c r="H336" t="s">
        <v>119</v>
      </c>
      <c r="I336" t="s">
        <v>1688</v>
      </c>
      <c r="J336">
        <v>43</v>
      </c>
      <c r="K336" t="s">
        <v>25</v>
      </c>
      <c r="L336" t="s">
        <v>91</v>
      </c>
      <c r="M336" t="s">
        <v>112</v>
      </c>
      <c r="P336" t="s">
        <v>28</v>
      </c>
      <c r="Q336" t="s">
        <v>1689</v>
      </c>
      <c r="R336" t="s">
        <v>1690</v>
      </c>
      <c r="S336" t="s">
        <v>31</v>
      </c>
      <c r="T336">
        <v>0</v>
      </c>
    </row>
    <row r="337" spans="1:20" x14ac:dyDescent="0.25">
      <c r="A337" t="s">
        <v>1691</v>
      </c>
      <c r="B337" s="1">
        <v>45828</v>
      </c>
      <c r="C337" s="5">
        <v>0.99913194444444442</v>
      </c>
      <c r="D337">
        <v>19.2</v>
      </c>
      <c r="E337" t="s">
        <v>44</v>
      </c>
      <c r="F337" t="s">
        <v>1692</v>
      </c>
      <c r="G337" t="s">
        <v>57</v>
      </c>
      <c r="H337" t="s">
        <v>35</v>
      </c>
      <c r="I337" t="s">
        <v>1693</v>
      </c>
      <c r="J337">
        <v>23</v>
      </c>
      <c r="K337" t="s">
        <v>49</v>
      </c>
      <c r="L337" t="s">
        <v>97</v>
      </c>
      <c r="M337" t="s">
        <v>39</v>
      </c>
      <c r="P337" t="s">
        <v>28</v>
      </c>
      <c r="Q337" t="s">
        <v>1694</v>
      </c>
      <c r="R337" t="s">
        <v>1695</v>
      </c>
      <c r="S337" t="s">
        <v>31</v>
      </c>
      <c r="T337">
        <v>0</v>
      </c>
    </row>
    <row r="338" spans="1:20" x14ac:dyDescent="0.25">
      <c r="A338" t="s">
        <v>1696</v>
      </c>
      <c r="B338" s="1">
        <v>45854</v>
      </c>
      <c r="C338" s="5">
        <v>0.87230324074074073</v>
      </c>
      <c r="D338">
        <v>161.97</v>
      </c>
      <c r="E338" t="s">
        <v>44</v>
      </c>
      <c r="F338" t="s">
        <v>1195</v>
      </c>
      <c r="G338" t="s">
        <v>22</v>
      </c>
      <c r="H338" t="s">
        <v>23</v>
      </c>
      <c r="I338" t="s">
        <v>1697</v>
      </c>
      <c r="J338">
        <v>65</v>
      </c>
      <c r="K338" t="s">
        <v>49</v>
      </c>
      <c r="L338" t="s">
        <v>23</v>
      </c>
      <c r="M338" t="s">
        <v>84</v>
      </c>
      <c r="P338" t="s">
        <v>113</v>
      </c>
      <c r="Q338" t="s">
        <v>1698</v>
      </c>
      <c r="R338" t="s">
        <v>1699</v>
      </c>
      <c r="S338" t="s">
        <v>31</v>
      </c>
      <c r="T338">
        <v>0</v>
      </c>
    </row>
    <row r="339" spans="1:20" x14ac:dyDescent="0.25">
      <c r="A339" t="s">
        <v>1700</v>
      </c>
      <c r="B339" s="1">
        <v>45841</v>
      </c>
      <c r="C339" s="5">
        <v>0.60253472222222226</v>
      </c>
      <c r="D339">
        <v>2245.9299999999998</v>
      </c>
      <c r="E339" t="s">
        <v>44</v>
      </c>
      <c r="F339" t="s">
        <v>1701</v>
      </c>
      <c r="G339" t="s">
        <v>64</v>
      </c>
      <c r="H339" t="s">
        <v>146</v>
      </c>
      <c r="I339" t="s">
        <v>1702</v>
      </c>
      <c r="J339">
        <v>29</v>
      </c>
      <c r="K339" t="s">
        <v>25</v>
      </c>
      <c r="L339" t="s">
        <v>146</v>
      </c>
      <c r="M339" t="s">
        <v>105</v>
      </c>
      <c r="P339" t="s">
        <v>113</v>
      </c>
      <c r="Q339" t="s">
        <v>1703</v>
      </c>
      <c r="R339" t="s">
        <v>1704</v>
      </c>
      <c r="S339" t="s">
        <v>31</v>
      </c>
      <c r="T339">
        <v>0</v>
      </c>
    </row>
    <row r="340" spans="1:20" x14ac:dyDescent="0.25">
      <c r="A340" t="s">
        <v>1705</v>
      </c>
      <c r="B340" s="1">
        <v>45830</v>
      </c>
      <c r="C340" s="5">
        <v>0.22486111111111112</v>
      </c>
      <c r="D340">
        <v>26.31</v>
      </c>
      <c r="E340" t="s">
        <v>44</v>
      </c>
      <c r="F340" t="s">
        <v>768</v>
      </c>
      <c r="G340" t="s">
        <v>34</v>
      </c>
      <c r="H340" t="s">
        <v>66</v>
      </c>
      <c r="I340" t="s">
        <v>1706</v>
      </c>
      <c r="J340">
        <v>21</v>
      </c>
      <c r="K340" t="s">
        <v>49</v>
      </c>
      <c r="L340" t="s">
        <v>248</v>
      </c>
      <c r="M340" t="s">
        <v>39</v>
      </c>
      <c r="P340" t="s">
        <v>28</v>
      </c>
      <c r="Q340" t="s">
        <v>1707</v>
      </c>
      <c r="R340" t="s">
        <v>1708</v>
      </c>
      <c r="S340" t="s">
        <v>31</v>
      </c>
      <c r="T340">
        <v>0</v>
      </c>
    </row>
    <row r="341" spans="1:20" x14ac:dyDescent="0.25">
      <c r="A341" t="s">
        <v>1709</v>
      </c>
      <c r="B341" s="1">
        <v>45890</v>
      </c>
      <c r="C341" s="5">
        <v>0.42168981481481482</v>
      </c>
      <c r="D341">
        <v>58.83</v>
      </c>
      <c r="E341" t="s">
        <v>44</v>
      </c>
      <c r="F341" t="s">
        <v>1710</v>
      </c>
      <c r="G341" t="s">
        <v>71</v>
      </c>
      <c r="H341" t="s">
        <v>23</v>
      </c>
      <c r="I341" t="s">
        <v>1711</v>
      </c>
      <c r="J341">
        <v>29</v>
      </c>
      <c r="K341" t="s">
        <v>49</v>
      </c>
      <c r="L341" t="s">
        <v>119</v>
      </c>
      <c r="M341" t="s">
        <v>27</v>
      </c>
      <c r="P341" t="s">
        <v>28</v>
      </c>
      <c r="Q341" t="s">
        <v>1712</v>
      </c>
      <c r="R341" t="s">
        <v>1713</v>
      </c>
      <c r="S341" t="s">
        <v>101</v>
      </c>
      <c r="T341">
        <v>0</v>
      </c>
    </row>
    <row r="342" spans="1:20" x14ac:dyDescent="0.25">
      <c r="A342" t="s">
        <v>1714</v>
      </c>
      <c r="B342" s="1">
        <v>45933</v>
      </c>
      <c r="C342" s="5">
        <v>0.64475694444444442</v>
      </c>
      <c r="D342">
        <v>55.81</v>
      </c>
      <c r="E342" t="s">
        <v>44</v>
      </c>
      <c r="F342" t="s">
        <v>1715</v>
      </c>
      <c r="G342" t="s">
        <v>22</v>
      </c>
      <c r="H342" t="s">
        <v>66</v>
      </c>
      <c r="I342" t="s">
        <v>1716</v>
      </c>
      <c r="J342">
        <v>68</v>
      </c>
      <c r="K342" t="s">
        <v>49</v>
      </c>
      <c r="L342" t="s">
        <v>47</v>
      </c>
      <c r="M342" t="s">
        <v>84</v>
      </c>
      <c r="P342" t="s">
        <v>28</v>
      </c>
      <c r="Q342" t="s">
        <v>1717</v>
      </c>
      <c r="R342" t="s">
        <v>1718</v>
      </c>
      <c r="S342" t="s">
        <v>31</v>
      </c>
      <c r="T342">
        <v>0</v>
      </c>
    </row>
    <row r="343" spans="1:20" x14ac:dyDescent="0.25">
      <c r="A343" t="s">
        <v>1719</v>
      </c>
      <c r="B343" s="1">
        <v>45801</v>
      </c>
      <c r="C343" s="5">
        <v>0.54328703703703707</v>
      </c>
      <c r="D343">
        <v>160.30000000000001</v>
      </c>
      <c r="E343" t="s">
        <v>44</v>
      </c>
      <c r="F343" t="s">
        <v>1499</v>
      </c>
      <c r="G343" t="s">
        <v>89</v>
      </c>
      <c r="H343" t="s">
        <v>47</v>
      </c>
      <c r="I343" t="s">
        <v>1720</v>
      </c>
      <c r="J343">
        <v>20</v>
      </c>
      <c r="K343" t="s">
        <v>25</v>
      </c>
      <c r="L343" t="s">
        <v>130</v>
      </c>
      <c r="M343" t="s">
        <v>105</v>
      </c>
      <c r="P343" t="s">
        <v>28</v>
      </c>
      <c r="Q343" t="s">
        <v>1721</v>
      </c>
      <c r="R343" t="s">
        <v>1722</v>
      </c>
      <c r="S343" t="s">
        <v>31</v>
      </c>
      <c r="T343">
        <v>0</v>
      </c>
    </row>
    <row r="344" spans="1:20" x14ac:dyDescent="0.25">
      <c r="A344" t="s">
        <v>1723</v>
      </c>
      <c r="B344" s="1">
        <v>45888</v>
      </c>
      <c r="C344" s="5">
        <v>0.54540509259259262</v>
      </c>
      <c r="D344">
        <v>157.62</v>
      </c>
      <c r="E344" t="s">
        <v>44</v>
      </c>
      <c r="F344" t="s">
        <v>1724</v>
      </c>
      <c r="G344" t="s">
        <v>96</v>
      </c>
      <c r="H344" t="s">
        <v>110</v>
      </c>
      <c r="I344" t="s">
        <v>1725</v>
      </c>
      <c r="J344">
        <v>37</v>
      </c>
      <c r="K344" t="s">
        <v>37</v>
      </c>
      <c r="L344" t="s">
        <v>38</v>
      </c>
      <c r="M344" t="s">
        <v>105</v>
      </c>
      <c r="P344" t="s">
        <v>28</v>
      </c>
      <c r="Q344" t="s">
        <v>1726</v>
      </c>
      <c r="R344" t="s">
        <v>1727</v>
      </c>
      <c r="S344" t="s">
        <v>101</v>
      </c>
      <c r="T344">
        <v>0</v>
      </c>
    </row>
    <row r="345" spans="1:20" x14ac:dyDescent="0.25">
      <c r="A345" t="s">
        <v>1290</v>
      </c>
      <c r="B345" s="1">
        <v>45792</v>
      </c>
      <c r="C345" s="5">
        <v>0.62016203703703698</v>
      </c>
      <c r="D345">
        <v>3743.34</v>
      </c>
      <c r="E345" t="s">
        <v>44</v>
      </c>
      <c r="F345" t="s">
        <v>1291</v>
      </c>
      <c r="G345" t="s">
        <v>89</v>
      </c>
      <c r="H345" t="s">
        <v>58</v>
      </c>
      <c r="I345" t="s">
        <v>1292</v>
      </c>
      <c r="J345">
        <v>61</v>
      </c>
      <c r="K345" t="s">
        <v>49</v>
      </c>
      <c r="L345" t="s">
        <v>91</v>
      </c>
      <c r="M345" t="s">
        <v>39</v>
      </c>
      <c r="P345" t="s">
        <v>28</v>
      </c>
      <c r="Q345" t="s">
        <v>1293</v>
      </c>
      <c r="R345" t="s">
        <v>1294</v>
      </c>
      <c r="S345" t="s">
        <v>31</v>
      </c>
      <c r="T345">
        <v>0</v>
      </c>
    </row>
    <row r="346" spans="1:20" x14ac:dyDescent="0.25">
      <c r="A346" t="s">
        <v>1728</v>
      </c>
      <c r="B346" s="1">
        <v>45837</v>
      </c>
      <c r="C346" s="5">
        <v>0.51025462962962964</v>
      </c>
      <c r="D346">
        <v>24.57</v>
      </c>
      <c r="E346" t="s">
        <v>44</v>
      </c>
      <c r="F346" t="s">
        <v>1729</v>
      </c>
      <c r="G346" t="s">
        <v>77</v>
      </c>
      <c r="H346" t="s">
        <v>50</v>
      </c>
      <c r="I346" t="s">
        <v>1730</v>
      </c>
      <c r="J346">
        <v>63</v>
      </c>
      <c r="K346" t="s">
        <v>37</v>
      </c>
      <c r="L346" t="s">
        <v>38</v>
      </c>
      <c r="M346" t="s">
        <v>105</v>
      </c>
      <c r="P346" t="s">
        <v>28</v>
      </c>
      <c r="Q346" t="s">
        <v>1731</v>
      </c>
      <c r="R346" t="s">
        <v>1732</v>
      </c>
      <c r="S346" t="s">
        <v>31</v>
      </c>
      <c r="T346">
        <v>0</v>
      </c>
    </row>
    <row r="347" spans="1:20" x14ac:dyDescent="0.25">
      <c r="A347" t="s">
        <v>1733</v>
      </c>
      <c r="B347" s="1">
        <v>45893</v>
      </c>
      <c r="C347" s="5">
        <v>7.1423611111111104E-2</v>
      </c>
      <c r="D347">
        <v>31.51</v>
      </c>
      <c r="E347" t="s">
        <v>44</v>
      </c>
      <c r="F347" t="s">
        <v>1734</v>
      </c>
      <c r="G347" t="s">
        <v>34</v>
      </c>
      <c r="H347" t="s">
        <v>119</v>
      </c>
      <c r="I347" t="s">
        <v>1735</v>
      </c>
      <c r="J347">
        <v>45</v>
      </c>
      <c r="K347" t="s">
        <v>37</v>
      </c>
      <c r="L347" t="s">
        <v>130</v>
      </c>
      <c r="M347" t="s">
        <v>51</v>
      </c>
      <c r="N347" t="s">
        <v>507</v>
      </c>
      <c r="O347">
        <v>490788</v>
      </c>
      <c r="P347" t="s">
        <v>28</v>
      </c>
      <c r="Q347" t="s">
        <v>1736</v>
      </c>
      <c r="R347" t="s">
        <v>1737</v>
      </c>
      <c r="S347" t="s">
        <v>31</v>
      </c>
      <c r="T347">
        <v>0</v>
      </c>
    </row>
    <row r="348" spans="1:20" x14ac:dyDescent="0.25">
      <c r="A348" t="s">
        <v>1738</v>
      </c>
      <c r="B348" s="1">
        <v>45954</v>
      </c>
      <c r="C348" s="5">
        <v>0.25072916666666667</v>
      </c>
      <c r="D348">
        <v>24.33</v>
      </c>
      <c r="E348" t="s">
        <v>44</v>
      </c>
      <c r="F348" t="s">
        <v>1739</v>
      </c>
      <c r="G348" t="s">
        <v>96</v>
      </c>
      <c r="H348" t="s">
        <v>26</v>
      </c>
      <c r="I348" t="s">
        <v>1740</v>
      </c>
      <c r="J348">
        <v>73</v>
      </c>
      <c r="K348" t="s">
        <v>37</v>
      </c>
      <c r="L348" t="s">
        <v>58</v>
      </c>
      <c r="M348" t="s">
        <v>112</v>
      </c>
      <c r="P348" t="s">
        <v>28</v>
      </c>
      <c r="Q348" t="s">
        <v>1741</v>
      </c>
      <c r="R348" t="s">
        <v>1742</v>
      </c>
      <c r="S348" t="s">
        <v>42</v>
      </c>
      <c r="T348">
        <v>0</v>
      </c>
    </row>
    <row r="349" spans="1:20" x14ac:dyDescent="0.25">
      <c r="A349" t="s">
        <v>1743</v>
      </c>
      <c r="B349" s="1">
        <v>45928</v>
      </c>
      <c r="C349" s="5">
        <v>0.71042824074074074</v>
      </c>
      <c r="D349">
        <v>3744.19</v>
      </c>
      <c r="E349" t="s">
        <v>44</v>
      </c>
      <c r="F349" t="s">
        <v>787</v>
      </c>
      <c r="G349" t="s">
        <v>96</v>
      </c>
      <c r="H349" t="s">
        <v>23</v>
      </c>
      <c r="I349" t="s">
        <v>1744</v>
      </c>
      <c r="J349">
        <v>22</v>
      </c>
      <c r="K349" t="s">
        <v>49</v>
      </c>
      <c r="L349" t="s">
        <v>47</v>
      </c>
      <c r="M349" t="s">
        <v>112</v>
      </c>
      <c r="P349" t="s">
        <v>28</v>
      </c>
      <c r="Q349" t="s">
        <v>1745</v>
      </c>
      <c r="R349" t="s">
        <v>1746</v>
      </c>
      <c r="S349" t="s">
        <v>31</v>
      </c>
      <c r="T349">
        <v>0</v>
      </c>
    </row>
    <row r="350" spans="1:20" x14ac:dyDescent="0.25">
      <c r="A350" t="s">
        <v>1747</v>
      </c>
      <c r="B350" s="1">
        <v>45942</v>
      </c>
      <c r="C350" s="5">
        <v>0.85642361111111109</v>
      </c>
      <c r="D350">
        <v>43.78</v>
      </c>
      <c r="E350" t="s">
        <v>44</v>
      </c>
      <c r="F350" t="s">
        <v>839</v>
      </c>
      <c r="G350" t="s">
        <v>22</v>
      </c>
      <c r="H350" t="s">
        <v>47</v>
      </c>
      <c r="I350" t="s">
        <v>1748</v>
      </c>
      <c r="J350">
        <v>66</v>
      </c>
      <c r="K350" t="s">
        <v>37</v>
      </c>
      <c r="L350" t="s">
        <v>91</v>
      </c>
      <c r="M350" t="s">
        <v>39</v>
      </c>
      <c r="P350" t="s">
        <v>28</v>
      </c>
      <c r="Q350" t="s">
        <v>1749</v>
      </c>
      <c r="R350" t="s">
        <v>1750</v>
      </c>
      <c r="S350" t="s">
        <v>31</v>
      </c>
      <c r="T350">
        <v>0</v>
      </c>
    </row>
    <row r="351" spans="1:20" x14ac:dyDescent="0.25">
      <c r="A351" t="s">
        <v>1751</v>
      </c>
      <c r="B351" s="1">
        <v>45805</v>
      </c>
      <c r="C351" s="5">
        <v>0.24619212962962964</v>
      </c>
      <c r="D351">
        <v>127.74</v>
      </c>
      <c r="E351" t="s">
        <v>44</v>
      </c>
      <c r="F351" t="s">
        <v>1752</v>
      </c>
      <c r="G351" t="s">
        <v>124</v>
      </c>
      <c r="H351" t="s">
        <v>97</v>
      </c>
      <c r="I351" t="s">
        <v>1753</v>
      </c>
      <c r="J351">
        <v>72</v>
      </c>
      <c r="K351" t="s">
        <v>37</v>
      </c>
      <c r="L351" t="s">
        <v>47</v>
      </c>
      <c r="M351" t="s">
        <v>84</v>
      </c>
      <c r="P351" t="s">
        <v>28</v>
      </c>
      <c r="Q351" t="s">
        <v>1754</v>
      </c>
      <c r="R351" t="s">
        <v>1755</v>
      </c>
      <c r="S351" t="s">
        <v>101</v>
      </c>
      <c r="T351">
        <v>0</v>
      </c>
    </row>
    <row r="352" spans="1:20" x14ac:dyDescent="0.25">
      <c r="A352" t="s">
        <v>1756</v>
      </c>
      <c r="B352" s="1">
        <v>45848</v>
      </c>
      <c r="C352" s="5">
        <v>0.69134259259259256</v>
      </c>
      <c r="D352">
        <v>51.37</v>
      </c>
      <c r="E352" t="s">
        <v>44</v>
      </c>
      <c r="F352" t="s">
        <v>1757</v>
      </c>
      <c r="G352" t="s">
        <v>34</v>
      </c>
      <c r="H352" t="s">
        <v>50</v>
      </c>
      <c r="I352" t="s">
        <v>1758</v>
      </c>
      <c r="J352">
        <v>50</v>
      </c>
      <c r="K352" t="s">
        <v>25</v>
      </c>
      <c r="L352" t="s">
        <v>119</v>
      </c>
      <c r="M352" t="s">
        <v>105</v>
      </c>
      <c r="P352" t="s">
        <v>28</v>
      </c>
      <c r="Q352" t="s">
        <v>1759</v>
      </c>
      <c r="R352" t="s">
        <v>1760</v>
      </c>
      <c r="S352" t="s">
        <v>31</v>
      </c>
      <c r="T352">
        <v>0</v>
      </c>
    </row>
    <row r="353" spans="1:20" x14ac:dyDescent="0.25">
      <c r="A353" t="s">
        <v>1761</v>
      </c>
      <c r="B353" s="1">
        <v>45928</v>
      </c>
      <c r="C353" s="5">
        <v>0.34550925925925924</v>
      </c>
      <c r="D353">
        <v>119.18</v>
      </c>
      <c r="E353" t="s">
        <v>44</v>
      </c>
      <c r="F353" t="s">
        <v>854</v>
      </c>
      <c r="G353" t="s">
        <v>46</v>
      </c>
      <c r="H353" t="s">
        <v>110</v>
      </c>
      <c r="I353" t="s">
        <v>1762</v>
      </c>
      <c r="J353">
        <v>30</v>
      </c>
      <c r="K353" t="s">
        <v>25</v>
      </c>
      <c r="L353" t="s">
        <v>146</v>
      </c>
      <c r="M353" t="s">
        <v>39</v>
      </c>
      <c r="P353" t="s">
        <v>28</v>
      </c>
      <c r="Q353" t="s">
        <v>1763</v>
      </c>
      <c r="R353" t="s">
        <v>1764</v>
      </c>
      <c r="S353" t="s">
        <v>31</v>
      </c>
      <c r="T353">
        <v>0</v>
      </c>
    </row>
    <row r="354" spans="1:20" x14ac:dyDescent="0.25">
      <c r="A354" t="s">
        <v>1765</v>
      </c>
      <c r="B354" s="1">
        <v>45788</v>
      </c>
      <c r="C354" s="5">
        <v>0.50418981481481484</v>
      </c>
      <c r="D354">
        <v>15.35</v>
      </c>
      <c r="E354" t="s">
        <v>44</v>
      </c>
      <c r="F354" t="s">
        <v>1766</v>
      </c>
      <c r="G354" t="s">
        <v>96</v>
      </c>
      <c r="H354" t="s">
        <v>66</v>
      </c>
      <c r="I354" t="s">
        <v>1767</v>
      </c>
      <c r="J354">
        <v>22</v>
      </c>
      <c r="K354" t="s">
        <v>37</v>
      </c>
      <c r="L354" t="s">
        <v>35</v>
      </c>
      <c r="M354" t="s">
        <v>84</v>
      </c>
      <c r="P354" t="s">
        <v>28</v>
      </c>
      <c r="Q354" t="s">
        <v>1768</v>
      </c>
      <c r="R354" t="s">
        <v>1769</v>
      </c>
      <c r="S354" t="s">
        <v>31</v>
      </c>
      <c r="T354">
        <v>0</v>
      </c>
    </row>
    <row r="355" spans="1:20" x14ac:dyDescent="0.25">
      <c r="A355" t="s">
        <v>1770</v>
      </c>
      <c r="B355" s="1">
        <v>45836</v>
      </c>
      <c r="C355" s="5">
        <v>0.33282407407407405</v>
      </c>
      <c r="D355">
        <v>93.26</v>
      </c>
      <c r="E355" t="s">
        <v>44</v>
      </c>
      <c r="F355" t="s">
        <v>1771</v>
      </c>
      <c r="G355" t="s">
        <v>77</v>
      </c>
      <c r="H355" t="s">
        <v>248</v>
      </c>
      <c r="I355" t="s">
        <v>1772</v>
      </c>
      <c r="J355">
        <v>46</v>
      </c>
      <c r="K355" t="s">
        <v>37</v>
      </c>
      <c r="L355" t="s">
        <v>110</v>
      </c>
      <c r="M355" t="s">
        <v>51</v>
      </c>
      <c r="N355" t="s">
        <v>507</v>
      </c>
      <c r="O355">
        <v>428714</v>
      </c>
      <c r="P355" t="s">
        <v>28</v>
      </c>
      <c r="Q355" t="s">
        <v>1773</v>
      </c>
      <c r="R355" t="s">
        <v>1774</v>
      </c>
      <c r="S355" t="s">
        <v>31</v>
      </c>
      <c r="T355">
        <v>0</v>
      </c>
    </row>
    <row r="356" spans="1:20" x14ac:dyDescent="0.25">
      <c r="A356" t="s">
        <v>1775</v>
      </c>
      <c r="B356" s="1">
        <v>45942</v>
      </c>
      <c r="C356" s="5">
        <v>0.1155324074074074</v>
      </c>
      <c r="D356">
        <v>122.59</v>
      </c>
      <c r="E356" t="s">
        <v>44</v>
      </c>
      <c r="F356" t="s">
        <v>1776</v>
      </c>
      <c r="G356" t="s">
        <v>46</v>
      </c>
      <c r="H356" t="s">
        <v>38</v>
      </c>
      <c r="I356" t="s">
        <v>1777</v>
      </c>
      <c r="J356">
        <v>26</v>
      </c>
      <c r="K356" t="s">
        <v>37</v>
      </c>
      <c r="L356" t="s">
        <v>35</v>
      </c>
      <c r="M356" t="s">
        <v>51</v>
      </c>
      <c r="N356" t="s">
        <v>345</v>
      </c>
      <c r="O356">
        <v>444601</v>
      </c>
      <c r="P356" t="s">
        <v>28</v>
      </c>
      <c r="Q356" t="s">
        <v>1778</v>
      </c>
      <c r="R356" t="s">
        <v>1779</v>
      </c>
      <c r="S356" t="s">
        <v>31</v>
      </c>
      <c r="T356">
        <v>0</v>
      </c>
    </row>
    <row r="357" spans="1:20" x14ac:dyDescent="0.25">
      <c r="A357" t="s">
        <v>1780</v>
      </c>
      <c r="B357" s="1">
        <v>45800</v>
      </c>
      <c r="C357" s="5">
        <v>4.9594907407407407E-2</v>
      </c>
      <c r="D357">
        <v>101.18</v>
      </c>
      <c r="E357" t="s">
        <v>44</v>
      </c>
      <c r="F357" t="s">
        <v>863</v>
      </c>
      <c r="G357" t="s">
        <v>89</v>
      </c>
      <c r="H357" t="s">
        <v>146</v>
      </c>
      <c r="I357" t="s">
        <v>1781</v>
      </c>
      <c r="J357">
        <v>57</v>
      </c>
      <c r="K357" t="s">
        <v>25</v>
      </c>
      <c r="L357" t="s">
        <v>66</v>
      </c>
      <c r="M357" t="s">
        <v>84</v>
      </c>
      <c r="P357" t="s">
        <v>28</v>
      </c>
      <c r="Q357" t="s">
        <v>1782</v>
      </c>
      <c r="R357" t="s">
        <v>1783</v>
      </c>
      <c r="S357" t="s">
        <v>31</v>
      </c>
      <c r="T357">
        <v>0</v>
      </c>
    </row>
    <row r="358" spans="1:20" x14ac:dyDescent="0.25">
      <c r="A358" t="s">
        <v>1784</v>
      </c>
      <c r="B358" s="1">
        <v>45843</v>
      </c>
      <c r="C358" s="5">
        <v>0.6408449074074074</v>
      </c>
      <c r="D358">
        <v>117.19</v>
      </c>
      <c r="E358" t="s">
        <v>44</v>
      </c>
      <c r="F358" t="s">
        <v>1785</v>
      </c>
      <c r="G358" t="s">
        <v>71</v>
      </c>
      <c r="H358" t="s">
        <v>58</v>
      </c>
      <c r="I358" t="s">
        <v>1786</v>
      </c>
      <c r="J358">
        <v>74</v>
      </c>
      <c r="K358" t="s">
        <v>49</v>
      </c>
      <c r="L358" t="s">
        <v>97</v>
      </c>
      <c r="M358" t="s">
        <v>112</v>
      </c>
      <c r="P358" t="s">
        <v>28</v>
      </c>
      <c r="Q358" t="s">
        <v>1787</v>
      </c>
      <c r="R358" t="s">
        <v>1788</v>
      </c>
      <c r="S358" t="s">
        <v>31</v>
      </c>
      <c r="T358">
        <v>0</v>
      </c>
    </row>
    <row r="359" spans="1:20" x14ac:dyDescent="0.25">
      <c r="A359" t="s">
        <v>1789</v>
      </c>
      <c r="B359" s="1">
        <v>45823</v>
      </c>
      <c r="C359" s="5">
        <v>0.13681712962962964</v>
      </c>
      <c r="D359">
        <v>267.69</v>
      </c>
      <c r="E359" t="s">
        <v>44</v>
      </c>
      <c r="F359" t="s">
        <v>1790</v>
      </c>
      <c r="G359" t="s">
        <v>22</v>
      </c>
      <c r="H359" t="s">
        <v>110</v>
      </c>
      <c r="I359" t="s">
        <v>1791</v>
      </c>
      <c r="J359">
        <v>19</v>
      </c>
      <c r="K359" t="s">
        <v>25</v>
      </c>
      <c r="L359" t="s">
        <v>119</v>
      </c>
      <c r="M359" t="s">
        <v>51</v>
      </c>
      <c r="N359" t="s">
        <v>345</v>
      </c>
      <c r="O359">
        <v>463292</v>
      </c>
      <c r="P359" t="s">
        <v>28</v>
      </c>
      <c r="Q359" t="s">
        <v>1792</v>
      </c>
      <c r="R359" t="s">
        <v>1793</v>
      </c>
      <c r="S359" t="s">
        <v>42</v>
      </c>
      <c r="T359">
        <v>0</v>
      </c>
    </row>
    <row r="360" spans="1:20" x14ac:dyDescent="0.25">
      <c r="A360" t="s">
        <v>1794</v>
      </c>
      <c r="B360" s="1">
        <v>45876</v>
      </c>
      <c r="C360" s="5">
        <v>0.18756944444444446</v>
      </c>
      <c r="D360">
        <v>63.22</v>
      </c>
      <c r="E360" t="s">
        <v>44</v>
      </c>
      <c r="F360" t="s">
        <v>1692</v>
      </c>
      <c r="G360" t="s">
        <v>22</v>
      </c>
      <c r="H360" t="s">
        <v>248</v>
      </c>
      <c r="I360" t="s">
        <v>1795</v>
      </c>
      <c r="J360">
        <v>35</v>
      </c>
      <c r="K360" t="s">
        <v>49</v>
      </c>
      <c r="L360" t="s">
        <v>26</v>
      </c>
      <c r="M360" t="s">
        <v>84</v>
      </c>
      <c r="P360" t="s">
        <v>28</v>
      </c>
      <c r="Q360" t="s">
        <v>1796</v>
      </c>
      <c r="R360" t="s">
        <v>1797</v>
      </c>
      <c r="S360" t="s">
        <v>31</v>
      </c>
      <c r="T360">
        <v>0</v>
      </c>
    </row>
    <row r="361" spans="1:20" x14ac:dyDescent="0.25">
      <c r="A361" t="s">
        <v>1798</v>
      </c>
      <c r="B361" s="1">
        <v>45872</v>
      </c>
      <c r="C361" s="5">
        <v>0.45447916666666666</v>
      </c>
      <c r="D361">
        <v>897.89</v>
      </c>
      <c r="E361" t="s">
        <v>44</v>
      </c>
      <c r="F361" t="s">
        <v>1799</v>
      </c>
      <c r="G361" t="s">
        <v>57</v>
      </c>
      <c r="H361" t="s">
        <v>110</v>
      </c>
      <c r="I361" t="s">
        <v>1800</v>
      </c>
      <c r="J361">
        <v>62</v>
      </c>
      <c r="K361" t="s">
        <v>37</v>
      </c>
      <c r="L361" t="s">
        <v>23</v>
      </c>
      <c r="M361" t="s">
        <v>39</v>
      </c>
      <c r="P361" t="s">
        <v>28</v>
      </c>
      <c r="Q361" t="s">
        <v>1801</v>
      </c>
      <c r="R361" t="s">
        <v>1802</v>
      </c>
      <c r="S361" t="s">
        <v>31</v>
      </c>
      <c r="T361">
        <v>0</v>
      </c>
    </row>
    <row r="362" spans="1:20" x14ac:dyDescent="0.25">
      <c r="A362" t="s">
        <v>1803</v>
      </c>
      <c r="B362" s="1">
        <v>45866</v>
      </c>
      <c r="C362" s="5">
        <v>2.8344907407407409E-2</v>
      </c>
      <c r="D362">
        <v>110.01</v>
      </c>
      <c r="E362" t="s">
        <v>44</v>
      </c>
      <c r="F362" t="s">
        <v>1804</v>
      </c>
      <c r="G362" t="s">
        <v>34</v>
      </c>
      <c r="H362" t="s">
        <v>97</v>
      </c>
      <c r="I362" t="s">
        <v>1805</v>
      </c>
      <c r="J362">
        <v>44</v>
      </c>
      <c r="K362" t="s">
        <v>49</v>
      </c>
      <c r="L362" t="s">
        <v>23</v>
      </c>
      <c r="M362" t="s">
        <v>112</v>
      </c>
      <c r="P362" t="s">
        <v>28</v>
      </c>
      <c r="Q362" t="s">
        <v>1806</v>
      </c>
      <c r="R362" t="s">
        <v>1807</v>
      </c>
      <c r="S362" t="s">
        <v>31</v>
      </c>
      <c r="T362">
        <v>0</v>
      </c>
    </row>
    <row r="363" spans="1:20" x14ac:dyDescent="0.25">
      <c r="A363" t="s">
        <v>1808</v>
      </c>
      <c r="B363" s="1">
        <v>45826</v>
      </c>
      <c r="C363" s="5">
        <v>0.12299768518518518</v>
      </c>
      <c r="D363">
        <v>185.78</v>
      </c>
      <c r="E363" t="s">
        <v>44</v>
      </c>
      <c r="F363" t="s">
        <v>1563</v>
      </c>
      <c r="G363" t="s">
        <v>57</v>
      </c>
      <c r="H363" t="s">
        <v>38</v>
      </c>
      <c r="I363" t="s">
        <v>1809</v>
      </c>
      <c r="J363">
        <v>65</v>
      </c>
      <c r="K363" t="s">
        <v>49</v>
      </c>
      <c r="L363" t="s">
        <v>38</v>
      </c>
      <c r="M363" t="s">
        <v>51</v>
      </c>
      <c r="N363" t="s">
        <v>52</v>
      </c>
      <c r="O363">
        <v>479374</v>
      </c>
      <c r="P363" t="s">
        <v>113</v>
      </c>
      <c r="Q363" t="s">
        <v>1810</v>
      </c>
      <c r="R363" t="s">
        <v>1811</v>
      </c>
      <c r="S363" t="s">
        <v>31</v>
      </c>
      <c r="T363">
        <v>0</v>
      </c>
    </row>
    <row r="364" spans="1:20" x14ac:dyDescent="0.25">
      <c r="A364" t="s">
        <v>1812</v>
      </c>
      <c r="B364" s="1">
        <v>45894</v>
      </c>
      <c r="C364" s="5">
        <v>0.50135416666666666</v>
      </c>
      <c r="D364">
        <v>136.57</v>
      </c>
      <c r="E364" t="s">
        <v>44</v>
      </c>
      <c r="F364" t="s">
        <v>1813</v>
      </c>
      <c r="G364" t="s">
        <v>96</v>
      </c>
      <c r="H364" t="s">
        <v>58</v>
      </c>
      <c r="I364" t="s">
        <v>1814</v>
      </c>
      <c r="J364">
        <v>19</v>
      </c>
      <c r="K364" t="s">
        <v>49</v>
      </c>
      <c r="L364" t="s">
        <v>35</v>
      </c>
      <c r="M364" t="s">
        <v>51</v>
      </c>
      <c r="N364" t="s">
        <v>870</v>
      </c>
      <c r="O364">
        <v>467298</v>
      </c>
      <c r="P364" t="s">
        <v>28</v>
      </c>
      <c r="Q364" t="s">
        <v>1815</v>
      </c>
      <c r="R364" t="s">
        <v>1816</v>
      </c>
      <c r="S364" t="s">
        <v>31</v>
      </c>
      <c r="T364">
        <v>0</v>
      </c>
    </row>
    <row r="365" spans="1:20" x14ac:dyDescent="0.25">
      <c r="A365" t="s">
        <v>1817</v>
      </c>
      <c r="B365" s="1">
        <v>45853</v>
      </c>
      <c r="C365" s="5">
        <v>0.21141203703703704</v>
      </c>
      <c r="D365">
        <v>4.3099999999999996</v>
      </c>
      <c r="E365" t="s">
        <v>44</v>
      </c>
      <c r="F365" t="s">
        <v>1818</v>
      </c>
      <c r="G365" t="s">
        <v>46</v>
      </c>
      <c r="H365" t="s">
        <v>35</v>
      </c>
      <c r="I365" t="s">
        <v>1819</v>
      </c>
      <c r="J365">
        <v>37</v>
      </c>
      <c r="K365" t="s">
        <v>25</v>
      </c>
      <c r="L365" t="s">
        <v>97</v>
      </c>
      <c r="M365" t="s">
        <v>27</v>
      </c>
      <c r="P365" t="s">
        <v>28</v>
      </c>
      <c r="Q365" t="s">
        <v>1820</v>
      </c>
      <c r="R365" t="s">
        <v>1821</v>
      </c>
      <c r="S365" t="s">
        <v>31</v>
      </c>
      <c r="T365">
        <v>0</v>
      </c>
    </row>
    <row r="366" spans="1:20" x14ac:dyDescent="0.25">
      <c r="A366" t="s">
        <v>1822</v>
      </c>
      <c r="B366" s="1">
        <v>45823</v>
      </c>
      <c r="C366" s="5">
        <v>0.2913310185185185</v>
      </c>
      <c r="D366">
        <v>105.72</v>
      </c>
      <c r="E366" t="s">
        <v>44</v>
      </c>
      <c r="F366" t="s">
        <v>1823</v>
      </c>
      <c r="G366" t="s">
        <v>64</v>
      </c>
      <c r="H366" t="s">
        <v>58</v>
      </c>
      <c r="I366" t="s">
        <v>1824</v>
      </c>
      <c r="J366">
        <v>49</v>
      </c>
      <c r="K366" t="s">
        <v>25</v>
      </c>
      <c r="L366" t="s">
        <v>97</v>
      </c>
      <c r="M366" t="s">
        <v>39</v>
      </c>
      <c r="P366" t="s">
        <v>28</v>
      </c>
      <c r="Q366" t="s">
        <v>1825</v>
      </c>
      <c r="R366" t="s">
        <v>1826</v>
      </c>
      <c r="S366" t="s">
        <v>31</v>
      </c>
      <c r="T366">
        <v>0</v>
      </c>
    </row>
    <row r="367" spans="1:20" x14ac:dyDescent="0.25">
      <c r="A367" t="s">
        <v>1827</v>
      </c>
      <c r="B367" s="1">
        <v>45829</v>
      </c>
      <c r="C367" s="5">
        <v>0.20157407407407407</v>
      </c>
      <c r="D367">
        <v>762.16</v>
      </c>
      <c r="E367" t="s">
        <v>44</v>
      </c>
      <c r="F367" t="s">
        <v>1282</v>
      </c>
      <c r="G367" t="s">
        <v>46</v>
      </c>
      <c r="H367" t="s">
        <v>119</v>
      </c>
      <c r="I367" t="s">
        <v>1828</v>
      </c>
      <c r="J367">
        <v>35</v>
      </c>
      <c r="K367" t="s">
        <v>37</v>
      </c>
      <c r="L367" t="s">
        <v>130</v>
      </c>
      <c r="M367" t="s">
        <v>27</v>
      </c>
      <c r="P367" t="s">
        <v>28</v>
      </c>
      <c r="Q367" t="s">
        <v>1829</v>
      </c>
      <c r="R367" t="s">
        <v>1830</v>
      </c>
      <c r="S367" t="s">
        <v>31</v>
      </c>
      <c r="T367">
        <v>0</v>
      </c>
    </row>
    <row r="368" spans="1:20" x14ac:dyDescent="0.25">
      <c r="A368" t="s">
        <v>1831</v>
      </c>
      <c r="B368" s="1">
        <v>45938</v>
      </c>
      <c r="C368" s="5">
        <v>0.64004629629629628</v>
      </c>
      <c r="D368">
        <v>52.7</v>
      </c>
      <c r="E368" t="s">
        <v>44</v>
      </c>
      <c r="F368" t="s">
        <v>1832</v>
      </c>
      <c r="G368" t="s">
        <v>124</v>
      </c>
      <c r="H368" t="s">
        <v>66</v>
      </c>
      <c r="I368" t="s">
        <v>1833</v>
      </c>
      <c r="J368">
        <v>60</v>
      </c>
      <c r="K368" t="s">
        <v>49</v>
      </c>
      <c r="L368" t="s">
        <v>66</v>
      </c>
      <c r="M368" t="s">
        <v>27</v>
      </c>
      <c r="P368" t="s">
        <v>113</v>
      </c>
      <c r="Q368" t="s">
        <v>1834</v>
      </c>
      <c r="R368" t="s">
        <v>1835</v>
      </c>
      <c r="S368" t="s">
        <v>31</v>
      </c>
      <c r="T368">
        <v>1</v>
      </c>
    </row>
    <row r="369" spans="1:20" x14ac:dyDescent="0.25">
      <c r="A369" t="s">
        <v>1836</v>
      </c>
      <c r="B369" s="1">
        <v>45863</v>
      </c>
      <c r="C369" s="5">
        <v>0.85472222222222227</v>
      </c>
      <c r="D369">
        <v>871.46</v>
      </c>
      <c r="E369" t="s">
        <v>44</v>
      </c>
      <c r="F369" t="s">
        <v>313</v>
      </c>
      <c r="G369" t="s">
        <v>89</v>
      </c>
      <c r="H369" t="s">
        <v>35</v>
      </c>
      <c r="I369" t="s">
        <v>1837</v>
      </c>
      <c r="J369">
        <v>30</v>
      </c>
      <c r="K369" t="s">
        <v>25</v>
      </c>
      <c r="L369" t="s">
        <v>91</v>
      </c>
      <c r="M369" t="s">
        <v>84</v>
      </c>
      <c r="P369" t="s">
        <v>28</v>
      </c>
      <c r="Q369" t="s">
        <v>1838</v>
      </c>
      <c r="R369" t="s">
        <v>1839</v>
      </c>
      <c r="S369" t="s">
        <v>31</v>
      </c>
      <c r="T369">
        <v>0</v>
      </c>
    </row>
    <row r="370" spans="1:20" x14ac:dyDescent="0.25">
      <c r="A370" t="s">
        <v>1840</v>
      </c>
      <c r="B370" s="1">
        <v>45893</v>
      </c>
      <c r="C370" s="5">
        <v>0.52377314814814813</v>
      </c>
      <c r="D370">
        <v>111.99</v>
      </c>
      <c r="E370" t="s">
        <v>44</v>
      </c>
      <c r="F370" t="s">
        <v>1841</v>
      </c>
      <c r="G370" t="s">
        <v>71</v>
      </c>
      <c r="H370" t="s">
        <v>66</v>
      </c>
      <c r="I370" t="s">
        <v>1842</v>
      </c>
      <c r="J370">
        <v>71</v>
      </c>
      <c r="K370" t="s">
        <v>25</v>
      </c>
      <c r="L370" t="s">
        <v>47</v>
      </c>
      <c r="M370" t="s">
        <v>39</v>
      </c>
      <c r="P370" t="s">
        <v>28</v>
      </c>
      <c r="Q370" t="s">
        <v>1843</v>
      </c>
      <c r="R370" t="s">
        <v>1844</v>
      </c>
      <c r="S370" t="s">
        <v>31</v>
      </c>
      <c r="T370">
        <v>0</v>
      </c>
    </row>
    <row r="371" spans="1:20" x14ac:dyDescent="0.25">
      <c r="A371" t="s">
        <v>1845</v>
      </c>
      <c r="B371" s="1">
        <v>45910</v>
      </c>
      <c r="C371" s="5">
        <v>0.41173611111111114</v>
      </c>
      <c r="D371">
        <v>96.6</v>
      </c>
      <c r="E371" t="s">
        <v>44</v>
      </c>
      <c r="F371" t="s">
        <v>1846</v>
      </c>
      <c r="G371" t="s">
        <v>46</v>
      </c>
      <c r="H371" t="s">
        <v>130</v>
      </c>
      <c r="I371" t="s">
        <v>1847</v>
      </c>
      <c r="J371">
        <v>48</v>
      </c>
      <c r="K371" t="s">
        <v>25</v>
      </c>
      <c r="L371" t="s">
        <v>47</v>
      </c>
      <c r="M371" t="s">
        <v>27</v>
      </c>
      <c r="P371" t="s">
        <v>28</v>
      </c>
      <c r="Q371" t="s">
        <v>1848</v>
      </c>
      <c r="R371" t="s">
        <v>1849</v>
      </c>
      <c r="S371" t="s">
        <v>31</v>
      </c>
      <c r="T371">
        <v>0</v>
      </c>
    </row>
    <row r="372" spans="1:20" x14ac:dyDescent="0.25">
      <c r="A372" t="s">
        <v>1850</v>
      </c>
      <c r="B372" s="1">
        <v>45806</v>
      </c>
      <c r="C372" s="5">
        <v>0.42123842592592592</v>
      </c>
      <c r="D372">
        <v>47.89</v>
      </c>
      <c r="E372" t="s">
        <v>44</v>
      </c>
      <c r="F372" t="s">
        <v>1627</v>
      </c>
      <c r="G372" t="s">
        <v>89</v>
      </c>
      <c r="H372" t="s">
        <v>91</v>
      </c>
      <c r="I372" t="s">
        <v>1851</v>
      </c>
      <c r="J372">
        <v>22</v>
      </c>
      <c r="K372" t="s">
        <v>49</v>
      </c>
      <c r="L372" t="s">
        <v>58</v>
      </c>
      <c r="M372" t="s">
        <v>27</v>
      </c>
      <c r="P372" t="s">
        <v>28</v>
      </c>
      <c r="Q372" t="s">
        <v>1852</v>
      </c>
      <c r="R372" t="s">
        <v>1853</v>
      </c>
      <c r="S372" t="s">
        <v>31</v>
      </c>
      <c r="T372">
        <v>1</v>
      </c>
    </row>
    <row r="373" spans="1:20" x14ac:dyDescent="0.25">
      <c r="A373" t="s">
        <v>1854</v>
      </c>
      <c r="B373" s="1">
        <v>45814</v>
      </c>
      <c r="C373" s="5">
        <v>0.64590277777777783</v>
      </c>
      <c r="D373">
        <v>182.14</v>
      </c>
      <c r="E373" t="s">
        <v>44</v>
      </c>
      <c r="F373" t="s">
        <v>428</v>
      </c>
      <c r="G373" t="s">
        <v>71</v>
      </c>
      <c r="H373" t="s">
        <v>119</v>
      </c>
      <c r="I373" t="s">
        <v>1855</v>
      </c>
      <c r="J373">
        <v>60</v>
      </c>
      <c r="K373" t="s">
        <v>25</v>
      </c>
      <c r="L373" t="s">
        <v>91</v>
      </c>
      <c r="M373" t="s">
        <v>39</v>
      </c>
      <c r="P373" t="s">
        <v>28</v>
      </c>
      <c r="Q373" t="s">
        <v>1856</v>
      </c>
      <c r="R373" t="s">
        <v>1857</v>
      </c>
      <c r="S373" t="s">
        <v>31</v>
      </c>
      <c r="T373">
        <v>0</v>
      </c>
    </row>
    <row r="374" spans="1:20" x14ac:dyDescent="0.25">
      <c r="A374" t="s">
        <v>1858</v>
      </c>
      <c r="B374" s="1">
        <v>45957</v>
      </c>
      <c r="C374" s="5">
        <v>0.84280092592592593</v>
      </c>
      <c r="D374">
        <v>149.9</v>
      </c>
      <c r="E374" t="s">
        <v>44</v>
      </c>
      <c r="F374" t="s">
        <v>1859</v>
      </c>
      <c r="G374" t="s">
        <v>124</v>
      </c>
      <c r="H374" t="s">
        <v>58</v>
      </c>
      <c r="I374" t="s">
        <v>1860</v>
      </c>
      <c r="J374">
        <v>26</v>
      </c>
      <c r="K374" t="s">
        <v>49</v>
      </c>
      <c r="L374" t="s">
        <v>50</v>
      </c>
      <c r="M374" t="s">
        <v>27</v>
      </c>
      <c r="P374" t="s">
        <v>28</v>
      </c>
      <c r="Q374" t="s">
        <v>1861</v>
      </c>
      <c r="R374" t="s">
        <v>1862</v>
      </c>
      <c r="S374" t="s">
        <v>31</v>
      </c>
      <c r="T374">
        <v>0</v>
      </c>
    </row>
    <row r="375" spans="1:20" x14ac:dyDescent="0.25">
      <c r="A375" t="s">
        <v>1863</v>
      </c>
      <c r="B375" s="1">
        <v>45887</v>
      </c>
      <c r="C375" s="5">
        <v>0.98100694444444447</v>
      </c>
      <c r="D375">
        <v>339.21</v>
      </c>
      <c r="E375" t="s">
        <v>44</v>
      </c>
      <c r="F375" t="s">
        <v>1864</v>
      </c>
      <c r="G375" t="s">
        <v>22</v>
      </c>
      <c r="H375" t="s">
        <v>130</v>
      </c>
      <c r="I375" t="s">
        <v>1865</v>
      </c>
      <c r="J375">
        <v>40</v>
      </c>
      <c r="K375" t="s">
        <v>49</v>
      </c>
      <c r="L375" t="s">
        <v>38</v>
      </c>
      <c r="M375" t="s">
        <v>39</v>
      </c>
      <c r="P375" t="s">
        <v>28</v>
      </c>
      <c r="Q375" t="s">
        <v>1866</v>
      </c>
      <c r="R375" t="s">
        <v>1867</v>
      </c>
      <c r="S375" t="s">
        <v>101</v>
      </c>
      <c r="T375">
        <v>1</v>
      </c>
    </row>
    <row r="376" spans="1:20" x14ac:dyDescent="0.25">
      <c r="A376" t="s">
        <v>1868</v>
      </c>
      <c r="B376" s="1">
        <v>45786</v>
      </c>
      <c r="C376" s="5">
        <v>0.13524305555555555</v>
      </c>
      <c r="D376">
        <v>151.88999999999999</v>
      </c>
      <c r="E376" t="s">
        <v>44</v>
      </c>
      <c r="F376" t="s">
        <v>1869</v>
      </c>
      <c r="G376" t="s">
        <v>124</v>
      </c>
      <c r="H376" t="s">
        <v>146</v>
      </c>
      <c r="I376" t="s">
        <v>1870</v>
      </c>
      <c r="J376">
        <v>22</v>
      </c>
      <c r="K376" t="s">
        <v>49</v>
      </c>
      <c r="L376" t="s">
        <v>97</v>
      </c>
      <c r="M376" t="s">
        <v>39</v>
      </c>
      <c r="P376" t="s">
        <v>28</v>
      </c>
      <c r="Q376" t="s">
        <v>1871</v>
      </c>
      <c r="R376" t="s">
        <v>1872</v>
      </c>
      <c r="S376" t="s">
        <v>42</v>
      </c>
      <c r="T376">
        <v>0</v>
      </c>
    </row>
    <row r="377" spans="1:20" x14ac:dyDescent="0.25">
      <c r="A377" t="s">
        <v>1873</v>
      </c>
      <c r="B377" s="1">
        <v>45940</v>
      </c>
      <c r="C377" s="5">
        <v>0.10759259259259259</v>
      </c>
      <c r="D377">
        <v>310.14</v>
      </c>
      <c r="E377" t="s">
        <v>44</v>
      </c>
      <c r="F377" t="s">
        <v>1874</v>
      </c>
      <c r="G377" t="s">
        <v>22</v>
      </c>
      <c r="H377" t="s">
        <v>35</v>
      </c>
      <c r="I377" t="s">
        <v>1875</v>
      </c>
      <c r="J377">
        <v>51</v>
      </c>
      <c r="K377" t="s">
        <v>37</v>
      </c>
      <c r="L377" t="s">
        <v>50</v>
      </c>
      <c r="M377" t="s">
        <v>27</v>
      </c>
      <c r="P377" t="s">
        <v>28</v>
      </c>
      <c r="Q377" t="s">
        <v>1876</v>
      </c>
      <c r="R377" t="s">
        <v>1877</v>
      </c>
      <c r="S377" t="s">
        <v>31</v>
      </c>
      <c r="T377">
        <v>0</v>
      </c>
    </row>
    <row r="378" spans="1:20" x14ac:dyDescent="0.25">
      <c r="A378" t="s">
        <v>1878</v>
      </c>
      <c r="B378" s="1">
        <v>45910</v>
      </c>
      <c r="C378" s="5">
        <v>3.4976851851851849E-2</v>
      </c>
      <c r="D378">
        <v>123.55</v>
      </c>
      <c r="E378" t="s">
        <v>44</v>
      </c>
      <c r="F378" t="s">
        <v>1509</v>
      </c>
      <c r="G378" t="s">
        <v>22</v>
      </c>
      <c r="H378" t="s">
        <v>110</v>
      </c>
      <c r="I378" t="s">
        <v>1879</v>
      </c>
      <c r="J378">
        <v>44</v>
      </c>
      <c r="K378" t="s">
        <v>49</v>
      </c>
      <c r="L378" t="s">
        <v>110</v>
      </c>
      <c r="M378" t="s">
        <v>112</v>
      </c>
      <c r="P378" t="s">
        <v>113</v>
      </c>
      <c r="Q378" t="s">
        <v>1880</v>
      </c>
      <c r="R378" t="s">
        <v>1881</v>
      </c>
      <c r="S378" t="s">
        <v>31</v>
      </c>
      <c r="T378">
        <v>0</v>
      </c>
    </row>
    <row r="379" spans="1:20" x14ac:dyDescent="0.25">
      <c r="A379" t="s">
        <v>1882</v>
      </c>
      <c r="B379" s="1">
        <v>45814</v>
      </c>
      <c r="C379" s="5">
        <v>5.590277777777778E-2</v>
      </c>
      <c r="D379">
        <v>138.21</v>
      </c>
      <c r="E379" t="s">
        <v>44</v>
      </c>
      <c r="F379" t="s">
        <v>1883</v>
      </c>
      <c r="G379" t="s">
        <v>124</v>
      </c>
      <c r="H379" t="s">
        <v>97</v>
      </c>
      <c r="I379" t="s">
        <v>1884</v>
      </c>
      <c r="J379">
        <v>65</v>
      </c>
      <c r="K379" t="s">
        <v>49</v>
      </c>
      <c r="L379" t="s">
        <v>38</v>
      </c>
      <c r="M379" t="s">
        <v>27</v>
      </c>
      <c r="P379" t="s">
        <v>28</v>
      </c>
      <c r="Q379" t="s">
        <v>1885</v>
      </c>
      <c r="R379" t="s">
        <v>1886</v>
      </c>
      <c r="S379" t="s">
        <v>31</v>
      </c>
      <c r="T379">
        <v>0</v>
      </c>
    </row>
    <row r="380" spans="1:20" x14ac:dyDescent="0.25">
      <c r="A380" t="s">
        <v>1887</v>
      </c>
      <c r="B380" s="1">
        <v>45785</v>
      </c>
      <c r="C380" s="5">
        <v>0.51561342592592596</v>
      </c>
      <c r="D380">
        <v>100.91</v>
      </c>
      <c r="E380" t="s">
        <v>44</v>
      </c>
      <c r="F380" t="s">
        <v>1888</v>
      </c>
      <c r="G380" t="s">
        <v>77</v>
      </c>
      <c r="H380" t="s">
        <v>66</v>
      </c>
      <c r="I380" t="s">
        <v>1889</v>
      </c>
      <c r="J380">
        <v>72</v>
      </c>
      <c r="K380" t="s">
        <v>49</v>
      </c>
      <c r="L380" t="s">
        <v>26</v>
      </c>
      <c r="M380" t="s">
        <v>51</v>
      </c>
      <c r="N380" t="s">
        <v>507</v>
      </c>
      <c r="O380">
        <v>519733</v>
      </c>
      <c r="P380" t="s">
        <v>28</v>
      </c>
      <c r="Q380" t="s">
        <v>1890</v>
      </c>
      <c r="R380" t="s">
        <v>1891</v>
      </c>
      <c r="S380" t="s">
        <v>31</v>
      </c>
      <c r="T380">
        <v>0</v>
      </c>
    </row>
    <row r="381" spans="1:20" x14ac:dyDescent="0.25">
      <c r="A381" t="s">
        <v>1892</v>
      </c>
      <c r="B381" s="1">
        <v>45911</v>
      </c>
      <c r="C381" s="5">
        <v>0.28378472222222223</v>
      </c>
      <c r="D381">
        <v>110.8</v>
      </c>
      <c r="E381" t="s">
        <v>44</v>
      </c>
      <c r="F381" t="s">
        <v>1578</v>
      </c>
      <c r="G381" t="s">
        <v>22</v>
      </c>
      <c r="H381" t="s">
        <v>110</v>
      </c>
      <c r="I381" t="s">
        <v>1893</v>
      </c>
      <c r="J381">
        <v>47</v>
      </c>
      <c r="K381" t="s">
        <v>37</v>
      </c>
      <c r="L381" t="s">
        <v>130</v>
      </c>
      <c r="M381" t="s">
        <v>84</v>
      </c>
      <c r="P381" t="s">
        <v>28</v>
      </c>
      <c r="Q381" t="s">
        <v>1894</v>
      </c>
      <c r="R381" t="s">
        <v>1895</v>
      </c>
      <c r="S381" t="s">
        <v>31</v>
      </c>
      <c r="T381">
        <v>0</v>
      </c>
    </row>
    <row r="382" spans="1:20" x14ac:dyDescent="0.25">
      <c r="A382" t="s">
        <v>1896</v>
      </c>
      <c r="B382" s="1">
        <v>45929</v>
      </c>
      <c r="C382" s="5">
        <v>0.54997685185185186</v>
      </c>
      <c r="D382">
        <v>189.2</v>
      </c>
      <c r="E382" t="s">
        <v>44</v>
      </c>
      <c r="F382" t="s">
        <v>1897</v>
      </c>
      <c r="G382" t="s">
        <v>77</v>
      </c>
      <c r="H382" t="s">
        <v>47</v>
      </c>
      <c r="I382" t="s">
        <v>1898</v>
      </c>
      <c r="J382">
        <v>30</v>
      </c>
      <c r="K382" t="s">
        <v>49</v>
      </c>
      <c r="L382" t="s">
        <v>110</v>
      </c>
      <c r="M382" t="s">
        <v>27</v>
      </c>
      <c r="P382" t="s">
        <v>28</v>
      </c>
      <c r="Q382" t="s">
        <v>1899</v>
      </c>
      <c r="R382" t="s">
        <v>1900</v>
      </c>
      <c r="S382" t="s">
        <v>31</v>
      </c>
      <c r="T382">
        <v>0</v>
      </c>
    </row>
    <row r="383" spans="1:20" x14ac:dyDescent="0.25">
      <c r="A383" t="s">
        <v>1901</v>
      </c>
      <c r="B383" s="1">
        <v>45868</v>
      </c>
      <c r="C383" s="5">
        <v>0.59011574074074069</v>
      </c>
      <c r="D383">
        <v>199.59</v>
      </c>
      <c r="E383" t="s">
        <v>44</v>
      </c>
      <c r="F383" t="s">
        <v>258</v>
      </c>
      <c r="G383" t="s">
        <v>124</v>
      </c>
      <c r="H383" t="s">
        <v>50</v>
      </c>
      <c r="I383" t="s">
        <v>1902</v>
      </c>
      <c r="J383">
        <v>70</v>
      </c>
      <c r="K383" t="s">
        <v>37</v>
      </c>
      <c r="L383" t="s">
        <v>248</v>
      </c>
      <c r="M383" t="s">
        <v>51</v>
      </c>
      <c r="N383" t="s">
        <v>304</v>
      </c>
      <c r="O383">
        <v>416490</v>
      </c>
      <c r="P383" t="s">
        <v>28</v>
      </c>
      <c r="Q383" t="s">
        <v>1903</v>
      </c>
      <c r="R383" t="s">
        <v>1904</v>
      </c>
      <c r="S383" t="s">
        <v>31</v>
      </c>
      <c r="T383">
        <v>0</v>
      </c>
    </row>
    <row r="384" spans="1:20" x14ac:dyDescent="0.25">
      <c r="A384" t="s">
        <v>1905</v>
      </c>
      <c r="B384" s="1">
        <v>45859</v>
      </c>
      <c r="C384" s="5">
        <v>0.77760416666666665</v>
      </c>
      <c r="D384">
        <v>133.86000000000001</v>
      </c>
      <c r="E384" t="s">
        <v>44</v>
      </c>
      <c r="F384" t="s">
        <v>1906</v>
      </c>
      <c r="G384" t="s">
        <v>124</v>
      </c>
      <c r="H384" t="s">
        <v>248</v>
      </c>
      <c r="I384" t="s">
        <v>1907</v>
      </c>
      <c r="J384">
        <v>50</v>
      </c>
      <c r="K384" t="s">
        <v>25</v>
      </c>
      <c r="L384" t="s">
        <v>119</v>
      </c>
      <c r="M384" t="s">
        <v>105</v>
      </c>
      <c r="P384" t="s">
        <v>28</v>
      </c>
      <c r="Q384" t="s">
        <v>1908</v>
      </c>
      <c r="R384" t="s">
        <v>1909</v>
      </c>
      <c r="S384" t="s">
        <v>31</v>
      </c>
      <c r="T384">
        <v>0</v>
      </c>
    </row>
    <row r="385" spans="1:20" x14ac:dyDescent="0.25">
      <c r="A385" t="s">
        <v>1910</v>
      </c>
      <c r="B385" s="1">
        <v>45948</v>
      </c>
      <c r="C385" s="5">
        <v>0.59129629629629632</v>
      </c>
      <c r="D385">
        <v>119.48</v>
      </c>
      <c r="E385" t="s">
        <v>44</v>
      </c>
      <c r="F385" t="s">
        <v>1911</v>
      </c>
      <c r="G385" t="s">
        <v>46</v>
      </c>
      <c r="H385" t="s">
        <v>119</v>
      </c>
      <c r="I385" t="s">
        <v>1912</v>
      </c>
      <c r="J385">
        <v>70</v>
      </c>
      <c r="K385" t="s">
        <v>49</v>
      </c>
      <c r="L385" t="s">
        <v>248</v>
      </c>
      <c r="M385" t="s">
        <v>39</v>
      </c>
      <c r="P385" t="s">
        <v>28</v>
      </c>
      <c r="Q385" t="s">
        <v>1913</v>
      </c>
      <c r="R385" t="s">
        <v>1914</v>
      </c>
      <c r="S385" t="s">
        <v>101</v>
      </c>
      <c r="T385">
        <v>0</v>
      </c>
    </row>
    <row r="386" spans="1:20" x14ac:dyDescent="0.25">
      <c r="A386" t="s">
        <v>1915</v>
      </c>
      <c r="B386" s="1">
        <v>45799</v>
      </c>
      <c r="C386" s="5">
        <v>0.75745370370370368</v>
      </c>
      <c r="D386">
        <v>91.48</v>
      </c>
      <c r="E386" t="s">
        <v>44</v>
      </c>
      <c r="F386" t="s">
        <v>1916</v>
      </c>
      <c r="G386" t="s">
        <v>46</v>
      </c>
      <c r="H386" t="s">
        <v>50</v>
      </c>
      <c r="I386" t="s">
        <v>1917</v>
      </c>
      <c r="J386">
        <v>65</v>
      </c>
      <c r="K386" t="s">
        <v>25</v>
      </c>
      <c r="L386" t="s">
        <v>50</v>
      </c>
      <c r="M386" t="s">
        <v>84</v>
      </c>
      <c r="P386" t="s">
        <v>113</v>
      </c>
      <c r="Q386" t="s">
        <v>1918</v>
      </c>
      <c r="R386" t="s">
        <v>1919</v>
      </c>
      <c r="S386" t="s">
        <v>31</v>
      </c>
      <c r="T386">
        <v>0</v>
      </c>
    </row>
    <row r="387" spans="1:20" x14ac:dyDescent="0.25">
      <c r="A387" t="s">
        <v>1920</v>
      </c>
      <c r="B387" s="1">
        <v>45880</v>
      </c>
      <c r="C387" s="5">
        <v>0.21256944444444445</v>
      </c>
      <c r="D387">
        <v>195.3</v>
      </c>
      <c r="E387" t="s">
        <v>44</v>
      </c>
      <c r="F387" t="s">
        <v>1921</v>
      </c>
      <c r="G387" t="s">
        <v>77</v>
      </c>
      <c r="H387" t="s">
        <v>23</v>
      </c>
      <c r="I387" t="s">
        <v>1922</v>
      </c>
      <c r="J387">
        <v>75</v>
      </c>
      <c r="K387" t="s">
        <v>25</v>
      </c>
      <c r="L387" t="s">
        <v>35</v>
      </c>
      <c r="M387" t="s">
        <v>112</v>
      </c>
      <c r="P387" t="s">
        <v>28</v>
      </c>
      <c r="Q387" t="s">
        <v>1923</v>
      </c>
      <c r="R387" t="s">
        <v>1924</v>
      </c>
      <c r="S387" t="s">
        <v>31</v>
      </c>
      <c r="T387">
        <v>1</v>
      </c>
    </row>
    <row r="388" spans="1:20" x14ac:dyDescent="0.25">
      <c r="A388" t="s">
        <v>1925</v>
      </c>
      <c r="B388" s="1">
        <v>45938</v>
      </c>
      <c r="C388" s="5">
        <v>3.4953703703703705E-3</v>
      </c>
      <c r="D388">
        <v>80.55</v>
      </c>
      <c r="E388" t="s">
        <v>44</v>
      </c>
      <c r="F388" t="s">
        <v>1926</v>
      </c>
      <c r="G388" t="s">
        <v>34</v>
      </c>
      <c r="H388" t="s">
        <v>35</v>
      </c>
      <c r="I388" t="s">
        <v>1927</v>
      </c>
      <c r="J388">
        <v>52</v>
      </c>
      <c r="K388" t="s">
        <v>25</v>
      </c>
      <c r="L388" t="s">
        <v>110</v>
      </c>
      <c r="M388" t="s">
        <v>105</v>
      </c>
      <c r="P388" t="s">
        <v>28</v>
      </c>
      <c r="Q388" t="s">
        <v>1928</v>
      </c>
      <c r="R388" t="s">
        <v>1929</v>
      </c>
      <c r="S388" t="s">
        <v>31</v>
      </c>
      <c r="T388">
        <v>0</v>
      </c>
    </row>
    <row r="389" spans="1:20" x14ac:dyDescent="0.25">
      <c r="A389" t="s">
        <v>1930</v>
      </c>
      <c r="B389" s="1">
        <v>45838</v>
      </c>
      <c r="C389" s="5">
        <v>0.66293981481481479</v>
      </c>
      <c r="D389">
        <v>123.74</v>
      </c>
      <c r="E389" t="s">
        <v>44</v>
      </c>
      <c r="F389" t="s">
        <v>1931</v>
      </c>
      <c r="G389" t="s">
        <v>77</v>
      </c>
      <c r="H389" t="s">
        <v>50</v>
      </c>
      <c r="I389" t="s">
        <v>1932</v>
      </c>
      <c r="J389">
        <v>24</v>
      </c>
      <c r="K389" t="s">
        <v>49</v>
      </c>
      <c r="L389" t="s">
        <v>58</v>
      </c>
      <c r="M389" t="s">
        <v>51</v>
      </c>
      <c r="N389" t="s">
        <v>304</v>
      </c>
      <c r="O389">
        <v>553226</v>
      </c>
      <c r="P389" t="s">
        <v>28</v>
      </c>
      <c r="Q389" t="s">
        <v>1933</v>
      </c>
      <c r="R389" t="s">
        <v>1934</v>
      </c>
      <c r="S389" t="s">
        <v>31</v>
      </c>
      <c r="T389">
        <v>0</v>
      </c>
    </row>
    <row r="390" spans="1:20" x14ac:dyDescent="0.25">
      <c r="A390" t="s">
        <v>1935</v>
      </c>
      <c r="B390" s="1">
        <v>45909</v>
      </c>
      <c r="C390" s="5">
        <v>0.39004629629629628</v>
      </c>
      <c r="D390">
        <v>214.78</v>
      </c>
      <c r="E390" t="s">
        <v>44</v>
      </c>
      <c r="F390" t="s">
        <v>1936</v>
      </c>
      <c r="G390" t="s">
        <v>89</v>
      </c>
      <c r="H390" t="s">
        <v>66</v>
      </c>
      <c r="I390" t="s">
        <v>1937</v>
      </c>
      <c r="J390">
        <v>63</v>
      </c>
      <c r="K390" t="s">
        <v>49</v>
      </c>
      <c r="L390" t="s">
        <v>119</v>
      </c>
      <c r="M390" t="s">
        <v>51</v>
      </c>
      <c r="N390" t="s">
        <v>870</v>
      </c>
      <c r="O390">
        <v>437043</v>
      </c>
      <c r="P390" t="s">
        <v>28</v>
      </c>
      <c r="Q390" t="s">
        <v>1938</v>
      </c>
      <c r="R390" t="s">
        <v>1939</v>
      </c>
      <c r="S390" t="s">
        <v>31</v>
      </c>
      <c r="T390">
        <v>0</v>
      </c>
    </row>
    <row r="391" spans="1:20" x14ac:dyDescent="0.25">
      <c r="A391" t="s">
        <v>1940</v>
      </c>
      <c r="B391" s="1">
        <v>45954</v>
      </c>
      <c r="C391" s="5">
        <v>0.86927083333333333</v>
      </c>
      <c r="D391">
        <v>130.74</v>
      </c>
      <c r="E391" t="s">
        <v>44</v>
      </c>
      <c r="F391" t="s">
        <v>394</v>
      </c>
      <c r="G391" t="s">
        <v>64</v>
      </c>
      <c r="H391" t="s">
        <v>35</v>
      </c>
      <c r="I391" t="s">
        <v>1941</v>
      </c>
      <c r="J391">
        <v>18</v>
      </c>
      <c r="K391" t="s">
        <v>37</v>
      </c>
      <c r="L391" t="s">
        <v>130</v>
      </c>
      <c r="M391" t="s">
        <v>39</v>
      </c>
      <c r="P391" t="s">
        <v>28</v>
      </c>
      <c r="Q391" t="s">
        <v>1942</v>
      </c>
      <c r="R391" t="s">
        <v>1943</v>
      </c>
      <c r="S391" t="s">
        <v>31</v>
      </c>
      <c r="T391">
        <v>0</v>
      </c>
    </row>
    <row r="392" spans="1:20" x14ac:dyDescent="0.25">
      <c r="A392" t="s">
        <v>1944</v>
      </c>
      <c r="B392" s="1">
        <v>45848</v>
      </c>
      <c r="C392" s="5">
        <v>0.8697569444444444</v>
      </c>
      <c r="D392">
        <v>112.35</v>
      </c>
      <c r="E392" t="s">
        <v>44</v>
      </c>
      <c r="F392" t="s">
        <v>1945</v>
      </c>
      <c r="G392" t="s">
        <v>77</v>
      </c>
      <c r="H392" t="s">
        <v>35</v>
      </c>
      <c r="I392" t="s">
        <v>1946</v>
      </c>
      <c r="J392">
        <v>73</v>
      </c>
      <c r="K392" t="s">
        <v>25</v>
      </c>
      <c r="L392" t="s">
        <v>66</v>
      </c>
      <c r="M392" t="s">
        <v>84</v>
      </c>
      <c r="P392" t="s">
        <v>28</v>
      </c>
      <c r="Q392" t="s">
        <v>1947</v>
      </c>
      <c r="R392" t="s">
        <v>1948</v>
      </c>
      <c r="S392" t="s">
        <v>101</v>
      </c>
      <c r="T392">
        <v>0</v>
      </c>
    </row>
    <row r="393" spans="1:20" x14ac:dyDescent="0.25">
      <c r="A393" t="s">
        <v>1949</v>
      </c>
      <c r="B393" s="1">
        <v>45818</v>
      </c>
      <c r="C393" s="5">
        <v>3.1446759259259258E-2</v>
      </c>
      <c r="D393">
        <v>39.18</v>
      </c>
      <c r="E393" t="s">
        <v>44</v>
      </c>
      <c r="F393" t="s">
        <v>1950</v>
      </c>
      <c r="G393" t="s">
        <v>46</v>
      </c>
      <c r="H393" t="s">
        <v>248</v>
      </c>
      <c r="I393" t="s">
        <v>1951</v>
      </c>
      <c r="J393">
        <v>57</v>
      </c>
      <c r="K393" t="s">
        <v>25</v>
      </c>
      <c r="L393" t="s">
        <v>146</v>
      </c>
      <c r="M393" t="s">
        <v>27</v>
      </c>
      <c r="P393" t="s">
        <v>28</v>
      </c>
      <c r="Q393" t="s">
        <v>1952</v>
      </c>
      <c r="R393" t="s">
        <v>1953</v>
      </c>
      <c r="S393" t="s">
        <v>31</v>
      </c>
      <c r="T393">
        <v>0</v>
      </c>
    </row>
    <row r="394" spans="1:20" x14ac:dyDescent="0.25">
      <c r="A394" t="s">
        <v>1954</v>
      </c>
      <c r="B394" s="1">
        <v>45956</v>
      </c>
      <c r="C394" s="5">
        <v>0.2315625</v>
      </c>
      <c r="D394">
        <v>130.15</v>
      </c>
      <c r="E394" t="s">
        <v>44</v>
      </c>
      <c r="F394" t="s">
        <v>1593</v>
      </c>
      <c r="G394" t="s">
        <v>34</v>
      </c>
      <c r="H394" t="s">
        <v>130</v>
      </c>
      <c r="I394" t="s">
        <v>1955</v>
      </c>
      <c r="J394">
        <v>67</v>
      </c>
      <c r="K394" t="s">
        <v>49</v>
      </c>
      <c r="L394" t="s">
        <v>35</v>
      </c>
      <c r="M394" t="s">
        <v>51</v>
      </c>
      <c r="N394" t="s">
        <v>870</v>
      </c>
      <c r="O394">
        <v>414410</v>
      </c>
      <c r="P394" t="s">
        <v>28</v>
      </c>
      <c r="Q394" t="s">
        <v>1956</v>
      </c>
      <c r="R394" t="s">
        <v>1957</v>
      </c>
      <c r="S394" t="s">
        <v>31</v>
      </c>
      <c r="T394">
        <v>0</v>
      </c>
    </row>
    <row r="395" spans="1:20" x14ac:dyDescent="0.25">
      <c r="A395" t="s">
        <v>1958</v>
      </c>
      <c r="B395" s="1">
        <v>45932</v>
      </c>
      <c r="C395" s="5">
        <v>0.28651620370370373</v>
      </c>
      <c r="D395">
        <v>184.97</v>
      </c>
      <c r="E395" t="s">
        <v>44</v>
      </c>
      <c r="F395" t="s">
        <v>810</v>
      </c>
      <c r="G395" t="s">
        <v>71</v>
      </c>
      <c r="H395" t="s">
        <v>58</v>
      </c>
      <c r="I395" t="s">
        <v>1959</v>
      </c>
      <c r="J395">
        <v>68</v>
      </c>
      <c r="K395" t="s">
        <v>37</v>
      </c>
      <c r="L395" t="s">
        <v>119</v>
      </c>
      <c r="M395" t="s">
        <v>27</v>
      </c>
      <c r="P395" t="s">
        <v>28</v>
      </c>
      <c r="Q395" t="s">
        <v>1960</v>
      </c>
      <c r="R395" t="s">
        <v>1961</v>
      </c>
      <c r="S395" t="s">
        <v>31</v>
      </c>
      <c r="T395">
        <v>0</v>
      </c>
    </row>
    <row r="396" spans="1:20" x14ac:dyDescent="0.25">
      <c r="A396" t="s">
        <v>1962</v>
      </c>
      <c r="B396" s="1">
        <v>45906</v>
      </c>
      <c r="C396" s="5">
        <v>0.29097222222222224</v>
      </c>
      <c r="D396">
        <v>169.2</v>
      </c>
      <c r="E396" t="s">
        <v>44</v>
      </c>
      <c r="F396" t="s">
        <v>1963</v>
      </c>
      <c r="G396" t="s">
        <v>34</v>
      </c>
      <c r="H396" t="s">
        <v>248</v>
      </c>
      <c r="I396" t="s">
        <v>1964</v>
      </c>
      <c r="J396">
        <v>24</v>
      </c>
      <c r="K396" t="s">
        <v>49</v>
      </c>
      <c r="L396" t="s">
        <v>130</v>
      </c>
      <c r="M396" t="s">
        <v>27</v>
      </c>
      <c r="P396" t="s">
        <v>28</v>
      </c>
      <c r="Q396" t="s">
        <v>1965</v>
      </c>
      <c r="R396" t="s">
        <v>1966</v>
      </c>
      <c r="S396" t="s">
        <v>31</v>
      </c>
      <c r="T396">
        <v>0</v>
      </c>
    </row>
    <row r="397" spans="1:20" x14ac:dyDescent="0.25">
      <c r="A397" t="s">
        <v>1967</v>
      </c>
      <c r="B397" s="1">
        <v>45854</v>
      </c>
      <c r="C397" s="5">
        <v>0.39202546296296298</v>
      </c>
      <c r="D397">
        <v>177.38</v>
      </c>
      <c r="E397" t="s">
        <v>44</v>
      </c>
      <c r="F397" t="s">
        <v>1968</v>
      </c>
      <c r="G397" t="s">
        <v>57</v>
      </c>
      <c r="H397" t="s">
        <v>58</v>
      </c>
      <c r="I397" t="s">
        <v>1969</v>
      </c>
      <c r="J397">
        <v>75</v>
      </c>
      <c r="K397" t="s">
        <v>37</v>
      </c>
      <c r="L397" t="s">
        <v>248</v>
      </c>
      <c r="M397" t="s">
        <v>112</v>
      </c>
      <c r="P397" t="s">
        <v>28</v>
      </c>
      <c r="Q397" t="s">
        <v>1970</v>
      </c>
      <c r="R397" t="s">
        <v>1971</v>
      </c>
      <c r="S397" t="s">
        <v>31</v>
      </c>
      <c r="T397">
        <v>0</v>
      </c>
    </row>
    <row r="398" spans="1:20" x14ac:dyDescent="0.25">
      <c r="A398" t="s">
        <v>1972</v>
      </c>
      <c r="B398" s="1">
        <v>45898</v>
      </c>
      <c r="C398" s="5">
        <v>0.99556712962962968</v>
      </c>
      <c r="D398">
        <v>2.1</v>
      </c>
      <c r="E398" t="s">
        <v>44</v>
      </c>
      <c r="F398" t="s">
        <v>1973</v>
      </c>
      <c r="G398" t="s">
        <v>77</v>
      </c>
      <c r="H398" t="s">
        <v>97</v>
      </c>
      <c r="I398" t="s">
        <v>1974</v>
      </c>
      <c r="J398">
        <v>30</v>
      </c>
      <c r="K398" t="s">
        <v>25</v>
      </c>
      <c r="L398" t="s">
        <v>38</v>
      </c>
      <c r="M398" t="s">
        <v>105</v>
      </c>
      <c r="P398" t="s">
        <v>28</v>
      </c>
      <c r="Q398" t="s">
        <v>1975</v>
      </c>
      <c r="R398" t="s">
        <v>1976</v>
      </c>
      <c r="S398" t="s">
        <v>31</v>
      </c>
      <c r="T398">
        <v>0</v>
      </c>
    </row>
    <row r="399" spans="1:20" x14ac:dyDescent="0.25">
      <c r="A399" t="s">
        <v>1977</v>
      </c>
      <c r="B399" s="1">
        <v>45814</v>
      </c>
      <c r="C399" s="5">
        <v>0.21952546296296296</v>
      </c>
      <c r="D399">
        <v>176.92</v>
      </c>
      <c r="E399" t="s">
        <v>44</v>
      </c>
      <c r="F399" t="s">
        <v>1978</v>
      </c>
      <c r="G399" t="s">
        <v>34</v>
      </c>
      <c r="H399" t="s">
        <v>97</v>
      </c>
      <c r="I399" t="s">
        <v>1979</v>
      </c>
      <c r="J399">
        <v>32</v>
      </c>
      <c r="K399" t="s">
        <v>25</v>
      </c>
      <c r="L399" t="s">
        <v>35</v>
      </c>
      <c r="M399" t="s">
        <v>39</v>
      </c>
      <c r="P399" t="s">
        <v>28</v>
      </c>
      <c r="Q399" t="s">
        <v>1980</v>
      </c>
      <c r="R399" t="s">
        <v>1981</v>
      </c>
      <c r="S399" t="s">
        <v>31</v>
      </c>
      <c r="T399">
        <v>0</v>
      </c>
    </row>
    <row r="400" spans="1:20" x14ac:dyDescent="0.25">
      <c r="A400" t="s">
        <v>1982</v>
      </c>
      <c r="B400" s="1">
        <v>45923</v>
      </c>
      <c r="C400" s="5">
        <v>0.98931712962962959</v>
      </c>
      <c r="D400">
        <v>34.5</v>
      </c>
      <c r="E400" t="s">
        <v>44</v>
      </c>
      <c r="F400" t="s">
        <v>1983</v>
      </c>
      <c r="G400" t="s">
        <v>89</v>
      </c>
      <c r="H400" t="s">
        <v>66</v>
      </c>
      <c r="I400" t="s">
        <v>1984</v>
      </c>
      <c r="J400">
        <v>33</v>
      </c>
      <c r="K400" t="s">
        <v>49</v>
      </c>
      <c r="L400" t="s">
        <v>23</v>
      </c>
      <c r="M400" t="s">
        <v>84</v>
      </c>
      <c r="P400" t="s">
        <v>28</v>
      </c>
      <c r="Q400" t="s">
        <v>1985</v>
      </c>
      <c r="R400" t="s">
        <v>1986</v>
      </c>
      <c r="S400" t="s">
        <v>31</v>
      </c>
      <c r="T400">
        <v>0</v>
      </c>
    </row>
    <row r="401" spans="1:20" x14ac:dyDescent="0.25">
      <c r="A401" t="s">
        <v>1987</v>
      </c>
      <c r="B401" s="1">
        <v>45957</v>
      </c>
      <c r="C401" s="5">
        <v>0.89990740740740738</v>
      </c>
      <c r="D401">
        <v>161.44999999999999</v>
      </c>
      <c r="E401" t="s">
        <v>44</v>
      </c>
      <c r="F401" t="s">
        <v>1988</v>
      </c>
      <c r="G401" t="s">
        <v>96</v>
      </c>
      <c r="H401" t="s">
        <v>248</v>
      </c>
      <c r="I401" t="s">
        <v>1989</v>
      </c>
      <c r="J401">
        <v>47</v>
      </c>
      <c r="K401" t="s">
        <v>25</v>
      </c>
      <c r="L401" t="s">
        <v>248</v>
      </c>
      <c r="M401" t="s">
        <v>27</v>
      </c>
      <c r="P401" t="s">
        <v>113</v>
      </c>
      <c r="Q401" t="s">
        <v>1990</v>
      </c>
      <c r="R401" t="s">
        <v>1991</v>
      </c>
      <c r="S401" t="s">
        <v>101</v>
      </c>
      <c r="T401">
        <v>0</v>
      </c>
    </row>
    <row r="402" spans="1:20" x14ac:dyDescent="0.25">
      <c r="A402" t="s">
        <v>1992</v>
      </c>
      <c r="B402" s="1">
        <v>45950</v>
      </c>
      <c r="C402" s="5">
        <v>0.3376851851851852</v>
      </c>
      <c r="D402">
        <v>1.62</v>
      </c>
      <c r="E402" t="s">
        <v>44</v>
      </c>
      <c r="F402" t="s">
        <v>1993</v>
      </c>
      <c r="G402" t="s">
        <v>124</v>
      </c>
      <c r="H402" t="s">
        <v>130</v>
      </c>
      <c r="I402" t="s">
        <v>1994</v>
      </c>
      <c r="J402">
        <v>59</v>
      </c>
      <c r="K402" t="s">
        <v>49</v>
      </c>
      <c r="L402" t="s">
        <v>91</v>
      </c>
      <c r="M402" t="s">
        <v>112</v>
      </c>
      <c r="P402" t="s">
        <v>28</v>
      </c>
      <c r="Q402" t="s">
        <v>1995</v>
      </c>
      <c r="R402" t="s">
        <v>1996</v>
      </c>
      <c r="S402" t="s">
        <v>31</v>
      </c>
      <c r="T402">
        <v>0</v>
      </c>
    </row>
    <row r="403" spans="1:20" x14ac:dyDescent="0.25">
      <c r="A403" t="s">
        <v>1997</v>
      </c>
      <c r="B403" s="1">
        <v>45910</v>
      </c>
      <c r="C403" s="5">
        <v>0.21098379629629629</v>
      </c>
      <c r="D403">
        <v>162.80000000000001</v>
      </c>
      <c r="E403" t="s">
        <v>44</v>
      </c>
      <c r="F403" t="s">
        <v>1998</v>
      </c>
      <c r="G403" t="s">
        <v>89</v>
      </c>
      <c r="H403" t="s">
        <v>47</v>
      </c>
      <c r="I403" t="s">
        <v>1999</v>
      </c>
      <c r="J403">
        <v>41</v>
      </c>
      <c r="K403" t="s">
        <v>49</v>
      </c>
      <c r="L403" t="s">
        <v>26</v>
      </c>
      <c r="M403" t="s">
        <v>27</v>
      </c>
      <c r="P403" t="s">
        <v>28</v>
      </c>
      <c r="Q403" t="s">
        <v>2000</v>
      </c>
      <c r="R403" t="s">
        <v>2001</v>
      </c>
      <c r="S403" t="s">
        <v>31</v>
      </c>
      <c r="T403">
        <v>0</v>
      </c>
    </row>
    <row r="404" spans="1:20" x14ac:dyDescent="0.25">
      <c r="A404" t="s">
        <v>2002</v>
      </c>
      <c r="B404" s="1">
        <v>45918</v>
      </c>
      <c r="C404" s="5">
        <v>0.74898148148148147</v>
      </c>
      <c r="D404">
        <v>599.70000000000005</v>
      </c>
      <c r="E404" t="s">
        <v>44</v>
      </c>
      <c r="F404" t="s">
        <v>1393</v>
      </c>
      <c r="G404" t="s">
        <v>57</v>
      </c>
      <c r="H404" t="s">
        <v>146</v>
      </c>
      <c r="I404" t="s">
        <v>2003</v>
      </c>
      <c r="J404">
        <v>53</v>
      </c>
      <c r="K404" t="s">
        <v>25</v>
      </c>
      <c r="L404" t="s">
        <v>35</v>
      </c>
      <c r="M404" t="s">
        <v>105</v>
      </c>
      <c r="P404" t="s">
        <v>28</v>
      </c>
      <c r="Q404" t="s">
        <v>2004</v>
      </c>
      <c r="R404" t="s">
        <v>2005</v>
      </c>
      <c r="S404" t="s">
        <v>31</v>
      </c>
      <c r="T404">
        <v>0</v>
      </c>
    </row>
    <row r="405" spans="1:20" x14ac:dyDescent="0.25">
      <c r="A405" t="s">
        <v>2006</v>
      </c>
      <c r="B405" s="1">
        <v>45887</v>
      </c>
      <c r="C405" s="5">
        <v>0.65506944444444448</v>
      </c>
      <c r="D405">
        <v>104.72</v>
      </c>
      <c r="E405" t="s">
        <v>44</v>
      </c>
      <c r="F405" t="s">
        <v>1963</v>
      </c>
      <c r="G405" t="s">
        <v>77</v>
      </c>
      <c r="H405" t="s">
        <v>146</v>
      </c>
      <c r="I405" t="s">
        <v>2007</v>
      </c>
      <c r="J405">
        <v>50</v>
      </c>
      <c r="K405" t="s">
        <v>25</v>
      </c>
      <c r="L405" t="s">
        <v>110</v>
      </c>
      <c r="M405" t="s">
        <v>51</v>
      </c>
      <c r="N405" t="s">
        <v>345</v>
      </c>
      <c r="O405">
        <v>404214</v>
      </c>
      <c r="P405" t="s">
        <v>28</v>
      </c>
      <c r="Q405" t="s">
        <v>2008</v>
      </c>
      <c r="R405" t="s">
        <v>2009</v>
      </c>
      <c r="S405" t="s">
        <v>31</v>
      </c>
      <c r="T405">
        <v>1</v>
      </c>
    </row>
    <row r="406" spans="1:20" x14ac:dyDescent="0.25">
      <c r="A406" t="s">
        <v>2010</v>
      </c>
      <c r="B406" s="1">
        <v>45937</v>
      </c>
      <c r="C406" s="5">
        <v>0.14833333333333334</v>
      </c>
      <c r="D406">
        <v>21.33</v>
      </c>
      <c r="E406" t="s">
        <v>44</v>
      </c>
      <c r="F406" t="s">
        <v>1413</v>
      </c>
      <c r="G406" t="s">
        <v>46</v>
      </c>
      <c r="H406" t="s">
        <v>97</v>
      </c>
      <c r="I406" t="s">
        <v>2011</v>
      </c>
      <c r="J406">
        <v>29</v>
      </c>
      <c r="K406" t="s">
        <v>37</v>
      </c>
      <c r="L406" t="s">
        <v>97</v>
      </c>
      <c r="M406" t="s">
        <v>105</v>
      </c>
      <c r="P406" t="s">
        <v>113</v>
      </c>
      <c r="Q406" t="s">
        <v>2012</v>
      </c>
      <c r="R406" t="s">
        <v>2013</v>
      </c>
      <c r="S406" t="s">
        <v>31</v>
      </c>
      <c r="T406">
        <v>0</v>
      </c>
    </row>
    <row r="407" spans="1:20" x14ac:dyDescent="0.25">
      <c r="A407" t="s">
        <v>2014</v>
      </c>
      <c r="B407" s="1">
        <v>45890</v>
      </c>
      <c r="C407" s="5">
        <v>4.1388888888888892E-2</v>
      </c>
      <c r="D407">
        <v>100.48</v>
      </c>
      <c r="E407" t="s">
        <v>44</v>
      </c>
      <c r="F407" t="s">
        <v>1040</v>
      </c>
      <c r="G407" t="s">
        <v>96</v>
      </c>
      <c r="H407" t="s">
        <v>47</v>
      </c>
      <c r="I407" t="s">
        <v>2015</v>
      </c>
      <c r="J407">
        <v>68</v>
      </c>
      <c r="K407" t="s">
        <v>49</v>
      </c>
      <c r="L407" t="s">
        <v>97</v>
      </c>
      <c r="M407" t="s">
        <v>112</v>
      </c>
      <c r="P407" t="s">
        <v>28</v>
      </c>
      <c r="Q407" t="s">
        <v>2016</v>
      </c>
      <c r="R407" t="s">
        <v>2017</v>
      </c>
      <c r="S407" t="s">
        <v>31</v>
      </c>
      <c r="T407">
        <v>0</v>
      </c>
    </row>
    <row r="408" spans="1:20" x14ac:dyDescent="0.25">
      <c r="A408" t="s">
        <v>2018</v>
      </c>
      <c r="B408" s="1">
        <v>45789</v>
      </c>
      <c r="C408" s="5">
        <v>9.0162037037037041E-2</v>
      </c>
      <c r="D408">
        <v>14.7</v>
      </c>
      <c r="E408" t="s">
        <v>44</v>
      </c>
      <c r="F408" t="s">
        <v>1558</v>
      </c>
      <c r="G408" t="s">
        <v>34</v>
      </c>
      <c r="H408" t="s">
        <v>110</v>
      </c>
      <c r="I408" t="s">
        <v>2019</v>
      </c>
      <c r="J408">
        <v>29</v>
      </c>
      <c r="K408" t="s">
        <v>49</v>
      </c>
      <c r="L408" t="s">
        <v>91</v>
      </c>
      <c r="M408" t="s">
        <v>105</v>
      </c>
      <c r="P408" t="s">
        <v>28</v>
      </c>
      <c r="Q408" t="s">
        <v>2020</v>
      </c>
      <c r="R408" t="s">
        <v>2021</v>
      </c>
      <c r="S408" t="s">
        <v>31</v>
      </c>
      <c r="T408">
        <v>0</v>
      </c>
    </row>
    <row r="409" spans="1:20" x14ac:dyDescent="0.25">
      <c r="A409" t="s">
        <v>2022</v>
      </c>
      <c r="B409" s="1">
        <v>45954</v>
      </c>
      <c r="C409" s="5">
        <v>0.86702546296296301</v>
      </c>
      <c r="D409">
        <v>71.67</v>
      </c>
      <c r="E409" t="s">
        <v>44</v>
      </c>
      <c r="F409" t="s">
        <v>2023</v>
      </c>
      <c r="G409" t="s">
        <v>22</v>
      </c>
      <c r="H409" t="s">
        <v>97</v>
      </c>
      <c r="I409" t="s">
        <v>2024</v>
      </c>
      <c r="J409">
        <v>50</v>
      </c>
      <c r="K409" t="s">
        <v>37</v>
      </c>
      <c r="L409" t="s">
        <v>91</v>
      </c>
      <c r="M409" t="s">
        <v>39</v>
      </c>
      <c r="P409" t="s">
        <v>28</v>
      </c>
      <c r="Q409" t="s">
        <v>2025</v>
      </c>
      <c r="R409" t="s">
        <v>2026</v>
      </c>
      <c r="S409" t="s">
        <v>31</v>
      </c>
      <c r="T409">
        <v>0</v>
      </c>
    </row>
    <row r="410" spans="1:20" x14ac:dyDescent="0.25">
      <c r="A410" t="s">
        <v>2027</v>
      </c>
      <c r="B410" s="1">
        <v>45830</v>
      </c>
      <c r="C410" s="5">
        <v>0.85936342592592596</v>
      </c>
      <c r="D410">
        <v>184.01</v>
      </c>
      <c r="E410" t="s">
        <v>44</v>
      </c>
      <c r="F410" t="s">
        <v>668</v>
      </c>
      <c r="G410" t="s">
        <v>96</v>
      </c>
      <c r="H410" t="s">
        <v>248</v>
      </c>
      <c r="I410" t="s">
        <v>2028</v>
      </c>
      <c r="J410">
        <v>58</v>
      </c>
      <c r="K410" t="s">
        <v>25</v>
      </c>
      <c r="L410" t="s">
        <v>110</v>
      </c>
      <c r="M410" t="s">
        <v>27</v>
      </c>
      <c r="P410" t="s">
        <v>28</v>
      </c>
      <c r="Q410" t="s">
        <v>2029</v>
      </c>
      <c r="R410" t="s">
        <v>2030</v>
      </c>
      <c r="S410" t="s">
        <v>31</v>
      </c>
      <c r="T410">
        <v>0</v>
      </c>
    </row>
    <row r="411" spans="1:20" x14ac:dyDescent="0.25">
      <c r="A411" t="s">
        <v>2031</v>
      </c>
      <c r="B411" s="1">
        <v>45960</v>
      </c>
      <c r="C411" s="5">
        <v>0.44131944444444443</v>
      </c>
      <c r="D411">
        <v>2.88</v>
      </c>
      <c r="E411" t="s">
        <v>44</v>
      </c>
      <c r="F411" t="s">
        <v>571</v>
      </c>
      <c r="G411" t="s">
        <v>64</v>
      </c>
      <c r="H411" t="s">
        <v>110</v>
      </c>
      <c r="I411" t="s">
        <v>2032</v>
      </c>
      <c r="J411">
        <v>42</v>
      </c>
      <c r="K411" t="s">
        <v>25</v>
      </c>
      <c r="L411" t="s">
        <v>50</v>
      </c>
      <c r="M411" t="s">
        <v>105</v>
      </c>
      <c r="P411" t="s">
        <v>28</v>
      </c>
      <c r="Q411" t="s">
        <v>2033</v>
      </c>
      <c r="R411" t="s">
        <v>2034</v>
      </c>
      <c r="S411" t="s">
        <v>42</v>
      </c>
      <c r="T411">
        <v>0</v>
      </c>
    </row>
    <row r="412" spans="1:20" x14ac:dyDescent="0.25">
      <c r="A412" t="s">
        <v>2035</v>
      </c>
      <c r="B412" s="1">
        <v>45870</v>
      </c>
      <c r="C412" s="5">
        <v>0.68116898148148153</v>
      </c>
      <c r="D412">
        <v>112.13</v>
      </c>
      <c r="E412" t="s">
        <v>44</v>
      </c>
      <c r="F412" t="s">
        <v>1133</v>
      </c>
      <c r="G412" t="s">
        <v>57</v>
      </c>
      <c r="H412" t="s">
        <v>47</v>
      </c>
      <c r="I412" t="s">
        <v>2036</v>
      </c>
      <c r="J412">
        <v>66</v>
      </c>
      <c r="K412" t="s">
        <v>37</v>
      </c>
      <c r="L412" t="s">
        <v>35</v>
      </c>
      <c r="M412" t="s">
        <v>39</v>
      </c>
      <c r="P412" t="s">
        <v>28</v>
      </c>
      <c r="Q412" t="s">
        <v>2037</v>
      </c>
      <c r="R412" t="s">
        <v>2038</v>
      </c>
      <c r="S412" t="s">
        <v>31</v>
      </c>
      <c r="T412">
        <v>0</v>
      </c>
    </row>
    <row r="413" spans="1:20" x14ac:dyDescent="0.25">
      <c r="A413" t="s">
        <v>2039</v>
      </c>
      <c r="B413" s="1">
        <v>45799</v>
      </c>
      <c r="C413" s="5">
        <v>0.82210648148148147</v>
      </c>
      <c r="D413">
        <v>79.94</v>
      </c>
      <c r="E413" t="s">
        <v>44</v>
      </c>
      <c r="F413" t="s">
        <v>1883</v>
      </c>
      <c r="G413" t="s">
        <v>57</v>
      </c>
      <c r="H413" t="s">
        <v>26</v>
      </c>
      <c r="I413" t="s">
        <v>2040</v>
      </c>
      <c r="J413">
        <v>53</v>
      </c>
      <c r="K413" t="s">
        <v>37</v>
      </c>
      <c r="L413" t="s">
        <v>47</v>
      </c>
      <c r="M413" t="s">
        <v>27</v>
      </c>
      <c r="P413" t="s">
        <v>28</v>
      </c>
      <c r="Q413" t="s">
        <v>2041</v>
      </c>
      <c r="R413" t="s">
        <v>2042</v>
      </c>
      <c r="S413" t="s">
        <v>31</v>
      </c>
      <c r="T413">
        <v>0</v>
      </c>
    </row>
    <row r="414" spans="1:20" x14ac:dyDescent="0.25">
      <c r="A414" t="s">
        <v>2043</v>
      </c>
      <c r="B414" s="1">
        <v>45839</v>
      </c>
      <c r="C414" s="5">
        <v>0.10016203703703704</v>
      </c>
      <c r="D414">
        <v>26.14</v>
      </c>
      <c r="E414" t="s">
        <v>44</v>
      </c>
      <c r="F414" t="s">
        <v>2044</v>
      </c>
      <c r="G414" t="s">
        <v>124</v>
      </c>
      <c r="H414" t="s">
        <v>97</v>
      </c>
      <c r="I414" t="s">
        <v>2045</v>
      </c>
      <c r="J414">
        <v>43</v>
      </c>
      <c r="K414" t="s">
        <v>49</v>
      </c>
      <c r="L414" t="s">
        <v>91</v>
      </c>
      <c r="M414" t="s">
        <v>105</v>
      </c>
      <c r="P414" t="s">
        <v>28</v>
      </c>
      <c r="Q414" t="s">
        <v>2046</v>
      </c>
      <c r="R414" t="s">
        <v>2047</v>
      </c>
      <c r="S414" t="s">
        <v>31</v>
      </c>
      <c r="T414">
        <v>0</v>
      </c>
    </row>
    <row r="415" spans="1:20" x14ac:dyDescent="0.25">
      <c r="A415" t="s">
        <v>2048</v>
      </c>
      <c r="B415" s="1">
        <v>45795</v>
      </c>
      <c r="C415" s="5">
        <v>0.42903935185185182</v>
      </c>
      <c r="D415">
        <v>21.24</v>
      </c>
      <c r="E415" t="s">
        <v>44</v>
      </c>
      <c r="F415" t="s">
        <v>2049</v>
      </c>
      <c r="G415" t="s">
        <v>96</v>
      </c>
      <c r="H415" t="s">
        <v>47</v>
      </c>
      <c r="I415" t="s">
        <v>2050</v>
      </c>
      <c r="J415">
        <v>32</v>
      </c>
      <c r="K415" t="s">
        <v>49</v>
      </c>
      <c r="L415" t="s">
        <v>119</v>
      </c>
      <c r="M415" t="s">
        <v>39</v>
      </c>
      <c r="P415" t="s">
        <v>28</v>
      </c>
      <c r="Q415" t="s">
        <v>2051</v>
      </c>
      <c r="R415" t="s">
        <v>2052</v>
      </c>
      <c r="S415" t="s">
        <v>31</v>
      </c>
      <c r="T415">
        <v>0</v>
      </c>
    </row>
    <row r="416" spans="1:20" x14ac:dyDescent="0.25">
      <c r="A416" t="s">
        <v>2053</v>
      </c>
      <c r="B416" s="1">
        <v>45810</v>
      </c>
      <c r="C416" s="5">
        <v>0.7399768518518518</v>
      </c>
      <c r="D416">
        <v>106.91</v>
      </c>
      <c r="E416" t="s">
        <v>44</v>
      </c>
      <c r="F416" t="s">
        <v>232</v>
      </c>
      <c r="G416" t="s">
        <v>77</v>
      </c>
      <c r="H416" t="s">
        <v>110</v>
      </c>
      <c r="I416" t="s">
        <v>2054</v>
      </c>
      <c r="J416">
        <v>29</v>
      </c>
      <c r="K416" t="s">
        <v>49</v>
      </c>
      <c r="L416" t="s">
        <v>66</v>
      </c>
      <c r="M416" t="s">
        <v>112</v>
      </c>
      <c r="P416" t="s">
        <v>28</v>
      </c>
      <c r="Q416" t="s">
        <v>2055</v>
      </c>
      <c r="R416" t="s">
        <v>2056</v>
      </c>
      <c r="S416" t="s">
        <v>31</v>
      </c>
      <c r="T416">
        <v>0</v>
      </c>
    </row>
    <row r="417" spans="1:20" x14ac:dyDescent="0.25">
      <c r="A417" t="s">
        <v>2057</v>
      </c>
      <c r="B417" s="1">
        <v>45868</v>
      </c>
      <c r="C417" s="5">
        <v>8.4953703703703701E-3</v>
      </c>
      <c r="D417">
        <v>24.07</v>
      </c>
      <c r="E417" t="s">
        <v>44</v>
      </c>
      <c r="F417" t="s">
        <v>1291</v>
      </c>
      <c r="G417" t="s">
        <v>96</v>
      </c>
      <c r="H417" t="s">
        <v>66</v>
      </c>
      <c r="I417" t="s">
        <v>2058</v>
      </c>
      <c r="J417">
        <v>65</v>
      </c>
      <c r="K417" t="s">
        <v>37</v>
      </c>
      <c r="L417" t="s">
        <v>47</v>
      </c>
      <c r="M417" t="s">
        <v>105</v>
      </c>
      <c r="P417" t="s">
        <v>28</v>
      </c>
      <c r="Q417" t="s">
        <v>2059</v>
      </c>
      <c r="R417" t="s">
        <v>2060</v>
      </c>
      <c r="S417" t="s">
        <v>31</v>
      </c>
      <c r="T417">
        <v>0</v>
      </c>
    </row>
    <row r="418" spans="1:20" x14ac:dyDescent="0.25">
      <c r="A418" t="s">
        <v>2061</v>
      </c>
      <c r="B418" s="1">
        <v>45909</v>
      </c>
      <c r="C418" s="5">
        <v>0.22628472222222223</v>
      </c>
      <c r="D418">
        <v>122.65</v>
      </c>
      <c r="E418" t="s">
        <v>44</v>
      </c>
      <c r="F418" t="s">
        <v>2062</v>
      </c>
      <c r="G418" t="s">
        <v>22</v>
      </c>
      <c r="H418" t="s">
        <v>58</v>
      </c>
      <c r="I418" t="s">
        <v>2063</v>
      </c>
      <c r="J418">
        <v>46</v>
      </c>
      <c r="K418" t="s">
        <v>49</v>
      </c>
      <c r="L418" t="s">
        <v>58</v>
      </c>
      <c r="M418" t="s">
        <v>27</v>
      </c>
      <c r="P418" t="s">
        <v>113</v>
      </c>
      <c r="Q418" t="s">
        <v>2064</v>
      </c>
      <c r="R418" t="s">
        <v>2065</v>
      </c>
      <c r="S418" t="s">
        <v>31</v>
      </c>
      <c r="T418">
        <v>1</v>
      </c>
    </row>
    <row r="419" spans="1:20" x14ac:dyDescent="0.25">
      <c r="A419" t="s">
        <v>2066</v>
      </c>
      <c r="B419" s="1">
        <v>45788</v>
      </c>
      <c r="C419" s="5">
        <v>0.66668981481481482</v>
      </c>
      <c r="D419">
        <v>29.35</v>
      </c>
      <c r="E419" t="s">
        <v>44</v>
      </c>
      <c r="F419" t="s">
        <v>1504</v>
      </c>
      <c r="G419" t="s">
        <v>22</v>
      </c>
      <c r="H419" t="s">
        <v>47</v>
      </c>
      <c r="I419" t="s">
        <v>2067</v>
      </c>
      <c r="J419">
        <v>72</v>
      </c>
      <c r="K419" t="s">
        <v>37</v>
      </c>
      <c r="L419" t="s">
        <v>23</v>
      </c>
      <c r="M419" t="s">
        <v>27</v>
      </c>
      <c r="P419" t="s">
        <v>28</v>
      </c>
      <c r="Q419" t="s">
        <v>2068</v>
      </c>
      <c r="R419" t="s">
        <v>2069</v>
      </c>
      <c r="S419" t="s">
        <v>31</v>
      </c>
      <c r="T419">
        <v>0</v>
      </c>
    </row>
    <row r="420" spans="1:20" x14ac:dyDescent="0.25">
      <c r="A420" t="s">
        <v>2070</v>
      </c>
      <c r="B420" s="1">
        <v>45849</v>
      </c>
      <c r="C420" s="5">
        <v>0.42953703703703705</v>
      </c>
      <c r="D420">
        <v>995.93</v>
      </c>
      <c r="E420" t="s">
        <v>44</v>
      </c>
      <c r="F420" t="s">
        <v>1637</v>
      </c>
      <c r="G420" t="s">
        <v>46</v>
      </c>
      <c r="H420" t="s">
        <v>50</v>
      </c>
      <c r="I420" t="s">
        <v>2071</v>
      </c>
      <c r="J420">
        <v>52</v>
      </c>
      <c r="K420" t="s">
        <v>49</v>
      </c>
      <c r="L420" t="s">
        <v>248</v>
      </c>
      <c r="M420" t="s">
        <v>105</v>
      </c>
      <c r="P420" t="s">
        <v>28</v>
      </c>
      <c r="Q420" t="s">
        <v>2072</v>
      </c>
      <c r="R420" t="s">
        <v>2073</v>
      </c>
      <c r="S420" t="s">
        <v>31</v>
      </c>
      <c r="T420">
        <v>1</v>
      </c>
    </row>
    <row r="421" spans="1:20" x14ac:dyDescent="0.25">
      <c r="A421" t="s">
        <v>2074</v>
      </c>
      <c r="B421" s="1">
        <v>45805</v>
      </c>
      <c r="C421" s="5">
        <v>0.14342592592592593</v>
      </c>
      <c r="D421">
        <v>44.7</v>
      </c>
      <c r="E421" t="s">
        <v>44</v>
      </c>
      <c r="F421" t="s">
        <v>2075</v>
      </c>
      <c r="G421" t="s">
        <v>89</v>
      </c>
      <c r="H421" t="s">
        <v>248</v>
      </c>
      <c r="I421" t="s">
        <v>2076</v>
      </c>
      <c r="J421">
        <v>57</v>
      </c>
      <c r="K421" t="s">
        <v>37</v>
      </c>
      <c r="L421" t="s">
        <v>119</v>
      </c>
      <c r="M421" t="s">
        <v>39</v>
      </c>
      <c r="P421" t="s">
        <v>28</v>
      </c>
      <c r="Q421" t="s">
        <v>2077</v>
      </c>
      <c r="R421" t="s">
        <v>2078</v>
      </c>
      <c r="S421" t="s">
        <v>31</v>
      </c>
      <c r="T421">
        <v>0</v>
      </c>
    </row>
    <row r="422" spans="1:20" x14ac:dyDescent="0.25">
      <c r="A422" t="s">
        <v>2079</v>
      </c>
      <c r="B422" s="1">
        <v>45794</v>
      </c>
      <c r="C422" s="5">
        <v>0.85032407407407407</v>
      </c>
      <c r="D422">
        <v>34.11</v>
      </c>
      <c r="E422" t="s">
        <v>44</v>
      </c>
      <c r="F422" t="s">
        <v>2080</v>
      </c>
      <c r="G422" t="s">
        <v>57</v>
      </c>
      <c r="H422" t="s">
        <v>97</v>
      </c>
      <c r="I422" t="s">
        <v>2081</v>
      </c>
      <c r="J422">
        <v>33</v>
      </c>
      <c r="K422" t="s">
        <v>25</v>
      </c>
      <c r="L422" t="s">
        <v>66</v>
      </c>
      <c r="M422" t="s">
        <v>112</v>
      </c>
      <c r="P422" t="s">
        <v>28</v>
      </c>
      <c r="Q422" t="s">
        <v>2082</v>
      </c>
      <c r="R422" t="s">
        <v>2083</v>
      </c>
      <c r="S422" t="s">
        <v>31</v>
      </c>
      <c r="T422">
        <v>0</v>
      </c>
    </row>
    <row r="423" spans="1:20" x14ac:dyDescent="0.25">
      <c r="A423" t="s">
        <v>2084</v>
      </c>
      <c r="B423" s="1">
        <v>45821</v>
      </c>
      <c r="C423" s="5">
        <v>0.32217592592592592</v>
      </c>
      <c r="D423">
        <v>100.85</v>
      </c>
      <c r="E423" t="s">
        <v>44</v>
      </c>
      <c r="F423" t="s">
        <v>109</v>
      </c>
      <c r="G423" t="s">
        <v>22</v>
      </c>
      <c r="H423" t="s">
        <v>146</v>
      </c>
      <c r="I423" t="s">
        <v>2085</v>
      </c>
      <c r="J423">
        <v>52</v>
      </c>
      <c r="K423" t="s">
        <v>37</v>
      </c>
      <c r="L423" t="s">
        <v>110</v>
      </c>
      <c r="M423" t="s">
        <v>112</v>
      </c>
      <c r="P423" t="s">
        <v>28</v>
      </c>
      <c r="Q423" t="s">
        <v>2086</v>
      </c>
      <c r="R423" t="s">
        <v>2087</v>
      </c>
      <c r="S423" t="s">
        <v>31</v>
      </c>
      <c r="T423">
        <v>0</v>
      </c>
    </row>
    <row r="424" spans="1:20" x14ac:dyDescent="0.25">
      <c r="A424" t="s">
        <v>2088</v>
      </c>
      <c r="B424" s="1">
        <v>45860</v>
      </c>
      <c r="C424" s="5">
        <v>0.47612268518518519</v>
      </c>
      <c r="D424">
        <v>115.18</v>
      </c>
      <c r="E424" t="s">
        <v>44</v>
      </c>
      <c r="F424" t="s">
        <v>2089</v>
      </c>
      <c r="G424" t="s">
        <v>64</v>
      </c>
      <c r="H424" t="s">
        <v>248</v>
      </c>
      <c r="I424" t="s">
        <v>2090</v>
      </c>
      <c r="J424">
        <v>54</v>
      </c>
      <c r="K424" t="s">
        <v>37</v>
      </c>
      <c r="L424" t="s">
        <v>130</v>
      </c>
      <c r="M424" t="s">
        <v>51</v>
      </c>
      <c r="N424" t="s">
        <v>507</v>
      </c>
      <c r="O424">
        <v>432819</v>
      </c>
      <c r="P424" t="s">
        <v>28</v>
      </c>
      <c r="Q424" t="s">
        <v>2091</v>
      </c>
      <c r="R424" t="s">
        <v>2092</v>
      </c>
      <c r="S424" t="s">
        <v>31</v>
      </c>
      <c r="T424">
        <v>0</v>
      </c>
    </row>
    <row r="425" spans="1:20" x14ac:dyDescent="0.25">
      <c r="A425" t="s">
        <v>2093</v>
      </c>
      <c r="B425" s="1">
        <v>45916</v>
      </c>
      <c r="C425" s="5">
        <v>0.70407407407407407</v>
      </c>
      <c r="D425">
        <v>196.92</v>
      </c>
      <c r="E425" t="s">
        <v>44</v>
      </c>
      <c r="F425" t="s">
        <v>2094</v>
      </c>
      <c r="G425" t="s">
        <v>71</v>
      </c>
      <c r="H425" t="s">
        <v>23</v>
      </c>
      <c r="I425" t="s">
        <v>2095</v>
      </c>
      <c r="J425">
        <v>74</v>
      </c>
      <c r="K425" t="s">
        <v>25</v>
      </c>
      <c r="L425" t="s">
        <v>35</v>
      </c>
      <c r="M425" t="s">
        <v>112</v>
      </c>
      <c r="P425" t="s">
        <v>28</v>
      </c>
      <c r="Q425" t="s">
        <v>2096</v>
      </c>
      <c r="R425" t="s">
        <v>2097</v>
      </c>
      <c r="S425" t="s">
        <v>31</v>
      </c>
      <c r="T425">
        <v>0</v>
      </c>
    </row>
    <row r="426" spans="1:20" x14ac:dyDescent="0.25">
      <c r="A426" t="s">
        <v>2098</v>
      </c>
      <c r="B426" s="1">
        <v>45926</v>
      </c>
      <c r="C426" s="5">
        <v>0.70709490740740744</v>
      </c>
      <c r="D426">
        <v>321.95999999999998</v>
      </c>
      <c r="E426" t="s">
        <v>44</v>
      </c>
      <c r="F426" t="s">
        <v>2099</v>
      </c>
      <c r="G426" t="s">
        <v>34</v>
      </c>
      <c r="H426" t="s">
        <v>47</v>
      </c>
      <c r="I426" t="s">
        <v>2100</v>
      </c>
      <c r="J426">
        <v>52</v>
      </c>
      <c r="K426" t="s">
        <v>37</v>
      </c>
      <c r="L426" t="s">
        <v>38</v>
      </c>
      <c r="M426" t="s">
        <v>112</v>
      </c>
      <c r="P426" t="s">
        <v>28</v>
      </c>
      <c r="Q426" t="s">
        <v>2101</v>
      </c>
      <c r="R426" t="s">
        <v>2102</v>
      </c>
      <c r="S426" t="s">
        <v>31</v>
      </c>
      <c r="T426">
        <v>0</v>
      </c>
    </row>
    <row r="427" spans="1:20" x14ac:dyDescent="0.25">
      <c r="A427" t="s">
        <v>2103</v>
      </c>
      <c r="B427" s="1">
        <v>45920</v>
      </c>
      <c r="C427" s="5">
        <v>3.0405092592592591E-2</v>
      </c>
      <c r="D427">
        <v>3984.23</v>
      </c>
      <c r="E427" t="s">
        <v>44</v>
      </c>
      <c r="F427" t="s">
        <v>2104</v>
      </c>
      <c r="G427" t="s">
        <v>96</v>
      </c>
      <c r="H427" t="s">
        <v>47</v>
      </c>
      <c r="I427" t="s">
        <v>2105</v>
      </c>
      <c r="J427">
        <v>41</v>
      </c>
      <c r="K427" t="s">
        <v>49</v>
      </c>
      <c r="L427" t="s">
        <v>119</v>
      </c>
      <c r="M427" t="s">
        <v>84</v>
      </c>
      <c r="P427" t="s">
        <v>28</v>
      </c>
      <c r="Q427" t="s">
        <v>2106</v>
      </c>
      <c r="R427" t="s">
        <v>2107</v>
      </c>
      <c r="S427" t="s">
        <v>31</v>
      </c>
      <c r="T427">
        <v>0</v>
      </c>
    </row>
    <row r="428" spans="1:20" x14ac:dyDescent="0.25">
      <c r="A428" t="s">
        <v>2108</v>
      </c>
      <c r="B428" s="1">
        <v>45854</v>
      </c>
      <c r="C428" s="5">
        <v>0.34254629629629629</v>
      </c>
      <c r="D428">
        <v>913.22</v>
      </c>
      <c r="E428" t="s">
        <v>44</v>
      </c>
      <c r="F428" t="s">
        <v>399</v>
      </c>
      <c r="G428" t="s">
        <v>77</v>
      </c>
      <c r="H428" t="s">
        <v>130</v>
      </c>
      <c r="I428" t="s">
        <v>2109</v>
      </c>
      <c r="J428">
        <v>56</v>
      </c>
      <c r="K428" t="s">
        <v>25</v>
      </c>
      <c r="L428" t="s">
        <v>248</v>
      </c>
      <c r="M428" t="s">
        <v>84</v>
      </c>
      <c r="P428" t="s">
        <v>28</v>
      </c>
      <c r="Q428" t="s">
        <v>2110</v>
      </c>
      <c r="R428" t="s">
        <v>2111</v>
      </c>
      <c r="S428" t="s">
        <v>42</v>
      </c>
      <c r="T428">
        <v>0</v>
      </c>
    </row>
    <row r="429" spans="1:20" x14ac:dyDescent="0.25">
      <c r="A429" t="s">
        <v>2112</v>
      </c>
      <c r="B429" s="1">
        <v>45807</v>
      </c>
      <c r="C429" s="5">
        <v>3.664351851851852E-2</v>
      </c>
      <c r="D429">
        <v>287.37</v>
      </c>
      <c r="E429" t="s">
        <v>44</v>
      </c>
      <c r="F429" t="s">
        <v>232</v>
      </c>
      <c r="G429" t="s">
        <v>22</v>
      </c>
      <c r="H429" t="s">
        <v>35</v>
      </c>
      <c r="I429" t="s">
        <v>2113</v>
      </c>
      <c r="J429">
        <v>51</v>
      </c>
      <c r="K429" t="s">
        <v>49</v>
      </c>
      <c r="L429" t="s">
        <v>97</v>
      </c>
      <c r="M429" t="s">
        <v>39</v>
      </c>
      <c r="P429" t="s">
        <v>28</v>
      </c>
      <c r="Q429" t="s">
        <v>2114</v>
      </c>
      <c r="R429" t="s">
        <v>2115</v>
      </c>
      <c r="S429" t="s">
        <v>31</v>
      </c>
      <c r="T429">
        <v>0</v>
      </c>
    </row>
    <row r="430" spans="1:20" x14ac:dyDescent="0.25">
      <c r="A430" t="s">
        <v>2116</v>
      </c>
      <c r="B430" s="1">
        <v>45858</v>
      </c>
      <c r="C430" s="5">
        <v>0.28946759259259258</v>
      </c>
      <c r="D430">
        <v>42.56</v>
      </c>
      <c r="E430" t="s">
        <v>44</v>
      </c>
      <c r="F430" t="s">
        <v>586</v>
      </c>
      <c r="G430" t="s">
        <v>77</v>
      </c>
      <c r="H430" t="s">
        <v>146</v>
      </c>
      <c r="I430" t="s">
        <v>2117</v>
      </c>
      <c r="J430">
        <v>74</v>
      </c>
      <c r="K430" t="s">
        <v>37</v>
      </c>
      <c r="L430" t="s">
        <v>23</v>
      </c>
      <c r="M430" t="s">
        <v>84</v>
      </c>
      <c r="P430" t="s">
        <v>28</v>
      </c>
      <c r="Q430" t="s">
        <v>2118</v>
      </c>
      <c r="R430" t="s">
        <v>2119</v>
      </c>
      <c r="S430" t="s">
        <v>31</v>
      </c>
      <c r="T430">
        <v>0</v>
      </c>
    </row>
    <row r="431" spans="1:20" x14ac:dyDescent="0.25">
      <c r="A431" t="s">
        <v>2120</v>
      </c>
      <c r="B431" s="1">
        <v>45809</v>
      </c>
      <c r="C431" s="5">
        <v>0.99181712962962965</v>
      </c>
      <c r="D431">
        <v>148.66999999999999</v>
      </c>
      <c r="E431" t="s">
        <v>44</v>
      </c>
      <c r="F431" t="s">
        <v>2121</v>
      </c>
      <c r="G431" t="s">
        <v>71</v>
      </c>
      <c r="H431" t="s">
        <v>110</v>
      </c>
      <c r="I431" t="s">
        <v>2122</v>
      </c>
      <c r="J431">
        <v>41</v>
      </c>
      <c r="K431" t="s">
        <v>25</v>
      </c>
      <c r="L431" t="s">
        <v>146</v>
      </c>
      <c r="M431" t="s">
        <v>84</v>
      </c>
      <c r="P431" t="s">
        <v>28</v>
      </c>
      <c r="Q431" t="s">
        <v>2123</v>
      </c>
      <c r="R431" t="s">
        <v>2124</v>
      </c>
      <c r="S431" t="s">
        <v>31</v>
      </c>
      <c r="T431">
        <v>1</v>
      </c>
    </row>
    <row r="432" spans="1:20" x14ac:dyDescent="0.25">
      <c r="A432" t="s">
        <v>2125</v>
      </c>
      <c r="B432" s="1">
        <v>45877</v>
      </c>
      <c r="C432" s="5">
        <v>0.88523148148148145</v>
      </c>
      <c r="D432">
        <v>92.11</v>
      </c>
      <c r="E432" t="s">
        <v>44</v>
      </c>
      <c r="F432" t="s">
        <v>2126</v>
      </c>
      <c r="G432" t="s">
        <v>89</v>
      </c>
      <c r="H432" t="s">
        <v>130</v>
      </c>
      <c r="I432" t="s">
        <v>2127</v>
      </c>
      <c r="J432">
        <v>67</v>
      </c>
      <c r="K432" t="s">
        <v>49</v>
      </c>
      <c r="L432" t="s">
        <v>50</v>
      </c>
      <c r="M432" t="s">
        <v>51</v>
      </c>
      <c r="N432" t="s">
        <v>52</v>
      </c>
      <c r="O432">
        <v>552131</v>
      </c>
      <c r="P432" t="s">
        <v>28</v>
      </c>
      <c r="Q432" t="s">
        <v>2128</v>
      </c>
      <c r="R432" t="s">
        <v>2129</v>
      </c>
      <c r="S432" t="s">
        <v>31</v>
      </c>
      <c r="T432">
        <v>0</v>
      </c>
    </row>
    <row r="433" spans="1:20" x14ac:dyDescent="0.25">
      <c r="A433" t="s">
        <v>2130</v>
      </c>
      <c r="B433" s="1">
        <v>45804</v>
      </c>
      <c r="C433" s="5">
        <v>9.5613425925925921E-2</v>
      </c>
      <c r="D433">
        <v>144.82</v>
      </c>
      <c r="E433" t="s">
        <v>44</v>
      </c>
      <c r="F433" t="s">
        <v>1210</v>
      </c>
      <c r="G433" t="s">
        <v>96</v>
      </c>
      <c r="H433" t="s">
        <v>66</v>
      </c>
      <c r="I433" t="s">
        <v>2131</v>
      </c>
      <c r="J433">
        <v>38</v>
      </c>
      <c r="K433" t="s">
        <v>25</v>
      </c>
      <c r="L433" t="s">
        <v>146</v>
      </c>
      <c r="M433" t="s">
        <v>27</v>
      </c>
      <c r="P433" t="s">
        <v>28</v>
      </c>
      <c r="Q433" t="s">
        <v>2132</v>
      </c>
      <c r="R433" t="s">
        <v>2133</v>
      </c>
      <c r="S433" t="s">
        <v>101</v>
      </c>
      <c r="T433">
        <v>0</v>
      </c>
    </row>
    <row r="434" spans="1:20" x14ac:dyDescent="0.25">
      <c r="A434" t="s">
        <v>2134</v>
      </c>
      <c r="B434" s="1">
        <v>45828</v>
      </c>
      <c r="C434" s="5">
        <v>0.33964120370370371</v>
      </c>
      <c r="D434">
        <v>3766.66</v>
      </c>
      <c r="E434" t="s">
        <v>44</v>
      </c>
      <c r="F434" t="s">
        <v>1883</v>
      </c>
      <c r="G434" t="s">
        <v>64</v>
      </c>
      <c r="H434" t="s">
        <v>91</v>
      </c>
      <c r="I434" t="s">
        <v>2135</v>
      </c>
      <c r="J434">
        <v>53</v>
      </c>
      <c r="K434" t="s">
        <v>37</v>
      </c>
      <c r="L434" t="s">
        <v>23</v>
      </c>
      <c r="M434" t="s">
        <v>27</v>
      </c>
      <c r="P434" t="s">
        <v>28</v>
      </c>
      <c r="Q434" t="s">
        <v>2136</v>
      </c>
      <c r="R434" t="s">
        <v>2137</v>
      </c>
      <c r="S434" t="s">
        <v>31</v>
      </c>
      <c r="T434">
        <v>0</v>
      </c>
    </row>
    <row r="435" spans="1:20" x14ac:dyDescent="0.25">
      <c r="A435" t="s">
        <v>2138</v>
      </c>
      <c r="B435" s="1">
        <v>45917</v>
      </c>
      <c r="C435" s="5">
        <v>1.0254629629629629E-2</v>
      </c>
      <c r="D435">
        <v>196.26</v>
      </c>
      <c r="E435" t="s">
        <v>44</v>
      </c>
      <c r="F435" t="s">
        <v>2139</v>
      </c>
      <c r="G435" t="s">
        <v>124</v>
      </c>
      <c r="H435" t="s">
        <v>47</v>
      </c>
      <c r="I435" t="s">
        <v>2140</v>
      </c>
      <c r="J435">
        <v>57</v>
      </c>
      <c r="K435" t="s">
        <v>49</v>
      </c>
      <c r="L435" t="s">
        <v>26</v>
      </c>
      <c r="M435" t="s">
        <v>112</v>
      </c>
      <c r="P435" t="s">
        <v>28</v>
      </c>
      <c r="Q435" t="s">
        <v>2141</v>
      </c>
      <c r="R435" t="s">
        <v>2142</v>
      </c>
      <c r="S435" t="s">
        <v>31</v>
      </c>
      <c r="T435">
        <v>0</v>
      </c>
    </row>
    <row r="436" spans="1:20" x14ac:dyDescent="0.25">
      <c r="A436" t="s">
        <v>2143</v>
      </c>
      <c r="B436" s="1">
        <v>45843</v>
      </c>
      <c r="C436" s="5">
        <v>0.29017361111111112</v>
      </c>
      <c r="D436">
        <v>42.3</v>
      </c>
      <c r="E436" t="s">
        <v>44</v>
      </c>
      <c r="F436" t="s">
        <v>2144</v>
      </c>
      <c r="G436" t="s">
        <v>22</v>
      </c>
      <c r="H436" t="s">
        <v>47</v>
      </c>
      <c r="I436" t="s">
        <v>2145</v>
      </c>
      <c r="J436">
        <v>75</v>
      </c>
      <c r="K436" t="s">
        <v>49</v>
      </c>
      <c r="L436" t="s">
        <v>130</v>
      </c>
      <c r="M436" t="s">
        <v>84</v>
      </c>
      <c r="P436" t="s">
        <v>28</v>
      </c>
      <c r="Q436" t="s">
        <v>2146</v>
      </c>
      <c r="R436" t="s">
        <v>2147</v>
      </c>
      <c r="S436" t="s">
        <v>31</v>
      </c>
      <c r="T436">
        <v>0</v>
      </c>
    </row>
    <row r="437" spans="1:20" x14ac:dyDescent="0.25">
      <c r="A437" t="s">
        <v>2148</v>
      </c>
      <c r="B437" s="1">
        <v>45913</v>
      </c>
      <c r="C437" s="5">
        <v>0.39928240740740739</v>
      </c>
      <c r="D437">
        <v>36.130000000000003</v>
      </c>
      <c r="E437" t="s">
        <v>44</v>
      </c>
      <c r="F437" t="s">
        <v>2149</v>
      </c>
      <c r="G437" t="s">
        <v>57</v>
      </c>
      <c r="H437" t="s">
        <v>38</v>
      </c>
      <c r="I437" t="s">
        <v>2150</v>
      </c>
      <c r="J437">
        <v>73</v>
      </c>
      <c r="K437" t="s">
        <v>37</v>
      </c>
      <c r="L437" t="s">
        <v>26</v>
      </c>
      <c r="M437" t="s">
        <v>112</v>
      </c>
      <c r="P437" t="s">
        <v>28</v>
      </c>
      <c r="Q437" t="s">
        <v>2151</v>
      </c>
      <c r="R437" t="s">
        <v>2152</v>
      </c>
      <c r="S437" t="s">
        <v>31</v>
      </c>
      <c r="T437">
        <v>0</v>
      </c>
    </row>
    <row r="438" spans="1:20" x14ac:dyDescent="0.25">
      <c r="A438" t="s">
        <v>2153</v>
      </c>
      <c r="B438" s="1">
        <v>45955</v>
      </c>
      <c r="C438" s="5">
        <v>0.62140046296296292</v>
      </c>
      <c r="D438">
        <v>20.36</v>
      </c>
      <c r="E438" t="s">
        <v>44</v>
      </c>
      <c r="F438" t="s">
        <v>418</v>
      </c>
      <c r="G438" t="s">
        <v>64</v>
      </c>
      <c r="H438" t="s">
        <v>130</v>
      </c>
      <c r="I438" t="s">
        <v>2154</v>
      </c>
      <c r="J438">
        <v>59</v>
      </c>
      <c r="K438" t="s">
        <v>49</v>
      </c>
      <c r="L438" t="s">
        <v>248</v>
      </c>
      <c r="M438" t="s">
        <v>27</v>
      </c>
      <c r="P438" t="s">
        <v>28</v>
      </c>
      <c r="Q438" t="s">
        <v>2155</v>
      </c>
      <c r="R438" t="s">
        <v>2156</v>
      </c>
      <c r="S438" t="s">
        <v>31</v>
      </c>
      <c r="T438">
        <v>0</v>
      </c>
    </row>
    <row r="439" spans="1:20" x14ac:dyDescent="0.25">
      <c r="A439" t="s">
        <v>2157</v>
      </c>
      <c r="B439" s="1">
        <v>45843</v>
      </c>
      <c r="C439" s="5">
        <v>0.47422453703703704</v>
      </c>
      <c r="D439">
        <v>51.83</v>
      </c>
      <c r="E439" t="s">
        <v>44</v>
      </c>
      <c r="F439" t="s">
        <v>2158</v>
      </c>
      <c r="G439" t="s">
        <v>89</v>
      </c>
      <c r="H439" t="s">
        <v>58</v>
      </c>
      <c r="I439" t="s">
        <v>2159</v>
      </c>
      <c r="J439">
        <v>66</v>
      </c>
      <c r="K439" t="s">
        <v>37</v>
      </c>
      <c r="L439" t="s">
        <v>26</v>
      </c>
      <c r="M439" t="s">
        <v>105</v>
      </c>
      <c r="P439" t="s">
        <v>28</v>
      </c>
      <c r="Q439" t="s">
        <v>2160</v>
      </c>
      <c r="R439" t="s">
        <v>2161</v>
      </c>
      <c r="S439" t="s">
        <v>31</v>
      </c>
      <c r="T439">
        <v>0</v>
      </c>
    </row>
    <row r="440" spans="1:20" x14ac:dyDescent="0.25">
      <c r="A440" t="s">
        <v>2162</v>
      </c>
      <c r="B440" s="1">
        <v>45953</v>
      </c>
      <c r="C440" s="5">
        <v>0.74252314814814813</v>
      </c>
      <c r="D440">
        <v>79.010000000000005</v>
      </c>
      <c r="E440" t="s">
        <v>44</v>
      </c>
      <c r="F440" t="s">
        <v>2163</v>
      </c>
      <c r="G440" t="s">
        <v>34</v>
      </c>
      <c r="H440" t="s">
        <v>110</v>
      </c>
      <c r="I440" t="s">
        <v>2164</v>
      </c>
      <c r="J440">
        <v>55</v>
      </c>
      <c r="K440" t="s">
        <v>49</v>
      </c>
      <c r="L440" t="s">
        <v>23</v>
      </c>
      <c r="M440" t="s">
        <v>27</v>
      </c>
      <c r="P440" t="s">
        <v>28</v>
      </c>
      <c r="Q440" t="s">
        <v>2165</v>
      </c>
      <c r="R440" t="s">
        <v>2166</v>
      </c>
      <c r="S440" t="s">
        <v>31</v>
      </c>
      <c r="T440">
        <v>0</v>
      </c>
    </row>
    <row r="441" spans="1:20" x14ac:dyDescent="0.25">
      <c r="A441" t="s">
        <v>2167</v>
      </c>
      <c r="B441" s="1">
        <v>45872</v>
      </c>
      <c r="C441" s="5">
        <v>0.97746527777777781</v>
      </c>
      <c r="D441">
        <v>44.98</v>
      </c>
      <c r="E441" t="s">
        <v>44</v>
      </c>
      <c r="F441" t="s">
        <v>302</v>
      </c>
      <c r="G441" t="s">
        <v>96</v>
      </c>
      <c r="H441" t="s">
        <v>91</v>
      </c>
      <c r="I441" t="s">
        <v>2168</v>
      </c>
      <c r="J441">
        <v>64</v>
      </c>
      <c r="K441" t="s">
        <v>49</v>
      </c>
      <c r="L441" t="s">
        <v>26</v>
      </c>
      <c r="M441" t="s">
        <v>27</v>
      </c>
      <c r="P441" t="s">
        <v>28</v>
      </c>
      <c r="Q441" t="s">
        <v>2169</v>
      </c>
      <c r="R441" t="s">
        <v>2170</v>
      </c>
      <c r="S441" t="s">
        <v>31</v>
      </c>
      <c r="T441">
        <v>0</v>
      </c>
    </row>
    <row r="442" spans="1:20" x14ac:dyDescent="0.25">
      <c r="A442" t="s">
        <v>2171</v>
      </c>
      <c r="B442" s="1">
        <v>45790</v>
      </c>
      <c r="C442" s="5">
        <v>0.26603009259259258</v>
      </c>
      <c r="D442">
        <v>93.29</v>
      </c>
      <c r="E442" t="s">
        <v>44</v>
      </c>
      <c r="F442" t="s">
        <v>109</v>
      </c>
      <c r="G442" t="s">
        <v>96</v>
      </c>
      <c r="H442" t="s">
        <v>50</v>
      </c>
      <c r="I442" t="s">
        <v>2172</v>
      </c>
      <c r="J442">
        <v>23</v>
      </c>
      <c r="K442" t="s">
        <v>25</v>
      </c>
      <c r="L442" t="s">
        <v>26</v>
      </c>
      <c r="M442" t="s">
        <v>84</v>
      </c>
      <c r="P442" t="s">
        <v>28</v>
      </c>
      <c r="Q442" t="s">
        <v>2173</v>
      </c>
      <c r="R442" t="s">
        <v>2174</v>
      </c>
      <c r="S442" t="s">
        <v>31</v>
      </c>
      <c r="T442">
        <v>0</v>
      </c>
    </row>
    <row r="443" spans="1:20" x14ac:dyDescent="0.25">
      <c r="A443" t="s">
        <v>2175</v>
      </c>
      <c r="B443" s="1">
        <v>45854</v>
      </c>
      <c r="C443" s="5">
        <v>0.89491898148148152</v>
      </c>
      <c r="D443">
        <v>102.6</v>
      </c>
      <c r="E443" t="s">
        <v>44</v>
      </c>
      <c r="F443" t="s">
        <v>2176</v>
      </c>
      <c r="G443" t="s">
        <v>46</v>
      </c>
      <c r="H443" t="s">
        <v>35</v>
      </c>
      <c r="I443" t="s">
        <v>2177</v>
      </c>
      <c r="J443">
        <v>28</v>
      </c>
      <c r="K443" t="s">
        <v>49</v>
      </c>
      <c r="L443" t="s">
        <v>146</v>
      </c>
      <c r="M443" t="s">
        <v>27</v>
      </c>
      <c r="P443" t="s">
        <v>28</v>
      </c>
      <c r="Q443" t="s">
        <v>2178</v>
      </c>
      <c r="R443" t="s">
        <v>2179</v>
      </c>
      <c r="S443" t="s">
        <v>31</v>
      </c>
      <c r="T443">
        <v>0</v>
      </c>
    </row>
    <row r="444" spans="1:20" x14ac:dyDescent="0.25">
      <c r="A444" t="s">
        <v>2180</v>
      </c>
      <c r="B444" s="1">
        <v>45960</v>
      </c>
      <c r="C444" s="5">
        <v>0.29486111111111113</v>
      </c>
      <c r="D444">
        <v>32.4</v>
      </c>
      <c r="E444" t="s">
        <v>44</v>
      </c>
      <c r="F444" t="s">
        <v>2181</v>
      </c>
      <c r="G444" t="s">
        <v>57</v>
      </c>
      <c r="H444" t="s">
        <v>35</v>
      </c>
      <c r="I444" t="s">
        <v>2182</v>
      </c>
      <c r="J444">
        <v>70</v>
      </c>
      <c r="K444" t="s">
        <v>49</v>
      </c>
      <c r="L444" t="s">
        <v>119</v>
      </c>
      <c r="M444" t="s">
        <v>39</v>
      </c>
      <c r="P444" t="s">
        <v>28</v>
      </c>
      <c r="Q444" t="s">
        <v>2183</v>
      </c>
      <c r="R444" t="s">
        <v>2184</v>
      </c>
      <c r="S444" t="s">
        <v>31</v>
      </c>
      <c r="T444">
        <v>0</v>
      </c>
    </row>
    <row r="445" spans="1:20" x14ac:dyDescent="0.25">
      <c r="A445" t="s">
        <v>2185</v>
      </c>
      <c r="B445" s="1">
        <v>45948</v>
      </c>
      <c r="C445" s="5">
        <v>0.35006944444444443</v>
      </c>
      <c r="D445">
        <v>6.12</v>
      </c>
      <c r="E445" t="s">
        <v>44</v>
      </c>
      <c r="F445" t="s">
        <v>171</v>
      </c>
      <c r="G445" t="s">
        <v>89</v>
      </c>
      <c r="H445" t="s">
        <v>97</v>
      </c>
      <c r="I445" t="s">
        <v>2186</v>
      </c>
      <c r="K445" t="s">
        <v>49</v>
      </c>
      <c r="L445" t="s">
        <v>119</v>
      </c>
      <c r="M445" t="s">
        <v>39</v>
      </c>
      <c r="P445" t="s">
        <v>28</v>
      </c>
      <c r="Q445" t="s">
        <v>2187</v>
      </c>
      <c r="R445" t="s">
        <v>2188</v>
      </c>
      <c r="S445" t="s">
        <v>31</v>
      </c>
      <c r="T445">
        <v>0</v>
      </c>
    </row>
    <row r="446" spans="1:20" x14ac:dyDescent="0.25">
      <c r="A446" t="s">
        <v>2189</v>
      </c>
      <c r="B446" s="1">
        <v>45914</v>
      </c>
      <c r="C446" s="5">
        <v>0.86109953703703701</v>
      </c>
      <c r="D446">
        <v>57.43</v>
      </c>
      <c r="E446" t="s">
        <v>44</v>
      </c>
      <c r="F446" t="s">
        <v>2190</v>
      </c>
      <c r="G446" t="s">
        <v>34</v>
      </c>
      <c r="H446" t="s">
        <v>146</v>
      </c>
      <c r="I446" t="s">
        <v>2191</v>
      </c>
      <c r="J446">
        <v>73</v>
      </c>
      <c r="K446" t="s">
        <v>49</v>
      </c>
      <c r="L446" t="s">
        <v>26</v>
      </c>
      <c r="M446" t="s">
        <v>51</v>
      </c>
      <c r="N446" t="s">
        <v>507</v>
      </c>
      <c r="O446">
        <v>411021</v>
      </c>
      <c r="P446" t="s">
        <v>28</v>
      </c>
      <c r="Q446" t="s">
        <v>2192</v>
      </c>
      <c r="R446" t="s">
        <v>2193</v>
      </c>
      <c r="S446" t="s">
        <v>31</v>
      </c>
      <c r="T446">
        <v>0</v>
      </c>
    </row>
    <row r="447" spans="1:20" x14ac:dyDescent="0.25">
      <c r="A447" t="s">
        <v>2194</v>
      </c>
      <c r="B447" s="1">
        <v>45802</v>
      </c>
      <c r="C447" s="5">
        <v>0.77310185185185187</v>
      </c>
      <c r="D447">
        <v>47.11</v>
      </c>
      <c r="E447" t="s">
        <v>44</v>
      </c>
      <c r="F447" t="s">
        <v>2195</v>
      </c>
      <c r="G447" t="s">
        <v>71</v>
      </c>
      <c r="H447" t="s">
        <v>130</v>
      </c>
      <c r="I447" t="s">
        <v>2196</v>
      </c>
      <c r="J447">
        <v>30</v>
      </c>
      <c r="K447" t="s">
        <v>37</v>
      </c>
      <c r="L447" t="s">
        <v>23</v>
      </c>
      <c r="M447" t="s">
        <v>27</v>
      </c>
      <c r="P447" t="s">
        <v>28</v>
      </c>
      <c r="Q447" t="s">
        <v>2197</v>
      </c>
      <c r="R447" t="s">
        <v>2198</v>
      </c>
      <c r="S447" t="s">
        <v>101</v>
      </c>
      <c r="T447">
        <v>0</v>
      </c>
    </row>
    <row r="448" spans="1:20" x14ac:dyDescent="0.25">
      <c r="A448" t="s">
        <v>2199</v>
      </c>
      <c r="B448" s="1">
        <v>45857</v>
      </c>
      <c r="C448" s="5">
        <v>0.84040509259259255</v>
      </c>
      <c r="D448">
        <v>42.56</v>
      </c>
      <c r="E448" t="s">
        <v>44</v>
      </c>
      <c r="F448" t="s">
        <v>2200</v>
      </c>
      <c r="G448" t="s">
        <v>77</v>
      </c>
      <c r="H448" t="s">
        <v>23</v>
      </c>
      <c r="I448" t="s">
        <v>2201</v>
      </c>
      <c r="J448">
        <v>21</v>
      </c>
      <c r="K448" t="s">
        <v>25</v>
      </c>
      <c r="L448" t="s">
        <v>50</v>
      </c>
      <c r="M448" t="s">
        <v>112</v>
      </c>
      <c r="P448" t="s">
        <v>28</v>
      </c>
      <c r="Q448" t="s">
        <v>2202</v>
      </c>
      <c r="R448" t="s">
        <v>2203</v>
      </c>
      <c r="S448" t="s">
        <v>31</v>
      </c>
      <c r="T448">
        <v>0</v>
      </c>
    </row>
    <row r="449" spans="1:20" x14ac:dyDescent="0.25">
      <c r="A449" t="s">
        <v>2204</v>
      </c>
      <c r="B449" s="1">
        <v>45906</v>
      </c>
      <c r="C449" s="5">
        <v>0.92483796296296295</v>
      </c>
      <c r="D449">
        <v>36.450000000000003</v>
      </c>
      <c r="E449" t="s">
        <v>44</v>
      </c>
      <c r="F449" t="s">
        <v>718</v>
      </c>
      <c r="G449" t="s">
        <v>34</v>
      </c>
      <c r="H449" t="s">
        <v>91</v>
      </c>
      <c r="I449" t="s">
        <v>2205</v>
      </c>
      <c r="J449">
        <v>47</v>
      </c>
      <c r="K449" t="s">
        <v>49</v>
      </c>
      <c r="L449" t="s">
        <v>119</v>
      </c>
      <c r="M449" t="s">
        <v>51</v>
      </c>
      <c r="N449" t="s">
        <v>52</v>
      </c>
      <c r="O449">
        <v>536263</v>
      </c>
      <c r="P449" t="s">
        <v>28</v>
      </c>
      <c r="Q449" t="s">
        <v>2206</v>
      </c>
      <c r="R449" t="s">
        <v>2207</v>
      </c>
      <c r="S449" t="s">
        <v>31</v>
      </c>
      <c r="T449">
        <v>0</v>
      </c>
    </row>
    <row r="450" spans="1:20" x14ac:dyDescent="0.25">
      <c r="A450" t="s">
        <v>2208</v>
      </c>
      <c r="B450" s="1">
        <v>45783</v>
      </c>
      <c r="C450" s="5">
        <v>0.2320949074074074</v>
      </c>
      <c r="D450">
        <v>193.82</v>
      </c>
      <c r="E450" t="s">
        <v>44</v>
      </c>
      <c r="F450" t="s">
        <v>2209</v>
      </c>
      <c r="G450" t="s">
        <v>22</v>
      </c>
      <c r="H450" t="s">
        <v>146</v>
      </c>
      <c r="I450" t="s">
        <v>2210</v>
      </c>
      <c r="J450">
        <v>45</v>
      </c>
      <c r="K450" t="s">
        <v>25</v>
      </c>
      <c r="L450" t="s">
        <v>38</v>
      </c>
      <c r="M450" t="s">
        <v>105</v>
      </c>
      <c r="P450" t="s">
        <v>28</v>
      </c>
      <c r="Q450" t="s">
        <v>2211</v>
      </c>
      <c r="R450" t="s">
        <v>2212</v>
      </c>
      <c r="S450" t="s">
        <v>31</v>
      </c>
      <c r="T450">
        <v>0</v>
      </c>
    </row>
    <row r="451" spans="1:20" x14ac:dyDescent="0.25">
      <c r="A451" t="s">
        <v>2213</v>
      </c>
      <c r="B451" s="1">
        <v>45929</v>
      </c>
      <c r="C451" s="5">
        <v>0.75518518518518518</v>
      </c>
      <c r="D451">
        <v>106.14</v>
      </c>
      <c r="E451" t="s">
        <v>44</v>
      </c>
      <c r="F451" t="s">
        <v>2214</v>
      </c>
      <c r="G451" t="s">
        <v>124</v>
      </c>
      <c r="H451" t="s">
        <v>35</v>
      </c>
      <c r="I451" t="s">
        <v>2215</v>
      </c>
      <c r="J451">
        <v>36</v>
      </c>
      <c r="K451" t="s">
        <v>49</v>
      </c>
      <c r="L451" t="s">
        <v>35</v>
      </c>
      <c r="M451" t="s">
        <v>105</v>
      </c>
      <c r="P451" t="s">
        <v>113</v>
      </c>
      <c r="Q451" t="s">
        <v>2216</v>
      </c>
      <c r="R451" t="s">
        <v>2217</v>
      </c>
      <c r="S451" t="s">
        <v>101</v>
      </c>
      <c r="T451">
        <v>0</v>
      </c>
    </row>
    <row r="452" spans="1:20" x14ac:dyDescent="0.25">
      <c r="A452" t="s">
        <v>2218</v>
      </c>
      <c r="B452" s="1">
        <v>45782</v>
      </c>
      <c r="C452" s="5">
        <v>0.35415509259259259</v>
      </c>
      <c r="D452">
        <v>182.97</v>
      </c>
      <c r="E452" t="s">
        <v>44</v>
      </c>
      <c r="F452" t="s">
        <v>2219</v>
      </c>
      <c r="G452" t="s">
        <v>34</v>
      </c>
      <c r="H452" t="s">
        <v>110</v>
      </c>
      <c r="I452" t="s">
        <v>2220</v>
      </c>
      <c r="J452">
        <v>40</v>
      </c>
      <c r="K452" t="s">
        <v>49</v>
      </c>
      <c r="L452" t="s">
        <v>248</v>
      </c>
      <c r="M452" t="s">
        <v>112</v>
      </c>
      <c r="P452" t="s">
        <v>28</v>
      </c>
      <c r="Q452" t="s">
        <v>2221</v>
      </c>
      <c r="R452" t="s">
        <v>2222</v>
      </c>
      <c r="S452" t="s">
        <v>31</v>
      </c>
      <c r="T452">
        <v>0</v>
      </c>
    </row>
    <row r="453" spans="1:20" x14ac:dyDescent="0.25">
      <c r="A453" t="s">
        <v>2223</v>
      </c>
      <c r="B453" s="1">
        <v>45955</v>
      </c>
      <c r="C453" s="5">
        <v>8.3206018518518512E-2</v>
      </c>
      <c r="D453">
        <v>32.22</v>
      </c>
      <c r="E453" t="s">
        <v>44</v>
      </c>
      <c r="F453" t="s">
        <v>2224</v>
      </c>
      <c r="G453" t="s">
        <v>64</v>
      </c>
      <c r="H453" t="s">
        <v>66</v>
      </c>
      <c r="I453" t="s">
        <v>2225</v>
      </c>
      <c r="J453">
        <v>73</v>
      </c>
      <c r="K453" t="s">
        <v>37</v>
      </c>
      <c r="L453" t="s">
        <v>146</v>
      </c>
      <c r="M453" t="s">
        <v>105</v>
      </c>
      <c r="P453" t="s">
        <v>28</v>
      </c>
      <c r="Q453" t="s">
        <v>2226</v>
      </c>
      <c r="R453" t="s">
        <v>2227</v>
      </c>
      <c r="S453" t="s">
        <v>31</v>
      </c>
      <c r="T453">
        <v>0</v>
      </c>
    </row>
    <row r="454" spans="1:20" x14ac:dyDescent="0.25">
      <c r="A454" t="s">
        <v>2228</v>
      </c>
      <c r="B454" s="1">
        <v>45873</v>
      </c>
      <c r="C454" s="5">
        <v>0.53841435185185182</v>
      </c>
      <c r="D454">
        <v>1.0900000000000001</v>
      </c>
      <c r="E454" t="s">
        <v>44</v>
      </c>
      <c r="F454" t="s">
        <v>2229</v>
      </c>
      <c r="G454" t="s">
        <v>124</v>
      </c>
      <c r="H454" t="s">
        <v>23</v>
      </c>
      <c r="I454" t="s">
        <v>2230</v>
      </c>
      <c r="J454">
        <v>56</v>
      </c>
      <c r="K454" t="s">
        <v>49</v>
      </c>
      <c r="L454" t="s">
        <v>50</v>
      </c>
      <c r="M454" t="s">
        <v>112</v>
      </c>
      <c r="P454" t="s">
        <v>28</v>
      </c>
      <c r="Q454" t="s">
        <v>2231</v>
      </c>
      <c r="R454" t="s">
        <v>2232</v>
      </c>
      <c r="S454" t="s">
        <v>31</v>
      </c>
      <c r="T454">
        <v>0</v>
      </c>
    </row>
    <row r="455" spans="1:20" x14ac:dyDescent="0.25">
      <c r="A455" t="s">
        <v>2233</v>
      </c>
      <c r="B455" s="1">
        <v>45866</v>
      </c>
      <c r="C455" s="5">
        <v>0.49724537037037037</v>
      </c>
      <c r="D455">
        <v>52.3</v>
      </c>
      <c r="E455" t="s">
        <v>44</v>
      </c>
      <c r="F455" t="s">
        <v>2234</v>
      </c>
      <c r="G455" t="s">
        <v>124</v>
      </c>
      <c r="H455" t="s">
        <v>58</v>
      </c>
      <c r="I455" t="s">
        <v>2235</v>
      </c>
      <c r="J455">
        <v>69</v>
      </c>
      <c r="K455" t="s">
        <v>49</v>
      </c>
      <c r="L455" t="s">
        <v>97</v>
      </c>
      <c r="M455" t="s">
        <v>27</v>
      </c>
      <c r="P455" t="s">
        <v>28</v>
      </c>
      <c r="Q455" t="s">
        <v>2236</v>
      </c>
      <c r="R455" t="s">
        <v>2237</v>
      </c>
      <c r="S455" t="s">
        <v>31</v>
      </c>
      <c r="T455">
        <v>0</v>
      </c>
    </row>
    <row r="456" spans="1:20" x14ac:dyDescent="0.25">
      <c r="A456" t="s">
        <v>2238</v>
      </c>
      <c r="B456" s="1">
        <v>45887</v>
      </c>
      <c r="C456" s="5">
        <v>0.32820601851851849</v>
      </c>
      <c r="D456">
        <v>80.13</v>
      </c>
      <c r="E456" t="s">
        <v>44</v>
      </c>
      <c r="F456" t="s">
        <v>2239</v>
      </c>
      <c r="G456" t="s">
        <v>71</v>
      </c>
      <c r="H456" t="s">
        <v>66</v>
      </c>
      <c r="I456" t="s">
        <v>2240</v>
      </c>
      <c r="J456">
        <v>43</v>
      </c>
      <c r="K456" t="s">
        <v>37</v>
      </c>
      <c r="L456" t="s">
        <v>47</v>
      </c>
      <c r="M456" t="s">
        <v>105</v>
      </c>
      <c r="P456" t="s">
        <v>28</v>
      </c>
      <c r="Q456" t="s">
        <v>2241</v>
      </c>
      <c r="R456" t="s">
        <v>2242</v>
      </c>
      <c r="S456" t="s">
        <v>101</v>
      </c>
      <c r="T456">
        <v>0</v>
      </c>
    </row>
    <row r="457" spans="1:20" x14ac:dyDescent="0.25">
      <c r="A457" t="s">
        <v>2243</v>
      </c>
      <c r="B457" s="1">
        <v>45793</v>
      </c>
      <c r="C457" s="5">
        <v>0.13927083333333334</v>
      </c>
      <c r="D457">
        <v>7.02</v>
      </c>
      <c r="E457" t="s">
        <v>44</v>
      </c>
      <c r="F457" t="s">
        <v>2244</v>
      </c>
      <c r="G457" t="s">
        <v>57</v>
      </c>
      <c r="H457" t="s">
        <v>248</v>
      </c>
      <c r="I457" t="s">
        <v>2245</v>
      </c>
      <c r="J457">
        <v>70</v>
      </c>
      <c r="K457" t="s">
        <v>37</v>
      </c>
      <c r="L457" t="s">
        <v>146</v>
      </c>
      <c r="M457" t="s">
        <v>51</v>
      </c>
      <c r="N457" t="s">
        <v>345</v>
      </c>
      <c r="O457">
        <v>545791</v>
      </c>
      <c r="P457" t="s">
        <v>28</v>
      </c>
      <c r="Q457" t="s">
        <v>2246</v>
      </c>
      <c r="R457" t="s">
        <v>2247</v>
      </c>
      <c r="S457" t="s">
        <v>31</v>
      </c>
      <c r="T457">
        <v>0</v>
      </c>
    </row>
    <row r="458" spans="1:20" x14ac:dyDescent="0.25">
      <c r="A458" t="s">
        <v>2248</v>
      </c>
      <c r="B458" s="1">
        <v>45832</v>
      </c>
      <c r="C458" s="5">
        <v>0.34166666666666667</v>
      </c>
      <c r="D458">
        <v>105.64</v>
      </c>
      <c r="E458" t="s">
        <v>44</v>
      </c>
      <c r="F458" t="s">
        <v>2249</v>
      </c>
      <c r="G458" t="s">
        <v>57</v>
      </c>
      <c r="H458" t="s">
        <v>97</v>
      </c>
      <c r="I458" t="s">
        <v>2250</v>
      </c>
      <c r="J458">
        <v>56</v>
      </c>
      <c r="K458" t="s">
        <v>37</v>
      </c>
      <c r="L458" t="s">
        <v>23</v>
      </c>
      <c r="M458" t="s">
        <v>27</v>
      </c>
      <c r="P458" t="s">
        <v>28</v>
      </c>
      <c r="Q458" t="s">
        <v>2251</v>
      </c>
      <c r="R458" t="s">
        <v>2252</v>
      </c>
      <c r="S458" t="s">
        <v>31</v>
      </c>
      <c r="T458">
        <v>0</v>
      </c>
    </row>
    <row r="459" spans="1:20" x14ac:dyDescent="0.25">
      <c r="A459" t="s">
        <v>2253</v>
      </c>
      <c r="B459" s="1">
        <v>45793</v>
      </c>
      <c r="C459" s="5">
        <v>0.38190972222222225</v>
      </c>
      <c r="D459">
        <v>174.67</v>
      </c>
      <c r="E459" t="s">
        <v>44</v>
      </c>
      <c r="F459" t="s">
        <v>2254</v>
      </c>
      <c r="G459" t="s">
        <v>124</v>
      </c>
      <c r="H459" t="s">
        <v>38</v>
      </c>
      <c r="I459" t="s">
        <v>2255</v>
      </c>
      <c r="J459">
        <v>26</v>
      </c>
      <c r="K459" t="s">
        <v>25</v>
      </c>
      <c r="L459" t="s">
        <v>97</v>
      </c>
      <c r="M459" t="s">
        <v>27</v>
      </c>
      <c r="P459" t="s">
        <v>28</v>
      </c>
      <c r="Q459" t="s">
        <v>2256</v>
      </c>
      <c r="R459" t="s">
        <v>2257</v>
      </c>
      <c r="S459" t="s">
        <v>31</v>
      </c>
      <c r="T459">
        <v>0</v>
      </c>
    </row>
    <row r="460" spans="1:20" x14ac:dyDescent="0.25">
      <c r="A460" t="s">
        <v>2258</v>
      </c>
      <c r="B460" s="1">
        <v>45805</v>
      </c>
      <c r="C460" s="5">
        <v>0.72842592592592592</v>
      </c>
      <c r="D460">
        <v>312.47000000000003</v>
      </c>
      <c r="E460" t="s">
        <v>44</v>
      </c>
      <c r="F460" t="s">
        <v>2259</v>
      </c>
      <c r="G460" t="s">
        <v>77</v>
      </c>
      <c r="H460" t="s">
        <v>26</v>
      </c>
      <c r="I460" t="s">
        <v>2260</v>
      </c>
      <c r="J460">
        <v>21</v>
      </c>
      <c r="K460" t="s">
        <v>49</v>
      </c>
      <c r="L460" t="s">
        <v>97</v>
      </c>
      <c r="M460" t="s">
        <v>39</v>
      </c>
      <c r="P460" t="s">
        <v>28</v>
      </c>
      <c r="Q460" t="s">
        <v>2261</v>
      </c>
      <c r="R460" t="s">
        <v>2262</v>
      </c>
      <c r="S460" t="s">
        <v>31</v>
      </c>
      <c r="T460">
        <v>0</v>
      </c>
    </row>
    <row r="461" spans="1:20" x14ac:dyDescent="0.25">
      <c r="A461" t="s">
        <v>2263</v>
      </c>
      <c r="B461" s="1">
        <v>45792</v>
      </c>
      <c r="C461" s="5">
        <v>0.2870138888888889</v>
      </c>
      <c r="D461">
        <v>99.2</v>
      </c>
      <c r="E461" t="s">
        <v>44</v>
      </c>
      <c r="F461" t="s">
        <v>2264</v>
      </c>
      <c r="G461" t="s">
        <v>71</v>
      </c>
      <c r="H461" t="s">
        <v>23</v>
      </c>
      <c r="I461" t="s">
        <v>2265</v>
      </c>
      <c r="J461">
        <v>118</v>
      </c>
      <c r="K461" t="s">
        <v>37</v>
      </c>
      <c r="L461" t="s">
        <v>248</v>
      </c>
      <c r="M461" t="s">
        <v>105</v>
      </c>
      <c r="P461" t="s">
        <v>28</v>
      </c>
      <c r="Q461" t="s">
        <v>2266</v>
      </c>
      <c r="R461" t="s">
        <v>2267</v>
      </c>
      <c r="S461" t="s">
        <v>31</v>
      </c>
      <c r="T461">
        <v>0</v>
      </c>
    </row>
    <row r="462" spans="1:20" x14ac:dyDescent="0.25">
      <c r="A462" t="s">
        <v>2268</v>
      </c>
      <c r="B462" s="1">
        <v>45887</v>
      </c>
      <c r="C462" s="5">
        <v>0.49215277777777777</v>
      </c>
      <c r="D462">
        <v>54.12</v>
      </c>
      <c r="E462" t="s">
        <v>44</v>
      </c>
      <c r="F462" t="s">
        <v>1480</v>
      </c>
      <c r="G462" t="s">
        <v>34</v>
      </c>
      <c r="H462" t="s">
        <v>26</v>
      </c>
      <c r="I462" t="s">
        <v>2269</v>
      </c>
      <c r="J462">
        <v>52</v>
      </c>
      <c r="K462" t="s">
        <v>37</v>
      </c>
      <c r="L462" t="s">
        <v>50</v>
      </c>
      <c r="M462" t="s">
        <v>27</v>
      </c>
      <c r="P462" t="s">
        <v>28</v>
      </c>
      <c r="Q462" t="s">
        <v>2270</v>
      </c>
      <c r="R462" t="s">
        <v>2271</v>
      </c>
      <c r="S462" t="s">
        <v>31</v>
      </c>
      <c r="T462">
        <v>0</v>
      </c>
    </row>
    <row r="463" spans="1:20" x14ac:dyDescent="0.25">
      <c r="A463" t="s">
        <v>2272</v>
      </c>
      <c r="B463" s="1">
        <v>45808</v>
      </c>
      <c r="C463" s="5">
        <v>0.32005787037037037</v>
      </c>
      <c r="D463">
        <v>777.69</v>
      </c>
      <c r="E463" t="s">
        <v>44</v>
      </c>
      <c r="F463" t="s">
        <v>1666</v>
      </c>
      <c r="G463" t="s">
        <v>77</v>
      </c>
      <c r="H463" t="s">
        <v>58</v>
      </c>
      <c r="I463" t="s">
        <v>2273</v>
      </c>
      <c r="J463">
        <v>71</v>
      </c>
      <c r="K463" t="s">
        <v>37</v>
      </c>
      <c r="L463" t="s">
        <v>35</v>
      </c>
      <c r="M463" t="s">
        <v>112</v>
      </c>
      <c r="P463" t="s">
        <v>28</v>
      </c>
      <c r="Q463" t="s">
        <v>2274</v>
      </c>
      <c r="R463" t="s">
        <v>2275</v>
      </c>
      <c r="S463" t="s">
        <v>31</v>
      </c>
      <c r="T463">
        <v>0</v>
      </c>
    </row>
    <row r="464" spans="1:20" x14ac:dyDescent="0.25">
      <c r="A464" t="s">
        <v>2276</v>
      </c>
      <c r="B464" s="1">
        <v>45784</v>
      </c>
      <c r="C464" s="5">
        <v>0.32208333333333333</v>
      </c>
      <c r="D464">
        <v>163.53</v>
      </c>
      <c r="E464" t="s">
        <v>44</v>
      </c>
      <c r="F464" t="s">
        <v>2277</v>
      </c>
      <c r="G464" t="s">
        <v>34</v>
      </c>
      <c r="H464" t="s">
        <v>47</v>
      </c>
      <c r="I464" t="s">
        <v>2278</v>
      </c>
      <c r="J464">
        <v>58</v>
      </c>
      <c r="K464" t="s">
        <v>49</v>
      </c>
      <c r="L464" t="s">
        <v>97</v>
      </c>
      <c r="M464" t="s">
        <v>105</v>
      </c>
      <c r="P464" t="s">
        <v>28</v>
      </c>
      <c r="Q464" t="s">
        <v>2279</v>
      </c>
      <c r="R464" t="s">
        <v>2280</v>
      </c>
      <c r="S464" t="s">
        <v>31</v>
      </c>
      <c r="T464">
        <v>0</v>
      </c>
    </row>
    <row r="465" spans="1:20" x14ac:dyDescent="0.25">
      <c r="A465" t="s">
        <v>2281</v>
      </c>
      <c r="B465" s="1">
        <v>45787</v>
      </c>
      <c r="C465" s="5">
        <v>0.28664351851851849</v>
      </c>
      <c r="D465">
        <v>175.52</v>
      </c>
      <c r="E465" t="s">
        <v>44</v>
      </c>
      <c r="F465" t="s">
        <v>2282</v>
      </c>
      <c r="G465" t="s">
        <v>46</v>
      </c>
      <c r="H465" t="s">
        <v>110</v>
      </c>
      <c r="I465" t="s">
        <v>2283</v>
      </c>
      <c r="J465">
        <v>36</v>
      </c>
      <c r="K465" t="s">
        <v>49</v>
      </c>
      <c r="L465" t="s">
        <v>119</v>
      </c>
      <c r="M465" t="s">
        <v>105</v>
      </c>
      <c r="P465" t="s">
        <v>28</v>
      </c>
      <c r="Q465" t="s">
        <v>2284</v>
      </c>
      <c r="R465" t="s">
        <v>2285</v>
      </c>
      <c r="S465" t="s">
        <v>42</v>
      </c>
      <c r="T465">
        <v>0</v>
      </c>
    </row>
    <row r="466" spans="1:20" x14ac:dyDescent="0.25">
      <c r="A466" t="s">
        <v>2286</v>
      </c>
      <c r="B466" s="1">
        <v>45827</v>
      </c>
      <c r="C466" s="5">
        <v>0.35136574074074073</v>
      </c>
      <c r="D466">
        <v>173.48</v>
      </c>
      <c r="E466" t="s">
        <v>44</v>
      </c>
      <c r="F466" t="s">
        <v>1296</v>
      </c>
      <c r="G466" t="s">
        <v>22</v>
      </c>
      <c r="H466" t="s">
        <v>26</v>
      </c>
      <c r="I466" t="s">
        <v>2287</v>
      </c>
      <c r="J466">
        <v>56</v>
      </c>
      <c r="K466" t="s">
        <v>37</v>
      </c>
      <c r="L466" t="s">
        <v>97</v>
      </c>
      <c r="M466" t="s">
        <v>51</v>
      </c>
      <c r="N466" t="s">
        <v>173</v>
      </c>
      <c r="O466">
        <v>525241</v>
      </c>
      <c r="P466" t="s">
        <v>28</v>
      </c>
      <c r="Q466" t="s">
        <v>2288</v>
      </c>
      <c r="R466" t="s">
        <v>2289</v>
      </c>
      <c r="S466" t="s">
        <v>101</v>
      </c>
      <c r="T466">
        <v>1</v>
      </c>
    </row>
    <row r="467" spans="1:20" x14ac:dyDescent="0.25">
      <c r="A467" t="s">
        <v>2290</v>
      </c>
      <c r="B467" s="1">
        <v>45917</v>
      </c>
      <c r="C467" s="5">
        <v>0.34363425925925928</v>
      </c>
      <c r="D467">
        <v>56.13</v>
      </c>
      <c r="E467" t="s">
        <v>44</v>
      </c>
      <c r="F467" t="s">
        <v>868</v>
      </c>
      <c r="G467" t="s">
        <v>64</v>
      </c>
      <c r="H467" t="s">
        <v>35</v>
      </c>
      <c r="I467" t="s">
        <v>2291</v>
      </c>
      <c r="J467">
        <v>66</v>
      </c>
      <c r="K467" t="s">
        <v>49</v>
      </c>
      <c r="L467" t="s">
        <v>47</v>
      </c>
      <c r="M467" t="s">
        <v>51</v>
      </c>
      <c r="N467" t="s">
        <v>870</v>
      </c>
      <c r="O467">
        <v>450519</v>
      </c>
      <c r="P467" t="s">
        <v>28</v>
      </c>
      <c r="Q467" t="s">
        <v>2292</v>
      </c>
      <c r="R467" t="s">
        <v>2293</v>
      </c>
      <c r="S467" t="s">
        <v>31</v>
      </c>
      <c r="T467">
        <v>0</v>
      </c>
    </row>
    <row r="468" spans="1:20" x14ac:dyDescent="0.25">
      <c r="A468" t="s">
        <v>2294</v>
      </c>
      <c r="B468" s="1">
        <v>45928</v>
      </c>
      <c r="C468" s="5">
        <v>0.20376157407407408</v>
      </c>
      <c r="D468">
        <v>392.61</v>
      </c>
      <c r="E468" t="s">
        <v>44</v>
      </c>
      <c r="F468" t="s">
        <v>2099</v>
      </c>
      <c r="G468" t="s">
        <v>77</v>
      </c>
      <c r="H468" t="s">
        <v>35</v>
      </c>
      <c r="I468" t="s">
        <v>2295</v>
      </c>
      <c r="J468">
        <v>52</v>
      </c>
      <c r="K468" t="s">
        <v>37</v>
      </c>
      <c r="L468" t="s">
        <v>146</v>
      </c>
      <c r="M468" t="s">
        <v>51</v>
      </c>
      <c r="N468" t="s">
        <v>345</v>
      </c>
      <c r="O468">
        <v>404364</v>
      </c>
      <c r="P468" t="s">
        <v>28</v>
      </c>
      <c r="Q468" t="s">
        <v>2296</v>
      </c>
      <c r="R468" t="s">
        <v>2297</v>
      </c>
      <c r="S468" t="s">
        <v>31</v>
      </c>
      <c r="T468">
        <v>0</v>
      </c>
    </row>
    <row r="469" spans="1:20" x14ac:dyDescent="0.25">
      <c r="A469" t="s">
        <v>2298</v>
      </c>
      <c r="B469" s="1">
        <v>45885</v>
      </c>
      <c r="C469" s="5">
        <v>0.97546296296296298</v>
      </c>
      <c r="D469">
        <v>56.43</v>
      </c>
      <c r="E469" t="s">
        <v>44</v>
      </c>
      <c r="F469" t="s">
        <v>2299</v>
      </c>
      <c r="G469" t="s">
        <v>89</v>
      </c>
      <c r="H469" t="s">
        <v>248</v>
      </c>
      <c r="I469" t="s">
        <v>2300</v>
      </c>
      <c r="J469">
        <v>28</v>
      </c>
      <c r="K469" t="s">
        <v>49</v>
      </c>
      <c r="L469" t="s">
        <v>66</v>
      </c>
      <c r="M469" t="s">
        <v>27</v>
      </c>
      <c r="P469" t="s">
        <v>28</v>
      </c>
      <c r="Q469" t="s">
        <v>2301</v>
      </c>
      <c r="R469" t="s">
        <v>2302</v>
      </c>
      <c r="S469" t="s">
        <v>31</v>
      </c>
      <c r="T469">
        <v>0</v>
      </c>
    </row>
    <row r="470" spans="1:20" x14ac:dyDescent="0.25">
      <c r="A470" t="s">
        <v>2303</v>
      </c>
      <c r="B470" s="1">
        <v>45798</v>
      </c>
      <c r="C470" s="5">
        <v>0.24344907407407407</v>
      </c>
      <c r="D470">
        <v>101.03</v>
      </c>
      <c r="E470" t="s">
        <v>44</v>
      </c>
      <c r="F470" t="s">
        <v>129</v>
      </c>
      <c r="G470" t="s">
        <v>77</v>
      </c>
      <c r="H470" t="s">
        <v>97</v>
      </c>
      <c r="I470" t="s">
        <v>2304</v>
      </c>
      <c r="J470">
        <v>71</v>
      </c>
      <c r="K470" t="s">
        <v>37</v>
      </c>
      <c r="L470" t="s">
        <v>23</v>
      </c>
      <c r="M470" t="s">
        <v>51</v>
      </c>
      <c r="N470" t="s">
        <v>507</v>
      </c>
      <c r="O470">
        <v>559083</v>
      </c>
      <c r="P470" t="s">
        <v>28</v>
      </c>
      <c r="Q470" t="s">
        <v>2305</v>
      </c>
      <c r="R470" t="s">
        <v>2306</v>
      </c>
      <c r="S470" t="s">
        <v>31</v>
      </c>
      <c r="T470">
        <v>0</v>
      </c>
    </row>
    <row r="471" spans="1:20" x14ac:dyDescent="0.25">
      <c r="A471" t="s">
        <v>2307</v>
      </c>
      <c r="B471" s="1">
        <v>45814</v>
      </c>
      <c r="C471" s="5">
        <v>0.32211805555555556</v>
      </c>
      <c r="D471">
        <v>45.82</v>
      </c>
      <c r="E471" t="s">
        <v>44</v>
      </c>
      <c r="F471" t="s">
        <v>2308</v>
      </c>
      <c r="G471" t="s">
        <v>71</v>
      </c>
      <c r="H471" t="s">
        <v>66</v>
      </c>
      <c r="I471" t="s">
        <v>2309</v>
      </c>
      <c r="J471">
        <v>53</v>
      </c>
      <c r="K471" t="s">
        <v>25</v>
      </c>
      <c r="L471" t="s">
        <v>97</v>
      </c>
      <c r="M471" t="s">
        <v>105</v>
      </c>
      <c r="P471" t="s">
        <v>28</v>
      </c>
      <c r="Q471" t="s">
        <v>2310</v>
      </c>
      <c r="R471" t="s">
        <v>2311</v>
      </c>
      <c r="S471" t="s">
        <v>31</v>
      </c>
      <c r="T471">
        <v>0</v>
      </c>
    </row>
    <row r="472" spans="1:20" x14ac:dyDescent="0.25">
      <c r="A472" t="s">
        <v>2312</v>
      </c>
      <c r="B472" s="1">
        <v>45937</v>
      </c>
      <c r="C472" s="5">
        <v>0.63006944444444446</v>
      </c>
      <c r="D472">
        <v>102.7</v>
      </c>
      <c r="E472" t="s">
        <v>44</v>
      </c>
      <c r="F472" t="s">
        <v>1277</v>
      </c>
      <c r="G472" t="s">
        <v>77</v>
      </c>
      <c r="H472" t="s">
        <v>119</v>
      </c>
      <c r="I472" t="s">
        <v>2313</v>
      </c>
      <c r="J472">
        <v>48</v>
      </c>
      <c r="K472" t="s">
        <v>25</v>
      </c>
      <c r="L472" t="s">
        <v>38</v>
      </c>
      <c r="M472" t="s">
        <v>112</v>
      </c>
      <c r="P472" t="s">
        <v>28</v>
      </c>
      <c r="Q472" t="s">
        <v>2314</v>
      </c>
      <c r="R472" t="s">
        <v>2315</v>
      </c>
      <c r="S472" t="s">
        <v>31</v>
      </c>
      <c r="T472">
        <v>0</v>
      </c>
    </row>
    <row r="473" spans="1:20" x14ac:dyDescent="0.25">
      <c r="A473" t="s">
        <v>2316</v>
      </c>
      <c r="B473" s="1">
        <v>45929</v>
      </c>
      <c r="C473" s="5">
        <v>0.93950231481481483</v>
      </c>
      <c r="D473">
        <v>2898.81</v>
      </c>
      <c r="E473" t="s">
        <v>44</v>
      </c>
      <c r="F473" t="s">
        <v>2317</v>
      </c>
      <c r="G473" t="s">
        <v>57</v>
      </c>
      <c r="H473" t="s">
        <v>97</v>
      </c>
      <c r="I473" t="s">
        <v>2318</v>
      </c>
      <c r="J473">
        <v>62</v>
      </c>
      <c r="K473" t="s">
        <v>25</v>
      </c>
      <c r="L473" t="s">
        <v>47</v>
      </c>
      <c r="M473" t="s">
        <v>39</v>
      </c>
      <c r="P473" t="s">
        <v>28</v>
      </c>
      <c r="Q473" t="s">
        <v>2319</v>
      </c>
      <c r="R473" t="s">
        <v>2320</v>
      </c>
      <c r="S473" t="s">
        <v>31</v>
      </c>
      <c r="T473">
        <v>0</v>
      </c>
    </row>
    <row r="474" spans="1:20" x14ac:dyDescent="0.25">
      <c r="A474" t="s">
        <v>2321</v>
      </c>
      <c r="B474" s="1">
        <v>45942</v>
      </c>
      <c r="C474" s="5">
        <v>0.99799768518518517</v>
      </c>
      <c r="D474">
        <v>104.43</v>
      </c>
      <c r="E474" t="s">
        <v>44</v>
      </c>
      <c r="F474" t="s">
        <v>103</v>
      </c>
      <c r="G474" t="s">
        <v>77</v>
      </c>
      <c r="H474" t="s">
        <v>23</v>
      </c>
      <c r="I474" t="s">
        <v>2322</v>
      </c>
      <c r="J474">
        <v>51</v>
      </c>
      <c r="K474" t="s">
        <v>25</v>
      </c>
      <c r="L474" t="s">
        <v>146</v>
      </c>
      <c r="M474" t="s">
        <v>84</v>
      </c>
      <c r="P474" t="s">
        <v>28</v>
      </c>
      <c r="Q474" t="s">
        <v>2323</v>
      </c>
      <c r="R474" t="s">
        <v>2324</v>
      </c>
      <c r="S474" t="s">
        <v>31</v>
      </c>
      <c r="T474">
        <v>0</v>
      </c>
    </row>
    <row r="475" spans="1:20" x14ac:dyDescent="0.25">
      <c r="A475" t="s">
        <v>2325</v>
      </c>
      <c r="B475" s="1">
        <v>45796</v>
      </c>
      <c r="C475" s="5">
        <v>0.43396990740740743</v>
      </c>
      <c r="D475">
        <v>199.6</v>
      </c>
      <c r="E475" t="s">
        <v>44</v>
      </c>
      <c r="F475" t="s">
        <v>1993</v>
      </c>
      <c r="G475" t="s">
        <v>89</v>
      </c>
      <c r="H475" t="s">
        <v>97</v>
      </c>
      <c r="I475" t="s">
        <v>2326</v>
      </c>
      <c r="J475">
        <v>24</v>
      </c>
      <c r="K475" t="s">
        <v>49</v>
      </c>
      <c r="L475" t="s">
        <v>66</v>
      </c>
      <c r="M475" t="s">
        <v>112</v>
      </c>
      <c r="P475" t="s">
        <v>28</v>
      </c>
      <c r="Q475" t="s">
        <v>2327</v>
      </c>
      <c r="R475" t="s">
        <v>2328</v>
      </c>
      <c r="S475" t="s">
        <v>101</v>
      </c>
      <c r="T475">
        <v>0</v>
      </c>
    </row>
    <row r="476" spans="1:20" x14ac:dyDescent="0.25">
      <c r="A476" t="s">
        <v>2329</v>
      </c>
      <c r="B476" s="1">
        <v>45857</v>
      </c>
      <c r="C476" s="5">
        <v>0.51307870370370368</v>
      </c>
      <c r="D476">
        <v>169.15</v>
      </c>
      <c r="E476" t="s">
        <v>44</v>
      </c>
      <c r="F476" t="s">
        <v>2330</v>
      </c>
      <c r="G476" t="s">
        <v>89</v>
      </c>
      <c r="H476" t="s">
        <v>50</v>
      </c>
      <c r="I476" t="s">
        <v>2331</v>
      </c>
      <c r="J476">
        <v>20</v>
      </c>
      <c r="K476" t="s">
        <v>49</v>
      </c>
      <c r="L476" t="s">
        <v>119</v>
      </c>
      <c r="M476" t="s">
        <v>27</v>
      </c>
      <c r="P476" t="s">
        <v>28</v>
      </c>
      <c r="Q476" t="s">
        <v>2332</v>
      </c>
      <c r="R476" t="s">
        <v>2333</v>
      </c>
      <c r="S476" t="s">
        <v>31</v>
      </c>
      <c r="T476">
        <v>0</v>
      </c>
    </row>
    <row r="477" spans="1:20" x14ac:dyDescent="0.25">
      <c r="A477" t="s">
        <v>2334</v>
      </c>
      <c r="B477" s="1">
        <v>45935</v>
      </c>
      <c r="C477" s="5">
        <v>0.12097222222222222</v>
      </c>
      <c r="D477">
        <v>129.51</v>
      </c>
      <c r="E477" t="s">
        <v>44</v>
      </c>
      <c r="F477" t="s">
        <v>2335</v>
      </c>
      <c r="G477" t="s">
        <v>124</v>
      </c>
      <c r="H477" t="s">
        <v>50</v>
      </c>
      <c r="I477" t="s">
        <v>2336</v>
      </c>
      <c r="J477">
        <v>48</v>
      </c>
      <c r="K477" t="s">
        <v>49</v>
      </c>
      <c r="L477" t="s">
        <v>119</v>
      </c>
      <c r="M477" t="s">
        <v>84</v>
      </c>
      <c r="P477" t="s">
        <v>28</v>
      </c>
      <c r="Q477" t="s">
        <v>2337</v>
      </c>
      <c r="R477" t="s">
        <v>2338</v>
      </c>
      <c r="S477" t="s">
        <v>31</v>
      </c>
      <c r="T477">
        <v>0</v>
      </c>
    </row>
    <row r="478" spans="1:20" x14ac:dyDescent="0.25">
      <c r="A478" t="s">
        <v>2339</v>
      </c>
      <c r="B478" s="1">
        <v>45863</v>
      </c>
      <c r="C478" s="5">
        <v>0.27289351851851851</v>
      </c>
      <c r="D478">
        <v>405.34</v>
      </c>
      <c r="E478" t="s">
        <v>44</v>
      </c>
      <c r="F478" t="s">
        <v>2340</v>
      </c>
      <c r="G478" t="s">
        <v>89</v>
      </c>
      <c r="H478" t="s">
        <v>26</v>
      </c>
      <c r="I478" t="s">
        <v>2341</v>
      </c>
      <c r="J478">
        <v>45</v>
      </c>
      <c r="K478" t="s">
        <v>25</v>
      </c>
      <c r="L478" t="s">
        <v>23</v>
      </c>
      <c r="M478" t="s">
        <v>39</v>
      </c>
      <c r="P478" t="s">
        <v>28</v>
      </c>
      <c r="Q478" t="s">
        <v>2342</v>
      </c>
      <c r="R478" t="s">
        <v>2343</v>
      </c>
      <c r="S478" t="s">
        <v>31</v>
      </c>
      <c r="T478">
        <v>0</v>
      </c>
    </row>
    <row r="479" spans="1:20" x14ac:dyDescent="0.25">
      <c r="A479" t="s">
        <v>2344</v>
      </c>
      <c r="B479" s="1">
        <v>45951</v>
      </c>
      <c r="C479" s="5">
        <v>0.16021990740740741</v>
      </c>
      <c r="D479">
        <v>194.53</v>
      </c>
      <c r="E479" t="s">
        <v>44</v>
      </c>
      <c r="F479" t="s">
        <v>1163</v>
      </c>
      <c r="G479" t="s">
        <v>124</v>
      </c>
      <c r="H479" t="s">
        <v>146</v>
      </c>
      <c r="I479" t="s">
        <v>2345</v>
      </c>
      <c r="J479">
        <v>22</v>
      </c>
      <c r="K479" t="s">
        <v>25</v>
      </c>
      <c r="L479" t="s">
        <v>50</v>
      </c>
      <c r="M479" t="s">
        <v>51</v>
      </c>
      <c r="N479" t="s">
        <v>52</v>
      </c>
      <c r="O479">
        <v>525873</v>
      </c>
      <c r="P479" t="s">
        <v>28</v>
      </c>
      <c r="Q479" t="s">
        <v>2346</v>
      </c>
      <c r="R479" t="s">
        <v>2347</v>
      </c>
      <c r="S479" t="s">
        <v>101</v>
      </c>
      <c r="T479">
        <v>0</v>
      </c>
    </row>
    <row r="480" spans="1:20" x14ac:dyDescent="0.25">
      <c r="A480" t="s">
        <v>2348</v>
      </c>
      <c r="B480" s="1">
        <v>45869</v>
      </c>
      <c r="C480" s="5">
        <v>0.16545138888888888</v>
      </c>
      <c r="D480">
        <v>24.91</v>
      </c>
      <c r="E480" t="s">
        <v>44</v>
      </c>
      <c r="F480" t="s">
        <v>2349</v>
      </c>
      <c r="G480" t="s">
        <v>77</v>
      </c>
      <c r="H480" t="s">
        <v>97</v>
      </c>
      <c r="I480" t="s">
        <v>2350</v>
      </c>
      <c r="J480">
        <v>50</v>
      </c>
      <c r="K480" t="s">
        <v>49</v>
      </c>
      <c r="L480" t="s">
        <v>35</v>
      </c>
      <c r="M480" t="s">
        <v>105</v>
      </c>
      <c r="P480" t="s">
        <v>28</v>
      </c>
      <c r="Q480" t="s">
        <v>2351</v>
      </c>
      <c r="R480" t="s">
        <v>2352</v>
      </c>
      <c r="S480" t="s">
        <v>31</v>
      </c>
      <c r="T480">
        <v>0</v>
      </c>
    </row>
    <row r="481" spans="1:20" x14ac:dyDescent="0.25">
      <c r="A481" t="s">
        <v>2353</v>
      </c>
      <c r="B481" s="1">
        <v>45822</v>
      </c>
      <c r="C481" s="5">
        <v>0.80267361111111113</v>
      </c>
      <c r="D481">
        <v>59.14</v>
      </c>
      <c r="E481" t="s">
        <v>44</v>
      </c>
      <c r="F481" t="s">
        <v>2354</v>
      </c>
      <c r="G481" t="s">
        <v>57</v>
      </c>
      <c r="H481" t="s">
        <v>58</v>
      </c>
      <c r="I481" t="s">
        <v>2355</v>
      </c>
      <c r="J481">
        <v>67</v>
      </c>
      <c r="K481" t="s">
        <v>25</v>
      </c>
      <c r="L481" t="s">
        <v>97</v>
      </c>
      <c r="M481" t="s">
        <v>84</v>
      </c>
      <c r="P481" t="s">
        <v>28</v>
      </c>
      <c r="Q481" t="s">
        <v>2356</v>
      </c>
      <c r="R481" t="s">
        <v>2357</v>
      </c>
      <c r="S481" t="s">
        <v>31</v>
      </c>
      <c r="T481">
        <v>0</v>
      </c>
    </row>
    <row r="482" spans="1:20" x14ac:dyDescent="0.25">
      <c r="A482" t="s">
        <v>2358</v>
      </c>
      <c r="B482" s="1">
        <v>45937</v>
      </c>
      <c r="C482" s="5">
        <v>0.32972222222222225</v>
      </c>
      <c r="D482">
        <v>153.29</v>
      </c>
      <c r="E482" t="s">
        <v>44</v>
      </c>
      <c r="F482" t="s">
        <v>824</v>
      </c>
      <c r="G482" t="s">
        <v>22</v>
      </c>
      <c r="H482" t="s">
        <v>38</v>
      </c>
      <c r="I482" t="s">
        <v>2359</v>
      </c>
      <c r="J482">
        <v>33</v>
      </c>
      <c r="K482" t="s">
        <v>37</v>
      </c>
      <c r="L482" t="s">
        <v>66</v>
      </c>
      <c r="M482" t="s">
        <v>39</v>
      </c>
      <c r="P482" t="s">
        <v>28</v>
      </c>
      <c r="Q482" t="s">
        <v>2360</v>
      </c>
      <c r="R482" t="s">
        <v>2361</v>
      </c>
      <c r="S482" t="s">
        <v>31</v>
      </c>
      <c r="T482">
        <v>0</v>
      </c>
    </row>
    <row r="483" spans="1:20" x14ac:dyDescent="0.25">
      <c r="A483" t="s">
        <v>2362</v>
      </c>
      <c r="B483" s="1">
        <v>45790</v>
      </c>
      <c r="C483" s="5">
        <v>0.87082175925925931</v>
      </c>
      <c r="D483">
        <v>72.819999999999993</v>
      </c>
      <c r="E483" t="s">
        <v>44</v>
      </c>
      <c r="F483" t="s">
        <v>2363</v>
      </c>
      <c r="G483" t="s">
        <v>96</v>
      </c>
      <c r="H483" t="s">
        <v>146</v>
      </c>
      <c r="I483" t="s">
        <v>2364</v>
      </c>
      <c r="J483">
        <v>64</v>
      </c>
      <c r="K483" t="s">
        <v>25</v>
      </c>
      <c r="L483" t="s">
        <v>35</v>
      </c>
      <c r="M483" t="s">
        <v>112</v>
      </c>
      <c r="P483" t="s">
        <v>28</v>
      </c>
      <c r="Q483" t="s">
        <v>2365</v>
      </c>
      <c r="R483" t="s">
        <v>2366</v>
      </c>
      <c r="S483" t="s">
        <v>31</v>
      </c>
      <c r="T483">
        <v>0</v>
      </c>
    </row>
    <row r="484" spans="1:20" x14ac:dyDescent="0.25">
      <c r="A484" t="s">
        <v>2367</v>
      </c>
      <c r="B484" s="1">
        <v>45907</v>
      </c>
      <c r="C484" s="5">
        <v>0.66200231481481486</v>
      </c>
      <c r="D484">
        <v>492.46</v>
      </c>
      <c r="E484" t="s">
        <v>44</v>
      </c>
      <c r="F484" t="s">
        <v>2368</v>
      </c>
      <c r="G484" t="s">
        <v>96</v>
      </c>
      <c r="H484" t="s">
        <v>35</v>
      </c>
      <c r="I484" t="s">
        <v>2369</v>
      </c>
      <c r="J484">
        <v>20</v>
      </c>
      <c r="K484" t="s">
        <v>49</v>
      </c>
      <c r="L484" t="s">
        <v>50</v>
      </c>
      <c r="M484" t="s">
        <v>105</v>
      </c>
      <c r="P484" t="s">
        <v>28</v>
      </c>
      <c r="Q484" t="s">
        <v>2370</v>
      </c>
      <c r="R484" t="s">
        <v>2371</v>
      </c>
      <c r="S484" t="s">
        <v>42</v>
      </c>
      <c r="T484">
        <v>0</v>
      </c>
    </row>
    <row r="485" spans="1:20" x14ac:dyDescent="0.25">
      <c r="A485" t="s">
        <v>2372</v>
      </c>
      <c r="B485" s="1">
        <v>45921</v>
      </c>
      <c r="C485" s="5">
        <v>0.15143518518518517</v>
      </c>
      <c r="D485">
        <v>20.190000000000001</v>
      </c>
      <c r="E485" t="s">
        <v>44</v>
      </c>
      <c r="F485" t="s">
        <v>2373</v>
      </c>
      <c r="G485" t="s">
        <v>77</v>
      </c>
      <c r="H485" t="s">
        <v>146</v>
      </c>
      <c r="I485" t="s">
        <v>2374</v>
      </c>
      <c r="J485">
        <v>51</v>
      </c>
      <c r="K485" t="s">
        <v>37</v>
      </c>
      <c r="L485" t="s">
        <v>110</v>
      </c>
      <c r="M485" t="s">
        <v>112</v>
      </c>
      <c r="P485" t="s">
        <v>28</v>
      </c>
      <c r="Q485" t="s">
        <v>2375</v>
      </c>
      <c r="R485" t="s">
        <v>2376</v>
      </c>
      <c r="S485" t="s">
        <v>31</v>
      </c>
      <c r="T485">
        <v>0</v>
      </c>
    </row>
    <row r="486" spans="1:20" x14ac:dyDescent="0.25">
      <c r="A486" t="s">
        <v>2377</v>
      </c>
      <c r="B486" s="1">
        <v>45923</v>
      </c>
      <c r="C486" s="5">
        <v>0.95979166666666671</v>
      </c>
      <c r="D486">
        <v>166.16</v>
      </c>
      <c r="E486" t="s">
        <v>44</v>
      </c>
      <c r="F486" t="s">
        <v>2378</v>
      </c>
      <c r="G486" t="s">
        <v>89</v>
      </c>
      <c r="H486" t="s">
        <v>66</v>
      </c>
      <c r="I486" t="s">
        <v>2379</v>
      </c>
      <c r="J486">
        <v>45</v>
      </c>
      <c r="K486" t="s">
        <v>49</v>
      </c>
      <c r="L486" t="s">
        <v>23</v>
      </c>
      <c r="M486" t="s">
        <v>105</v>
      </c>
      <c r="P486" t="s">
        <v>28</v>
      </c>
      <c r="Q486" t="s">
        <v>2380</v>
      </c>
      <c r="R486" t="s">
        <v>2381</v>
      </c>
      <c r="S486" t="s">
        <v>42</v>
      </c>
      <c r="T486">
        <v>0</v>
      </c>
    </row>
    <row r="487" spans="1:20" x14ac:dyDescent="0.25">
      <c r="A487" t="s">
        <v>2382</v>
      </c>
      <c r="B487" s="1">
        <v>45896</v>
      </c>
      <c r="C487" s="5">
        <v>7.3715277777777782E-2</v>
      </c>
      <c r="D487">
        <v>17.5</v>
      </c>
      <c r="E487" t="s">
        <v>44</v>
      </c>
      <c r="F487" t="s">
        <v>1277</v>
      </c>
      <c r="G487" t="s">
        <v>124</v>
      </c>
      <c r="H487" t="s">
        <v>119</v>
      </c>
      <c r="I487" t="s">
        <v>2383</v>
      </c>
      <c r="J487">
        <v>75</v>
      </c>
      <c r="K487" t="s">
        <v>37</v>
      </c>
      <c r="L487" t="s">
        <v>50</v>
      </c>
      <c r="M487" t="s">
        <v>51</v>
      </c>
      <c r="N487" t="s">
        <v>304</v>
      </c>
      <c r="O487">
        <v>526332</v>
      </c>
      <c r="P487" t="s">
        <v>28</v>
      </c>
      <c r="Q487" t="s">
        <v>2384</v>
      </c>
      <c r="R487" t="s">
        <v>2385</v>
      </c>
      <c r="S487" t="s">
        <v>31</v>
      </c>
      <c r="T487">
        <v>0</v>
      </c>
    </row>
    <row r="488" spans="1:20" x14ac:dyDescent="0.25">
      <c r="A488" t="s">
        <v>2386</v>
      </c>
      <c r="B488" s="1">
        <v>45907</v>
      </c>
      <c r="C488" s="5">
        <v>0.16333333333333333</v>
      </c>
      <c r="D488">
        <v>67.260000000000005</v>
      </c>
      <c r="E488" t="s">
        <v>44</v>
      </c>
      <c r="F488" t="s">
        <v>438</v>
      </c>
      <c r="G488" t="s">
        <v>77</v>
      </c>
      <c r="H488" t="s">
        <v>35</v>
      </c>
      <c r="I488" t="s">
        <v>2387</v>
      </c>
      <c r="J488">
        <v>31</v>
      </c>
      <c r="K488" t="s">
        <v>25</v>
      </c>
      <c r="L488" t="s">
        <v>23</v>
      </c>
      <c r="M488" t="s">
        <v>112</v>
      </c>
      <c r="P488" t="s">
        <v>28</v>
      </c>
      <c r="Q488" t="s">
        <v>2388</v>
      </c>
      <c r="R488" t="s">
        <v>2389</v>
      </c>
      <c r="S488" t="s">
        <v>31</v>
      </c>
      <c r="T488">
        <v>0</v>
      </c>
    </row>
    <row r="489" spans="1:20" x14ac:dyDescent="0.25">
      <c r="A489" t="s">
        <v>2390</v>
      </c>
      <c r="B489" s="1">
        <v>45860</v>
      </c>
      <c r="C489" s="5">
        <v>0.35749999999999998</v>
      </c>
      <c r="D489">
        <v>7.7</v>
      </c>
      <c r="E489" t="s">
        <v>44</v>
      </c>
      <c r="F489" t="s">
        <v>1068</v>
      </c>
      <c r="G489" t="s">
        <v>124</v>
      </c>
      <c r="H489" t="s">
        <v>26</v>
      </c>
      <c r="I489" t="s">
        <v>2391</v>
      </c>
      <c r="J489">
        <v>69</v>
      </c>
      <c r="K489" t="s">
        <v>49</v>
      </c>
      <c r="L489" t="s">
        <v>248</v>
      </c>
      <c r="M489" t="s">
        <v>112</v>
      </c>
      <c r="P489" t="s">
        <v>28</v>
      </c>
      <c r="Q489" t="s">
        <v>2392</v>
      </c>
      <c r="R489" t="s">
        <v>2393</v>
      </c>
      <c r="S489" t="s">
        <v>31</v>
      </c>
      <c r="T489">
        <v>0</v>
      </c>
    </row>
    <row r="490" spans="1:20" x14ac:dyDescent="0.25">
      <c r="A490" t="s">
        <v>2394</v>
      </c>
      <c r="B490" s="1">
        <v>45790</v>
      </c>
      <c r="C490" s="5">
        <v>0.1922800925925926</v>
      </c>
      <c r="D490">
        <v>112.51</v>
      </c>
      <c r="E490" t="s">
        <v>44</v>
      </c>
      <c r="F490" t="s">
        <v>2395</v>
      </c>
      <c r="G490" t="s">
        <v>46</v>
      </c>
      <c r="H490" t="s">
        <v>130</v>
      </c>
      <c r="I490" t="s">
        <v>2396</v>
      </c>
      <c r="J490">
        <v>54</v>
      </c>
      <c r="K490" t="s">
        <v>37</v>
      </c>
      <c r="L490" t="s">
        <v>38</v>
      </c>
      <c r="M490" t="s">
        <v>105</v>
      </c>
      <c r="P490" t="s">
        <v>28</v>
      </c>
      <c r="Q490" t="s">
        <v>2397</v>
      </c>
      <c r="R490" t="s">
        <v>2398</v>
      </c>
      <c r="S490" t="s">
        <v>31</v>
      </c>
      <c r="T490">
        <v>0</v>
      </c>
    </row>
    <row r="491" spans="1:20" x14ac:dyDescent="0.25">
      <c r="A491" t="s">
        <v>2399</v>
      </c>
      <c r="B491" s="1">
        <v>45905</v>
      </c>
      <c r="C491" s="5">
        <v>0.74230324074074072</v>
      </c>
      <c r="D491">
        <v>98.66</v>
      </c>
      <c r="E491" t="s">
        <v>44</v>
      </c>
      <c r="F491" t="s">
        <v>863</v>
      </c>
      <c r="G491" t="s">
        <v>89</v>
      </c>
      <c r="H491" t="s">
        <v>50</v>
      </c>
      <c r="I491" t="s">
        <v>2400</v>
      </c>
      <c r="J491">
        <v>26</v>
      </c>
      <c r="K491" t="s">
        <v>49</v>
      </c>
      <c r="L491" t="s">
        <v>110</v>
      </c>
      <c r="M491" t="s">
        <v>84</v>
      </c>
      <c r="P491" t="s">
        <v>28</v>
      </c>
      <c r="Q491" t="s">
        <v>2401</v>
      </c>
      <c r="R491" t="s">
        <v>2402</v>
      </c>
      <c r="S491" t="s">
        <v>31</v>
      </c>
      <c r="T491">
        <v>0</v>
      </c>
    </row>
    <row r="492" spans="1:20" x14ac:dyDescent="0.25">
      <c r="A492" t="s">
        <v>2403</v>
      </c>
      <c r="B492" s="1">
        <v>45913</v>
      </c>
      <c r="C492" s="5">
        <v>0.8249305555555555</v>
      </c>
      <c r="D492">
        <v>55.04</v>
      </c>
      <c r="E492" t="s">
        <v>44</v>
      </c>
      <c r="F492" t="s">
        <v>2404</v>
      </c>
      <c r="G492" t="s">
        <v>124</v>
      </c>
      <c r="H492" t="s">
        <v>35</v>
      </c>
      <c r="I492" t="s">
        <v>1253</v>
      </c>
      <c r="J492">
        <v>69</v>
      </c>
      <c r="K492" t="s">
        <v>37</v>
      </c>
      <c r="L492" t="s">
        <v>146</v>
      </c>
      <c r="M492" t="s">
        <v>105</v>
      </c>
      <c r="P492" t="s">
        <v>28</v>
      </c>
      <c r="Q492" t="s">
        <v>2405</v>
      </c>
      <c r="R492" t="s">
        <v>2406</v>
      </c>
      <c r="S492" t="s">
        <v>31</v>
      </c>
      <c r="T492">
        <v>0</v>
      </c>
    </row>
    <row r="493" spans="1:20" x14ac:dyDescent="0.25">
      <c r="A493" t="s">
        <v>2407</v>
      </c>
      <c r="B493" s="1">
        <v>45947</v>
      </c>
      <c r="C493" s="5">
        <v>0.78675925925925927</v>
      </c>
      <c r="D493">
        <v>43.07</v>
      </c>
      <c r="E493" t="s">
        <v>44</v>
      </c>
      <c r="F493" t="s">
        <v>2408</v>
      </c>
      <c r="G493" t="s">
        <v>22</v>
      </c>
      <c r="H493" t="s">
        <v>38</v>
      </c>
      <c r="I493" t="s">
        <v>2409</v>
      </c>
      <c r="J493">
        <v>42</v>
      </c>
      <c r="K493" t="s">
        <v>25</v>
      </c>
      <c r="L493" t="s">
        <v>23</v>
      </c>
      <c r="M493" t="s">
        <v>27</v>
      </c>
      <c r="P493" t="s">
        <v>28</v>
      </c>
      <c r="Q493" t="s">
        <v>2410</v>
      </c>
      <c r="R493" t="s">
        <v>2411</v>
      </c>
      <c r="S493" t="s">
        <v>31</v>
      </c>
      <c r="T493">
        <v>0</v>
      </c>
    </row>
    <row r="494" spans="1:20" x14ac:dyDescent="0.25">
      <c r="A494" t="s">
        <v>2412</v>
      </c>
      <c r="B494" s="1">
        <v>45824</v>
      </c>
      <c r="C494" s="5">
        <v>0.16125</v>
      </c>
      <c r="D494">
        <v>77.510000000000005</v>
      </c>
      <c r="E494" t="s">
        <v>44</v>
      </c>
      <c r="F494" t="s">
        <v>2413</v>
      </c>
      <c r="G494" t="s">
        <v>89</v>
      </c>
      <c r="H494" t="s">
        <v>119</v>
      </c>
      <c r="I494" t="s">
        <v>2414</v>
      </c>
      <c r="J494">
        <v>51</v>
      </c>
      <c r="K494" t="s">
        <v>37</v>
      </c>
      <c r="L494" t="s">
        <v>110</v>
      </c>
      <c r="M494" t="s">
        <v>112</v>
      </c>
      <c r="P494" t="s">
        <v>28</v>
      </c>
      <c r="Q494" t="s">
        <v>2415</v>
      </c>
      <c r="R494" t="s">
        <v>2416</v>
      </c>
      <c r="S494" t="s">
        <v>31</v>
      </c>
      <c r="T494">
        <v>0</v>
      </c>
    </row>
    <row r="495" spans="1:20" x14ac:dyDescent="0.25">
      <c r="A495" t="s">
        <v>2417</v>
      </c>
      <c r="B495" s="1">
        <v>45846</v>
      </c>
      <c r="C495" s="5">
        <v>0.58488425925925924</v>
      </c>
      <c r="D495">
        <v>174.92</v>
      </c>
      <c r="E495" t="s">
        <v>44</v>
      </c>
      <c r="F495" t="s">
        <v>2418</v>
      </c>
      <c r="G495" t="s">
        <v>22</v>
      </c>
      <c r="H495" t="s">
        <v>35</v>
      </c>
      <c r="I495" t="s">
        <v>2419</v>
      </c>
      <c r="J495">
        <v>70</v>
      </c>
      <c r="K495" t="s">
        <v>49</v>
      </c>
      <c r="L495" t="s">
        <v>110</v>
      </c>
      <c r="M495" t="s">
        <v>27</v>
      </c>
      <c r="P495" t="s">
        <v>28</v>
      </c>
      <c r="Q495" t="s">
        <v>2420</v>
      </c>
      <c r="R495" t="s">
        <v>2421</v>
      </c>
      <c r="S495" t="s">
        <v>31</v>
      </c>
      <c r="T495">
        <v>0</v>
      </c>
    </row>
    <row r="496" spans="1:20" x14ac:dyDescent="0.25">
      <c r="A496" t="s">
        <v>2422</v>
      </c>
      <c r="B496" s="1">
        <v>45919</v>
      </c>
      <c r="C496" s="5">
        <v>0.23568287037037036</v>
      </c>
      <c r="D496">
        <v>130.5</v>
      </c>
      <c r="E496" t="s">
        <v>44</v>
      </c>
      <c r="F496" t="s">
        <v>2423</v>
      </c>
      <c r="G496" t="s">
        <v>64</v>
      </c>
      <c r="H496" t="s">
        <v>248</v>
      </c>
      <c r="I496" t="s">
        <v>2424</v>
      </c>
      <c r="J496">
        <v>56</v>
      </c>
      <c r="K496" t="s">
        <v>49</v>
      </c>
      <c r="L496" t="s">
        <v>35</v>
      </c>
      <c r="M496" t="s">
        <v>112</v>
      </c>
      <c r="P496" t="s">
        <v>28</v>
      </c>
      <c r="Q496" t="s">
        <v>2425</v>
      </c>
      <c r="R496" t="s">
        <v>2426</v>
      </c>
      <c r="S496" t="s">
        <v>101</v>
      </c>
      <c r="T496">
        <v>0</v>
      </c>
    </row>
    <row r="497" spans="1:20" x14ac:dyDescent="0.25">
      <c r="A497" t="s">
        <v>2427</v>
      </c>
      <c r="B497" s="1">
        <v>45888</v>
      </c>
      <c r="C497" s="5">
        <v>0.87506944444444446</v>
      </c>
      <c r="D497">
        <v>39.89</v>
      </c>
      <c r="E497" t="s">
        <v>44</v>
      </c>
      <c r="F497" t="s">
        <v>2428</v>
      </c>
      <c r="G497" t="s">
        <v>34</v>
      </c>
      <c r="H497" t="s">
        <v>58</v>
      </c>
      <c r="I497" t="s">
        <v>2429</v>
      </c>
      <c r="J497">
        <v>74</v>
      </c>
      <c r="K497" t="s">
        <v>25</v>
      </c>
      <c r="L497" t="s">
        <v>146</v>
      </c>
      <c r="M497" t="s">
        <v>105</v>
      </c>
      <c r="P497" t="s">
        <v>28</v>
      </c>
      <c r="Q497" t="s">
        <v>2430</v>
      </c>
      <c r="R497" t="s">
        <v>2431</v>
      </c>
      <c r="S497" t="s">
        <v>31</v>
      </c>
      <c r="T497">
        <v>0</v>
      </c>
    </row>
    <row r="498" spans="1:20" x14ac:dyDescent="0.25">
      <c r="A498" t="s">
        <v>2432</v>
      </c>
      <c r="B498" s="1">
        <v>45900</v>
      </c>
      <c r="C498" s="5">
        <v>0.55410879629629628</v>
      </c>
      <c r="D498">
        <v>43.1</v>
      </c>
      <c r="E498" t="s">
        <v>44</v>
      </c>
      <c r="F498" t="s">
        <v>2433</v>
      </c>
      <c r="G498" t="s">
        <v>89</v>
      </c>
      <c r="H498" t="s">
        <v>58</v>
      </c>
      <c r="I498" t="s">
        <v>2434</v>
      </c>
      <c r="J498">
        <v>62</v>
      </c>
      <c r="K498" t="s">
        <v>49</v>
      </c>
      <c r="L498" t="s">
        <v>47</v>
      </c>
      <c r="M498" t="s">
        <v>105</v>
      </c>
      <c r="P498" t="s">
        <v>28</v>
      </c>
      <c r="Q498" t="s">
        <v>2435</v>
      </c>
      <c r="R498" t="s">
        <v>2436</v>
      </c>
      <c r="S498" t="s">
        <v>31</v>
      </c>
      <c r="T498">
        <v>0</v>
      </c>
    </row>
    <row r="499" spans="1:20" x14ac:dyDescent="0.25">
      <c r="A499" t="s">
        <v>2437</v>
      </c>
      <c r="B499" s="1">
        <v>45907</v>
      </c>
      <c r="C499" s="5">
        <v>8.7557870370370369E-2</v>
      </c>
      <c r="D499">
        <v>6.51</v>
      </c>
      <c r="E499" t="s">
        <v>44</v>
      </c>
      <c r="F499" t="s">
        <v>2438</v>
      </c>
      <c r="G499" t="s">
        <v>124</v>
      </c>
      <c r="H499" t="s">
        <v>97</v>
      </c>
      <c r="I499" t="s">
        <v>2439</v>
      </c>
      <c r="K499" t="s">
        <v>49</v>
      </c>
      <c r="L499" t="s">
        <v>119</v>
      </c>
      <c r="M499" t="s">
        <v>39</v>
      </c>
      <c r="P499" t="s">
        <v>28</v>
      </c>
      <c r="Q499" t="s">
        <v>2440</v>
      </c>
      <c r="R499" t="s">
        <v>2441</v>
      </c>
      <c r="S499" t="s">
        <v>42</v>
      </c>
      <c r="T499">
        <v>0</v>
      </c>
    </row>
    <row r="500" spans="1:20" x14ac:dyDescent="0.25">
      <c r="A500" t="s">
        <v>2442</v>
      </c>
      <c r="B500" s="1">
        <v>45806</v>
      </c>
      <c r="C500" s="5">
        <v>0.22177083333333333</v>
      </c>
      <c r="D500">
        <v>174.92</v>
      </c>
      <c r="E500" t="s">
        <v>44</v>
      </c>
      <c r="F500" t="s">
        <v>1002</v>
      </c>
      <c r="G500" t="s">
        <v>22</v>
      </c>
      <c r="H500" t="s">
        <v>130</v>
      </c>
      <c r="I500" t="s">
        <v>2443</v>
      </c>
      <c r="J500">
        <v>19</v>
      </c>
      <c r="K500" t="s">
        <v>25</v>
      </c>
      <c r="L500" t="s">
        <v>35</v>
      </c>
      <c r="M500" t="s">
        <v>112</v>
      </c>
      <c r="P500" t="s">
        <v>28</v>
      </c>
      <c r="Q500" t="s">
        <v>2444</v>
      </c>
      <c r="R500" t="s">
        <v>2445</v>
      </c>
      <c r="S500" t="s">
        <v>31</v>
      </c>
      <c r="T500">
        <v>0</v>
      </c>
    </row>
    <row r="501" spans="1:20" x14ac:dyDescent="0.25">
      <c r="A501" t="s">
        <v>2446</v>
      </c>
      <c r="B501" s="1">
        <v>45920</v>
      </c>
      <c r="C501" s="5">
        <v>0.47965277777777776</v>
      </c>
      <c r="D501">
        <v>137.59</v>
      </c>
      <c r="E501" t="s">
        <v>44</v>
      </c>
      <c r="F501" t="s">
        <v>2447</v>
      </c>
      <c r="G501" t="s">
        <v>71</v>
      </c>
      <c r="H501" t="s">
        <v>130</v>
      </c>
      <c r="I501" t="s">
        <v>2448</v>
      </c>
      <c r="J501">
        <v>55</v>
      </c>
      <c r="K501" t="s">
        <v>25</v>
      </c>
      <c r="L501" t="s">
        <v>119</v>
      </c>
      <c r="M501" t="s">
        <v>27</v>
      </c>
      <c r="P501" t="s">
        <v>28</v>
      </c>
      <c r="Q501" t="s">
        <v>2449</v>
      </c>
      <c r="R501" t="s">
        <v>2450</v>
      </c>
      <c r="S501" t="s">
        <v>31</v>
      </c>
      <c r="T501">
        <v>0</v>
      </c>
    </row>
    <row r="502" spans="1:20" x14ac:dyDescent="0.25">
      <c r="A502" t="s">
        <v>2451</v>
      </c>
      <c r="B502" s="1">
        <v>45886</v>
      </c>
      <c r="C502" s="5">
        <v>0.34649305555555554</v>
      </c>
      <c r="D502">
        <v>116.59</v>
      </c>
      <c r="E502" t="s">
        <v>44</v>
      </c>
      <c r="F502" t="s">
        <v>2452</v>
      </c>
      <c r="G502" t="s">
        <v>57</v>
      </c>
      <c r="H502" t="s">
        <v>50</v>
      </c>
      <c r="I502" t="s">
        <v>2453</v>
      </c>
      <c r="J502">
        <v>41</v>
      </c>
      <c r="K502" t="s">
        <v>25</v>
      </c>
      <c r="L502" t="s">
        <v>119</v>
      </c>
      <c r="M502" t="s">
        <v>39</v>
      </c>
      <c r="P502" t="s">
        <v>28</v>
      </c>
      <c r="Q502" t="s">
        <v>2454</v>
      </c>
      <c r="R502" t="s">
        <v>2455</v>
      </c>
      <c r="S502" t="s">
        <v>31</v>
      </c>
      <c r="T502">
        <v>0</v>
      </c>
    </row>
    <row r="503" spans="1:20" x14ac:dyDescent="0.25">
      <c r="A503" t="s">
        <v>2456</v>
      </c>
      <c r="B503" s="1">
        <v>45908</v>
      </c>
      <c r="C503" s="5">
        <v>0.26751157407407405</v>
      </c>
      <c r="D503">
        <v>61.4</v>
      </c>
      <c r="E503" t="s">
        <v>44</v>
      </c>
      <c r="F503" t="s">
        <v>2457</v>
      </c>
      <c r="G503" t="s">
        <v>22</v>
      </c>
      <c r="H503" t="s">
        <v>23</v>
      </c>
      <c r="I503" t="s">
        <v>2458</v>
      </c>
      <c r="J503">
        <v>24</v>
      </c>
      <c r="K503" t="s">
        <v>49</v>
      </c>
      <c r="L503" t="s">
        <v>110</v>
      </c>
      <c r="M503" t="s">
        <v>84</v>
      </c>
      <c r="P503" t="s">
        <v>28</v>
      </c>
      <c r="Q503" t="s">
        <v>2459</v>
      </c>
      <c r="R503" t="s">
        <v>2460</v>
      </c>
      <c r="S503" t="s">
        <v>31</v>
      </c>
      <c r="T503">
        <v>0</v>
      </c>
    </row>
    <row r="504" spans="1:20" x14ac:dyDescent="0.25">
      <c r="A504" t="s">
        <v>2461</v>
      </c>
      <c r="B504" s="1">
        <v>45957</v>
      </c>
      <c r="C504" s="5">
        <v>0.80275462962962962</v>
      </c>
      <c r="D504">
        <v>102.63</v>
      </c>
      <c r="E504" t="s">
        <v>44</v>
      </c>
      <c r="F504" t="s">
        <v>2462</v>
      </c>
      <c r="G504" t="s">
        <v>22</v>
      </c>
      <c r="H504" t="s">
        <v>66</v>
      </c>
      <c r="I504" t="s">
        <v>2463</v>
      </c>
      <c r="J504">
        <v>46</v>
      </c>
      <c r="K504" t="s">
        <v>37</v>
      </c>
      <c r="L504" t="s">
        <v>23</v>
      </c>
      <c r="M504" t="s">
        <v>27</v>
      </c>
      <c r="P504" t="s">
        <v>28</v>
      </c>
      <c r="Q504" t="s">
        <v>2464</v>
      </c>
      <c r="R504" t="s">
        <v>2465</v>
      </c>
      <c r="S504" t="s">
        <v>31</v>
      </c>
      <c r="T504">
        <v>0</v>
      </c>
    </row>
    <row r="505" spans="1:20" x14ac:dyDescent="0.25">
      <c r="A505" t="s">
        <v>2466</v>
      </c>
      <c r="B505" s="1">
        <v>45812</v>
      </c>
      <c r="C505" s="5">
        <v>0.11364583333333333</v>
      </c>
      <c r="D505">
        <v>176.17</v>
      </c>
      <c r="E505" t="s">
        <v>44</v>
      </c>
      <c r="F505" t="s">
        <v>2467</v>
      </c>
      <c r="G505" t="s">
        <v>22</v>
      </c>
      <c r="H505" t="s">
        <v>66</v>
      </c>
      <c r="I505" t="s">
        <v>2468</v>
      </c>
      <c r="J505">
        <v>45</v>
      </c>
      <c r="K505" t="s">
        <v>37</v>
      </c>
      <c r="L505" t="s">
        <v>97</v>
      </c>
      <c r="M505" t="s">
        <v>27</v>
      </c>
      <c r="P505" t="s">
        <v>28</v>
      </c>
      <c r="Q505" t="s">
        <v>2469</v>
      </c>
      <c r="R505" t="s">
        <v>2470</v>
      </c>
      <c r="S505" t="s">
        <v>31</v>
      </c>
      <c r="T505">
        <v>0</v>
      </c>
    </row>
    <row r="506" spans="1:20" x14ac:dyDescent="0.25">
      <c r="A506" t="s">
        <v>2471</v>
      </c>
      <c r="B506" s="1">
        <v>45794</v>
      </c>
      <c r="C506" s="5">
        <v>0.91468749999999999</v>
      </c>
      <c r="D506">
        <v>39.950000000000003</v>
      </c>
      <c r="E506" t="s">
        <v>44</v>
      </c>
      <c r="F506" t="s">
        <v>2472</v>
      </c>
      <c r="G506" t="s">
        <v>71</v>
      </c>
      <c r="H506" t="s">
        <v>38</v>
      </c>
      <c r="I506" t="s">
        <v>2473</v>
      </c>
      <c r="J506">
        <v>49</v>
      </c>
      <c r="K506" t="s">
        <v>49</v>
      </c>
      <c r="L506" t="s">
        <v>58</v>
      </c>
      <c r="M506" t="s">
        <v>105</v>
      </c>
      <c r="P506" t="s">
        <v>28</v>
      </c>
      <c r="Q506" t="s">
        <v>2474</v>
      </c>
      <c r="R506" t="s">
        <v>2475</v>
      </c>
      <c r="S506" t="s">
        <v>31</v>
      </c>
      <c r="T506">
        <v>0</v>
      </c>
    </row>
    <row r="507" spans="1:20" x14ac:dyDescent="0.25">
      <c r="A507" t="s">
        <v>2476</v>
      </c>
      <c r="B507" s="1">
        <v>45896</v>
      </c>
      <c r="C507" s="5">
        <v>0.30453703703703705</v>
      </c>
      <c r="D507">
        <v>36.159999999999997</v>
      </c>
      <c r="E507" t="s">
        <v>44</v>
      </c>
      <c r="F507" t="s">
        <v>333</v>
      </c>
      <c r="G507" t="s">
        <v>34</v>
      </c>
      <c r="H507" t="s">
        <v>50</v>
      </c>
      <c r="I507" t="s">
        <v>2477</v>
      </c>
      <c r="J507">
        <v>75</v>
      </c>
      <c r="K507" t="s">
        <v>37</v>
      </c>
      <c r="L507" t="s">
        <v>38</v>
      </c>
      <c r="M507" t="s">
        <v>105</v>
      </c>
      <c r="P507" t="s">
        <v>28</v>
      </c>
      <c r="Q507" t="s">
        <v>2478</v>
      </c>
      <c r="R507" t="s">
        <v>2479</v>
      </c>
      <c r="S507" t="s">
        <v>31</v>
      </c>
      <c r="T507">
        <v>0</v>
      </c>
    </row>
    <row r="508" spans="1:20" x14ac:dyDescent="0.25">
      <c r="A508" t="s">
        <v>2480</v>
      </c>
      <c r="B508" s="1">
        <v>45854</v>
      </c>
      <c r="C508" s="5">
        <v>3.3449074074074076E-2</v>
      </c>
      <c r="D508">
        <v>72.06</v>
      </c>
      <c r="E508" t="s">
        <v>44</v>
      </c>
      <c r="F508" t="s">
        <v>2481</v>
      </c>
      <c r="G508" t="s">
        <v>22</v>
      </c>
      <c r="H508" t="s">
        <v>26</v>
      </c>
      <c r="I508" t="s">
        <v>2482</v>
      </c>
      <c r="J508">
        <v>60</v>
      </c>
      <c r="K508" t="s">
        <v>49</v>
      </c>
      <c r="L508" t="s">
        <v>26</v>
      </c>
      <c r="M508" t="s">
        <v>84</v>
      </c>
      <c r="P508" t="s">
        <v>113</v>
      </c>
      <c r="Q508" t="s">
        <v>2483</v>
      </c>
      <c r="R508" t="s">
        <v>2484</v>
      </c>
      <c r="S508" t="s">
        <v>31</v>
      </c>
      <c r="T508">
        <v>0</v>
      </c>
    </row>
    <row r="509" spans="1:20" x14ac:dyDescent="0.25">
      <c r="A509" t="s">
        <v>2485</v>
      </c>
      <c r="B509" s="1">
        <v>45814</v>
      </c>
      <c r="C509" s="5">
        <v>0.63527777777777783</v>
      </c>
      <c r="D509">
        <v>63.35</v>
      </c>
      <c r="E509" t="s">
        <v>44</v>
      </c>
      <c r="F509" t="s">
        <v>1683</v>
      </c>
      <c r="G509" t="s">
        <v>34</v>
      </c>
      <c r="H509" t="s">
        <v>248</v>
      </c>
      <c r="I509" t="s">
        <v>2486</v>
      </c>
      <c r="J509">
        <v>71</v>
      </c>
      <c r="K509" t="s">
        <v>49</v>
      </c>
      <c r="L509" t="s">
        <v>23</v>
      </c>
      <c r="M509" t="s">
        <v>112</v>
      </c>
      <c r="P509" t="s">
        <v>28</v>
      </c>
      <c r="Q509" t="s">
        <v>2487</v>
      </c>
      <c r="R509" t="s">
        <v>2488</v>
      </c>
      <c r="S509" t="s">
        <v>31</v>
      </c>
      <c r="T509">
        <v>0</v>
      </c>
    </row>
    <row r="510" spans="1:20" x14ac:dyDescent="0.25">
      <c r="A510" t="s">
        <v>2489</v>
      </c>
      <c r="B510" s="1">
        <v>45952</v>
      </c>
      <c r="C510" s="5">
        <v>0.53278935185185183</v>
      </c>
      <c r="D510">
        <v>61.05</v>
      </c>
      <c r="E510" t="s">
        <v>44</v>
      </c>
      <c r="F510" t="s">
        <v>338</v>
      </c>
      <c r="G510" t="s">
        <v>46</v>
      </c>
      <c r="H510" t="s">
        <v>119</v>
      </c>
      <c r="I510" t="s">
        <v>2490</v>
      </c>
      <c r="J510">
        <v>61</v>
      </c>
      <c r="K510" t="s">
        <v>49</v>
      </c>
      <c r="L510" t="s">
        <v>119</v>
      </c>
      <c r="M510" t="s">
        <v>112</v>
      </c>
      <c r="P510" t="s">
        <v>113</v>
      </c>
      <c r="Q510" t="s">
        <v>2491</v>
      </c>
      <c r="R510" t="s">
        <v>2492</v>
      </c>
      <c r="S510" t="s">
        <v>31</v>
      </c>
      <c r="T510">
        <v>1</v>
      </c>
    </row>
    <row r="511" spans="1:20" x14ac:dyDescent="0.25">
      <c r="A511" t="s">
        <v>2493</v>
      </c>
      <c r="B511" s="1">
        <v>45861</v>
      </c>
      <c r="C511" s="5">
        <v>8.8715277777777782E-2</v>
      </c>
      <c r="D511">
        <v>189.99</v>
      </c>
      <c r="E511" t="s">
        <v>44</v>
      </c>
      <c r="F511" t="s">
        <v>2494</v>
      </c>
      <c r="G511" t="s">
        <v>96</v>
      </c>
      <c r="H511" t="s">
        <v>58</v>
      </c>
      <c r="I511" t="s">
        <v>2495</v>
      </c>
      <c r="J511">
        <v>20</v>
      </c>
      <c r="K511" t="s">
        <v>49</v>
      </c>
      <c r="L511" t="s">
        <v>110</v>
      </c>
      <c r="M511" t="s">
        <v>51</v>
      </c>
      <c r="N511" t="s">
        <v>52</v>
      </c>
      <c r="O511">
        <v>419368</v>
      </c>
      <c r="P511" t="s">
        <v>28</v>
      </c>
      <c r="Q511" t="s">
        <v>2496</v>
      </c>
      <c r="R511" t="s">
        <v>2497</v>
      </c>
      <c r="S511" t="s">
        <v>42</v>
      </c>
      <c r="T511">
        <v>0</v>
      </c>
    </row>
    <row r="512" spans="1:20" x14ac:dyDescent="0.25">
      <c r="A512" t="s">
        <v>2498</v>
      </c>
      <c r="B512" s="1">
        <v>45929</v>
      </c>
      <c r="C512" s="5">
        <v>0.30214120370370373</v>
      </c>
      <c r="D512">
        <v>145.35</v>
      </c>
      <c r="E512" t="s">
        <v>44</v>
      </c>
      <c r="F512" t="s">
        <v>1622</v>
      </c>
      <c r="G512" t="s">
        <v>22</v>
      </c>
      <c r="H512" t="s">
        <v>146</v>
      </c>
      <c r="I512" t="s">
        <v>2499</v>
      </c>
      <c r="J512">
        <v>47</v>
      </c>
      <c r="K512" t="s">
        <v>49</v>
      </c>
      <c r="L512" t="s">
        <v>91</v>
      </c>
      <c r="M512" t="s">
        <v>105</v>
      </c>
      <c r="P512" t="s">
        <v>28</v>
      </c>
      <c r="Q512" t="s">
        <v>2500</v>
      </c>
      <c r="R512" t="s">
        <v>2501</v>
      </c>
      <c r="S512" t="s">
        <v>31</v>
      </c>
      <c r="T512">
        <v>0</v>
      </c>
    </row>
    <row r="513" spans="1:20" x14ac:dyDescent="0.25">
      <c r="A513" t="s">
        <v>2502</v>
      </c>
      <c r="B513" s="1">
        <v>45792</v>
      </c>
      <c r="C513" s="5">
        <v>0.36614583333333334</v>
      </c>
      <c r="D513">
        <v>157.85</v>
      </c>
      <c r="E513" t="s">
        <v>44</v>
      </c>
      <c r="F513" t="s">
        <v>2503</v>
      </c>
      <c r="G513" t="s">
        <v>96</v>
      </c>
      <c r="H513" t="s">
        <v>248</v>
      </c>
      <c r="I513" t="s">
        <v>2504</v>
      </c>
      <c r="J513">
        <v>57</v>
      </c>
      <c r="K513" t="s">
        <v>37</v>
      </c>
      <c r="L513" t="s">
        <v>23</v>
      </c>
      <c r="M513" t="s">
        <v>105</v>
      </c>
      <c r="P513" t="s">
        <v>28</v>
      </c>
      <c r="Q513" t="s">
        <v>2505</v>
      </c>
      <c r="R513" t="s">
        <v>397</v>
      </c>
      <c r="S513" t="s">
        <v>101</v>
      </c>
      <c r="T513">
        <v>0</v>
      </c>
    </row>
    <row r="514" spans="1:20" x14ac:dyDescent="0.25">
      <c r="A514" t="s">
        <v>2506</v>
      </c>
      <c r="B514" s="1">
        <v>45901</v>
      </c>
      <c r="C514" s="5">
        <v>4.9872685185185187E-2</v>
      </c>
      <c r="D514">
        <v>149.63</v>
      </c>
      <c r="E514" t="s">
        <v>44</v>
      </c>
      <c r="F514" t="s">
        <v>2507</v>
      </c>
      <c r="G514" t="s">
        <v>89</v>
      </c>
      <c r="H514" t="s">
        <v>130</v>
      </c>
      <c r="I514" t="s">
        <v>2508</v>
      </c>
      <c r="J514">
        <v>28</v>
      </c>
      <c r="K514" t="s">
        <v>49</v>
      </c>
      <c r="L514" t="s">
        <v>26</v>
      </c>
      <c r="M514" t="s">
        <v>105</v>
      </c>
      <c r="P514" t="s">
        <v>28</v>
      </c>
      <c r="Q514" t="s">
        <v>2509</v>
      </c>
      <c r="R514" t="s">
        <v>2510</v>
      </c>
      <c r="S514" t="s">
        <v>31</v>
      </c>
      <c r="T514">
        <v>0</v>
      </c>
    </row>
    <row r="515" spans="1:20" x14ac:dyDescent="0.25">
      <c r="A515" t="s">
        <v>2511</v>
      </c>
      <c r="B515" s="1">
        <v>45864</v>
      </c>
      <c r="C515" s="5">
        <v>5.3587962962962964E-3</v>
      </c>
      <c r="D515">
        <v>991.81</v>
      </c>
      <c r="E515" t="s">
        <v>44</v>
      </c>
      <c r="F515" t="s">
        <v>2512</v>
      </c>
      <c r="G515" t="s">
        <v>71</v>
      </c>
      <c r="H515" t="s">
        <v>26</v>
      </c>
      <c r="I515" t="s">
        <v>2513</v>
      </c>
      <c r="J515">
        <v>61</v>
      </c>
      <c r="K515" t="s">
        <v>37</v>
      </c>
      <c r="L515" t="s">
        <v>38</v>
      </c>
      <c r="M515" t="s">
        <v>27</v>
      </c>
      <c r="P515" t="s">
        <v>28</v>
      </c>
      <c r="Q515" t="s">
        <v>2514</v>
      </c>
      <c r="R515" t="s">
        <v>2515</v>
      </c>
      <c r="S515" t="s">
        <v>31</v>
      </c>
      <c r="T515">
        <v>0</v>
      </c>
    </row>
    <row r="516" spans="1:20" x14ac:dyDescent="0.25">
      <c r="A516" t="s">
        <v>2516</v>
      </c>
      <c r="B516" s="1">
        <v>45903</v>
      </c>
      <c r="C516" s="5">
        <v>0.13218750000000001</v>
      </c>
      <c r="D516">
        <v>139.91</v>
      </c>
      <c r="E516" t="s">
        <v>44</v>
      </c>
      <c r="F516" t="s">
        <v>1336</v>
      </c>
      <c r="G516" t="s">
        <v>46</v>
      </c>
      <c r="H516" t="s">
        <v>50</v>
      </c>
      <c r="I516" t="s">
        <v>2517</v>
      </c>
      <c r="J516">
        <v>71</v>
      </c>
      <c r="K516" t="s">
        <v>49</v>
      </c>
      <c r="L516" t="s">
        <v>50</v>
      </c>
      <c r="M516" t="s">
        <v>51</v>
      </c>
      <c r="N516" t="s">
        <v>507</v>
      </c>
      <c r="O516">
        <v>471397</v>
      </c>
      <c r="P516" t="s">
        <v>113</v>
      </c>
      <c r="Q516" t="s">
        <v>2518</v>
      </c>
      <c r="R516" t="s">
        <v>2519</v>
      </c>
      <c r="S516" t="s">
        <v>31</v>
      </c>
      <c r="T516">
        <v>0</v>
      </c>
    </row>
    <row r="517" spans="1:20" x14ac:dyDescent="0.25">
      <c r="A517" t="s">
        <v>2520</v>
      </c>
      <c r="B517" s="1">
        <v>45871</v>
      </c>
      <c r="C517" s="5">
        <v>2.8819444444444444E-3</v>
      </c>
      <c r="D517">
        <v>856.3</v>
      </c>
      <c r="E517" t="s">
        <v>44</v>
      </c>
      <c r="F517" t="s">
        <v>1153</v>
      </c>
      <c r="G517" t="s">
        <v>89</v>
      </c>
      <c r="H517" t="s">
        <v>130</v>
      </c>
      <c r="I517" t="s">
        <v>2521</v>
      </c>
      <c r="J517">
        <v>30</v>
      </c>
      <c r="K517" t="s">
        <v>25</v>
      </c>
      <c r="L517" t="s">
        <v>23</v>
      </c>
      <c r="M517" t="s">
        <v>51</v>
      </c>
      <c r="N517" t="s">
        <v>345</v>
      </c>
      <c r="O517">
        <v>486410</v>
      </c>
      <c r="P517" t="s">
        <v>28</v>
      </c>
      <c r="Q517" t="s">
        <v>2522</v>
      </c>
      <c r="R517" t="s">
        <v>2523</v>
      </c>
      <c r="S517" t="s">
        <v>31</v>
      </c>
      <c r="T517">
        <v>0</v>
      </c>
    </row>
    <row r="518" spans="1:20" x14ac:dyDescent="0.25">
      <c r="A518" t="s">
        <v>2524</v>
      </c>
      <c r="B518" s="1">
        <v>45821</v>
      </c>
      <c r="C518" s="5">
        <v>0.42958333333333332</v>
      </c>
      <c r="D518">
        <v>174.77</v>
      </c>
      <c r="E518" t="s">
        <v>44</v>
      </c>
      <c r="F518" t="s">
        <v>2525</v>
      </c>
      <c r="G518" t="s">
        <v>124</v>
      </c>
      <c r="H518" t="s">
        <v>146</v>
      </c>
      <c r="I518" t="s">
        <v>2526</v>
      </c>
      <c r="J518">
        <v>46</v>
      </c>
      <c r="K518" t="s">
        <v>49</v>
      </c>
      <c r="L518" t="s">
        <v>130</v>
      </c>
      <c r="M518" t="s">
        <v>105</v>
      </c>
      <c r="P518" t="s">
        <v>28</v>
      </c>
      <c r="Q518" t="s">
        <v>2527</v>
      </c>
      <c r="R518" t="s">
        <v>2528</v>
      </c>
      <c r="S518" t="s">
        <v>31</v>
      </c>
      <c r="T518">
        <v>0</v>
      </c>
    </row>
    <row r="519" spans="1:20" x14ac:dyDescent="0.25">
      <c r="A519" t="s">
        <v>2529</v>
      </c>
      <c r="B519" s="1">
        <v>45811</v>
      </c>
      <c r="C519" s="5">
        <v>0.98021990740740739</v>
      </c>
      <c r="D519">
        <v>80.11</v>
      </c>
      <c r="E519" t="s">
        <v>44</v>
      </c>
      <c r="F519" t="s">
        <v>2530</v>
      </c>
      <c r="G519" t="s">
        <v>57</v>
      </c>
      <c r="H519" t="s">
        <v>35</v>
      </c>
      <c r="I519" t="s">
        <v>2531</v>
      </c>
      <c r="J519">
        <v>40</v>
      </c>
      <c r="K519" t="s">
        <v>37</v>
      </c>
      <c r="L519" t="s">
        <v>58</v>
      </c>
      <c r="M519" t="s">
        <v>84</v>
      </c>
      <c r="P519" t="s">
        <v>28</v>
      </c>
      <c r="Q519" t="s">
        <v>2532</v>
      </c>
      <c r="R519" t="s">
        <v>2533</v>
      </c>
      <c r="S519" t="s">
        <v>31</v>
      </c>
      <c r="T519">
        <v>0</v>
      </c>
    </row>
    <row r="520" spans="1:20" x14ac:dyDescent="0.25">
      <c r="A520" t="s">
        <v>2534</v>
      </c>
      <c r="B520" s="1">
        <v>45827</v>
      </c>
      <c r="C520" s="5">
        <v>0.71474537037037034</v>
      </c>
      <c r="D520">
        <v>159.99</v>
      </c>
      <c r="E520" t="s">
        <v>44</v>
      </c>
      <c r="F520" t="s">
        <v>693</v>
      </c>
      <c r="G520" t="s">
        <v>57</v>
      </c>
      <c r="H520" t="s">
        <v>146</v>
      </c>
      <c r="I520" t="s">
        <v>2535</v>
      </c>
      <c r="J520">
        <v>58</v>
      </c>
      <c r="K520" t="s">
        <v>49</v>
      </c>
      <c r="L520" t="s">
        <v>58</v>
      </c>
      <c r="M520" t="s">
        <v>105</v>
      </c>
      <c r="P520" t="s">
        <v>28</v>
      </c>
      <c r="Q520" t="s">
        <v>2536</v>
      </c>
      <c r="R520" t="s">
        <v>2537</v>
      </c>
      <c r="S520" t="s">
        <v>101</v>
      </c>
      <c r="T520">
        <v>0</v>
      </c>
    </row>
    <row r="521" spans="1:20" x14ac:dyDescent="0.25">
      <c r="A521" t="s">
        <v>2538</v>
      </c>
      <c r="B521" s="1">
        <v>45878</v>
      </c>
      <c r="C521" s="5">
        <v>9.4675925925925934E-3</v>
      </c>
      <c r="D521">
        <v>235.18</v>
      </c>
      <c r="E521" t="s">
        <v>44</v>
      </c>
      <c r="F521" t="s">
        <v>217</v>
      </c>
      <c r="G521" t="s">
        <v>22</v>
      </c>
      <c r="H521" t="s">
        <v>146</v>
      </c>
      <c r="I521" t="s">
        <v>2539</v>
      </c>
      <c r="J521">
        <v>68</v>
      </c>
      <c r="K521" t="s">
        <v>49</v>
      </c>
      <c r="L521" t="s">
        <v>119</v>
      </c>
      <c r="M521" t="s">
        <v>105</v>
      </c>
      <c r="P521" t="s">
        <v>28</v>
      </c>
      <c r="Q521" t="s">
        <v>2540</v>
      </c>
      <c r="R521" t="s">
        <v>2541</v>
      </c>
      <c r="S521" t="s">
        <v>31</v>
      </c>
      <c r="T521">
        <v>0</v>
      </c>
    </row>
    <row r="522" spans="1:20" x14ac:dyDescent="0.25">
      <c r="A522" t="s">
        <v>2542</v>
      </c>
      <c r="B522" s="1">
        <v>45797</v>
      </c>
      <c r="C522" s="5">
        <v>0.3576273148148148</v>
      </c>
      <c r="D522">
        <v>150.94999999999999</v>
      </c>
      <c r="E522" t="s">
        <v>44</v>
      </c>
      <c r="F522" t="s">
        <v>2543</v>
      </c>
      <c r="G522" t="s">
        <v>46</v>
      </c>
      <c r="H522" t="s">
        <v>50</v>
      </c>
      <c r="I522" t="s">
        <v>2544</v>
      </c>
      <c r="J522">
        <v>61</v>
      </c>
      <c r="K522" t="s">
        <v>49</v>
      </c>
      <c r="L522" t="s">
        <v>66</v>
      </c>
      <c r="M522" t="s">
        <v>39</v>
      </c>
      <c r="P522" t="s">
        <v>28</v>
      </c>
      <c r="Q522" t="s">
        <v>2545</v>
      </c>
      <c r="R522" t="s">
        <v>2546</v>
      </c>
      <c r="S522" t="s">
        <v>31</v>
      </c>
      <c r="T522">
        <v>0</v>
      </c>
    </row>
    <row r="523" spans="1:20" x14ac:dyDescent="0.25">
      <c r="A523" t="s">
        <v>2547</v>
      </c>
      <c r="B523" s="1">
        <v>45811</v>
      </c>
      <c r="C523" s="5">
        <v>0.53211805555555558</v>
      </c>
      <c r="D523">
        <v>2.85</v>
      </c>
      <c r="E523" t="s">
        <v>44</v>
      </c>
      <c r="F523" t="s">
        <v>541</v>
      </c>
      <c r="G523" t="s">
        <v>64</v>
      </c>
      <c r="H523" t="s">
        <v>66</v>
      </c>
      <c r="I523" t="s">
        <v>2548</v>
      </c>
      <c r="J523">
        <v>41</v>
      </c>
      <c r="K523" t="s">
        <v>37</v>
      </c>
      <c r="L523" t="s">
        <v>50</v>
      </c>
      <c r="M523" t="s">
        <v>84</v>
      </c>
      <c r="P523" t="s">
        <v>28</v>
      </c>
      <c r="Q523" t="s">
        <v>2549</v>
      </c>
      <c r="R523" t="s">
        <v>2550</v>
      </c>
      <c r="S523" t="s">
        <v>42</v>
      </c>
      <c r="T523">
        <v>0</v>
      </c>
    </row>
    <row r="524" spans="1:20" x14ac:dyDescent="0.25">
      <c r="A524" t="s">
        <v>2551</v>
      </c>
      <c r="B524" s="1">
        <v>45953</v>
      </c>
      <c r="C524" s="5">
        <v>0.93797453703703704</v>
      </c>
      <c r="D524">
        <v>24.13</v>
      </c>
      <c r="E524" t="s">
        <v>44</v>
      </c>
      <c r="F524" t="s">
        <v>308</v>
      </c>
      <c r="G524" t="s">
        <v>64</v>
      </c>
      <c r="H524" t="s">
        <v>110</v>
      </c>
      <c r="I524" t="s">
        <v>2552</v>
      </c>
      <c r="J524">
        <v>42</v>
      </c>
      <c r="K524" t="s">
        <v>25</v>
      </c>
      <c r="L524" t="s">
        <v>23</v>
      </c>
      <c r="M524" t="s">
        <v>27</v>
      </c>
      <c r="P524" t="s">
        <v>28</v>
      </c>
      <c r="Q524" t="s">
        <v>2553</v>
      </c>
      <c r="R524" t="s">
        <v>2554</v>
      </c>
      <c r="S524" t="s">
        <v>31</v>
      </c>
      <c r="T524">
        <v>0</v>
      </c>
    </row>
    <row r="525" spans="1:20" x14ac:dyDescent="0.25">
      <c r="A525" t="s">
        <v>2555</v>
      </c>
      <c r="B525" s="1">
        <v>45937</v>
      </c>
      <c r="C525" s="5">
        <v>0.27620370370370373</v>
      </c>
      <c r="D525">
        <v>569.44000000000005</v>
      </c>
      <c r="E525" t="s">
        <v>44</v>
      </c>
      <c r="F525" t="s">
        <v>2556</v>
      </c>
      <c r="G525" t="s">
        <v>89</v>
      </c>
      <c r="H525" t="s">
        <v>58</v>
      </c>
      <c r="I525" t="s">
        <v>2557</v>
      </c>
      <c r="J525">
        <v>48</v>
      </c>
      <c r="K525" t="s">
        <v>37</v>
      </c>
      <c r="L525" t="s">
        <v>38</v>
      </c>
      <c r="M525" t="s">
        <v>27</v>
      </c>
      <c r="P525" t="s">
        <v>28</v>
      </c>
      <c r="Q525" t="s">
        <v>2558</v>
      </c>
      <c r="R525" t="s">
        <v>2559</v>
      </c>
      <c r="S525" t="s">
        <v>31</v>
      </c>
      <c r="T525">
        <v>0</v>
      </c>
    </row>
    <row r="526" spans="1:20" x14ac:dyDescent="0.25">
      <c r="A526" t="s">
        <v>2560</v>
      </c>
      <c r="B526" s="1">
        <v>45889</v>
      </c>
      <c r="C526" s="5">
        <v>0.51233796296296297</v>
      </c>
      <c r="D526">
        <v>30.43</v>
      </c>
      <c r="E526" t="s">
        <v>44</v>
      </c>
      <c r="F526" t="s">
        <v>2561</v>
      </c>
      <c r="G526" t="s">
        <v>57</v>
      </c>
      <c r="H526" t="s">
        <v>110</v>
      </c>
      <c r="I526" t="s">
        <v>2562</v>
      </c>
      <c r="J526">
        <v>96</v>
      </c>
      <c r="K526" t="s">
        <v>49</v>
      </c>
      <c r="L526" t="s">
        <v>248</v>
      </c>
      <c r="M526" t="s">
        <v>84</v>
      </c>
      <c r="P526" t="s">
        <v>28</v>
      </c>
      <c r="Q526" t="s">
        <v>2563</v>
      </c>
      <c r="R526" t="s">
        <v>2564</v>
      </c>
      <c r="S526" t="s">
        <v>31</v>
      </c>
      <c r="T526">
        <v>0</v>
      </c>
    </row>
    <row r="527" spans="1:20" x14ac:dyDescent="0.25">
      <c r="A527" t="s">
        <v>2565</v>
      </c>
      <c r="B527" s="1">
        <v>45927</v>
      </c>
      <c r="C527" s="5">
        <v>2.627314814814815E-2</v>
      </c>
      <c r="D527">
        <v>59.56</v>
      </c>
      <c r="E527" t="s">
        <v>44</v>
      </c>
      <c r="F527" t="s">
        <v>903</v>
      </c>
      <c r="G527" t="s">
        <v>46</v>
      </c>
      <c r="H527" t="s">
        <v>91</v>
      </c>
      <c r="I527" t="s">
        <v>2566</v>
      </c>
      <c r="J527">
        <v>35</v>
      </c>
      <c r="K527" t="s">
        <v>25</v>
      </c>
      <c r="L527" t="s">
        <v>119</v>
      </c>
      <c r="M527" t="s">
        <v>112</v>
      </c>
      <c r="P527" t="s">
        <v>28</v>
      </c>
      <c r="Q527" t="s">
        <v>2567</v>
      </c>
      <c r="R527" t="s">
        <v>2568</v>
      </c>
      <c r="S527" t="s">
        <v>31</v>
      </c>
      <c r="T527">
        <v>0</v>
      </c>
    </row>
    <row r="528" spans="1:20" x14ac:dyDescent="0.25">
      <c r="A528" t="s">
        <v>2569</v>
      </c>
      <c r="B528" s="1">
        <v>45915</v>
      </c>
      <c r="C528" s="5">
        <v>0.91081018518518519</v>
      </c>
      <c r="D528">
        <v>144.56</v>
      </c>
      <c r="E528" t="s">
        <v>44</v>
      </c>
      <c r="F528" t="s">
        <v>2570</v>
      </c>
      <c r="G528" t="s">
        <v>46</v>
      </c>
      <c r="H528" t="s">
        <v>91</v>
      </c>
      <c r="I528" t="s">
        <v>2571</v>
      </c>
      <c r="J528">
        <v>64</v>
      </c>
      <c r="K528" t="s">
        <v>25</v>
      </c>
      <c r="L528" t="s">
        <v>91</v>
      </c>
      <c r="M528" t="s">
        <v>112</v>
      </c>
      <c r="P528" t="s">
        <v>113</v>
      </c>
      <c r="Q528" t="s">
        <v>2572</v>
      </c>
      <c r="R528" t="s">
        <v>2573</v>
      </c>
      <c r="S528" t="s">
        <v>31</v>
      </c>
      <c r="T528">
        <v>0</v>
      </c>
    </row>
    <row r="529" spans="1:20" x14ac:dyDescent="0.25">
      <c r="A529" t="s">
        <v>2574</v>
      </c>
      <c r="B529" s="1">
        <v>45862</v>
      </c>
      <c r="C529" s="5">
        <v>0.27179398148148148</v>
      </c>
      <c r="D529">
        <v>191.38</v>
      </c>
      <c r="E529" t="s">
        <v>44</v>
      </c>
      <c r="F529" t="s">
        <v>2575</v>
      </c>
      <c r="G529" t="s">
        <v>124</v>
      </c>
      <c r="H529" t="s">
        <v>35</v>
      </c>
      <c r="I529" t="s">
        <v>2576</v>
      </c>
      <c r="J529">
        <v>75</v>
      </c>
      <c r="K529" t="s">
        <v>49</v>
      </c>
      <c r="L529" t="s">
        <v>58</v>
      </c>
      <c r="M529" t="s">
        <v>39</v>
      </c>
      <c r="P529" t="s">
        <v>28</v>
      </c>
      <c r="Q529" t="s">
        <v>2577</v>
      </c>
      <c r="R529" t="s">
        <v>2578</v>
      </c>
      <c r="S529" t="s">
        <v>31</v>
      </c>
      <c r="T529">
        <v>1</v>
      </c>
    </row>
    <row r="530" spans="1:20" x14ac:dyDescent="0.25">
      <c r="A530" t="s">
        <v>2579</v>
      </c>
      <c r="B530" s="1">
        <v>45955</v>
      </c>
      <c r="C530" s="5">
        <v>0.80776620370370367</v>
      </c>
      <c r="D530">
        <v>101.91</v>
      </c>
      <c r="E530" t="s">
        <v>44</v>
      </c>
      <c r="F530" t="s">
        <v>2580</v>
      </c>
      <c r="G530" t="s">
        <v>46</v>
      </c>
      <c r="H530" t="s">
        <v>146</v>
      </c>
      <c r="I530" t="s">
        <v>2581</v>
      </c>
      <c r="J530">
        <v>66</v>
      </c>
      <c r="K530" t="s">
        <v>49</v>
      </c>
      <c r="L530" t="s">
        <v>58</v>
      </c>
      <c r="M530" t="s">
        <v>84</v>
      </c>
      <c r="P530" t="s">
        <v>28</v>
      </c>
      <c r="Q530" t="s">
        <v>2582</v>
      </c>
      <c r="R530" t="s">
        <v>2583</v>
      </c>
      <c r="S530" t="s">
        <v>31</v>
      </c>
      <c r="T530">
        <v>0</v>
      </c>
    </row>
    <row r="531" spans="1:20" x14ac:dyDescent="0.25">
      <c r="A531" t="s">
        <v>2584</v>
      </c>
      <c r="B531" s="1">
        <v>45957</v>
      </c>
      <c r="C531" s="5">
        <v>0.11491898148148148</v>
      </c>
      <c r="D531">
        <v>84.91</v>
      </c>
      <c r="E531" t="s">
        <v>44</v>
      </c>
      <c r="F531" t="s">
        <v>829</v>
      </c>
      <c r="G531" t="s">
        <v>96</v>
      </c>
      <c r="H531" t="s">
        <v>110</v>
      </c>
      <c r="I531" t="s">
        <v>2585</v>
      </c>
      <c r="J531">
        <v>67</v>
      </c>
      <c r="K531" t="s">
        <v>49</v>
      </c>
      <c r="L531" t="s">
        <v>23</v>
      </c>
      <c r="M531" t="s">
        <v>27</v>
      </c>
      <c r="P531" t="s">
        <v>28</v>
      </c>
      <c r="Q531" t="s">
        <v>2586</v>
      </c>
      <c r="R531" t="s">
        <v>2587</v>
      </c>
      <c r="S531" t="s">
        <v>31</v>
      </c>
      <c r="T531">
        <v>0</v>
      </c>
    </row>
    <row r="532" spans="1:20" x14ac:dyDescent="0.25">
      <c r="A532" t="s">
        <v>2588</v>
      </c>
      <c r="B532" s="1">
        <v>45935</v>
      </c>
      <c r="C532" s="5">
        <v>0.10203703703703704</v>
      </c>
      <c r="D532">
        <v>151.66999999999999</v>
      </c>
      <c r="E532" t="s">
        <v>44</v>
      </c>
      <c r="F532" t="s">
        <v>1514</v>
      </c>
      <c r="G532" t="s">
        <v>124</v>
      </c>
      <c r="H532" t="s">
        <v>146</v>
      </c>
      <c r="I532" t="s">
        <v>2589</v>
      </c>
      <c r="J532">
        <v>106</v>
      </c>
      <c r="K532" t="s">
        <v>37</v>
      </c>
      <c r="L532" t="s">
        <v>23</v>
      </c>
      <c r="M532" t="s">
        <v>39</v>
      </c>
      <c r="P532" t="s">
        <v>28</v>
      </c>
      <c r="Q532" t="s">
        <v>2590</v>
      </c>
      <c r="R532" t="s">
        <v>2591</v>
      </c>
      <c r="S532" t="s">
        <v>101</v>
      </c>
      <c r="T532">
        <v>0</v>
      </c>
    </row>
    <row r="533" spans="1:20" x14ac:dyDescent="0.25">
      <c r="A533" t="s">
        <v>2592</v>
      </c>
      <c r="B533" s="1">
        <v>45957</v>
      </c>
      <c r="C533" s="5">
        <v>0.1615625</v>
      </c>
      <c r="D533">
        <v>32.54</v>
      </c>
      <c r="E533" t="s">
        <v>44</v>
      </c>
      <c r="F533" t="s">
        <v>2593</v>
      </c>
      <c r="G533" t="s">
        <v>89</v>
      </c>
      <c r="H533" t="s">
        <v>110</v>
      </c>
      <c r="I533" t="s">
        <v>2594</v>
      </c>
      <c r="J533">
        <v>35</v>
      </c>
      <c r="K533" t="s">
        <v>25</v>
      </c>
      <c r="L533" t="s">
        <v>119</v>
      </c>
      <c r="M533" t="s">
        <v>27</v>
      </c>
      <c r="P533" t="s">
        <v>28</v>
      </c>
      <c r="Q533" t="s">
        <v>2595</v>
      </c>
      <c r="R533" t="s">
        <v>2596</v>
      </c>
      <c r="S533" t="s">
        <v>31</v>
      </c>
      <c r="T533">
        <v>0</v>
      </c>
    </row>
    <row r="534" spans="1:20" x14ac:dyDescent="0.25">
      <c r="A534" t="s">
        <v>2597</v>
      </c>
      <c r="B534" s="1">
        <v>45847</v>
      </c>
      <c r="C534" s="5">
        <v>0.54577546296296298</v>
      </c>
      <c r="D534">
        <v>36.19</v>
      </c>
      <c r="E534" t="s">
        <v>44</v>
      </c>
      <c r="F534" t="s">
        <v>2598</v>
      </c>
      <c r="G534" t="s">
        <v>34</v>
      </c>
      <c r="H534" t="s">
        <v>58</v>
      </c>
      <c r="I534" t="s">
        <v>2599</v>
      </c>
      <c r="J534">
        <v>72</v>
      </c>
      <c r="K534" t="s">
        <v>25</v>
      </c>
      <c r="L534" t="s">
        <v>50</v>
      </c>
      <c r="M534" t="s">
        <v>84</v>
      </c>
      <c r="P534" t="s">
        <v>28</v>
      </c>
      <c r="Q534" t="s">
        <v>2600</v>
      </c>
      <c r="R534" t="s">
        <v>2601</v>
      </c>
      <c r="S534" t="s">
        <v>42</v>
      </c>
      <c r="T534">
        <v>0</v>
      </c>
    </row>
    <row r="535" spans="1:20" x14ac:dyDescent="0.25">
      <c r="A535" t="s">
        <v>2602</v>
      </c>
      <c r="B535" s="1">
        <v>45922</v>
      </c>
      <c r="C535" s="5">
        <v>0.20605324074074075</v>
      </c>
      <c r="D535">
        <v>74.760000000000005</v>
      </c>
      <c r="E535" t="s">
        <v>44</v>
      </c>
      <c r="F535" t="s">
        <v>2603</v>
      </c>
      <c r="G535" t="s">
        <v>57</v>
      </c>
      <c r="H535" t="s">
        <v>50</v>
      </c>
      <c r="I535" t="s">
        <v>2604</v>
      </c>
      <c r="J535">
        <v>64</v>
      </c>
      <c r="K535" t="s">
        <v>25</v>
      </c>
      <c r="L535" t="s">
        <v>58</v>
      </c>
      <c r="M535" t="s">
        <v>112</v>
      </c>
      <c r="P535" t="s">
        <v>28</v>
      </c>
      <c r="Q535" t="s">
        <v>2605</v>
      </c>
      <c r="R535" t="s">
        <v>2606</v>
      </c>
      <c r="S535" t="s">
        <v>31</v>
      </c>
      <c r="T535">
        <v>0</v>
      </c>
    </row>
    <row r="536" spans="1:20" x14ac:dyDescent="0.25">
      <c r="A536" t="s">
        <v>2607</v>
      </c>
      <c r="B536" s="1">
        <v>45846</v>
      </c>
      <c r="C536" s="5">
        <v>0.52658564814814812</v>
      </c>
      <c r="D536">
        <v>198.09</v>
      </c>
      <c r="E536" t="s">
        <v>44</v>
      </c>
      <c r="F536" t="s">
        <v>1869</v>
      </c>
      <c r="G536" t="s">
        <v>96</v>
      </c>
      <c r="H536" t="s">
        <v>38</v>
      </c>
      <c r="I536" t="s">
        <v>2608</v>
      </c>
      <c r="J536">
        <v>74</v>
      </c>
      <c r="K536" t="s">
        <v>25</v>
      </c>
      <c r="L536" t="s">
        <v>35</v>
      </c>
      <c r="M536" t="s">
        <v>84</v>
      </c>
      <c r="P536" t="s">
        <v>28</v>
      </c>
      <c r="Q536" t="s">
        <v>2609</v>
      </c>
      <c r="R536" t="s">
        <v>2610</v>
      </c>
      <c r="S536" t="s">
        <v>31</v>
      </c>
      <c r="T536">
        <v>0</v>
      </c>
    </row>
    <row r="537" spans="1:20" x14ac:dyDescent="0.25">
      <c r="A537" t="s">
        <v>2611</v>
      </c>
      <c r="B537" s="1">
        <v>45792</v>
      </c>
      <c r="C537" s="5">
        <v>0.17650462962962962</v>
      </c>
      <c r="D537">
        <v>91.48</v>
      </c>
      <c r="E537" t="s">
        <v>44</v>
      </c>
      <c r="F537" t="s">
        <v>2612</v>
      </c>
      <c r="G537" t="s">
        <v>57</v>
      </c>
      <c r="H537" t="s">
        <v>119</v>
      </c>
      <c r="I537" t="s">
        <v>2613</v>
      </c>
      <c r="J537">
        <v>41</v>
      </c>
      <c r="K537" t="s">
        <v>25</v>
      </c>
      <c r="L537" t="s">
        <v>110</v>
      </c>
      <c r="M537" t="s">
        <v>27</v>
      </c>
      <c r="P537" t="s">
        <v>28</v>
      </c>
      <c r="Q537" t="s">
        <v>2614</v>
      </c>
      <c r="R537" t="s">
        <v>2615</v>
      </c>
      <c r="S537" t="s">
        <v>31</v>
      </c>
      <c r="T537">
        <v>0</v>
      </c>
    </row>
    <row r="538" spans="1:20" x14ac:dyDescent="0.25">
      <c r="A538" t="s">
        <v>2616</v>
      </c>
      <c r="B538" s="1">
        <v>45894</v>
      </c>
      <c r="C538" s="5">
        <v>4.4699074074074072E-2</v>
      </c>
      <c r="D538">
        <v>476.47</v>
      </c>
      <c r="E538" t="s">
        <v>44</v>
      </c>
      <c r="F538" t="s">
        <v>1017</v>
      </c>
      <c r="G538" t="s">
        <v>64</v>
      </c>
      <c r="H538" t="s">
        <v>35</v>
      </c>
      <c r="I538" t="s">
        <v>2617</v>
      </c>
      <c r="J538">
        <v>52</v>
      </c>
      <c r="K538" t="s">
        <v>25</v>
      </c>
      <c r="L538" t="s">
        <v>58</v>
      </c>
      <c r="M538" t="s">
        <v>105</v>
      </c>
      <c r="P538" t="s">
        <v>28</v>
      </c>
      <c r="Q538" t="s">
        <v>2618</v>
      </c>
      <c r="R538" t="s">
        <v>2619</v>
      </c>
      <c r="S538" t="s">
        <v>31</v>
      </c>
      <c r="T538">
        <v>0</v>
      </c>
    </row>
    <row r="539" spans="1:20" x14ac:dyDescent="0.25">
      <c r="A539" t="s">
        <v>2620</v>
      </c>
      <c r="B539" s="1">
        <v>45867</v>
      </c>
      <c r="C539" s="5">
        <v>0.89565972222222223</v>
      </c>
      <c r="D539">
        <v>148.59</v>
      </c>
      <c r="E539" t="s">
        <v>44</v>
      </c>
      <c r="F539" t="s">
        <v>2621</v>
      </c>
      <c r="G539" t="s">
        <v>57</v>
      </c>
      <c r="H539" t="s">
        <v>97</v>
      </c>
      <c r="I539" t="s">
        <v>2622</v>
      </c>
      <c r="J539">
        <v>64</v>
      </c>
      <c r="K539" t="s">
        <v>37</v>
      </c>
      <c r="L539" t="s">
        <v>35</v>
      </c>
      <c r="M539" t="s">
        <v>27</v>
      </c>
      <c r="P539" t="s">
        <v>28</v>
      </c>
      <c r="Q539" t="s">
        <v>2623</v>
      </c>
      <c r="R539" t="s">
        <v>2624</v>
      </c>
      <c r="S539" t="s">
        <v>31</v>
      </c>
      <c r="T539">
        <v>0</v>
      </c>
    </row>
    <row r="540" spans="1:20" x14ac:dyDescent="0.25">
      <c r="A540" t="s">
        <v>2625</v>
      </c>
      <c r="B540" s="1">
        <v>45953</v>
      </c>
      <c r="C540" s="5">
        <v>0.60880787037037032</v>
      </c>
      <c r="D540">
        <v>184.58</v>
      </c>
      <c r="E540" t="s">
        <v>44</v>
      </c>
      <c r="F540" t="s">
        <v>21</v>
      </c>
      <c r="G540" t="s">
        <v>34</v>
      </c>
      <c r="H540" t="s">
        <v>66</v>
      </c>
      <c r="I540" t="s">
        <v>2626</v>
      </c>
      <c r="J540">
        <v>54</v>
      </c>
      <c r="K540" t="s">
        <v>49</v>
      </c>
      <c r="L540" t="s">
        <v>38</v>
      </c>
      <c r="M540" t="s">
        <v>27</v>
      </c>
      <c r="P540" t="s">
        <v>28</v>
      </c>
      <c r="Q540" t="s">
        <v>2627</v>
      </c>
      <c r="R540" t="s">
        <v>2628</v>
      </c>
      <c r="S540" t="s">
        <v>31</v>
      </c>
      <c r="T540">
        <v>0</v>
      </c>
    </row>
    <row r="541" spans="1:20" x14ac:dyDescent="0.25">
      <c r="A541" t="s">
        <v>2629</v>
      </c>
      <c r="B541" s="1">
        <v>45949</v>
      </c>
      <c r="C541" s="5">
        <v>0.34378472222222223</v>
      </c>
      <c r="D541">
        <v>12.78</v>
      </c>
      <c r="E541" t="s">
        <v>44</v>
      </c>
      <c r="F541" t="s">
        <v>2630</v>
      </c>
      <c r="G541" t="s">
        <v>64</v>
      </c>
      <c r="H541" t="s">
        <v>146</v>
      </c>
      <c r="I541" t="s">
        <v>2631</v>
      </c>
      <c r="J541">
        <v>20</v>
      </c>
      <c r="K541" t="s">
        <v>49</v>
      </c>
      <c r="L541" t="s">
        <v>38</v>
      </c>
      <c r="M541" t="s">
        <v>39</v>
      </c>
      <c r="P541" t="s">
        <v>28</v>
      </c>
      <c r="Q541" t="s">
        <v>2632</v>
      </c>
      <c r="R541" t="s">
        <v>2633</v>
      </c>
      <c r="S541" t="s">
        <v>31</v>
      </c>
      <c r="T541">
        <v>0</v>
      </c>
    </row>
    <row r="542" spans="1:20" x14ac:dyDescent="0.25">
      <c r="A542" t="s">
        <v>2634</v>
      </c>
      <c r="B542" s="1">
        <v>45855</v>
      </c>
      <c r="C542" s="5">
        <v>0.18844907407407407</v>
      </c>
      <c r="D542">
        <v>87.73</v>
      </c>
      <c r="E542" t="s">
        <v>44</v>
      </c>
      <c r="F542" t="s">
        <v>2635</v>
      </c>
      <c r="G542" t="s">
        <v>77</v>
      </c>
      <c r="H542" t="s">
        <v>58</v>
      </c>
      <c r="I542" t="s">
        <v>2636</v>
      </c>
      <c r="J542">
        <v>21</v>
      </c>
      <c r="K542" t="s">
        <v>37</v>
      </c>
      <c r="L542" t="s">
        <v>47</v>
      </c>
      <c r="M542" t="s">
        <v>112</v>
      </c>
      <c r="P542" t="s">
        <v>28</v>
      </c>
      <c r="Q542" t="s">
        <v>2637</v>
      </c>
      <c r="R542" t="s">
        <v>2638</v>
      </c>
      <c r="S542" t="s">
        <v>31</v>
      </c>
      <c r="T542">
        <v>0</v>
      </c>
    </row>
    <row r="543" spans="1:20" x14ac:dyDescent="0.25">
      <c r="A543" t="s">
        <v>2639</v>
      </c>
      <c r="B543" s="1">
        <v>45913</v>
      </c>
      <c r="C543" s="5">
        <v>0.62364583333333334</v>
      </c>
      <c r="D543">
        <v>197.75</v>
      </c>
      <c r="E543" t="s">
        <v>44</v>
      </c>
      <c r="F543" t="s">
        <v>2640</v>
      </c>
      <c r="G543" t="s">
        <v>46</v>
      </c>
      <c r="H543" t="s">
        <v>97</v>
      </c>
      <c r="I543" t="s">
        <v>2641</v>
      </c>
      <c r="J543">
        <v>32</v>
      </c>
      <c r="K543" t="s">
        <v>25</v>
      </c>
      <c r="L543" t="s">
        <v>58</v>
      </c>
      <c r="M543" t="s">
        <v>39</v>
      </c>
      <c r="P543" t="s">
        <v>28</v>
      </c>
      <c r="Q543" t="s">
        <v>2642</v>
      </c>
      <c r="R543" t="s">
        <v>2643</v>
      </c>
      <c r="S543" t="s">
        <v>31</v>
      </c>
      <c r="T543">
        <v>0</v>
      </c>
    </row>
    <row r="544" spans="1:20" x14ac:dyDescent="0.25">
      <c r="A544" t="s">
        <v>2644</v>
      </c>
      <c r="B544" s="1">
        <v>45905</v>
      </c>
      <c r="C544" s="5">
        <v>8.7314814814814817E-2</v>
      </c>
      <c r="D544">
        <v>514.76</v>
      </c>
      <c r="E544" t="s">
        <v>44</v>
      </c>
      <c r="F544" t="s">
        <v>2645</v>
      </c>
      <c r="G544" t="s">
        <v>71</v>
      </c>
      <c r="H544" t="s">
        <v>91</v>
      </c>
      <c r="I544" t="s">
        <v>2646</v>
      </c>
      <c r="J544">
        <v>34</v>
      </c>
      <c r="K544" t="s">
        <v>25</v>
      </c>
      <c r="L544" t="s">
        <v>110</v>
      </c>
      <c r="M544" t="s">
        <v>51</v>
      </c>
      <c r="N544" t="s">
        <v>52</v>
      </c>
      <c r="O544">
        <v>415718</v>
      </c>
      <c r="P544" t="s">
        <v>28</v>
      </c>
      <c r="Q544" t="s">
        <v>2647</v>
      </c>
      <c r="R544" t="s">
        <v>2648</v>
      </c>
      <c r="S544" t="s">
        <v>31</v>
      </c>
      <c r="T544">
        <v>0</v>
      </c>
    </row>
    <row r="545" spans="1:20" x14ac:dyDescent="0.25">
      <c r="A545" t="s">
        <v>2649</v>
      </c>
      <c r="B545" s="1">
        <v>45802</v>
      </c>
      <c r="C545" s="5">
        <v>0.81670138888888888</v>
      </c>
      <c r="D545">
        <v>85.85</v>
      </c>
      <c r="E545" t="s">
        <v>44</v>
      </c>
      <c r="F545" t="s">
        <v>1346</v>
      </c>
      <c r="G545" t="s">
        <v>124</v>
      </c>
      <c r="H545" t="s">
        <v>119</v>
      </c>
      <c r="I545" t="s">
        <v>2650</v>
      </c>
      <c r="J545">
        <v>24</v>
      </c>
      <c r="K545" t="s">
        <v>49</v>
      </c>
      <c r="L545" t="s">
        <v>50</v>
      </c>
      <c r="M545" t="s">
        <v>51</v>
      </c>
      <c r="N545" t="s">
        <v>52</v>
      </c>
      <c r="O545">
        <v>403552</v>
      </c>
      <c r="P545" t="s">
        <v>28</v>
      </c>
      <c r="Q545" t="s">
        <v>2651</v>
      </c>
      <c r="R545" t="s">
        <v>2652</v>
      </c>
      <c r="S545" t="s">
        <v>31</v>
      </c>
      <c r="T545">
        <v>0</v>
      </c>
    </row>
    <row r="546" spans="1:20" x14ac:dyDescent="0.25">
      <c r="A546" t="s">
        <v>2653</v>
      </c>
      <c r="B546" s="1">
        <v>45941</v>
      </c>
      <c r="C546" s="5">
        <v>0.66400462962962958</v>
      </c>
      <c r="D546">
        <v>114.33</v>
      </c>
      <c r="E546" t="s">
        <v>44</v>
      </c>
      <c r="F546" t="s">
        <v>2654</v>
      </c>
      <c r="G546" t="s">
        <v>34</v>
      </c>
      <c r="H546" t="s">
        <v>146</v>
      </c>
      <c r="I546" t="s">
        <v>2655</v>
      </c>
      <c r="J546">
        <v>32</v>
      </c>
      <c r="K546" t="s">
        <v>49</v>
      </c>
      <c r="L546" t="s">
        <v>97</v>
      </c>
      <c r="M546" t="s">
        <v>39</v>
      </c>
      <c r="P546" t="s">
        <v>28</v>
      </c>
      <c r="Q546" t="s">
        <v>2656</v>
      </c>
      <c r="R546" t="s">
        <v>2657</v>
      </c>
      <c r="S546" t="s">
        <v>31</v>
      </c>
      <c r="T546">
        <v>0</v>
      </c>
    </row>
    <row r="547" spans="1:20" x14ac:dyDescent="0.25">
      <c r="A547" t="s">
        <v>2658</v>
      </c>
      <c r="B547" s="1">
        <v>45901</v>
      </c>
      <c r="C547" s="5">
        <v>0.9506134259259259</v>
      </c>
      <c r="D547">
        <v>409.19</v>
      </c>
      <c r="E547" t="s">
        <v>44</v>
      </c>
      <c r="F547" t="s">
        <v>2659</v>
      </c>
      <c r="G547" t="s">
        <v>22</v>
      </c>
      <c r="H547" t="s">
        <v>47</v>
      </c>
      <c r="I547" t="s">
        <v>2660</v>
      </c>
      <c r="J547">
        <v>18</v>
      </c>
      <c r="K547" t="s">
        <v>37</v>
      </c>
      <c r="L547" t="s">
        <v>58</v>
      </c>
      <c r="M547" t="s">
        <v>84</v>
      </c>
      <c r="P547" t="s">
        <v>28</v>
      </c>
      <c r="Q547" t="s">
        <v>2661</v>
      </c>
      <c r="R547" t="s">
        <v>2662</v>
      </c>
      <c r="S547" t="s">
        <v>31</v>
      </c>
      <c r="T547">
        <v>0</v>
      </c>
    </row>
    <row r="548" spans="1:20" x14ac:dyDescent="0.25">
      <c r="A548" t="s">
        <v>2663</v>
      </c>
      <c r="B548" s="1">
        <v>45931</v>
      </c>
      <c r="C548" s="5">
        <v>0.82384259259259263</v>
      </c>
      <c r="D548">
        <v>104.77</v>
      </c>
      <c r="E548" t="s">
        <v>44</v>
      </c>
      <c r="F548" t="s">
        <v>1790</v>
      </c>
      <c r="G548" t="s">
        <v>71</v>
      </c>
      <c r="H548" t="s">
        <v>26</v>
      </c>
      <c r="I548" t="s">
        <v>2664</v>
      </c>
      <c r="K548" t="s">
        <v>49</v>
      </c>
      <c r="L548" t="s">
        <v>23</v>
      </c>
      <c r="M548" t="s">
        <v>112</v>
      </c>
      <c r="P548" t="s">
        <v>28</v>
      </c>
      <c r="Q548" t="s">
        <v>2665</v>
      </c>
      <c r="R548" t="s">
        <v>2324</v>
      </c>
      <c r="S548" t="s">
        <v>31</v>
      </c>
      <c r="T548">
        <v>0</v>
      </c>
    </row>
    <row r="549" spans="1:20" x14ac:dyDescent="0.25">
      <c r="A549" t="s">
        <v>2666</v>
      </c>
      <c r="B549" s="1">
        <v>45802</v>
      </c>
      <c r="C549" s="5">
        <v>6.2013888888888889E-2</v>
      </c>
      <c r="D549">
        <v>176.19</v>
      </c>
      <c r="E549" t="s">
        <v>44</v>
      </c>
      <c r="F549" t="s">
        <v>1785</v>
      </c>
      <c r="G549" t="s">
        <v>71</v>
      </c>
      <c r="H549" t="s">
        <v>97</v>
      </c>
      <c r="I549" t="s">
        <v>2667</v>
      </c>
      <c r="J549">
        <v>29</v>
      </c>
      <c r="K549" t="s">
        <v>25</v>
      </c>
      <c r="L549" t="s">
        <v>26</v>
      </c>
      <c r="M549" t="s">
        <v>84</v>
      </c>
      <c r="P549" t="s">
        <v>28</v>
      </c>
      <c r="Q549" t="s">
        <v>2668</v>
      </c>
      <c r="R549" t="s">
        <v>2669</v>
      </c>
      <c r="S549" t="s">
        <v>31</v>
      </c>
      <c r="T549">
        <v>0</v>
      </c>
    </row>
    <row r="550" spans="1:20" x14ac:dyDescent="0.25">
      <c r="A550" t="s">
        <v>2670</v>
      </c>
      <c r="B550" s="1">
        <v>45848</v>
      </c>
      <c r="C550" s="5">
        <v>0.30015046296296294</v>
      </c>
      <c r="D550">
        <v>132.16</v>
      </c>
      <c r="E550" t="s">
        <v>44</v>
      </c>
      <c r="F550" t="s">
        <v>2671</v>
      </c>
      <c r="G550" t="s">
        <v>71</v>
      </c>
      <c r="H550" t="s">
        <v>50</v>
      </c>
      <c r="I550" t="s">
        <v>2672</v>
      </c>
      <c r="J550">
        <v>31</v>
      </c>
      <c r="K550" t="s">
        <v>37</v>
      </c>
      <c r="L550" t="s">
        <v>97</v>
      </c>
      <c r="M550" t="s">
        <v>51</v>
      </c>
      <c r="N550" t="s">
        <v>52</v>
      </c>
      <c r="O550">
        <v>425784</v>
      </c>
      <c r="P550" t="s">
        <v>28</v>
      </c>
      <c r="Q550" t="s">
        <v>2673</v>
      </c>
      <c r="R550" t="s">
        <v>2674</v>
      </c>
      <c r="S550" t="s">
        <v>31</v>
      </c>
      <c r="T550">
        <v>0</v>
      </c>
    </row>
    <row r="551" spans="1:20" x14ac:dyDescent="0.25">
      <c r="A551" t="s">
        <v>2675</v>
      </c>
      <c r="B551" s="1">
        <v>45912</v>
      </c>
      <c r="C551" s="5">
        <v>0.22621527777777778</v>
      </c>
      <c r="D551">
        <v>165.23</v>
      </c>
      <c r="E551" t="s">
        <v>44</v>
      </c>
      <c r="F551" t="s">
        <v>323</v>
      </c>
      <c r="G551" t="s">
        <v>22</v>
      </c>
      <c r="H551" t="s">
        <v>248</v>
      </c>
      <c r="I551" t="s">
        <v>2676</v>
      </c>
      <c r="J551">
        <v>45</v>
      </c>
      <c r="K551" t="s">
        <v>25</v>
      </c>
      <c r="L551" t="s">
        <v>248</v>
      </c>
      <c r="M551" t="s">
        <v>112</v>
      </c>
      <c r="P551" t="s">
        <v>113</v>
      </c>
      <c r="Q551" t="s">
        <v>2677</v>
      </c>
      <c r="R551" t="s">
        <v>2678</v>
      </c>
      <c r="S551" t="s">
        <v>31</v>
      </c>
      <c r="T551">
        <v>0</v>
      </c>
    </row>
    <row r="552" spans="1:20" x14ac:dyDescent="0.25">
      <c r="A552" t="s">
        <v>2679</v>
      </c>
      <c r="B552" s="1">
        <v>45830</v>
      </c>
      <c r="C552" s="5">
        <v>0.69642361111111106</v>
      </c>
      <c r="D552">
        <v>61.93</v>
      </c>
      <c r="E552" t="s">
        <v>44</v>
      </c>
      <c r="F552" t="s">
        <v>2680</v>
      </c>
      <c r="G552" t="s">
        <v>46</v>
      </c>
      <c r="H552" t="s">
        <v>26</v>
      </c>
      <c r="I552" t="s">
        <v>2681</v>
      </c>
      <c r="J552">
        <v>30</v>
      </c>
      <c r="K552" t="s">
        <v>25</v>
      </c>
      <c r="L552" t="s">
        <v>35</v>
      </c>
      <c r="M552" t="s">
        <v>84</v>
      </c>
      <c r="P552" t="s">
        <v>28</v>
      </c>
      <c r="Q552" t="s">
        <v>2682</v>
      </c>
      <c r="R552" t="s">
        <v>2683</v>
      </c>
      <c r="S552" t="s">
        <v>31</v>
      </c>
      <c r="T552">
        <v>0</v>
      </c>
    </row>
    <row r="553" spans="1:20" x14ac:dyDescent="0.25">
      <c r="A553" t="s">
        <v>2684</v>
      </c>
      <c r="B553" s="1">
        <v>45892</v>
      </c>
      <c r="C553" s="5">
        <v>0.31733796296296296</v>
      </c>
      <c r="D553">
        <v>258.88</v>
      </c>
      <c r="E553" t="s">
        <v>44</v>
      </c>
      <c r="F553" t="s">
        <v>2685</v>
      </c>
      <c r="G553" t="s">
        <v>96</v>
      </c>
      <c r="H553" t="s">
        <v>50</v>
      </c>
      <c r="I553" t="s">
        <v>2686</v>
      </c>
      <c r="J553">
        <v>69</v>
      </c>
      <c r="K553" t="s">
        <v>49</v>
      </c>
      <c r="L553" t="s">
        <v>47</v>
      </c>
      <c r="M553" t="s">
        <v>112</v>
      </c>
      <c r="P553" t="s">
        <v>28</v>
      </c>
      <c r="Q553" t="s">
        <v>2687</v>
      </c>
      <c r="R553" t="s">
        <v>2688</v>
      </c>
      <c r="S553" t="s">
        <v>31</v>
      </c>
      <c r="T553">
        <v>0</v>
      </c>
    </row>
    <row r="554" spans="1:20" x14ac:dyDescent="0.25">
      <c r="A554" t="s">
        <v>2689</v>
      </c>
      <c r="B554" s="1">
        <v>45922</v>
      </c>
      <c r="C554" s="5">
        <v>0.10185185185185185</v>
      </c>
      <c r="D554">
        <v>132.08000000000001</v>
      </c>
      <c r="E554" t="s">
        <v>44</v>
      </c>
      <c r="F554" t="s">
        <v>1874</v>
      </c>
      <c r="G554" t="s">
        <v>22</v>
      </c>
      <c r="H554" t="s">
        <v>58</v>
      </c>
      <c r="I554" t="s">
        <v>2690</v>
      </c>
      <c r="J554">
        <v>30</v>
      </c>
      <c r="K554" t="s">
        <v>37</v>
      </c>
      <c r="L554" t="s">
        <v>97</v>
      </c>
      <c r="M554" t="s">
        <v>51</v>
      </c>
      <c r="N554" t="s">
        <v>304</v>
      </c>
      <c r="O554">
        <v>552386</v>
      </c>
      <c r="P554" t="s">
        <v>28</v>
      </c>
      <c r="Q554" t="s">
        <v>2691</v>
      </c>
      <c r="R554" t="s">
        <v>2692</v>
      </c>
      <c r="S554" t="s">
        <v>31</v>
      </c>
      <c r="T554">
        <v>1</v>
      </c>
    </row>
    <row r="555" spans="1:20" x14ac:dyDescent="0.25">
      <c r="A555" t="s">
        <v>2693</v>
      </c>
      <c r="B555" s="1">
        <v>45810</v>
      </c>
      <c r="C555" s="5">
        <v>0.48226851851851854</v>
      </c>
      <c r="D555">
        <v>81.86</v>
      </c>
      <c r="E555" t="s">
        <v>44</v>
      </c>
      <c r="F555" t="s">
        <v>1568</v>
      </c>
      <c r="G555" t="s">
        <v>124</v>
      </c>
      <c r="H555" t="s">
        <v>146</v>
      </c>
      <c r="I555" t="s">
        <v>2694</v>
      </c>
      <c r="J555">
        <v>63</v>
      </c>
      <c r="K555" t="s">
        <v>37</v>
      </c>
      <c r="L555" t="s">
        <v>38</v>
      </c>
      <c r="M555" t="s">
        <v>105</v>
      </c>
      <c r="P555" t="s">
        <v>28</v>
      </c>
      <c r="Q555" t="s">
        <v>2695</v>
      </c>
      <c r="R555" t="s">
        <v>2696</v>
      </c>
      <c r="S555" t="s">
        <v>31</v>
      </c>
      <c r="T555">
        <v>0</v>
      </c>
    </row>
    <row r="556" spans="1:20" x14ac:dyDescent="0.25">
      <c r="A556" t="s">
        <v>2697</v>
      </c>
      <c r="B556" s="1">
        <v>45910</v>
      </c>
      <c r="C556" s="5">
        <v>0.27869212962962964</v>
      </c>
      <c r="D556">
        <v>45.72</v>
      </c>
      <c r="E556" t="s">
        <v>44</v>
      </c>
      <c r="F556" t="s">
        <v>1007</v>
      </c>
      <c r="G556" t="s">
        <v>89</v>
      </c>
      <c r="H556" t="s">
        <v>119</v>
      </c>
      <c r="I556" t="s">
        <v>2698</v>
      </c>
      <c r="J556">
        <v>37</v>
      </c>
      <c r="K556" t="s">
        <v>49</v>
      </c>
      <c r="L556" t="s">
        <v>35</v>
      </c>
      <c r="M556" t="s">
        <v>84</v>
      </c>
      <c r="P556" t="s">
        <v>28</v>
      </c>
      <c r="Q556" t="s">
        <v>2699</v>
      </c>
      <c r="R556" t="s">
        <v>2700</v>
      </c>
      <c r="S556" t="s">
        <v>101</v>
      </c>
      <c r="T556">
        <v>0</v>
      </c>
    </row>
    <row r="557" spans="1:20" x14ac:dyDescent="0.25">
      <c r="A557" t="s">
        <v>2701</v>
      </c>
      <c r="B557" s="1">
        <v>45794</v>
      </c>
      <c r="C557" s="5">
        <v>0.35109953703703706</v>
      </c>
      <c r="D557">
        <v>194.06</v>
      </c>
      <c r="E557" t="s">
        <v>44</v>
      </c>
      <c r="F557" t="s">
        <v>2702</v>
      </c>
      <c r="G557" t="s">
        <v>77</v>
      </c>
      <c r="H557" t="s">
        <v>23</v>
      </c>
      <c r="I557" t="s">
        <v>2703</v>
      </c>
      <c r="J557">
        <v>64</v>
      </c>
      <c r="K557" t="s">
        <v>49</v>
      </c>
      <c r="L557" t="s">
        <v>119</v>
      </c>
      <c r="M557" t="s">
        <v>84</v>
      </c>
      <c r="P557" t="s">
        <v>28</v>
      </c>
      <c r="Q557" t="s">
        <v>2704</v>
      </c>
      <c r="R557" t="s">
        <v>2705</v>
      </c>
      <c r="S557" t="s">
        <v>101</v>
      </c>
      <c r="T557">
        <v>0</v>
      </c>
    </row>
    <row r="558" spans="1:20" x14ac:dyDescent="0.25">
      <c r="A558" t="s">
        <v>2706</v>
      </c>
      <c r="B558" s="1">
        <v>45825</v>
      </c>
      <c r="C558" s="5">
        <v>0.70762731481481478</v>
      </c>
      <c r="D558">
        <v>14.85</v>
      </c>
      <c r="E558" t="s">
        <v>44</v>
      </c>
      <c r="F558" t="s">
        <v>2707</v>
      </c>
      <c r="G558" t="s">
        <v>57</v>
      </c>
      <c r="H558" t="s">
        <v>119</v>
      </c>
      <c r="I558" t="s">
        <v>2708</v>
      </c>
      <c r="J558">
        <v>71</v>
      </c>
      <c r="K558" t="s">
        <v>25</v>
      </c>
      <c r="L558" t="s">
        <v>97</v>
      </c>
      <c r="M558" t="s">
        <v>84</v>
      </c>
      <c r="P558" t="s">
        <v>28</v>
      </c>
      <c r="Q558" t="s">
        <v>2709</v>
      </c>
      <c r="R558" t="s">
        <v>2710</v>
      </c>
      <c r="S558" t="s">
        <v>31</v>
      </c>
      <c r="T558">
        <v>0</v>
      </c>
    </row>
    <row r="559" spans="1:20" x14ac:dyDescent="0.25">
      <c r="A559" t="s">
        <v>2711</v>
      </c>
      <c r="B559" s="1">
        <v>45817</v>
      </c>
      <c r="C559" s="5">
        <v>0.62883101851851853</v>
      </c>
      <c r="D559">
        <v>8.92</v>
      </c>
      <c r="E559" t="s">
        <v>44</v>
      </c>
      <c r="F559" t="s">
        <v>2712</v>
      </c>
      <c r="G559" t="s">
        <v>57</v>
      </c>
      <c r="H559" t="s">
        <v>35</v>
      </c>
      <c r="I559" t="s">
        <v>2713</v>
      </c>
      <c r="J559">
        <v>114</v>
      </c>
      <c r="K559" t="s">
        <v>37</v>
      </c>
      <c r="L559" t="s">
        <v>146</v>
      </c>
      <c r="M559" t="s">
        <v>27</v>
      </c>
      <c r="P559" t="s">
        <v>28</v>
      </c>
      <c r="Q559" t="s">
        <v>2714</v>
      </c>
      <c r="R559" t="s">
        <v>2715</v>
      </c>
      <c r="S559" t="s">
        <v>31</v>
      </c>
      <c r="T559">
        <v>0</v>
      </c>
    </row>
    <row r="560" spans="1:20" x14ac:dyDescent="0.25">
      <c r="A560" t="s">
        <v>2716</v>
      </c>
      <c r="B560" s="1">
        <v>45795</v>
      </c>
      <c r="C560" s="5">
        <v>0.14026620370370371</v>
      </c>
      <c r="D560">
        <v>28.25</v>
      </c>
      <c r="E560" t="s">
        <v>44</v>
      </c>
      <c r="F560" t="s">
        <v>1563</v>
      </c>
      <c r="G560" t="s">
        <v>71</v>
      </c>
      <c r="H560" t="s">
        <v>50</v>
      </c>
      <c r="I560" t="s">
        <v>2717</v>
      </c>
      <c r="J560">
        <v>50</v>
      </c>
      <c r="K560" t="s">
        <v>25</v>
      </c>
      <c r="L560" t="s">
        <v>35</v>
      </c>
      <c r="M560" t="s">
        <v>84</v>
      </c>
      <c r="P560" t="s">
        <v>28</v>
      </c>
      <c r="Q560" t="s">
        <v>2718</v>
      </c>
      <c r="R560" t="s">
        <v>2719</v>
      </c>
      <c r="S560" t="s">
        <v>31</v>
      </c>
      <c r="T560">
        <v>0</v>
      </c>
    </row>
    <row r="561" spans="1:20" x14ac:dyDescent="0.25">
      <c r="A561" t="s">
        <v>2720</v>
      </c>
      <c r="B561" s="1">
        <v>45802</v>
      </c>
      <c r="C561" s="5">
        <v>0.76943287037037034</v>
      </c>
      <c r="D561">
        <v>107.94</v>
      </c>
      <c r="E561" t="s">
        <v>44</v>
      </c>
      <c r="F561" t="s">
        <v>2721</v>
      </c>
      <c r="G561" t="s">
        <v>89</v>
      </c>
      <c r="H561" t="s">
        <v>130</v>
      </c>
      <c r="I561" t="s">
        <v>2722</v>
      </c>
      <c r="J561">
        <v>73</v>
      </c>
      <c r="K561" t="s">
        <v>37</v>
      </c>
      <c r="L561" t="s">
        <v>38</v>
      </c>
      <c r="M561" t="s">
        <v>105</v>
      </c>
      <c r="P561" t="s">
        <v>28</v>
      </c>
      <c r="Q561" t="s">
        <v>2723</v>
      </c>
      <c r="R561" t="s">
        <v>2724</v>
      </c>
      <c r="S561" t="s">
        <v>31</v>
      </c>
      <c r="T561">
        <v>0</v>
      </c>
    </row>
    <row r="562" spans="1:20" x14ac:dyDescent="0.25">
      <c r="A562" t="s">
        <v>2725</v>
      </c>
      <c r="B562" s="1">
        <v>45870</v>
      </c>
      <c r="C562" s="5">
        <v>0.98519675925925931</v>
      </c>
      <c r="D562">
        <v>73.540000000000006</v>
      </c>
      <c r="E562" t="s">
        <v>44</v>
      </c>
      <c r="F562" t="s">
        <v>2726</v>
      </c>
      <c r="G562" t="s">
        <v>96</v>
      </c>
      <c r="H562" t="s">
        <v>58</v>
      </c>
      <c r="I562" t="s">
        <v>2727</v>
      </c>
      <c r="J562">
        <v>29</v>
      </c>
      <c r="K562" t="s">
        <v>25</v>
      </c>
      <c r="L562" t="s">
        <v>50</v>
      </c>
      <c r="M562" t="s">
        <v>105</v>
      </c>
      <c r="P562" t="s">
        <v>28</v>
      </c>
      <c r="Q562" t="s">
        <v>2728</v>
      </c>
      <c r="R562" t="s">
        <v>2729</v>
      </c>
      <c r="S562" t="s">
        <v>31</v>
      </c>
      <c r="T562">
        <v>0</v>
      </c>
    </row>
    <row r="563" spans="1:20" x14ac:dyDescent="0.25">
      <c r="A563" t="s">
        <v>2730</v>
      </c>
      <c r="B563" s="1">
        <v>45894</v>
      </c>
      <c r="C563" s="5">
        <v>0.79309027777777774</v>
      </c>
      <c r="D563">
        <v>90.22</v>
      </c>
      <c r="E563" t="s">
        <v>44</v>
      </c>
      <c r="F563" t="s">
        <v>33</v>
      </c>
      <c r="G563" t="s">
        <v>64</v>
      </c>
      <c r="H563" t="s">
        <v>110</v>
      </c>
      <c r="I563" t="s">
        <v>2731</v>
      </c>
      <c r="J563">
        <v>25</v>
      </c>
      <c r="K563" t="s">
        <v>25</v>
      </c>
      <c r="L563" t="s">
        <v>38</v>
      </c>
      <c r="M563" t="s">
        <v>112</v>
      </c>
      <c r="P563" t="s">
        <v>28</v>
      </c>
      <c r="Q563" t="s">
        <v>2732</v>
      </c>
      <c r="R563" t="s">
        <v>2733</v>
      </c>
      <c r="S563" t="s">
        <v>31</v>
      </c>
      <c r="T563">
        <v>0</v>
      </c>
    </row>
    <row r="564" spans="1:20" x14ac:dyDescent="0.25">
      <c r="A564" t="s">
        <v>2734</v>
      </c>
      <c r="B564" s="1">
        <v>45897</v>
      </c>
      <c r="C564" s="5">
        <v>0.56224537037037037</v>
      </c>
      <c r="D564">
        <v>122.32</v>
      </c>
      <c r="E564" t="s">
        <v>44</v>
      </c>
      <c r="F564" t="s">
        <v>166</v>
      </c>
      <c r="G564" t="s">
        <v>34</v>
      </c>
      <c r="H564" t="s">
        <v>130</v>
      </c>
      <c r="I564" t="s">
        <v>2735</v>
      </c>
      <c r="J564">
        <v>64</v>
      </c>
      <c r="K564" t="s">
        <v>25</v>
      </c>
      <c r="L564" t="s">
        <v>58</v>
      </c>
      <c r="M564" t="s">
        <v>105</v>
      </c>
      <c r="P564" t="s">
        <v>28</v>
      </c>
      <c r="Q564" t="s">
        <v>2736</v>
      </c>
      <c r="R564" t="s">
        <v>2737</v>
      </c>
      <c r="S564" t="s">
        <v>42</v>
      </c>
      <c r="T564">
        <v>0</v>
      </c>
    </row>
    <row r="565" spans="1:20" x14ac:dyDescent="0.25">
      <c r="A565" t="s">
        <v>2738</v>
      </c>
      <c r="B565" s="1">
        <v>45817</v>
      </c>
      <c r="C565" s="5">
        <v>0.1620138888888889</v>
      </c>
      <c r="D565">
        <v>164.32</v>
      </c>
      <c r="E565" t="s">
        <v>44</v>
      </c>
      <c r="F565" t="s">
        <v>2195</v>
      </c>
      <c r="G565" t="s">
        <v>96</v>
      </c>
      <c r="H565" t="s">
        <v>119</v>
      </c>
      <c r="I565" t="s">
        <v>2739</v>
      </c>
      <c r="J565">
        <v>44</v>
      </c>
      <c r="K565" t="s">
        <v>25</v>
      </c>
      <c r="L565" t="s">
        <v>58</v>
      </c>
      <c r="M565" t="s">
        <v>39</v>
      </c>
      <c r="P565" t="s">
        <v>28</v>
      </c>
      <c r="Q565" t="s">
        <v>2740</v>
      </c>
      <c r="R565" t="s">
        <v>2741</v>
      </c>
      <c r="S565" t="s">
        <v>31</v>
      </c>
      <c r="T565">
        <v>0</v>
      </c>
    </row>
    <row r="566" spans="1:20" x14ac:dyDescent="0.25">
      <c r="A566" t="s">
        <v>2742</v>
      </c>
      <c r="B566" s="1">
        <v>45820</v>
      </c>
      <c r="C566" s="5">
        <v>0.37633101851851852</v>
      </c>
      <c r="D566">
        <v>117.95</v>
      </c>
      <c r="E566" t="s">
        <v>44</v>
      </c>
      <c r="F566" t="s">
        <v>2368</v>
      </c>
      <c r="G566" t="s">
        <v>64</v>
      </c>
      <c r="H566" t="s">
        <v>26</v>
      </c>
      <c r="I566" t="s">
        <v>2743</v>
      </c>
      <c r="J566">
        <v>71</v>
      </c>
      <c r="K566" t="s">
        <v>49</v>
      </c>
      <c r="L566" t="s">
        <v>50</v>
      </c>
      <c r="M566" t="s">
        <v>84</v>
      </c>
      <c r="P566" t="s">
        <v>28</v>
      </c>
      <c r="Q566" t="s">
        <v>2744</v>
      </c>
      <c r="R566" t="s">
        <v>2745</v>
      </c>
      <c r="S566" t="s">
        <v>31</v>
      </c>
      <c r="T566">
        <v>0</v>
      </c>
    </row>
    <row r="567" spans="1:20" x14ac:dyDescent="0.25">
      <c r="A567" t="s">
        <v>2746</v>
      </c>
      <c r="B567" s="1">
        <v>45805</v>
      </c>
      <c r="C567" s="5">
        <v>4.3946759259259262E-2</v>
      </c>
      <c r="D567">
        <v>21.8</v>
      </c>
      <c r="E567" t="s">
        <v>44</v>
      </c>
      <c r="F567" t="s">
        <v>374</v>
      </c>
      <c r="G567" t="s">
        <v>77</v>
      </c>
      <c r="H567" t="s">
        <v>110</v>
      </c>
      <c r="I567" t="s">
        <v>2747</v>
      </c>
      <c r="J567">
        <v>27</v>
      </c>
      <c r="K567" t="s">
        <v>37</v>
      </c>
      <c r="L567" t="s">
        <v>130</v>
      </c>
      <c r="M567" t="s">
        <v>84</v>
      </c>
      <c r="P567" t="s">
        <v>28</v>
      </c>
      <c r="Q567" t="s">
        <v>2748</v>
      </c>
      <c r="R567" t="s">
        <v>2749</v>
      </c>
      <c r="S567" t="s">
        <v>31</v>
      </c>
      <c r="T567">
        <v>0</v>
      </c>
    </row>
    <row r="568" spans="1:20" x14ac:dyDescent="0.25">
      <c r="A568" t="s">
        <v>2750</v>
      </c>
      <c r="B568" s="1">
        <v>45950</v>
      </c>
      <c r="C568" s="5">
        <v>0.83332175925925922</v>
      </c>
      <c r="D568">
        <v>45.14</v>
      </c>
      <c r="E568" t="s">
        <v>44</v>
      </c>
      <c r="F568" t="s">
        <v>1470</v>
      </c>
      <c r="G568" t="s">
        <v>57</v>
      </c>
      <c r="H568" t="s">
        <v>91</v>
      </c>
      <c r="I568" t="s">
        <v>2751</v>
      </c>
      <c r="J568">
        <v>36</v>
      </c>
      <c r="K568" t="s">
        <v>37</v>
      </c>
      <c r="L568" t="s">
        <v>23</v>
      </c>
      <c r="M568" t="s">
        <v>27</v>
      </c>
      <c r="P568" t="s">
        <v>28</v>
      </c>
      <c r="Q568" t="s">
        <v>2752</v>
      </c>
      <c r="R568" t="s">
        <v>2753</v>
      </c>
      <c r="S568" t="s">
        <v>101</v>
      </c>
      <c r="T568">
        <v>0</v>
      </c>
    </row>
    <row r="569" spans="1:20" x14ac:dyDescent="0.25">
      <c r="A569" t="s">
        <v>2754</v>
      </c>
      <c r="B569" s="1">
        <v>45911</v>
      </c>
      <c r="C569" s="5">
        <v>0.40109953703703705</v>
      </c>
      <c r="D569">
        <v>49.31</v>
      </c>
      <c r="E569" t="s">
        <v>44</v>
      </c>
      <c r="F569" t="s">
        <v>2755</v>
      </c>
      <c r="G569" t="s">
        <v>64</v>
      </c>
      <c r="H569" t="s">
        <v>66</v>
      </c>
      <c r="I569" t="s">
        <v>2756</v>
      </c>
      <c r="J569">
        <v>64</v>
      </c>
      <c r="K569" t="s">
        <v>37</v>
      </c>
      <c r="L569" t="s">
        <v>130</v>
      </c>
      <c r="M569" t="s">
        <v>27</v>
      </c>
      <c r="P569" t="s">
        <v>28</v>
      </c>
      <c r="Q569" t="s">
        <v>2757</v>
      </c>
      <c r="R569" t="s">
        <v>2758</v>
      </c>
      <c r="S569" t="s">
        <v>31</v>
      </c>
      <c r="T569">
        <v>0</v>
      </c>
    </row>
    <row r="570" spans="1:20" x14ac:dyDescent="0.25">
      <c r="A570" t="s">
        <v>2759</v>
      </c>
      <c r="B570" s="1">
        <v>45823</v>
      </c>
      <c r="C570" s="5">
        <v>0.33467592592592593</v>
      </c>
      <c r="D570">
        <v>101.47</v>
      </c>
      <c r="E570" t="s">
        <v>44</v>
      </c>
      <c r="F570" t="s">
        <v>1456</v>
      </c>
      <c r="G570" t="s">
        <v>124</v>
      </c>
      <c r="H570" t="s">
        <v>23</v>
      </c>
      <c r="I570" t="s">
        <v>2760</v>
      </c>
      <c r="J570">
        <v>51</v>
      </c>
      <c r="K570" t="s">
        <v>25</v>
      </c>
      <c r="L570" t="s">
        <v>66</v>
      </c>
      <c r="M570" t="s">
        <v>84</v>
      </c>
      <c r="P570" t="s">
        <v>28</v>
      </c>
      <c r="Q570" t="s">
        <v>2761</v>
      </c>
      <c r="R570" t="s">
        <v>2762</v>
      </c>
      <c r="S570" t="s">
        <v>31</v>
      </c>
      <c r="T570">
        <v>0</v>
      </c>
    </row>
    <row r="571" spans="1:20" x14ac:dyDescent="0.25">
      <c r="A571" t="s">
        <v>2763</v>
      </c>
      <c r="B571" s="1">
        <v>45844</v>
      </c>
      <c r="C571" s="5">
        <v>0.83228009259259261</v>
      </c>
      <c r="D571">
        <v>58.43</v>
      </c>
      <c r="E571" t="s">
        <v>44</v>
      </c>
      <c r="F571" t="s">
        <v>511</v>
      </c>
      <c r="G571" t="s">
        <v>64</v>
      </c>
      <c r="H571" t="s">
        <v>146</v>
      </c>
      <c r="I571" t="s">
        <v>2764</v>
      </c>
      <c r="J571">
        <v>65</v>
      </c>
      <c r="K571" t="s">
        <v>25</v>
      </c>
      <c r="L571" t="s">
        <v>58</v>
      </c>
      <c r="M571" t="s">
        <v>27</v>
      </c>
      <c r="P571" t="s">
        <v>28</v>
      </c>
      <c r="Q571" t="s">
        <v>2765</v>
      </c>
      <c r="R571" t="s">
        <v>2766</v>
      </c>
      <c r="S571" t="s">
        <v>101</v>
      </c>
      <c r="T571">
        <v>0</v>
      </c>
    </row>
    <row r="572" spans="1:20" x14ac:dyDescent="0.25">
      <c r="A572" t="s">
        <v>2767</v>
      </c>
      <c r="B572" s="1">
        <v>45924</v>
      </c>
      <c r="C572" s="5">
        <v>0.83285879629629633</v>
      </c>
      <c r="D572">
        <v>56.68</v>
      </c>
      <c r="E572" t="s">
        <v>44</v>
      </c>
      <c r="F572" t="s">
        <v>1916</v>
      </c>
      <c r="G572" t="s">
        <v>77</v>
      </c>
      <c r="H572" t="s">
        <v>146</v>
      </c>
      <c r="I572" t="s">
        <v>2768</v>
      </c>
      <c r="J572">
        <v>20</v>
      </c>
      <c r="K572" t="s">
        <v>49</v>
      </c>
      <c r="L572" t="s">
        <v>97</v>
      </c>
      <c r="M572" t="s">
        <v>105</v>
      </c>
      <c r="P572" t="s">
        <v>28</v>
      </c>
      <c r="Q572" t="s">
        <v>2769</v>
      </c>
      <c r="R572" t="s">
        <v>2770</v>
      </c>
      <c r="S572" t="s">
        <v>31</v>
      </c>
      <c r="T572">
        <v>0</v>
      </c>
    </row>
    <row r="573" spans="1:20" x14ac:dyDescent="0.25">
      <c r="A573" t="s">
        <v>2771</v>
      </c>
      <c r="B573" s="1">
        <v>45840</v>
      </c>
      <c r="C573" s="5">
        <v>0.41846064814814815</v>
      </c>
      <c r="D573">
        <v>54.13</v>
      </c>
      <c r="E573" t="s">
        <v>44</v>
      </c>
      <c r="F573" t="s">
        <v>2772</v>
      </c>
      <c r="G573" t="s">
        <v>64</v>
      </c>
      <c r="H573" t="s">
        <v>50</v>
      </c>
      <c r="I573" t="s">
        <v>2773</v>
      </c>
      <c r="J573">
        <v>43</v>
      </c>
      <c r="K573" t="s">
        <v>49</v>
      </c>
      <c r="L573" t="s">
        <v>119</v>
      </c>
      <c r="M573" t="s">
        <v>51</v>
      </c>
      <c r="N573" t="s">
        <v>507</v>
      </c>
      <c r="O573">
        <v>435557</v>
      </c>
      <c r="P573" t="s">
        <v>28</v>
      </c>
      <c r="Q573" t="s">
        <v>2774</v>
      </c>
      <c r="R573" t="s">
        <v>2775</v>
      </c>
      <c r="S573" t="s">
        <v>101</v>
      </c>
      <c r="T573">
        <v>0</v>
      </c>
    </row>
    <row r="574" spans="1:20" x14ac:dyDescent="0.25">
      <c r="A574" t="s">
        <v>2776</v>
      </c>
      <c r="B574" s="1">
        <v>45781</v>
      </c>
      <c r="C574" s="5">
        <v>4.8935185185185186E-2</v>
      </c>
      <c r="D574">
        <v>92.47</v>
      </c>
      <c r="E574" t="s">
        <v>44</v>
      </c>
      <c r="F574" t="s">
        <v>1950</v>
      </c>
      <c r="G574" t="s">
        <v>22</v>
      </c>
      <c r="H574" t="s">
        <v>58</v>
      </c>
      <c r="I574" t="s">
        <v>2777</v>
      </c>
      <c r="J574">
        <v>32</v>
      </c>
      <c r="K574" t="s">
        <v>49</v>
      </c>
      <c r="L574" t="s">
        <v>146</v>
      </c>
      <c r="M574" t="s">
        <v>112</v>
      </c>
      <c r="P574" t="s">
        <v>28</v>
      </c>
      <c r="Q574" t="s">
        <v>2778</v>
      </c>
      <c r="R574" t="s">
        <v>2779</v>
      </c>
      <c r="S574" t="s">
        <v>31</v>
      </c>
      <c r="T574">
        <v>0</v>
      </c>
    </row>
    <row r="575" spans="1:20" x14ac:dyDescent="0.25">
      <c r="A575" t="s">
        <v>2780</v>
      </c>
      <c r="B575" s="1">
        <v>45898</v>
      </c>
      <c r="C575" s="5">
        <v>0.88092592592592589</v>
      </c>
      <c r="D575">
        <v>43.94</v>
      </c>
      <c r="E575" t="s">
        <v>44</v>
      </c>
      <c r="F575" t="s">
        <v>2781</v>
      </c>
      <c r="G575" t="s">
        <v>34</v>
      </c>
      <c r="H575" t="s">
        <v>97</v>
      </c>
      <c r="I575" t="s">
        <v>2782</v>
      </c>
      <c r="J575">
        <v>61</v>
      </c>
      <c r="K575" t="s">
        <v>25</v>
      </c>
      <c r="L575" t="s">
        <v>119</v>
      </c>
      <c r="M575" t="s">
        <v>39</v>
      </c>
      <c r="P575" t="s">
        <v>28</v>
      </c>
      <c r="Q575" t="s">
        <v>2783</v>
      </c>
      <c r="R575" t="s">
        <v>2784</v>
      </c>
      <c r="S575" t="s">
        <v>101</v>
      </c>
      <c r="T575">
        <v>0</v>
      </c>
    </row>
    <row r="576" spans="1:20" x14ac:dyDescent="0.25">
      <c r="A576" t="s">
        <v>2785</v>
      </c>
      <c r="B576" s="1">
        <v>45854</v>
      </c>
      <c r="C576" s="5">
        <v>0.12178240740740741</v>
      </c>
      <c r="D576">
        <v>118.72</v>
      </c>
      <c r="E576" t="s">
        <v>44</v>
      </c>
      <c r="F576" t="s">
        <v>2786</v>
      </c>
      <c r="G576" t="s">
        <v>124</v>
      </c>
      <c r="H576" t="s">
        <v>110</v>
      </c>
      <c r="I576" t="s">
        <v>2787</v>
      </c>
      <c r="J576">
        <v>46</v>
      </c>
      <c r="K576" t="s">
        <v>49</v>
      </c>
      <c r="L576" t="s">
        <v>50</v>
      </c>
      <c r="M576" t="s">
        <v>39</v>
      </c>
      <c r="P576" t="s">
        <v>28</v>
      </c>
      <c r="Q576" t="s">
        <v>2788</v>
      </c>
      <c r="R576" t="s">
        <v>2789</v>
      </c>
      <c r="S576" t="s">
        <v>31</v>
      </c>
      <c r="T576">
        <v>0</v>
      </c>
    </row>
    <row r="577" spans="1:20" x14ac:dyDescent="0.25">
      <c r="A577" t="s">
        <v>2790</v>
      </c>
      <c r="B577" s="1">
        <v>45943</v>
      </c>
      <c r="C577" s="5">
        <v>0.61456018518518518</v>
      </c>
      <c r="D577">
        <v>23.34</v>
      </c>
      <c r="E577" t="s">
        <v>44</v>
      </c>
      <c r="F577" t="s">
        <v>2791</v>
      </c>
      <c r="G577" t="s">
        <v>34</v>
      </c>
      <c r="H577" t="s">
        <v>66</v>
      </c>
      <c r="I577" t="s">
        <v>2792</v>
      </c>
      <c r="J577">
        <v>39</v>
      </c>
      <c r="K577" t="s">
        <v>37</v>
      </c>
      <c r="L577" t="s">
        <v>47</v>
      </c>
      <c r="M577" t="s">
        <v>51</v>
      </c>
      <c r="N577" t="s">
        <v>345</v>
      </c>
      <c r="O577">
        <v>445013</v>
      </c>
      <c r="P577" t="s">
        <v>28</v>
      </c>
      <c r="Q577" t="s">
        <v>2793</v>
      </c>
      <c r="R577" t="s">
        <v>2794</v>
      </c>
      <c r="S577" t="s">
        <v>31</v>
      </c>
      <c r="T577">
        <v>0</v>
      </c>
    </row>
    <row r="578" spans="1:20" x14ac:dyDescent="0.25">
      <c r="A578" t="s">
        <v>2795</v>
      </c>
      <c r="B578" s="1">
        <v>45805</v>
      </c>
      <c r="C578" s="5">
        <v>0.44946759259259261</v>
      </c>
      <c r="D578">
        <v>125.75</v>
      </c>
      <c r="E578" t="s">
        <v>44</v>
      </c>
      <c r="F578" t="s">
        <v>2317</v>
      </c>
      <c r="G578" t="s">
        <v>77</v>
      </c>
      <c r="H578" t="s">
        <v>97</v>
      </c>
      <c r="I578" t="s">
        <v>2796</v>
      </c>
      <c r="J578">
        <v>55</v>
      </c>
      <c r="K578" t="s">
        <v>49</v>
      </c>
      <c r="L578" t="s">
        <v>248</v>
      </c>
      <c r="M578" t="s">
        <v>112</v>
      </c>
      <c r="P578" t="s">
        <v>28</v>
      </c>
      <c r="Q578" t="s">
        <v>2797</v>
      </c>
      <c r="R578" t="s">
        <v>2798</v>
      </c>
      <c r="S578" t="s">
        <v>31</v>
      </c>
      <c r="T578">
        <v>0</v>
      </c>
    </row>
    <row r="579" spans="1:20" x14ac:dyDescent="0.25">
      <c r="A579" t="s">
        <v>2799</v>
      </c>
      <c r="B579" s="1">
        <v>45823</v>
      </c>
      <c r="C579" s="5">
        <v>0.34979166666666667</v>
      </c>
      <c r="D579">
        <v>3.61</v>
      </c>
      <c r="E579" t="s">
        <v>44</v>
      </c>
      <c r="F579" t="s">
        <v>2800</v>
      </c>
      <c r="G579" t="s">
        <v>71</v>
      </c>
      <c r="H579" t="s">
        <v>248</v>
      </c>
      <c r="I579" t="s">
        <v>2801</v>
      </c>
      <c r="J579">
        <v>64</v>
      </c>
      <c r="K579" t="s">
        <v>49</v>
      </c>
      <c r="L579" t="s">
        <v>91</v>
      </c>
      <c r="M579" t="s">
        <v>51</v>
      </c>
      <c r="N579" t="s">
        <v>507</v>
      </c>
      <c r="O579">
        <v>456020</v>
      </c>
      <c r="P579" t="s">
        <v>28</v>
      </c>
      <c r="Q579" t="s">
        <v>2802</v>
      </c>
      <c r="R579" t="s">
        <v>2803</v>
      </c>
      <c r="S579" t="s">
        <v>31</v>
      </c>
      <c r="T579">
        <v>0</v>
      </c>
    </row>
    <row r="580" spans="1:20" x14ac:dyDescent="0.25">
      <c r="A580" t="s">
        <v>2804</v>
      </c>
      <c r="B580" s="1">
        <v>45821</v>
      </c>
      <c r="C580" s="5">
        <v>0.71622685185185186</v>
      </c>
      <c r="D580">
        <v>955.76</v>
      </c>
      <c r="E580" t="s">
        <v>44</v>
      </c>
      <c r="F580" t="s">
        <v>2805</v>
      </c>
      <c r="G580" t="s">
        <v>71</v>
      </c>
      <c r="H580" t="s">
        <v>66</v>
      </c>
      <c r="I580" t="s">
        <v>2806</v>
      </c>
      <c r="J580">
        <v>28</v>
      </c>
      <c r="K580" t="s">
        <v>37</v>
      </c>
      <c r="L580" t="s">
        <v>110</v>
      </c>
      <c r="M580" t="s">
        <v>84</v>
      </c>
      <c r="P580" t="s">
        <v>28</v>
      </c>
      <c r="Q580" t="s">
        <v>2807</v>
      </c>
      <c r="R580" t="s">
        <v>2808</v>
      </c>
      <c r="S580" t="s">
        <v>101</v>
      </c>
      <c r="T580">
        <v>0</v>
      </c>
    </row>
    <row r="581" spans="1:20" x14ac:dyDescent="0.25">
      <c r="A581" t="s">
        <v>2809</v>
      </c>
      <c r="B581" s="1">
        <v>45824</v>
      </c>
      <c r="C581" s="5">
        <v>0.13046296296296298</v>
      </c>
      <c r="D581">
        <v>956.27</v>
      </c>
      <c r="E581" t="s">
        <v>44</v>
      </c>
      <c r="F581" t="s">
        <v>2810</v>
      </c>
      <c r="G581" t="s">
        <v>22</v>
      </c>
      <c r="H581" t="s">
        <v>130</v>
      </c>
      <c r="I581" t="s">
        <v>2811</v>
      </c>
      <c r="J581">
        <v>21</v>
      </c>
      <c r="K581" t="s">
        <v>49</v>
      </c>
      <c r="L581" t="s">
        <v>50</v>
      </c>
      <c r="M581" t="s">
        <v>84</v>
      </c>
      <c r="P581" t="s">
        <v>28</v>
      </c>
      <c r="Q581" t="s">
        <v>2812</v>
      </c>
      <c r="R581" t="s">
        <v>2813</v>
      </c>
      <c r="S581" t="s">
        <v>31</v>
      </c>
      <c r="T581">
        <v>0</v>
      </c>
    </row>
    <row r="582" spans="1:20" x14ac:dyDescent="0.25">
      <c r="A582" t="s">
        <v>2814</v>
      </c>
      <c r="B582" s="1">
        <v>45793</v>
      </c>
      <c r="C582" s="5">
        <v>0.85372685185185182</v>
      </c>
      <c r="D582">
        <v>179.41</v>
      </c>
      <c r="E582" t="s">
        <v>44</v>
      </c>
      <c r="F582" t="s">
        <v>109</v>
      </c>
      <c r="G582" t="s">
        <v>64</v>
      </c>
      <c r="H582" t="s">
        <v>91</v>
      </c>
      <c r="I582" t="s">
        <v>2815</v>
      </c>
      <c r="J582">
        <v>75</v>
      </c>
      <c r="K582" t="s">
        <v>49</v>
      </c>
      <c r="L582" t="s">
        <v>58</v>
      </c>
      <c r="M582" t="s">
        <v>51</v>
      </c>
      <c r="N582" t="s">
        <v>507</v>
      </c>
      <c r="O582">
        <v>0</v>
      </c>
      <c r="P582" t="s">
        <v>28</v>
      </c>
      <c r="Q582" t="s">
        <v>2816</v>
      </c>
      <c r="R582" t="s">
        <v>2817</v>
      </c>
      <c r="S582" t="s">
        <v>31</v>
      </c>
      <c r="T582">
        <v>0</v>
      </c>
    </row>
    <row r="583" spans="1:20" x14ac:dyDescent="0.25">
      <c r="A583" t="s">
        <v>2818</v>
      </c>
      <c r="B583" s="1">
        <v>45798</v>
      </c>
      <c r="C583" s="5">
        <v>0.24687500000000001</v>
      </c>
      <c r="D583">
        <v>983.83</v>
      </c>
      <c r="E583" t="s">
        <v>44</v>
      </c>
      <c r="F583" t="s">
        <v>2819</v>
      </c>
      <c r="G583" t="s">
        <v>22</v>
      </c>
      <c r="H583" t="s">
        <v>146</v>
      </c>
      <c r="I583" t="s">
        <v>2820</v>
      </c>
      <c r="J583">
        <v>21</v>
      </c>
      <c r="K583" t="s">
        <v>37</v>
      </c>
      <c r="L583" t="s">
        <v>26</v>
      </c>
      <c r="M583" t="s">
        <v>84</v>
      </c>
      <c r="P583" t="s">
        <v>28</v>
      </c>
      <c r="Q583" t="s">
        <v>2821</v>
      </c>
      <c r="R583" t="s">
        <v>2822</v>
      </c>
      <c r="S583" t="s">
        <v>31</v>
      </c>
      <c r="T583">
        <v>0</v>
      </c>
    </row>
    <row r="584" spans="1:20" x14ac:dyDescent="0.25">
      <c r="A584" t="s">
        <v>2823</v>
      </c>
      <c r="B584" s="1">
        <v>45795</v>
      </c>
      <c r="C584" s="5">
        <v>0.28641203703703705</v>
      </c>
      <c r="D584">
        <v>135.03</v>
      </c>
      <c r="E584" t="s">
        <v>44</v>
      </c>
      <c r="F584" t="s">
        <v>1451</v>
      </c>
      <c r="G584" t="s">
        <v>96</v>
      </c>
      <c r="H584" t="s">
        <v>50</v>
      </c>
      <c r="I584" t="s">
        <v>2824</v>
      </c>
      <c r="J584">
        <v>38</v>
      </c>
      <c r="K584" t="s">
        <v>25</v>
      </c>
      <c r="L584" t="s">
        <v>23</v>
      </c>
      <c r="M584" t="s">
        <v>51</v>
      </c>
      <c r="N584" t="s">
        <v>507</v>
      </c>
      <c r="O584">
        <v>435628</v>
      </c>
      <c r="P584" t="s">
        <v>28</v>
      </c>
      <c r="Q584" t="s">
        <v>2825</v>
      </c>
      <c r="R584" t="s">
        <v>2826</v>
      </c>
      <c r="S584" t="s">
        <v>31</v>
      </c>
      <c r="T584">
        <v>0</v>
      </c>
    </row>
    <row r="585" spans="1:20" x14ac:dyDescent="0.25">
      <c r="A585" t="s">
        <v>2827</v>
      </c>
      <c r="B585" s="1">
        <v>45933</v>
      </c>
      <c r="C585" s="5">
        <v>0.255</v>
      </c>
      <c r="D585">
        <v>113.38</v>
      </c>
      <c r="E585" t="s">
        <v>44</v>
      </c>
      <c r="F585" t="s">
        <v>2828</v>
      </c>
      <c r="G585" t="s">
        <v>71</v>
      </c>
      <c r="H585" t="s">
        <v>110</v>
      </c>
      <c r="I585" t="s">
        <v>2829</v>
      </c>
      <c r="J585">
        <v>53</v>
      </c>
      <c r="K585" t="s">
        <v>37</v>
      </c>
      <c r="L585" t="s">
        <v>119</v>
      </c>
      <c r="M585" t="s">
        <v>51</v>
      </c>
      <c r="N585" t="s">
        <v>52</v>
      </c>
      <c r="O585">
        <v>522935</v>
      </c>
      <c r="P585" t="s">
        <v>28</v>
      </c>
      <c r="Q585" t="s">
        <v>2830</v>
      </c>
      <c r="R585" t="s">
        <v>2831</v>
      </c>
      <c r="S585" t="s">
        <v>31</v>
      </c>
      <c r="T585">
        <v>0</v>
      </c>
    </row>
    <row r="586" spans="1:20" x14ac:dyDescent="0.25">
      <c r="A586" t="s">
        <v>2832</v>
      </c>
      <c r="B586" s="1">
        <v>45837</v>
      </c>
      <c r="C586" s="5">
        <v>0.20325231481481482</v>
      </c>
      <c r="D586">
        <v>166.14</v>
      </c>
      <c r="E586" t="s">
        <v>44</v>
      </c>
      <c r="F586" t="s">
        <v>2833</v>
      </c>
      <c r="G586" t="s">
        <v>34</v>
      </c>
      <c r="H586" t="s">
        <v>26</v>
      </c>
      <c r="I586" t="s">
        <v>2834</v>
      </c>
      <c r="J586">
        <v>50</v>
      </c>
      <c r="K586" t="s">
        <v>49</v>
      </c>
      <c r="L586" t="s">
        <v>110</v>
      </c>
      <c r="M586" t="s">
        <v>105</v>
      </c>
      <c r="P586" t="s">
        <v>28</v>
      </c>
      <c r="Q586" t="s">
        <v>2835</v>
      </c>
      <c r="R586" t="s">
        <v>2836</v>
      </c>
      <c r="S586" t="s">
        <v>31</v>
      </c>
      <c r="T586">
        <v>0</v>
      </c>
    </row>
    <row r="587" spans="1:20" x14ac:dyDescent="0.25">
      <c r="A587" t="s">
        <v>2837</v>
      </c>
      <c r="B587" s="1">
        <v>45787</v>
      </c>
      <c r="C587" s="5">
        <v>0.85918981481481482</v>
      </c>
      <c r="D587">
        <v>76.349999999999994</v>
      </c>
      <c r="E587" t="s">
        <v>44</v>
      </c>
      <c r="F587" t="s">
        <v>596</v>
      </c>
      <c r="G587" t="s">
        <v>89</v>
      </c>
      <c r="H587" t="s">
        <v>23</v>
      </c>
      <c r="I587" t="s">
        <v>2838</v>
      </c>
      <c r="J587">
        <v>49</v>
      </c>
      <c r="K587" t="s">
        <v>37</v>
      </c>
      <c r="L587" t="s">
        <v>38</v>
      </c>
      <c r="M587" t="s">
        <v>51</v>
      </c>
      <c r="N587" t="s">
        <v>52</v>
      </c>
      <c r="O587">
        <v>505759</v>
      </c>
      <c r="P587" t="s">
        <v>28</v>
      </c>
      <c r="Q587" t="s">
        <v>2839</v>
      </c>
      <c r="R587" t="s">
        <v>2840</v>
      </c>
      <c r="S587" t="s">
        <v>31</v>
      </c>
      <c r="T587">
        <v>0</v>
      </c>
    </row>
    <row r="588" spans="1:20" x14ac:dyDescent="0.25">
      <c r="A588" t="s">
        <v>2841</v>
      </c>
      <c r="B588" s="1">
        <v>45865</v>
      </c>
      <c r="C588" s="5">
        <v>0.1698263888888889</v>
      </c>
      <c r="D588">
        <v>60.11</v>
      </c>
      <c r="E588" t="s">
        <v>44</v>
      </c>
      <c r="F588" t="s">
        <v>536</v>
      </c>
      <c r="G588" t="s">
        <v>22</v>
      </c>
      <c r="H588" t="s">
        <v>119</v>
      </c>
      <c r="I588" t="s">
        <v>2842</v>
      </c>
      <c r="J588">
        <v>63</v>
      </c>
      <c r="K588" t="s">
        <v>25</v>
      </c>
      <c r="L588" t="s">
        <v>58</v>
      </c>
      <c r="M588" t="s">
        <v>51</v>
      </c>
      <c r="N588" t="s">
        <v>173</v>
      </c>
      <c r="O588">
        <v>442738</v>
      </c>
      <c r="P588" t="s">
        <v>28</v>
      </c>
      <c r="Q588" t="s">
        <v>2843</v>
      </c>
      <c r="R588" t="s">
        <v>2844</v>
      </c>
      <c r="S588" t="s">
        <v>101</v>
      </c>
      <c r="T588">
        <v>0</v>
      </c>
    </row>
    <row r="589" spans="1:20" x14ac:dyDescent="0.25">
      <c r="A589" t="s">
        <v>2845</v>
      </c>
      <c r="B589" s="1">
        <v>45933</v>
      </c>
      <c r="C589" s="5">
        <v>0.66878472222222218</v>
      </c>
      <c r="D589">
        <v>13.56</v>
      </c>
      <c r="E589" t="s">
        <v>44</v>
      </c>
      <c r="F589" t="s">
        <v>2846</v>
      </c>
      <c r="G589" t="s">
        <v>64</v>
      </c>
      <c r="H589" t="s">
        <v>47</v>
      </c>
      <c r="I589" t="s">
        <v>2847</v>
      </c>
      <c r="J589">
        <v>63</v>
      </c>
      <c r="K589" t="s">
        <v>37</v>
      </c>
      <c r="L589" t="s">
        <v>66</v>
      </c>
      <c r="M589" t="s">
        <v>39</v>
      </c>
      <c r="P589" t="s">
        <v>28</v>
      </c>
      <c r="Q589" t="s">
        <v>2848</v>
      </c>
      <c r="R589" t="s">
        <v>2849</v>
      </c>
      <c r="S589" t="s">
        <v>31</v>
      </c>
      <c r="T589">
        <v>0</v>
      </c>
    </row>
    <row r="590" spans="1:20" x14ac:dyDescent="0.25">
      <c r="A590" t="s">
        <v>2850</v>
      </c>
      <c r="B590" s="1">
        <v>45897</v>
      </c>
      <c r="C590" s="5">
        <v>0.75892361111111106</v>
      </c>
      <c r="D590">
        <v>64.72</v>
      </c>
      <c r="E590" t="s">
        <v>44</v>
      </c>
      <c r="F590" t="s">
        <v>903</v>
      </c>
      <c r="G590" t="s">
        <v>22</v>
      </c>
      <c r="H590" t="s">
        <v>47</v>
      </c>
      <c r="I590" t="s">
        <v>2851</v>
      </c>
      <c r="K590" t="s">
        <v>49</v>
      </c>
      <c r="L590" t="s">
        <v>119</v>
      </c>
      <c r="M590" t="s">
        <v>105</v>
      </c>
      <c r="P590" t="s">
        <v>28</v>
      </c>
      <c r="Q590" t="s">
        <v>2852</v>
      </c>
      <c r="R590" t="s">
        <v>2853</v>
      </c>
      <c r="S590" t="s">
        <v>101</v>
      </c>
      <c r="T590">
        <v>0</v>
      </c>
    </row>
    <row r="591" spans="1:20" x14ac:dyDescent="0.25">
      <c r="A591" t="s">
        <v>2854</v>
      </c>
      <c r="B591" s="1">
        <v>45864</v>
      </c>
      <c r="C591" s="5">
        <v>6.5787037037037033E-2</v>
      </c>
      <c r="D591">
        <v>64.73</v>
      </c>
      <c r="E591" t="s">
        <v>44</v>
      </c>
      <c r="F591" t="s">
        <v>2855</v>
      </c>
      <c r="G591" t="s">
        <v>71</v>
      </c>
      <c r="H591" t="s">
        <v>248</v>
      </c>
      <c r="I591" t="s">
        <v>2856</v>
      </c>
      <c r="J591">
        <v>57</v>
      </c>
      <c r="K591" t="s">
        <v>37</v>
      </c>
      <c r="L591" t="s">
        <v>50</v>
      </c>
      <c r="M591" t="s">
        <v>105</v>
      </c>
      <c r="P591" t="s">
        <v>28</v>
      </c>
      <c r="Q591" t="s">
        <v>2857</v>
      </c>
      <c r="R591" t="s">
        <v>2858</v>
      </c>
      <c r="S591" t="s">
        <v>31</v>
      </c>
      <c r="T591">
        <v>0</v>
      </c>
    </row>
    <row r="592" spans="1:20" x14ac:dyDescent="0.25">
      <c r="A592" t="s">
        <v>2859</v>
      </c>
      <c r="B592" s="1">
        <v>45889</v>
      </c>
      <c r="C592" s="5">
        <v>0.54385416666666664</v>
      </c>
      <c r="D592">
        <v>121.69</v>
      </c>
      <c r="E592" t="s">
        <v>44</v>
      </c>
      <c r="F592" t="s">
        <v>2860</v>
      </c>
      <c r="G592" t="s">
        <v>22</v>
      </c>
      <c r="H592" t="s">
        <v>23</v>
      </c>
      <c r="I592" t="s">
        <v>2861</v>
      </c>
      <c r="J592">
        <v>46</v>
      </c>
      <c r="K592" t="s">
        <v>37</v>
      </c>
      <c r="L592" t="s">
        <v>110</v>
      </c>
      <c r="M592" t="s">
        <v>105</v>
      </c>
      <c r="P592" t="s">
        <v>28</v>
      </c>
      <c r="Q592" t="s">
        <v>2862</v>
      </c>
      <c r="R592" t="s">
        <v>2863</v>
      </c>
      <c r="S592" t="s">
        <v>31</v>
      </c>
      <c r="T592">
        <v>0</v>
      </c>
    </row>
    <row r="593" spans="1:20" x14ac:dyDescent="0.25">
      <c r="A593" t="s">
        <v>2864</v>
      </c>
      <c r="B593" s="1">
        <v>45847</v>
      </c>
      <c r="C593" s="5">
        <v>0.21835648148148148</v>
      </c>
      <c r="D593">
        <v>253.34</v>
      </c>
      <c r="E593" t="s">
        <v>44</v>
      </c>
      <c r="F593" t="s">
        <v>2865</v>
      </c>
      <c r="G593" t="s">
        <v>46</v>
      </c>
      <c r="H593" t="s">
        <v>23</v>
      </c>
      <c r="I593" t="s">
        <v>2866</v>
      </c>
      <c r="J593">
        <v>75</v>
      </c>
      <c r="K593" t="s">
        <v>25</v>
      </c>
      <c r="L593" t="s">
        <v>130</v>
      </c>
      <c r="M593" t="s">
        <v>39</v>
      </c>
      <c r="P593" t="s">
        <v>28</v>
      </c>
      <c r="Q593" t="s">
        <v>2867</v>
      </c>
      <c r="R593" t="s">
        <v>2868</v>
      </c>
      <c r="S593" t="s">
        <v>101</v>
      </c>
      <c r="T593">
        <v>0</v>
      </c>
    </row>
    <row r="594" spans="1:20" x14ac:dyDescent="0.25">
      <c r="A594" t="s">
        <v>2869</v>
      </c>
      <c r="B594" s="1">
        <v>45951</v>
      </c>
      <c r="C594" s="5">
        <v>0.47054398148148147</v>
      </c>
      <c r="D594">
        <v>140.21</v>
      </c>
      <c r="E594" t="s">
        <v>44</v>
      </c>
      <c r="F594" t="s">
        <v>888</v>
      </c>
      <c r="G594" t="s">
        <v>77</v>
      </c>
      <c r="H594" t="s">
        <v>146</v>
      </c>
      <c r="I594" t="s">
        <v>2870</v>
      </c>
      <c r="J594">
        <v>59</v>
      </c>
      <c r="K594" t="s">
        <v>25</v>
      </c>
      <c r="L594" t="s">
        <v>130</v>
      </c>
      <c r="M594" t="s">
        <v>39</v>
      </c>
      <c r="P594" t="s">
        <v>28</v>
      </c>
      <c r="Q594" t="s">
        <v>2871</v>
      </c>
      <c r="R594" t="s">
        <v>2872</v>
      </c>
      <c r="S594" t="s">
        <v>31</v>
      </c>
      <c r="T594">
        <v>0</v>
      </c>
    </row>
    <row r="595" spans="1:20" x14ac:dyDescent="0.25">
      <c r="A595" t="s">
        <v>2873</v>
      </c>
      <c r="B595" s="1">
        <v>45934</v>
      </c>
      <c r="C595" s="5">
        <v>0.50165509259259256</v>
      </c>
      <c r="D595">
        <v>491.39</v>
      </c>
      <c r="E595" t="s">
        <v>44</v>
      </c>
      <c r="F595" t="s">
        <v>237</v>
      </c>
      <c r="G595" t="s">
        <v>96</v>
      </c>
      <c r="H595" t="s">
        <v>47</v>
      </c>
      <c r="I595" t="s">
        <v>2874</v>
      </c>
      <c r="J595">
        <v>42</v>
      </c>
      <c r="K595" t="s">
        <v>49</v>
      </c>
      <c r="L595" t="s">
        <v>58</v>
      </c>
      <c r="M595" t="s">
        <v>84</v>
      </c>
      <c r="P595" t="s">
        <v>28</v>
      </c>
      <c r="Q595" t="s">
        <v>2875</v>
      </c>
      <c r="R595" t="s">
        <v>2876</v>
      </c>
      <c r="S595" t="s">
        <v>31</v>
      </c>
      <c r="T595">
        <v>0</v>
      </c>
    </row>
    <row r="596" spans="1:20" x14ac:dyDescent="0.25">
      <c r="A596" t="s">
        <v>2877</v>
      </c>
      <c r="B596" s="1">
        <v>45908</v>
      </c>
      <c r="C596" s="5">
        <v>0.98406249999999995</v>
      </c>
      <c r="D596">
        <v>113.54</v>
      </c>
      <c r="E596" t="s">
        <v>44</v>
      </c>
      <c r="F596" t="s">
        <v>2878</v>
      </c>
      <c r="G596" t="s">
        <v>57</v>
      </c>
      <c r="H596" t="s">
        <v>35</v>
      </c>
      <c r="I596" t="s">
        <v>2879</v>
      </c>
      <c r="J596">
        <v>49</v>
      </c>
      <c r="K596" t="s">
        <v>37</v>
      </c>
      <c r="L596" t="s">
        <v>110</v>
      </c>
      <c r="M596" t="s">
        <v>84</v>
      </c>
      <c r="P596" t="s">
        <v>28</v>
      </c>
      <c r="Q596" t="s">
        <v>2880</v>
      </c>
      <c r="R596" t="s">
        <v>2881</v>
      </c>
      <c r="S596" t="s">
        <v>31</v>
      </c>
      <c r="T596">
        <v>0</v>
      </c>
    </row>
    <row r="597" spans="1:20" x14ac:dyDescent="0.25">
      <c r="A597" t="s">
        <v>2882</v>
      </c>
      <c r="B597" s="1">
        <v>45950</v>
      </c>
      <c r="C597" s="5">
        <v>0.60312500000000002</v>
      </c>
      <c r="D597">
        <v>39.11</v>
      </c>
      <c r="E597" t="s">
        <v>44</v>
      </c>
      <c r="F597" t="s">
        <v>1366</v>
      </c>
      <c r="G597" t="s">
        <v>89</v>
      </c>
      <c r="H597" t="s">
        <v>130</v>
      </c>
      <c r="I597" t="s">
        <v>2883</v>
      </c>
      <c r="J597">
        <v>19</v>
      </c>
      <c r="K597" t="s">
        <v>25</v>
      </c>
      <c r="L597" t="s">
        <v>97</v>
      </c>
      <c r="M597" t="s">
        <v>112</v>
      </c>
      <c r="P597" t="s">
        <v>28</v>
      </c>
      <c r="Q597" t="s">
        <v>2884</v>
      </c>
      <c r="R597" t="s">
        <v>2885</v>
      </c>
      <c r="S597" t="s">
        <v>31</v>
      </c>
      <c r="T597">
        <v>0</v>
      </c>
    </row>
    <row r="598" spans="1:20" x14ac:dyDescent="0.25">
      <c r="A598" t="s">
        <v>2886</v>
      </c>
      <c r="B598" s="1">
        <v>45788</v>
      </c>
      <c r="C598" s="5">
        <v>0.2761689814814815</v>
      </c>
      <c r="D598">
        <v>35.590000000000003</v>
      </c>
      <c r="E598" t="s">
        <v>44</v>
      </c>
      <c r="F598" t="s">
        <v>723</v>
      </c>
      <c r="G598" t="s">
        <v>22</v>
      </c>
      <c r="H598" t="s">
        <v>110</v>
      </c>
      <c r="I598" t="s">
        <v>2887</v>
      </c>
      <c r="J598">
        <v>39</v>
      </c>
      <c r="K598" t="s">
        <v>49</v>
      </c>
      <c r="L598" t="s">
        <v>119</v>
      </c>
      <c r="M598" t="s">
        <v>84</v>
      </c>
      <c r="P598" t="s">
        <v>28</v>
      </c>
      <c r="Q598" t="s">
        <v>2888</v>
      </c>
      <c r="R598" t="s">
        <v>2889</v>
      </c>
      <c r="S598" t="s">
        <v>31</v>
      </c>
      <c r="T598">
        <v>0</v>
      </c>
    </row>
    <row r="599" spans="1:20" x14ac:dyDescent="0.25">
      <c r="A599" t="s">
        <v>2890</v>
      </c>
      <c r="B599" s="1">
        <v>45844</v>
      </c>
      <c r="C599" s="5">
        <v>0.32929398148148148</v>
      </c>
      <c r="D599">
        <v>181.15</v>
      </c>
      <c r="E599" t="s">
        <v>44</v>
      </c>
      <c r="F599" t="s">
        <v>2891</v>
      </c>
      <c r="G599" t="s">
        <v>22</v>
      </c>
      <c r="H599" t="s">
        <v>58</v>
      </c>
      <c r="I599" t="s">
        <v>2892</v>
      </c>
      <c r="J599">
        <v>44</v>
      </c>
      <c r="K599" t="s">
        <v>49</v>
      </c>
      <c r="L599" t="s">
        <v>26</v>
      </c>
      <c r="M599" t="s">
        <v>39</v>
      </c>
      <c r="P599" t="s">
        <v>28</v>
      </c>
      <c r="Q599" t="s">
        <v>2893</v>
      </c>
      <c r="R599" t="s">
        <v>2894</v>
      </c>
      <c r="S599" t="s">
        <v>31</v>
      </c>
      <c r="T599">
        <v>0</v>
      </c>
    </row>
    <row r="600" spans="1:20" x14ac:dyDescent="0.25">
      <c r="A600" t="s">
        <v>2895</v>
      </c>
      <c r="B600" s="1">
        <v>45906</v>
      </c>
      <c r="C600" s="5">
        <v>0.2875462962962963</v>
      </c>
      <c r="D600">
        <v>117.17</v>
      </c>
      <c r="E600" t="s">
        <v>44</v>
      </c>
      <c r="F600" t="s">
        <v>343</v>
      </c>
      <c r="G600" t="s">
        <v>89</v>
      </c>
      <c r="H600" t="s">
        <v>146</v>
      </c>
      <c r="I600" t="s">
        <v>2896</v>
      </c>
      <c r="J600">
        <v>57</v>
      </c>
      <c r="K600" t="s">
        <v>49</v>
      </c>
      <c r="L600" t="s">
        <v>26</v>
      </c>
      <c r="M600" t="s">
        <v>105</v>
      </c>
      <c r="P600" t="s">
        <v>28</v>
      </c>
      <c r="Q600" t="s">
        <v>2897</v>
      </c>
      <c r="R600" t="s">
        <v>2898</v>
      </c>
      <c r="S600" t="s">
        <v>31</v>
      </c>
      <c r="T600">
        <v>0</v>
      </c>
    </row>
    <row r="601" spans="1:20" x14ac:dyDescent="0.25">
      <c r="A601" t="s">
        <v>2899</v>
      </c>
      <c r="B601" s="1">
        <v>45841</v>
      </c>
      <c r="C601" s="5">
        <v>0.22023148148148147</v>
      </c>
      <c r="D601">
        <v>3484.34</v>
      </c>
      <c r="E601" t="s">
        <v>44</v>
      </c>
      <c r="F601" t="s">
        <v>606</v>
      </c>
      <c r="G601" t="s">
        <v>57</v>
      </c>
      <c r="H601" t="s">
        <v>47</v>
      </c>
      <c r="I601" t="s">
        <v>2900</v>
      </c>
      <c r="J601">
        <v>45</v>
      </c>
      <c r="K601" t="s">
        <v>49</v>
      </c>
      <c r="L601" t="s">
        <v>58</v>
      </c>
      <c r="M601" t="s">
        <v>51</v>
      </c>
      <c r="N601" t="s">
        <v>507</v>
      </c>
      <c r="O601">
        <v>468424</v>
      </c>
      <c r="P601" t="s">
        <v>28</v>
      </c>
      <c r="Q601" t="s">
        <v>2901</v>
      </c>
      <c r="R601" t="s">
        <v>2902</v>
      </c>
      <c r="S601" t="s">
        <v>101</v>
      </c>
      <c r="T601">
        <v>0</v>
      </c>
    </row>
    <row r="602" spans="1:20" x14ac:dyDescent="0.25">
      <c r="A602" t="s">
        <v>2903</v>
      </c>
      <c r="B602" s="1">
        <v>45870</v>
      </c>
      <c r="C602" s="5">
        <v>0.17871527777777776</v>
      </c>
      <c r="D602">
        <v>94.4</v>
      </c>
      <c r="E602" t="s">
        <v>44</v>
      </c>
      <c r="F602" t="s">
        <v>2904</v>
      </c>
      <c r="G602" t="s">
        <v>64</v>
      </c>
      <c r="H602" t="s">
        <v>50</v>
      </c>
      <c r="I602" t="s">
        <v>2905</v>
      </c>
      <c r="J602">
        <v>73</v>
      </c>
      <c r="K602" t="s">
        <v>37</v>
      </c>
      <c r="L602" t="s">
        <v>26</v>
      </c>
      <c r="M602" t="s">
        <v>112</v>
      </c>
      <c r="P602" t="s">
        <v>28</v>
      </c>
      <c r="Q602" t="s">
        <v>2906</v>
      </c>
      <c r="R602" t="s">
        <v>2907</v>
      </c>
      <c r="S602" t="s">
        <v>31</v>
      </c>
      <c r="T602">
        <v>0</v>
      </c>
    </row>
    <row r="603" spans="1:20" x14ac:dyDescent="0.25">
      <c r="A603" t="s">
        <v>2908</v>
      </c>
      <c r="B603" s="1">
        <v>45859</v>
      </c>
      <c r="C603" s="5">
        <v>0.83140046296296299</v>
      </c>
      <c r="D603">
        <v>134.97</v>
      </c>
      <c r="E603" t="s">
        <v>44</v>
      </c>
      <c r="F603" t="s">
        <v>2139</v>
      </c>
      <c r="G603" t="s">
        <v>34</v>
      </c>
      <c r="H603" t="s">
        <v>23</v>
      </c>
      <c r="I603" t="s">
        <v>2909</v>
      </c>
      <c r="J603">
        <v>32</v>
      </c>
      <c r="K603" t="s">
        <v>37</v>
      </c>
      <c r="L603" t="s">
        <v>119</v>
      </c>
      <c r="M603" t="s">
        <v>27</v>
      </c>
      <c r="P603" t="s">
        <v>28</v>
      </c>
      <c r="Q603" t="s">
        <v>2910</v>
      </c>
      <c r="R603" t="s">
        <v>2911</v>
      </c>
      <c r="S603" t="s">
        <v>31</v>
      </c>
      <c r="T603">
        <v>0</v>
      </c>
    </row>
    <row r="604" spans="1:20" x14ac:dyDescent="0.25">
      <c r="A604" t="s">
        <v>2912</v>
      </c>
      <c r="B604" s="1">
        <v>45898</v>
      </c>
      <c r="C604" s="5">
        <v>0.7844444444444445</v>
      </c>
      <c r="D604">
        <v>115.25</v>
      </c>
      <c r="E604" t="s">
        <v>44</v>
      </c>
      <c r="F604" t="s">
        <v>2913</v>
      </c>
      <c r="G604" t="s">
        <v>34</v>
      </c>
      <c r="H604" t="s">
        <v>38</v>
      </c>
      <c r="I604" t="s">
        <v>2914</v>
      </c>
      <c r="J604">
        <v>22</v>
      </c>
      <c r="K604" t="s">
        <v>37</v>
      </c>
      <c r="L604" t="s">
        <v>35</v>
      </c>
      <c r="M604" t="s">
        <v>39</v>
      </c>
      <c r="P604" t="s">
        <v>28</v>
      </c>
      <c r="Q604" t="s">
        <v>2915</v>
      </c>
      <c r="R604" t="s">
        <v>2916</v>
      </c>
      <c r="S604" t="s">
        <v>31</v>
      </c>
      <c r="T604">
        <v>0</v>
      </c>
    </row>
    <row r="605" spans="1:20" x14ac:dyDescent="0.25">
      <c r="A605" t="s">
        <v>2917</v>
      </c>
      <c r="B605" s="1">
        <v>45795</v>
      </c>
      <c r="C605" s="5">
        <v>0.10550925925925926</v>
      </c>
      <c r="D605">
        <v>71.84</v>
      </c>
      <c r="E605" t="s">
        <v>44</v>
      </c>
      <c r="F605" t="s">
        <v>2918</v>
      </c>
      <c r="G605" t="s">
        <v>124</v>
      </c>
      <c r="H605" t="s">
        <v>110</v>
      </c>
      <c r="I605" t="s">
        <v>2919</v>
      </c>
      <c r="J605">
        <v>66</v>
      </c>
      <c r="K605" t="s">
        <v>25</v>
      </c>
      <c r="L605" t="s">
        <v>110</v>
      </c>
      <c r="M605" t="s">
        <v>112</v>
      </c>
      <c r="P605" t="s">
        <v>113</v>
      </c>
      <c r="Q605" t="s">
        <v>2920</v>
      </c>
      <c r="R605" t="s">
        <v>2921</v>
      </c>
      <c r="S605" t="s">
        <v>31</v>
      </c>
      <c r="T605">
        <v>0</v>
      </c>
    </row>
    <row r="606" spans="1:20" x14ac:dyDescent="0.25">
      <c r="A606" t="s">
        <v>2922</v>
      </c>
      <c r="B606" s="1">
        <v>45826</v>
      </c>
      <c r="C606" s="5">
        <v>0.20142361111111112</v>
      </c>
      <c r="D606">
        <v>290.17</v>
      </c>
      <c r="E606" t="s">
        <v>44</v>
      </c>
      <c r="F606" t="s">
        <v>1998</v>
      </c>
      <c r="G606" t="s">
        <v>64</v>
      </c>
      <c r="H606" t="s">
        <v>130</v>
      </c>
      <c r="I606" t="s">
        <v>2923</v>
      </c>
      <c r="J606">
        <v>60</v>
      </c>
      <c r="K606" t="s">
        <v>37</v>
      </c>
      <c r="L606" t="s">
        <v>91</v>
      </c>
      <c r="M606" t="s">
        <v>105</v>
      </c>
      <c r="P606" t="s">
        <v>28</v>
      </c>
      <c r="Q606" t="s">
        <v>2924</v>
      </c>
      <c r="R606" t="s">
        <v>2925</v>
      </c>
      <c r="S606" t="s">
        <v>31</v>
      </c>
      <c r="T606">
        <v>0</v>
      </c>
    </row>
    <row r="607" spans="1:20" x14ac:dyDescent="0.25">
      <c r="A607" t="s">
        <v>2926</v>
      </c>
      <c r="B607" s="1">
        <v>45929</v>
      </c>
      <c r="C607" s="5">
        <v>0.84710648148148149</v>
      </c>
      <c r="D607">
        <v>68.709999999999994</v>
      </c>
      <c r="E607" t="s">
        <v>44</v>
      </c>
      <c r="F607" t="s">
        <v>2927</v>
      </c>
      <c r="G607" t="s">
        <v>57</v>
      </c>
      <c r="H607" t="s">
        <v>119</v>
      </c>
      <c r="I607" t="s">
        <v>2928</v>
      </c>
      <c r="J607">
        <v>62</v>
      </c>
      <c r="K607" t="s">
        <v>37</v>
      </c>
      <c r="L607" t="s">
        <v>26</v>
      </c>
      <c r="M607" t="s">
        <v>84</v>
      </c>
      <c r="P607" t="s">
        <v>28</v>
      </c>
      <c r="Q607" t="s">
        <v>2929</v>
      </c>
      <c r="R607" t="s">
        <v>2930</v>
      </c>
      <c r="S607" t="s">
        <v>31</v>
      </c>
      <c r="T607">
        <v>0</v>
      </c>
    </row>
    <row r="608" spans="1:20" x14ac:dyDescent="0.25">
      <c r="A608" t="s">
        <v>2931</v>
      </c>
      <c r="B608" s="1">
        <v>45918</v>
      </c>
      <c r="C608" s="5">
        <v>0.30039351851851853</v>
      </c>
      <c r="D608">
        <v>160.88999999999999</v>
      </c>
      <c r="E608" t="s">
        <v>44</v>
      </c>
      <c r="F608" t="s">
        <v>2932</v>
      </c>
      <c r="G608" t="s">
        <v>89</v>
      </c>
      <c r="H608" t="s">
        <v>58</v>
      </c>
      <c r="I608" t="s">
        <v>2933</v>
      </c>
      <c r="J608">
        <v>75</v>
      </c>
      <c r="K608" t="s">
        <v>25</v>
      </c>
      <c r="L608" t="s">
        <v>66</v>
      </c>
      <c r="M608" t="s">
        <v>51</v>
      </c>
      <c r="N608" t="s">
        <v>173</v>
      </c>
      <c r="O608">
        <v>438507</v>
      </c>
      <c r="P608" t="s">
        <v>28</v>
      </c>
      <c r="Q608" t="s">
        <v>2934</v>
      </c>
      <c r="R608" t="s">
        <v>2935</v>
      </c>
      <c r="S608" t="s">
        <v>31</v>
      </c>
      <c r="T608">
        <v>0</v>
      </c>
    </row>
    <row r="609" spans="1:20" x14ac:dyDescent="0.25">
      <c r="A609" t="s">
        <v>2936</v>
      </c>
      <c r="B609" s="1">
        <v>45889</v>
      </c>
      <c r="C609" s="5">
        <v>0.45809027777777778</v>
      </c>
      <c r="D609">
        <v>106.75</v>
      </c>
      <c r="E609" t="s">
        <v>44</v>
      </c>
      <c r="F609" t="s">
        <v>2937</v>
      </c>
      <c r="G609" t="s">
        <v>46</v>
      </c>
      <c r="H609" t="s">
        <v>47</v>
      </c>
      <c r="I609" t="s">
        <v>2938</v>
      </c>
      <c r="J609">
        <v>33</v>
      </c>
      <c r="K609" t="s">
        <v>25</v>
      </c>
      <c r="L609" t="s">
        <v>47</v>
      </c>
      <c r="M609" t="s">
        <v>112</v>
      </c>
      <c r="P609" t="s">
        <v>113</v>
      </c>
      <c r="Q609" t="s">
        <v>2939</v>
      </c>
      <c r="R609" t="s">
        <v>2940</v>
      </c>
      <c r="S609" t="s">
        <v>31</v>
      </c>
      <c r="T609">
        <v>0</v>
      </c>
    </row>
    <row r="610" spans="1:20" x14ac:dyDescent="0.25">
      <c r="A610" t="s">
        <v>2941</v>
      </c>
      <c r="B610" s="1">
        <v>45879</v>
      </c>
      <c r="C610" s="5">
        <v>0.1398726851851852</v>
      </c>
      <c r="D610">
        <v>57.72</v>
      </c>
      <c r="E610" t="s">
        <v>44</v>
      </c>
      <c r="F610" t="s">
        <v>2942</v>
      </c>
      <c r="G610" t="s">
        <v>46</v>
      </c>
      <c r="H610" t="s">
        <v>119</v>
      </c>
      <c r="I610" t="s">
        <v>2943</v>
      </c>
      <c r="J610">
        <v>38</v>
      </c>
      <c r="K610" t="s">
        <v>25</v>
      </c>
      <c r="L610" t="s">
        <v>35</v>
      </c>
      <c r="M610" t="s">
        <v>105</v>
      </c>
      <c r="P610" t="s">
        <v>28</v>
      </c>
      <c r="Q610" t="s">
        <v>2944</v>
      </c>
      <c r="R610" t="s">
        <v>2945</v>
      </c>
      <c r="S610" t="s">
        <v>31</v>
      </c>
      <c r="T610">
        <v>0</v>
      </c>
    </row>
    <row r="611" spans="1:20" x14ac:dyDescent="0.25">
      <c r="A611" t="s">
        <v>2946</v>
      </c>
      <c r="B611" s="1">
        <v>45925</v>
      </c>
      <c r="C611" s="5">
        <v>0.37564814814814818</v>
      </c>
      <c r="D611">
        <v>138.16</v>
      </c>
      <c r="E611" t="s">
        <v>44</v>
      </c>
      <c r="F611" t="s">
        <v>2947</v>
      </c>
      <c r="G611" t="s">
        <v>124</v>
      </c>
      <c r="H611" t="s">
        <v>26</v>
      </c>
      <c r="I611" t="s">
        <v>2948</v>
      </c>
      <c r="J611">
        <v>42</v>
      </c>
      <c r="K611" t="s">
        <v>49</v>
      </c>
      <c r="L611" t="s">
        <v>35</v>
      </c>
      <c r="M611" t="s">
        <v>51</v>
      </c>
      <c r="N611" t="s">
        <v>870</v>
      </c>
      <c r="O611">
        <v>539610</v>
      </c>
      <c r="P611" t="s">
        <v>28</v>
      </c>
      <c r="Q611" t="s">
        <v>2949</v>
      </c>
      <c r="R611" t="s">
        <v>2950</v>
      </c>
      <c r="S611" t="s">
        <v>42</v>
      </c>
      <c r="T611">
        <v>0</v>
      </c>
    </row>
    <row r="612" spans="1:20" x14ac:dyDescent="0.25">
      <c r="A612" t="s">
        <v>2951</v>
      </c>
      <c r="B612" s="1">
        <v>45858</v>
      </c>
      <c r="C612" s="5">
        <v>0.66776620370370365</v>
      </c>
      <c r="D612">
        <v>193.94</v>
      </c>
      <c r="E612" t="s">
        <v>44</v>
      </c>
      <c r="F612" t="s">
        <v>824</v>
      </c>
      <c r="G612" t="s">
        <v>89</v>
      </c>
      <c r="H612" t="s">
        <v>38</v>
      </c>
      <c r="I612" t="s">
        <v>2952</v>
      </c>
      <c r="J612">
        <v>55</v>
      </c>
      <c r="K612" t="s">
        <v>25</v>
      </c>
      <c r="L612" t="s">
        <v>26</v>
      </c>
      <c r="M612" t="s">
        <v>105</v>
      </c>
      <c r="P612" t="s">
        <v>28</v>
      </c>
      <c r="Q612" t="s">
        <v>2953</v>
      </c>
      <c r="R612" t="s">
        <v>2954</v>
      </c>
      <c r="S612" t="s">
        <v>31</v>
      </c>
      <c r="T612">
        <v>0</v>
      </c>
    </row>
    <row r="613" spans="1:20" x14ac:dyDescent="0.25">
      <c r="A613" t="s">
        <v>2955</v>
      </c>
      <c r="B613" s="1">
        <v>45876</v>
      </c>
      <c r="C613" s="5">
        <v>0.45890046296296294</v>
      </c>
      <c r="D613">
        <v>49.81</v>
      </c>
      <c r="E613" t="s">
        <v>44</v>
      </c>
      <c r="F613" t="s">
        <v>2956</v>
      </c>
      <c r="G613" t="s">
        <v>64</v>
      </c>
      <c r="H613" t="s">
        <v>66</v>
      </c>
      <c r="I613" t="s">
        <v>2957</v>
      </c>
      <c r="K613" t="s">
        <v>37</v>
      </c>
      <c r="L613" t="s">
        <v>110</v>
      </c>
      <c r="M613" t="s">
        <v>105</v>
      </c>
      <c r="P613" t="s">
        <v>28</v>
      </c>
      <c r="Q613" t="s">
        <v>2958</v>
      </c>
      <c r="R613" t="s">
        <v>2959</v>
      </c>
      <c r="S613" t="s">
        <v>31</v>
      </c>
      <c r="T613">
        <v>0</v>
      </c>
    </row>
    <row r="614" spans="1:20" x14ac:dyDescent="0.25">
      <c r="A614" t="s">
        <v>2960</v>
      </c>
      <c r="B614" s="1">
        <v>45808</v>
      </c>
      <c r="C614" s="5">
        <v>0.61604166666666671</v>
      </c>
      <c r="D614">
        <v>3079.76</v>
      </c>
      <c r="E614" t="s">
        <v>44</v>
      </c>
      <c r="F614" t="s">
        <v>2961</v>
      </c>
      <c r="G614" t="s">
        <v>71</v>
      </c>
      <c r="H614" t="s">
        <v>35</v>
      </c>
      <c r="I614" t="s">
        <v>2962</v>
      </c>
      <c r="J614">
        <v>69</v>
      </c>
      <c r="K614" t="s">
        <v>37</v>
      </c>
      <c r="L614" t="s">
        <v>23</v>
      </c>
      <c r="M614" t="s">
        <v>84</v>
      </c>
      <c r="P614" t="s">
        <v>28</v>
      </c>
      <c r="Q614" t="s">
        <v>2963</v>
      </c>
      <c r="R614" t="s">
        <v>2964</v>
      </c>
      <c r="S614" t="s">
        <v>31</v>
      </c>
      <c r="T614">
        <v>0</v>
      </c>
    </row>
    <row r="615" spans="1:20" x14ac:dyDescent="0.25">
      <c r="A615" t="s">
        <v>2965</v>
      </c>
      <c r="B615" s="1">
        <v>45947</v>
      </c>
      <c r="C615" s="5">
        <v>0.21528935185185186</v>
      </c>
      <c r="D615">
        <v>116.26</v>
      </c>
      <c r="E615" t="s">
        <v>44</v>
      </c>
      <c r="F615" t="s">
        <v>2966</v>
      </c>
      <c r="G615" t="s">
        <v>77</v>
      </c>
      <c r="H615" t="s">
        <v>38</v>
      </c>
      <c r="I615" t="s">
        <v>2967</v>
      </c>
      <c r="J615">
        <v>49</v>
      </c>
      <c r="K615" t="s">
        <v>25</v>
      </c>
      <c r="L615" t="s">
        <v>97</v>
      </c>
      <c r="M615" t="s">
        <v>51</v>
      </c>
      <c r="N615" t="s">
        <v>52</v>
      </c>
      <c r="O615">
        <v>507926</v>
      </c>
      <c r="P615" t="s">
        <v>28</v>
      </c>
      <c r="Q615" t="s">
        <v>2968</v>
      </c>
      <c r="R615" t="s">
        <v>2969</v>
      </c>
      <c r="S615" t="s">
        <v>31</v>
      </c>
      <c r="T615">
        <v>0</v>
      </c>
    </row>
    <row r="616" spans="1:20" x14ac:dyDescent="0.25">
      <c r="A616" t="s">
        <v>2970</v>
      </c>
      <c r="B616" s="1">
        <v>45824</v>
      </c>
      <c r="C616" s="5">
        <v>7.2766203703703708E-2</v>
      </c>
      <c r="D616">
        <v>134.72999999999999</v>
      </c>
      <c r="E616" t="s">
        <v>44</v>
      </c>
      <c r="F616" t="s">
        <v>423</v>
      </c>
      <c r="G616" t="s">
        <v>77</v>
      </c>
      <c r="H616" t="s">
        <v>26</v>
      </c>
      <c r="I616" t="s">
        <v>2971</v>
      </c>
      <c r="J616">
        <v>71</v>
      </c>
      <c r="K616" t="s">
        <v>25</v>
      </c>
      <c r="L616" t="s">
        <v>146</v>
      </c>
      <c r="M616" t="s">
        <v>112</v>
      </c>
      <c r="P616" t="s">
        <v>28</v>
      </c>
      <c r="Q616" t="s">
        <v>2972</v>
      </c>
      <c r="R616" t="s">
        <v>2973</v>
      </c>
      <c r="S616" t="s">
        <v>31</v>
      </c>
      <c r="T616">
        <v>0</v>
      </c>
    </row>
    <row r="617" spans="1:20" x14ac:dyDescent="0.25">
      <c r="A617" t="s">
        <v>2974</v>
      </c>
      <c r="B617" s="1">
        <v>45858</v>
      </c>
      <c r="C617" s="5">
        <v>0.33902777777777776</v>
      </c>
      <c r="D617">
        <v>95.3</v>
      </c>
      <c r="E617" t="s">
        <v>44</v>
      </c>
      <c r="F617" t="s">
        <v>2975</v>
      </c>
      <c r="G617" t="s">
        <v>124</v>
      </c>
      <c r="H617" t="s">
        <v>50</v>
      </c>
      <c r="I617" t="s">
        <v>2976</v>
      </c>
      <c r="J617">
        <v>50</v>
      </c>
      <c r="K617" t="s">
        <v>25</v>
      </c>
      <c r="L617" t="s">
        <v>23</v>
      </c>
      <c r="M617" t="s">
        <v>51</v>
      </c>
      <c r="N617" t="s">
        <v>52</v>
      </c>
      <c r="O617">
        <v>484982</v>
      </c>
      <c r="P617" t="s">
        <v>28</v>
      </c>
      <c r="Q617" t="s">
        <v>2977</v>
      </c>
      <c r="R617" t="s">
        <v>2978</v>
      </c>
      <c r="S617" t="s">
        <v>31</v>
      </c>
      <c r="T617">
        <v>0</v>
      </c>
    </row>
    <row r="618" spans="1:20" x14ac:dyDescent="0.25">
      <c r="A618" t="s">
        <v>2979</v>
      </c>
      <c r="B618" s="1">
        <v>45857</v>
      </c>
      <c r="C618" s="5">
        <v>0.90377314814814813</v>
      </c>
      <c r="D618">
        <v>60.48</v>
      </c>
      <c r="E618" t="s">
        <v>44</v>
      </c>
      <c r="F618" t="s">
        <v>2980</v>
      </c>
      <c r="G618" t="s">
        <v>124</v>
      </c>
      <c r="H618" t="s">
        <v>66</v>
      </c>
      <c r="I618" t="s">
        <v>2981</v>
      </c>
      <c r="J618">
        <v>74</v>
      </c>
      <c r="K618" t="s">
        <v>49</v>
      </c>
      <c r="L618" t="s">
        <v>26</v>
      </c>
      <c r="M618" t="s">
        <v>112</v>
      </c>
      <c r="P618" t="s">
        <v>28</v>
      </c>
      <c r="Q618" t="s">
        <v>2982</v>
      </c>
      <c r="R618" t="s">
        <v>2983</v>
      </c>
      <c r="S618" t="s">
        <v>31</v>
      </c>
      <c r="T618">
        <v>0</v>
      </c>
    </row>
    <row r="619" spans="1:20" x14ac:dyDescent="0.25">
      <c r="A619" t="s">
        <v>2984</v>
      </c>
      <c r="B619" s="1">
        <v>45875</v>
      </c>
      <c r="C619" s="5">
        <v>0.73012731481481485</v>
      </c>
      <c r="D619">
        <v>100.02</v>
      </c>
      <c r="E619" t="s">
        <v>44</v>
      </c>
      <c r="F619" t="s">
        <v>2985</v>
      </c>
      <c r="G619" t="s">
        <v>71</v>
      </c>
      <c r="H619" t="s">
        <v>130</v>
      </c>
      <c r="I619" t="s">
        <v>2986</v>
      </c>
      <c r="J619">
        <v>47</v>
      </c>
      <c r="K619" t="s">
        <v>25</v>
      </c>
      <c r="L619" t="s">
        <v>47</v>
      </c>
      <c r="M619" t="s">
        <v>84</v>
      </c>
      <c r="P619" t="s">
        <v>28</v>
      </c>
      <c r="Q619" t="s">
        <v>2987</v>
      </c>
      <c r="R619" t="s">
        <v>2988</v>
      </c>
      <c r="S619" t="s">
        <v>31</v>
      </c>
      <c r="T619">
        <v>0</v>
      </c>
    </row>
    <row r="620" spans="1:20" x14ac:dyDescent="0.25">
      <c r="A620" t="s">
        <v>2989</v>
      </c>
      <c r="B620" s="1">
        <v>45956</v>
      </c>
      <c r="C620" s="5">
        <v>5.4872685185185184E-2</v>
      </c>
      <c r="D620">
        <v>195.19</v>
      </c>
      <c r="E620" t="s">
        <v>44</v>
      </c>
      <c r="F620" t="s">
        <v>2990</v>
      </c>
      <c r="G620" t="s">
        <v>46</v>
      </c>
      <c r="H620" t="s">
        <v>97</v>
      </c>
      <c r="I620" t="s">
        <v>2991</v>
      </c>
      <c r="J620">
        <v>67</v>
      </c>
      <c r="K620" t="s">
        <v>37</v>
      </c>
      <c r="L620" t="s">
        <v>97</v>
      </c>
      <c r="M620" t="s">
        <v>39</v>
      </c>
      <c r="P620" t="s">
        <v>113</v>
      </c>
      <c r="Q620" t="s">
        <v>2992</v>
      </c>
      <c r="R620" t="s">
        <v>2993</v>
      </c>
      <c r="S620" t="s">
        <v>31</v>
      </c>
      <c r="T620">
        <v>0</v>
      </c>
    </row>
    <row r="621" spans="1:20" x14ac:dyDescent="0.25">
      <c r="A621" t="s">
        <v>2994</v>
      </c>
      <c r="B621" s="1">
        <v>45794</v>
      </c>
      <c r="C621" s="5">
        <v>0.39577546296296295</v>
      </c>
      <c r="D621">
        <v>0</v>
      </c>
      <c r="E621" t="s">
        <v>44</v>
      </c>
      <c r="F621" t="s">
        <v>819</v>
      </c>
      <c r="G621" t="s">
        <v>89</v>
      </c>
      <c r="H621" t="s">
        <v>119</v>
      </c>
      <c r="I621" t="s">
        <v>2995</v>
      </c>
      <c r="K621" t="s">
        <v>49</v>
      </c>
      <c r="L621" t="s">
        <v>23</v>
      </c>
      <c r="M621" t="s">
        <v>84</v>
      </c>
      <c r="P621" t="s">
        <v>28</v>
      </c>
      <c r="Q621" t="s">
        <v>2996</v>
      </c>
      <c r="R621" t="s">
        <v>2997</v>
      </c>
      <c r="S621" t="s">
        <v>31</v>
      </c>
      <c r="T621">
        <v>0</v>
      </c>
    </row>
    <row r="622" spans="1:20" x14ac:dyDescent="0.25">
      <c r="A622" t="s">
        <v>2998</v>
      </c>
      <c r="B622" s="1">
        <v>45781</v>
      </c>
      <c r="C622" s="5">
        <v>0.60605324074074074</v>
      </c>
      <c r="D622">
        <v>113.99</v>
      </c>
      <c r="E622" t="s">
        <v>44</v>
      </c>
      <c r="F622" t="s">
        <v>2999</v>
      </c>
      <c r="G622" t="s">
        <v>46</v>
      </c>
      <c r="H622" t="s">
        <v>35</v>
      </c>
      <c r="I622" t="s">
        <v>3000</v>
      </c>
      <c r="J622">
        <v>29</v>
      </c>
      <c r="K622" t="s">
        <v>25</v>
      </c>
      <c r="L622" t="s">
        <v>23</v>
      </c>
      <c r="M622" t="s">
        <v>112</v>
      </c>
      <c r="P622" t="s">
        <v>28</v>
      </c>
      <c r="Q622" t="s">
        <v>3001</v>
      </c>
      <c r="R622" t="s">
        <v>3002</v>
      </c>
      <c r="S622" t="s">
        <v>31</v>
      </c>
      <c r="T622">
        <v>0</v>
      </c>
    </row>
    <row r="623" spans="1:20" x14ac:dyDescent="0.25">
      <c r="A623" t="s">
        <v>3003</v>
      </c>
      <c r="B623" s="1">
        <v>45954</v>
      </c>
      <c r="C623" s="5">
        <v>0.74989583333333332</v>
      </c>
      <c r="D623">
        <v>73.84</v>
      </c>
      <c r="E623" t="s">
        <v>44</v>
      </c>
      <c r="F623" t="s">
        <v>1195</v>
      </c>
      <c r="G623" t="s">
        <v>96</v>
      </c>
      <c r="H623" t="s">
        <v>58</v>
      </c>
      <c r="I623" t="s">
        <v>3004</v>
      </c>
      <c r="J623">
        <v>50</v>
      </c>
      <c r="K623" t="s">
        <v>37</v>
      </c>
      <c r="L623" t="s">
        <v>26</v>
      </c>
      <c r="M623" t="s">
        <v>112</v>
      </c>
      <c r="P623" t="s">
        <v>28</v>
      </c>
      <c r="Q623" t="s">
        <v>3005</v>
      </c>
      <c r="R623" t="s">
        <v>3006</v>
      </c>
      <c r="S623" t="s">
        <v>31</v>
      </c>
      <c r="T623">
        <v>1</v>
      </c>
    </row>
    <row r="624" spans="1:20" x14ac:dyDescent="0.25">
      <c r="A624" t="s">
        <v>3007</v>
      </c>
      <c r="B624" s="1">
        <v>45805</v>
      </c>
      <c r="C624" s="5">
        <v>0.79527777777777775</v>
      </c>
      <c r="D624">
        <v>126.02</v>
      </c>
      <c r="E624" t="s">
        <v>44</v>
      </c>
      <c r="F624" t="s">
        <v>3008</v>
      </c>
      <c r="G624" t="s">
        <v>71</v>
      </c>
      <c r="H624" t="s">
        <v>58</v>
      </c>
      <c r="I624" t="s">
        <v>3009</v>
      </c>
      <c r="J624">
        <v>74</v>
      </c>
      <c r="K624" t="s">
        <v>25</v>
      </c>
      <c r="L624" t="s">
        <v>110</v>
      </c>
      <c r="M624" t="s">
        <v>51</v>
      </c>
      <c r="N624" t="s">
        <v>304</v>
      </c>
      <c r="O624">
        <v>453554</v>
      </c>
      <c r="P624" t="s">
        <v>28</v>
      </c>
      <c r="Q624" t="s">
        <v>3010</v>
      </c>
      <c r="R624" t="s">
        <v>3011</v>
      </c>
      <c r="S624" t="s">
        <v>31</v>
      </c>
      <c r="T624">
        <v>0</v>
      </c>
    </row>
    <row r="625" spans="1:20" x14ac:dyDescent="0.25">
      <c r="A625" t="s">
        <v>3012</v>
      </c>
      <c r="B625" s="1">
        <v>45830</v>
      </c>
      <c r="C625" s="5">
        <v>0.28694444444444445</v>
      </c>
      <c r="D625">
        <v>44.42</v>
      </c>
      <c r="E625" t="s">
        <v>44</v>
      </c>
      <c r="F625" t="s">
        <v>678</v>
      </c>
      <c r="G625" t="s">
        <v>77</v>
      </c>
      <c r="H625" t="s">
        <v>35</v>
      </c>
      <c r="I625" t="s">
        <v>3013</v>
      </c>
      <c r="J625">
        <v>54</v>
      </c>
      <c r="K625" t="s">
        <v>25</v>
      </c>
      <c r="L625" t="s">
        <v>146</v>
      </c>
      <c r="M625" t="s">
        <v>84</v>
      </c>
      <c r="P625" t="s">
        <v>28</v>
      </c>
      <c r="Q625" t="s">
        <v>3014</v>
      </c>
      <c r="R625" t="s">
        <v>3015</v>
      </c>
      <c r="S625" t="s">
        <v>31</v>
      </c>
      <c r="T625">
        <v>0</v>
      </c>
    </row>
    <row r="626" spans="1:20" x14ac:dyDescent="0.25">
      <c r="A626" t="s">
        <v>3016</v>
      </c>
      <c r="B626" s="1">
        <v>45889</v>
      </c>
      <c r="C626" s="5">
        <v>6.1886574074074073E-2</v>
      </c>
      <c r="D626">
        <v>142.99</v>
      </c>
      <c r="E626" t="s">
        <v>44</v>
      </c>
      <c r="F626" t="s">
        <v>3017</v>
      </c>
      <c r="G626" t="s">
        <v>96</v>
      </c>
      <c r="H626" t="s">
        <v>97</v>
      </c>
      <c r="I626" t="s">
        <v>3018</v>
      </c>
      <c r="J626">
        <v>41</v>
      </c>
      <c r="K626" t="s">
        <v>37</v>
      </c>
      <c r="L626" t="s">
        <v>91</v>
      </c>
      <c r="M626" t="s">
        <v>84</v>
      </c>
      <c r="P626" t="s">
        <v>28</v>
      </c>
      <c r="Q626" t="s">
        <v>3019</v>
      </c>
      <c r="R626" t="s">
        <v>3020</v>
      </c>
      <c r="S626" t="s">
        <v>31</v>
      </c>
      <c r="T626">
        <v>0</v>
      </c>
    </row>
    <row r="627" spans="1:20" x14ac:dyDescent="0.25">
      <c r="A627" t="s">
        <v>3021</v>
      </c>
      <c r="B627" s="1">
        <v>45937</v>
      </c>
      <c r="C627" s="5">
        <v>0.91541666666666666</v>
      </c>
      <c r="D627">
        <v>95.48</v>
      </c>
      <c r="E627" t="s">
        <v>44</v>
      </c>
      <c r="F627" t="s">
        <v>109</v>
      </c>
      <c r="G627" t="s">
        <v>71</v>
      </c>
      <c r="H627" t="s">
        <v>110</v>
      </c>
      <c r="I627" t="s">
        <v>3022</v>
      </c>
      <c r="J627">
        <v>61</v>
      </c>
      <c r="K627" t="s">
        <v>49</v>
      </c>
      <c r="L627" t="s">
        <v>66</v>
      </c>
      <c r="M627" t="s">
        <v>39</v>
      </c>
      <c r="P627" t="s">
        <v>28</v>
      </c>
      <c r="Q627" t="s">
        <v>3023</v>
      </c>
      <c r="R627" t="s">
        <v>3024</v>
      </c>
      <c r="S627" t="s">
        <v>31</v>
      </c>
      <c r="T627">
        <v>0</v>
      </c>
    </row>
    <row r="628" spans="1:20" x14ac:dyDescent="0.25">
      <c r="A628" t="s">
        <v>3025</v>
      </c>
      <c r="B628" s="1">
        <v>45928</v>
      </c>
      <c r="C628" s="5">
        <v>0.17850694444444445</v>
      </c>
      <c r="D628">
        <v>109.15</v>
      </c>
      <c r="E628" t="s">
        <v>44</v>
      </c>
      <c r="F628" t="s">
        <v>3026</v>
      </c>
      <c r="G628" t="s">
        <v>77</v>
      </c>
      <c r="H628" t="s">
        <v>110</v>
      </c>
      <c r="I628" t="s">
        <v>3027</v>
      </c>
      <c r="J628">
        <v>55</v>
      </c>
      <c r="K628" t="s">
        <v>37</v>
      </c>
      <c r="L628" t="s">
        <v>26</v>
      </c>
      <c r="M628" t="s">
        <v>51</v>
      </c>
      <c r="N628" t="s">
        <v>52</v>
      </c>
      <c r="O628">
        <v>459174</v>
      </c>
      <c r="P628" t="s">
        <v>28</v>
      </c>
      <c r="Q628" t="s">
        <v>3028</v>
      </c>
      <c r="R628" t="s">
        <v>3029</v>
      </c>
      <c r="S628" t="s">
        <v>31</v>
      </c>
      <c r="T628">
        <v>0</v>
      </c>
    </row>
    <row r="629" spans="1:20" x14ac:dyDescent="0.25">
      <c r="A629" t="s">
        <v>3030</v>
      </c>
      <c r="B629" s="1">
        <v>45912</v>
      </c>
      <c r="C629" s="5">
        <v>0.92186342592592596</v>
      </c>
      <c r="D629">
        <v>3149.17</v>
      </c>
      <c r="E629" t="s">
        <v>44</v>
      </c>
      <c r="F629" t="s">
        <v>1092</v>
      </c>
      <c r="G629" t="s">
        <v>124</v>
      </c>
      <c r="H629" t="s">
        <v>58</v>
      </c>
      <c r="I629" t="s">
        <v>3031</v>
      </c>
      <c r="J629">
        <v>64</v>
      </c>
      <c r="K629" t="s">
        <v>25</v>
      </c>
      <c r="L629" t="s">
        <v>97</v>
      </c>
      <c r="M629" t="s">
        <v>84</v>
      </c>
      <c r="P629" t="s">
        <v>28</v>
      </c>
      <c r="Q629" t="s">
        <v>3032</v>
      </c>
      <c r="R629" t="s">
        <v>3033</v>
      </c>
      <c r="S629" t="s">
        <v>31</v>
      </c>
      <c r="T629">
        <v>0</v>
      </c>
    </row>
    <row r="630" spans="1:20" x14ac:dyDescent="0.25">
      <c r="A630" t="s">
        <v>3034</v>
      </c>
      <c r="B630" s="1">
        <v>45906</v>
      </c>
      <c r="C630" s="5">
        <v>3.6261574074074071E-2</v>
      </c>
      <c r="D630">
        <v>65.83</v>
      </c>
      <c r="E630" t="s">
        <v>44</v>
      </c>
      <c r="F630" t="s">
        <v>3035</v>
      </c>
      <c r="G630" t="s">
        <v>89</v>
      </c>
      <c r="H630" t="s">
        <v>47</v>
      </c>
      <c r="I630" t="s">
        <v>3036</v>
      </c>
      <c r="J630">
        <v>58</v>
      </c>
      <c r="K630" t="s">
        <v>49</v>
      </c>
      <c r="L630" t="s">
        <v>110</v>
      </c>
      <c r="M630" t="s">
        <v>39</v>
      </c>
      <c r="P630" t="s">
        <v>28</v>
      </c>
      <c r="Q630" t="s">
        <v>3037</v>
      </c>
      <c r="R630" t="s">
        <v>3038</v>
      </c>
      <c r="S630" t="s">
        <v>31</v>
      </c>
      <c r="T630">
        <v>0</v>
      </c>
    </row>
    <row r="631" spans="1:20" x14ac:dyDescent="0.25">
      <c r="A631" t="s">
        <v>3039</v>
      </c>
      <c r="B631" s="1">
        <v>45876</v>
      </c>
      <c r="C631" s="5">
        <v>0.73989583333333331</v>
      </c>
      <c r="D631">
        <v>132.09</v>
      </c>
      <c r="E631" t="s">
        <v>44</v>
      </c>
      <c r="F631" t="s">
        <v>3040</v>
      </c>
      <c r="G631" t="s">
        <v>124</v>
      </c>
      <c r="H631" t="s">
        <v>110</v>
      </c>
      <c r="I631" t="s">
        <v>3041</v>
      </c>
      <c r="J631">
        <v>75</v>
      </c>
      <c r="K631" t="s">
        <v>25</v>
      </c>
      <c r="L631" t="s">
        <v>97</v>
      </c>
      <c r="M631" t="s">
        <v>84</v>
      </c>
      <c r="P631" t="s">
        <v>28</v>
      </c>
      <c r="Q631" t="s">
        <v>3042</v>
      </c>
      <c r="R631" t="s">
        <v>3043</v>
      </c>
      <c r="S631" t="s">
        <v>101</v>
      </c>
      <c r="T631">
        <v>0</v>
      </c>
    </row>
    <row r="632" spans="1:20" x14ac:dyDescent="0.25">
      <c r="A632" t="s">
        <v>3044</v>
      </c>
      <c r="B632" s="1">
        <v>45811</v>
      </c>
      <c r="C632" s="5">
        <v>2.6817129629629628E-2</v>
      </c>
      <c r="D632">
        <v>65.81</v>
      </c>
      <c r="E632" t="s">
        <v>44</v>
      </c>
      <c r="F632" t="s">
        <v>3045</v>
      </c>
      <c r="G632" t="s">
        <v>46</v>
      </c>
      <c r="H632" t="s">
        <v>146</v>
      </c>
      <c r="I632" t="s">
        <v>3046</v>
      </c>
      <c r="J632">
        <v>72</v>
      </c>
      <c r="K632" t="s">
        <v>49</v>
      </c>
      <c r="L632" t="s">
        <v>26</v>
      </c>
      <c r="M632" t="s">
        <v>84</v>
      </c>
      <c r="P632" t="s">
        <v>28</v>
      </c>
      <c r="Q632" t="s">
        <v>3047</v>
      </c>
      <c r="R632" t="s">
        <v>3048</v>
      </c>
      <c r="S632" t="s">
        <v>31</v>
      </c>
      <c r="T632">
        <v>0</v>
      </c>
    </row>
    <row r="633" spans="1:20" x14ac:dyDescent="0.25">
      <c r="A633" t="s">
        <v>3049</v>
      </c>
      <c r="B633" s="1">
        <v>45817</v>
      </c>
      <c r="C633" s="5">
        <v>0.43899305555555557</v>
      </c>
      <c r="D633">
        <v>164.05</v>
      </c>
      <c r="E633" t="s">
        <v>44</v>
      </c>
      <c r="F633" t="s">
        <v>3050</v>
      </c>
      <c r="G633" t="s">
        <v>46</v>
      </c>
      <c r="H633" t="s">
        <v>119</v>
      </c>
      <c r="I633" t="s">
        <v>3051</v>
      </c>
      <c r="J633">
        <v>27</v>
      </c>
      <c r="K633" t="s">
        <v>37</v>
      </c>
      <c r="L633" t="s">
        <v>91</v>
      </c>
      <c r="M633" t="s">
        <v>84</v>
      </c>
      <c r="P633" t="s">
        <v>28</v>
      </c>
      <c r="Q633" t="s">
        <v>3052</v>
      </c>
      <c r="R633" t="s">
        <v>3053</v>
      </c>
      <c r="S633" t="s">
        <v>101</v>
      </c>
      <c r="T633">
        <v>0</v>
      </c>
    </row>
    <row r="634" spans="1:20" x14ac:dyDescent="0.25">
      <c r="A634" t="s">
        <v>3054</v>
      </c>
      <c r="B634" s="1">
        <v>45867</v>
      </c>
      <c r="C634" s="5">
        <v>0.64146990740740739</v>
      </c>
      <c r="D634">
        <v>149.81</v>
      </c>
      <c r="E634" t="s">
        <v>44</v>
      </c>
      <c r="F634" t="s">
        <v>3055</v>
      </c>
      <c r="G634" t="s">
        <v>57</v>
      </c>
      <c r="H634" t="s">
        <v>50</v>
      </c>
      <c r="I634" t="s">
        <v>3056</v>
      </c>
      <c r="J634">
        <v>53</v>
      </c>
      <c r="K634" t="s">
        <v>37</v>
      </c>
      <c r="L634" t="s">
        <v>38</v>
      </c>
      <c r="M634" t="s">
        <v>27</v>
      </c>
      <c r="P634" t="s">
        <v>28</v>
      </c>
      <c r="Q634" t="s">
        <v>3057</v>
      </c>
      <c r="R634" t="s">
        <v>3058</v>
      </c>
      <c r="S634" t="s">
        <v>31</v>
      </c>
      <c r="T634">
        <v>0</v>
      </c>
    </row>
    <row r="635" spans="1:20" x14ac:dyDescent="0.25">
      <c r="A635" t="s">
        <v>3059</v>
      </c>
      <c r="B635" s="1">
        <v>45913</v>
      </c>
      <c r="C635" s="5">
        <v>0.1809375</v>
      </c>
      <c r="D635">
        <v>162.91</v>
      </c>
      <c r="E635" t="s">
        <v>44</v>
      </c>
      <c r="F635" t="s">
        <v>3060</v>
      </c>
      <c r="G635" t="s">
        <v>34</v>
      </c>
      <c r="H635" t="s">
        <v>50</v>
      </c>
      <c r="I635" t="s">
        <v>3061</v>
      </c>
      <c r="J635">
        <v>72</v>
      </c>
      <c r="K635" t="s">
        <v>49</v>
      </c>
      <c r="L635" t="s">
        <v>50</v>
      </c>
      <c r="M635" t="s">
        <v>105</v>
      </c>
      <c r="P635" t="s">
        <v>113</v>
      </c>
      <c r="Q635" t="s">
        <v>3062</v>
      </c>
      <c r="R635" t="s">
        <v>3063</v>
      </c>
      <c r="S635" t="s">
        <v>31</v>
      </c>
      <c r="T635">
        <v>0</v>
      </c>
    </row>
    <row r="636" spans="1:20" x14ac:dyDescent="0.25">
      <c r="A636" t="s">
        <v>3064</v>
      </c>
      <c r="B636" s="1">
        <v>45864</v>
      </c>
      <c r="C636" s="5">
        <v>0.14497685185185186</v>
      </c>
      <c r="D636">
        <v>80.75</v>
      </c>
      <c r="E636" t="s">
        <v>44</v>
      </c>
      <c r="F636" t="s">
        <v>3065</v>
      </c>
      <c r="G636" t="s">
        <v>96</v>
      </c>
      <c r="H636" t="s">
        <v>23</v>
      </c>
      <c r="I636" t="s">
        <v>3066</v>
      </c>
      <c r="J636">
        <v>53</v>
      </c>
      <c r="K636" t="s">
        <v>49</v>
      </c>
      <c r="L636" t="s">
        <v>47</v>
      </c>
      <c r="M636" t="s">
        <v>84</v>
      </c>
      <c r="P636" t="s">
        <v>28</v>
      </c>
      <c r="Q636" t="s">
        <v>3067</v>
      </c>
      <c r="R636" t="s">
        <v>3068</v>
      </c>
      <c r="S636" t="s">
        <v>42</v>
      </c>
      <c r="T636">
        <v>0</v>
      </c>
    </row>
    <row r="637" spans="1:20" x14ac:dyDescent="0.25">
      <c r="A637" t="s">
        <v>3069</v>
      </c>
      <c r="B637" s="1">
        <v>45938</v>
      </c>
      <c r="C637" s="5">
        <v>3.7523148148148146E-2</v>
      </c>
      <c r="D637">
        <v>186.28</v>
      </c>
      <c r="E637" t="s">
        <v>44</v>
      </c>
      <c r="F637" t="s">
        <v>959</v>
      </c>
      <c r="G637" t="s">
        <v>57</v>
      </c>
      <c r="H637" t="s">
        <v>119</v>
      </c>
      <c r="I637" t="s">
        <v>3070</v>
      </c>
      <c r="J637">
        <v>38</v>
      </c>
      <c r="K637" t="s">
        <v>25</v>
      </c>
      <c r="L637" t="s">
        <v>248</v>
      </c>
      <c r="M637" t="s">
        <v>39</v>
      </c>
      <c r="P637" t="s">
        <v>28</v>
      </c>
      <c r="Q637" t="s">
        <v>3071</v>
      </c>
      <c r="R637" t="s">
        <v>3072</v>
      </c>
      <c r="S637" t="s">
        <v>31</v>
      </c>
      <c r="T637">
        <v>0</v>
      </c>
    </row>
    <row r="638" spans="1:20" x14ac:dyDescent="0.25">
      <c r="A638" t="s">
        <v>3073</v>
      </c>
      <c r="B638" s="1">
        <v>45811</v>
      </c>
      <c r="C638" s="5">
        <v>0.35481481481481481</v>
      </c>
      <c r="D638">
        <v>47.36</v>
      </c>
      <c r="E638" t="s">
        <v>44</v>
      </c>
      <c r="F638" t="s">
        <v>3074</v>
      </c>
      <c r="G638" t="s">
        <v>57</v>
      </c>
      <c r="H638" t="s">
        <v>91</v>
      </c>
      <c r="I638" t="s">
        <v>3075</v>
      </c>
      <c r="J638">
        <v>73</v>
      </c>
      <c r="K638" t="s">
        <v>37</v>
      </c>
      <c r="L638" t="s">
        <v>35</v>
      </c>
      <c r="M638" t="s">
        <v>27</v>
      </c>
      <c r="P638" t="s">
        <v>28</v>
      </c>
      <c r="Q638" t="s">
        <v>3076</v>
      </c>
      <c r="R638" t="s">
        <v>3077</v>
      </c>
      <c r="S638" t="s">
        <v>31</v>
      </c>
      <c r="T638">
        <v>0</v>
      </c>
    </row>
    <row r="639" spans="1:20" x14ac:dyDescent="0.25">
      <c r="A639" t="s">
        <v>3078</v>
      </c>
      <c r="B639" s="1">
        <v>45824</v>
      </c>
      <c r="C639" s="5">
        <v>0.35344907407407405</v>
      </c>
      <c r="D639">
        <v>136.62</v>
      </c>
      <c r="E639" t="s">
        <v>44</v>
      </c>
      <c r="F639" t="s">
        <v>3079</v>
      </c>
      <c r="G639" t="s">
        <v>96</v>
      </c>
      <c r="H639" t="s">
        <v>47</v>
      </c>
      <c r="I639" t="s">
        <v>3080</v>
      </c>
      <c r="J639">
        <v>68</v>
      </c>
      <c r="K639" t="s">
        <v>37</v>
      </c>
      <c r="L639" t="s">
        <v>58</v>
      </c>
      <c r="M639" t="s">
        <v>105</v>
      </c>
      <c r="P639" t="s">
        <v>28</v>
      </c>
      <c r="Q639" t="s">
        <v>3081</v>
      </c>
      <c r="R639" t="s">
        <v>3082</v>
      </c>
      <c r="S639" t="s">
        <v>31</v>
      </c>
      <c r="T639">
        <v>0</v>
      </c>
    </row>
    <row r="640" spans="1:20" x14ac:dyDescent="0.25">
      <c r="A640" t="s">
        <v>3083</v>
      </c>
      <c r="B640" s="1">
        <v>45815</v>
      </c>
      <c r="C640" s="5">
        <v>0.37344907407407407</v>
      </c>
      <c r="D640">
        <v>127.42</v>
      </c>
      <c r="E640" t="s">
        <v>44</v>
      </c>
      <c r="F640" t="s">
        <v>1110</v>
      </c>
      <c r="G640" t="s">
        <v>22</v>
      </c>
      <c r="H640" t="s">
        <v>47</v>
      </c>
      <c r="I640" t="s">
        <v>3084</v>
      </c>
      <c r="J640">
        <v>18</v>
      </c>
      <c r="K640" t="s">
        <v>37</v>
      </c>
      <c r="L640" t="s">
        <v>91</v>
      </c>
      <c r="M640" t="s">
        <v>27</v>
      </c>
      <c r="P640" t="s">
        <v>28</v>
      </c>
      <c r="Q640" t="s">
        <v>3085</v>
      </c>
      <c r="R640" t="s">
        <v>3086</v>
      </c>
      <c r="S640" t="s">
        <v>31</v>
      </c>
      <c r="T640">
        <v>0</v>
      </c>
    </row>
    <row r="641" spans="1:20" x14ac:dyDescent="0.25">
      <c r="A641" t="s">
        <v>3087</v>
      </c>
      <c r="B641" s="1">
        <v>45943</v>
      </c>
      <c r="C641" s="5">
        <v>0.13187499999999999</v>
      </c>
      <c r="D641">
        <v>6.65</v>
      </c>
      <c r="E641" t="s">
        <v>44</v>
      </c>
      <c r="F641" t="s">
        <v>3088</v>
      </c>
      <c r="G641" t="s">
        <v>89</v>
      </c>
      <c r="H641" t="s">
        <v>97</v>
      </c>
      <c r="I641" t="s">
        <v>3089</v>
      </c>
      <c r="J641">
        <v>64</v>
      </c>
      <c r="K641" t="s">
        <v>37</v>
      </c>
      <c r="L641" t="s">
        <v>47</v>
      </c>
      <c r="M641" t="s">
        <v>51</v>
      </c>
      <c r="N641" t="s">
        <v>52</v>
      </c>
      <c r="O641">
        <v>533097</v>
      </c>
      <c r="P641" t="s">
        <v>28</v>
      </c>
      <c r="Q641" t="s">
        <v>3090</v>
      </c>
      <c r="R641" t="s">
        <v>3091</v>
      </c>
      <c r="S641" t="s">
        <v>31</v>
      </c>
      <c r="T641">
        <v>0</v>
      </c>
    </row>
    <row r="642" spans="1:20" x14ac:dyDescent="0.25">
      <c r="A642" t="s">
        <v>3092</v>
      </c>
      <c r="B642" s="1">
        <v>45847</v>
      </c>
      <c r="C642" s="5">
        <v>0.31893518518518521</v>
      </c>
      <c r="D642">
        <v>149.05000000000001</v>
      </c>
      <c r="E642" t="s">
        <v>44</v>
      </c>
      <c r="F642" t="s">
        <v>1153</v>
      </c>
      <c r="G642" t="s">
        <v>77</v>
      </c>
      <c r="H642" t="s">
        <v>66</v>
      </c>
      <c r="I642" t="s">
        <v>3093</v>
      </c>
      <c r="J642">
        <v>25</v>
      </c>
      <c r="K642" t="s">
        <v>37</v>
      </c>
      <c r="L642" t="s">
        <v>26</v>
      </c>
      <c r="M642" t="s">
        <v>112</v>
      </c>
      <c r="P642" t="s">
        <v>28</v>
      </c>
      <c r="Q642" t="s">
        <v>3094</v>
      </c>
      <c r="R642" t="s">
        <v>3095</v>
      </c>
      <c r="S642" t="s">
        <v>31</v>
      </c>
      <c r="T642">
        <v>0</v>
      </c>
    </row>
    <row r="643" spans="1:20" x14ac:dyDescent="0.25">
      <c r="A643" t="s">
        <v>3096</v>
      </c>
      <c r="B643" s="1">
        <v>45898</v>
      </c>
      <c r="C643" s="5">
        <v>0.28181712962962963</v>
      </c>
      <c r="D643">
        <v>17.260000000000002</v>
      </c>
      <c r="E643" t="s">
        <v>44</v>
      </c>
      <c r="F643" t="s">
        <v>3097</v>
      </c>
      <c r="G643" t="s">
        <v>89</v>
      </c>
      <c r="H643" t="s">
        <v>91</v>
      </c>
      <c r="I643" t="s">
        <v>3098</v>
      </c>
      <c r="J643">
        <v>53</v>
      </c>
      <c r="K643" t="s">
        <v>37</v>
      </c>
      <c r="L643" t="s">
        <v>119</v>
      </c>
      <c r="M643" t="s">
        <v>39</v>
      </c>
      <c r="P643" t="s">
        <v>28</v>
      </c>
      <c r="Q643" t="s">
        <v>3099</v>
      </c>
      <c r="R643" t="s">
        <v>3100</v>
      </c>
      <c r="S643" t="s">
        <v>31</v>
      </c>
      <c r="T643">
        <v>0</v>
      </c>
    </row>
    <row r="644" spans="1:20" x14ac:dyDescent="0.25">
      <c r="A644" t="s">
        <v>3101</v>
      </c>
      <c r="B644" s="1">
        <v>45939</v>
      </c>
      <c r="C644" s="5">
        <v>0.19524305555555554</v>
      </c>
      <c r="D644">
        <v>104.99</v>
      </c>
      <c r="E644" t="s">
        <v>44</v>
      </c>
      <c r="F644" t="s">
        <v>1267</v>
      </c>
      <c r="G644" t="s">
        <v>22</v>
      </c>
      <c r="H644" t="s">
        <v>248</v>
      </c>
      <c r="I644" t="s">
        <v>3102</v>
      </c>
      <c r="J644">
        <v>23</v>
      </c>
      <c r="K644" t="s">
        <v>37</v>
      </c>
      <c r="L644" t="s">
        <v>47</v>
      </c>
      <c r="M644" t="s">
        <v>84</v>
      </c>
      <c r="P644" t="s">
        <v>28</v>
      </c>
      <c r="Q644" t="s">
        <v>3103</v>
      </c>
      <c r="R644" t="s">
        <v>3104</v>
      </c>
      <c r="S644" t="s">
        <v>31</v>
      </c>
      <c r="T644">
        <v>0</v>
      </c>
    </row>
    <row r="645" spans="1:20" x14ac:dyDescent="0.25">
      <c r="A645" t="s">
        <v>3105</v>
      </c>
      <c r="B645" s="1">
        <v>45866</v>
      </c>
      <c r="C645" s="5">
        <v>0.46858796296296296</v>
      </c>
      <c r="D645">
        <v>68.989999999999995</v>
      </c>
      <c r="E645" t="s">
        <v>44</v>
      </c>
      <c r="F645" t="s">
        <v>3040</v>
      </c>
      <c r="G645" t="s">
        <v>124</v>
      </c>
      <c r="H645" t="s">
        <v>35</v>
      </c>
      <c r="I645" t="s">
        <v>3106</v>
      </c>
      <c r="J645">
        <v>61</v>
      </c>
      <c r="K645" t="s">
        <v>37</v>
      </c>
      <c r="L645" t="s">
        <v>146</v>
      </c>
      <c r="M645" t="s">
        <v>105</v>
      </c>
      <c r="P645" t="s">
        <v>28</v>
      </c>
      <c r="Q645" t="s">
        <v>3107</v>
      </c>
      <c r="R645" t="s">
        <v>3108</v>
      </c>
      <c r="S645" t="s">
        <v>31</v>
      </c>
      <c r="T645">
        <v>0</v>
      </c>
    </row>
    <row r="646" spans="1:20" x14ac:dyDescent="0.25">
      <c r="A646" t="s">
        <v>3109</v>
      </c>
      <c r="B646" s="1">
        <v>45907</v>
      </c>
      <c r="C646" s="5">
        <v>0.66057870370370375</v>
      </c>
      <c r="D646">
        <v>11.21</v>
      </c>
      <c r="E646" t="s">
        <v>44</v>
      </c>
      <c r="F646" t="s">
        <v>3110</v>
      </c>
      <c r="G646" t="s">
        <v>34</v>
      </c>
      <c r="H646" t="s">
        <v>26</v>
      </c>
      <c r="I646" t="s">
        <v>3111</v>
      </c>
      <c r="J646">
        <v>20</v>
      </c>
      <c r="K646" t="s">
        <v>49</v>
      </c>
      <c r="L646" t="s">
        <v>91</v>
      </c>
      <c r="M646" t="s">
        <v>27</v>
      </c>
      <c r="P646" t="s">
        <v>28</v>
      </c>
      <c r="Q646" t="s">
        <v>3112</v>
      </c>
      <c r="R646" t="s">
        <v>3113</v>
      </c>
      <c r="S646" t="s">
        <v>101</v>
      </c>
      <c r="T646">
        <v>0</v>
      </c>
    </row>
    <row r="647" spans="1:20" x14ac:dyDescent="0.25">
      <c r="A647" t="s">
        <v>3114</v>
      </c>
      <c r="B647" s="1">
        <v>45839</v>
      </c>
      <c r="C647" s="5">
        <v>0.52836805555555555</v>
      </c>
      <c r="D647">
        <v>25.94</v>
      </c>
      <c r="E647" t="s">
        <v>44</v>
      </c>
      <c r="F647" t="s">
        <v>3115</v>
      </c>
      <c r="G647" t="s">
        <v>34</v>
      </c>
      <c r="H647" t="s">
        <v>35</v>
      </c>
      <c r="I647" t="s">
        <v>3116</v>
      </c>
      <c r="J647">
        <v>55</v>
      </c>
      <c r="K647" t="s">
        <v>49</v>
      </c>
      <c r="L647" t="s">
        <v>97</v>
      </c>
      <c r="M647" t="s">
        <v>105</v>
      </c>
      <c r="P647" t="s">
        <v>28</v>
      </c>
      <c r="Q647" t="s">
        <v>3117</v>
      </c>
      <c r="R647" t="s">
        <v>3118</v>
      </c>
      <c r="S647" t="s">
        <v>31</v>
      </c>
      <c r="T647">
        <v>0</v>
      </c>
    </row>
    <row r="648" spans="1:20" x14ac:dyDescent="0.25">
      <c r="A648" t="s">
        <v>3119</v>
      </c>
      <c r="B648" s="1">
        <v>45885</v>
      </c>
      <c r="C648" s="5">
        <v>0.42434027777777777</v>
      </c>
      <c r="D648">
        <v>59.41</v>
      </c>
      <c r="E648" t="s">
        <v>44</v>
      </c>
      <c r="F648" t="s">
        <v>1776</v>
      </c>
      <c r="G648" t="s">
        <v>57</v>
      </c>
      <c r="H648" t="s">
        <v>119</v>
      </c>
      <c r="I648" t="s">
        <v>3120</v>
      </c>
      <c r="J648">
        <v>33</v>
      </c>
      <c r="K648" t="s">
        <v>25</v>
      </c>
      <c r="L648" t="s">
        <v>119</v>
      </c>
      <c r="M648" t="s">
        <v>39</v>
      </c>
      <c r="P648" t="s">
        <v>113</v>
      </c>
      <c r="Q648" t="s">
        <v>3121</v>
      </c>
      <c r="R648" t="s">
        <v>3122</v>
      </c>
      <c r="S648" t="s">
        <v>31</v>
      </c>
      <c r="T648">
        <v>0</v>
      </c>
    </row>
    <row r="649" spans="1:20" x14ac:dyDescent="0.25">
      <c r="A649" t="s">
        <v>3123</v>
      </c>
      <c r="B649" s="1">
        <v>45955</v>
      </c>
      <c r="C649" s="5">
        <v>8.0081018518518524E-2</v>
      </c>
      <c r="D649">
        <v>508.78</v>
      </c>
      <c r="E649" t="s">
        <v>44</v>
      </c>
      <c r="F649" t="s">
        <v>1465</v>
      </c>
      <c r="G649" t="s">
        <v>71</v>
      </c>
      <c r="H649" t="s">
        <v>26</v>
      </c>
      <c r="I649" t="s">
        <v>3124</v>
      </c>
      <c r="J649">
        <v>66</v>
      </c>
      <c r="K649" t="s">
        <v>25</v>
      </c>
      <c r="L649" t="s">
        <v>110</v>
      </c>
      <c r="M649" t="s">
        <v>27</v>
      </c>
      <c r="P649" t="s">
        <v>28</v>
      </c>
      <c r="Q649" t="s">
        <v>3125</v>
      </c>
      <c r="R649" t="s">
        <v>3126</v>
      </c>
      <c r="S649" t="s">
        <v>31</v>
      </c>
      <c r="T649">
        <v>0</v>
      </c>
    </row>
    <row r="650" spans="1:20" x14ac:dyDescent="0.25">
      <c r="A650" t="s">
        <v>3127</v>
      </c>
      <c r="B650" s="1">
        <v>45802</v>
      </c>
      <c r="C650" s="5">
        <v>0.56131944444444448</v>
      </c>
      <c r="D650">
        <v>525.84</v>
      </c>
      <c r="E650" t="s">
        <v>44</v>
      </c>
      <c r="F650" t="s">
        <v>3128</v>
      </c>
      <c r="G650" t="s">
        <v>34</v>
      </c>
      <c r="H650" t="s">
        <v>47</v>
      </c>
      <c r="I650" t="s">
        <v>3129</v>
      </c>
      <c r="J650">
        <v>21</v>
      </c>
      <c r="K650" t="s">
        <v>49</v>
      </c>
      <c r="L650" t="s">
        <v>130</v>
      </c>
      <c r="M650" t="s">
        <v>112</v>
      </c>
      <c r="P650" t="s">
        <v>28</v>
      </c>
      <c r="Q650" t="s">
        <v>3130</v>
      </c>
      <c r="R650" t="s">
        <v>3131</v>
      </c>
      <c r="S650" t="s">
        <v>31</v>
      </c>
      <c r="T650">
        <v>0</v>
      </c>
    </row>
    <row r="651" spans="1:20" x14ac:dyDescent="0.25">
      <c r="A651" t="s">
        <v>3132</v>
      </c>
      <c r="B651" s="1">
        <v>45827</v>
      </c>
      <c r="C651" s="5">
        <v>0.77673611111111107</v>
      </c>
      <c r="D651">
        <v>198.68</v>
      </c>
      <c r="E651" t="s">
        <v>44</v>
      </c>
      <c r="F651" t="s">
        <v>140</v>
      </c>
      <c r="G651" t="s">
        <v>77</v>
      </c>
      <c r="H651" t="s">
        <v>66</v>
      </c>
      <c r="I651" t="s">
        <v>3133</v>
      </c>
      <c r="J651">
        <v>63</v>
      </c>
      <c r="K651" t="s">
        <v>49</v>
      </c>
      <c r="L651" t="s">
        <v>110</v>
      </c>
      <c r="M651" t="s">
        <v>84</v>
      </c>
      <c r="P651" t="s">
        <v>28</v>
      </c>
      <c r="Q651" t="s">
        <v>3134</v>
      </c>
      <c r="R651" t="s">
        <v>3135</v>
      </c>
      <c r="S651" t="s">
        <v>101</v>
      </c>
      <c r="T651">
        <v>0</v>
      </c>
    </row>
    <row r="652" spans="1:20" x14ac:dyDescent="0.25">
      <c r="A652" t="s">
        <v>3136</v>
      </c>
      <c r="B652" s="1">
        <v>45944</v>
      </c>
      <c r="C652" s="5">
        <v>0.75664351851851852</v>
      </c>
      <c r="D652">
        <v>385.84</v>
      </c>
      <c r="E652" t="s">
        <v>44</v>
      </c>
      <c r="F652" t="s">
        <v>258</v>
      </c>
      <c r="G652" t="s">
        <v>64</v>
      </c>
      <c r="H652" t="s">
        <v>91</v>
      </c>
      <c r="I652" t="s">
        <v>1225</v>
      </c>
      <c r="J652">
        <v>42</v>
      </c>
      <c r="K652" t="s">
        <v>37</v>
      </c>
      <c r="L652" t="s">
        <v>66</v>
      </c>
      <c r="M652" t="s">
        <v>51</v>
      </c>
      <c r="N652" t="s">
        <v>304</v>
      </c>
      <c r="O652">
        <v>441983</v>
      </c>
      <c r="P652" t="s">
        <v>28</v>
      </c>
      <c r="Q652" t="s">
        <v>3137</v>
      </c>
      <c r="R652" t="s">
        <v>3138</v>
      </c>
      <c r="S652" t="s">
        <v>31</v>
      </c>
      <c r="T652">
        <v>0</v>
      </c>
    </row>
    <row r="653" spans="1:20" x14ac:dyDescent="0.25">
      <c r="A653" t="s">
        <v>3139</v>
      </c>
      <c r="B653" s="1">
        <v>45877</v>
      </c>
      <c r="C653" s="5">
        <v>0.73354166666666665</v>
      </c>
      <c r="D653">
        <v>139.75</v>
      </c>
      <c r="E653" t="s">
        <v>44</v>
      </c>
      <c r="F653" t="s">
        <v>3140</v>
      </c>
      <c r="G653" t="s">
        <v>34</v>
      </c>
      <c r="H653" t="s">
        <v>38</v>
      </c>
      <c r="I653" t="s">
        <v>3141</v>
      </c>
      <c r="J653">
        <v>67</v>
      </c>
      <c r="K653" t="s">
        <v>49</v>
      </c>
      <c r="L653" t="s">
        <v>130</v>
      </c>
      <c r="M653" t="s">
        <v>84</v>
      </c>
      <c r="P653" t="s">
        <v>28</v>
      </c>
      <c r="Q653" t="s">
        <v>3142</v>
      </c>
      <c r="R653" t="s">
        <v>3143</v>
      </c>
      <c r="S653" t="s">
        <v>42</v>
      </c>
      <c r="T653">
        <v>0</v>
      </c>
    </row>
    <row r="654" spans="1:20" x14ac:dyDescent="0.25">
      <c r="A654" t="s">
        <v>3144</v>
      </c>
      <c r="B654" s="1">
        <v>45796</v>
      </c>
      <c r="C654" s="5">
        <v>0.57092592592592595</v>
      </c>
      <c r="D654">
        <v>120.86</v>
      </c>
      <c r="E654" t="s">
        <v>44</v>
      </c>
      <c r="F654" t="s">
        <v>1143</v>
      </c>
      <c r="G654" t="s">
        <v>57</v>
      </c>
      <c r="H654" t="s">
        <v>47</v>
      </c>
      <c r="I654" t="s">
        <v>3145</v>
      </c>
      <c r="J654">
        <v>67</v>
      </c>
      <c r="K654" t="s">
        <v>49</v>
      </c>
      <c r="L654" t="s">
        <v>248</v>
      </c>
      <c r="M654" t="s">
        <v>27</v>
      </c>
      <c r="P654" t="s">
        <v>28</v>
      </c>
      <c r="Q654" t="s">
        <v>3146</v>
      </c>
      <c r="R654" t="s">
        <v>3147</v>
      </c>
      <c r="S654" t="s">
        <v>31</v>
      </c>
      <c r="T654">
        <v>0</v>
      </c>
    </row>
    <row r="655" spans="1:20" x14ac:dyDescent="0.25">
      <c r="A655" t="s">
        <v>3148</v>
      </c>
      <c r="B655" s="1">
        <v>45952</v>
      </c>
      <c r="C655" s="5">
        <v>0.23072916666666668</v>
      </c>
      <c r="D655">
        <v>158.94</v>
      </c>
      <c r="E655" t="s">
        <v>44</v>
      </c>
      <c r="F655" t="s">
        <v>500</v>
      </c>
      <c r="G655" t="s">
        <v>124</v>
      </c>
      <c r="H655" t="s">
        <v>130</v>
      </c>
      <c r="I655" t="s">
        <v>3149</v>
      </c>
      <c r="J655">
        <v>58</v>
      </c>
      <c r="K655" t="s">
        <v>49</v>
      </c>
      <c r="L655" t="s">
        <v>119</v>
      </c>
      <c r="M655" t="s">
        <v>51</v>
      </c>
      <c r="N655" t="s">
        <v>507</v>
      </c>
      <c r="O655">
        <v>427548</v>
      </c>
      <c r="P655" t="s">
        <v>28</v>
      </c>
      <c r="Q655" t="s">
        <v>3150</v>
      </c>
      <c r="R655" t="s">
        <v>3151</v>
      </c>
      <c r="S655" t="s">
        <v>31</v>
      </c>
      <c r="T655">
        <v>0</v>
      </c>
    </row>
    <row r="656" spans="1:20" x14ac:dyDescent="0.25">
      <c r="A656" t="s">
        <v>3152</v>
      </c>
      <c r="B656" s="1">
        <v>45829</v>
      </c>
      <c r="C656" s="5">
        <v>0.14598379629629629</v>
      </c>
      <c r="D656">
        <v>195.82</v>
      </c>
      <c r="E656" t="s">
        <v>44</v>
      </c>
      <c r="F656" t="s">
        <v>227</v>
      </c>
      <c r="G656" t="s">
        <v>34</v>
      </c>
      <c r="H656" t="s">
        <v>58</v>
      </c>
      <c r="I656" t="s">
        <v>3153</v>
      </c>
      <c r="J656">
        <v>37</v>
      </c>
      <c r="K656" t="s">
        <v>37</v>
      </c>
      <c r="L656" t="s">
        <v>110</v>
      </c>
      <c r="M656" t="s">
        <v>84</v>
      </c>
      <c r="P656" t="s">
        <v>28</v>
      </c>
      <c r="Q656" t="s">
        <v>3154</v>
      </c>
      <c r="R656" t="s">
        <v>3155</v>
      </c>
      <c r="S656" t="s">
        <v>31</v>
      </c>
      <c r="T656">
        <v>0</v>
      </c>
    </row>
    <row r="657" spans="1:20" x14ac:dyDescent="0.25">
      <c r="A657" t="s">
        <v>3156</v>
      </c>
      <c r="B657" s="1">
        <v>45924</v>
      </c>
      <c r="C657" s="5">
        <v>0.93291666666666662</v>
      </c>
      <c r="D657">
        <v>1.51</v>
      </c>
      <c r="E657" t="s">
        <v>44</v>
      </c>
      <c r="F657" t="s">
        <v>3157</v>
      </c>
      <c r="G657" t="s">
        <v>89</v>
      </c>
      <c r="H657" t="s">
        <v>58</v>
      </c>
      <c r="I657" t="s">
        <v>3158</v>
      </c>
      <c r="J657">
        <v>31</v>
      </c>
      <c r="K657" t="s">
        <v>25</v>
      </c>
      <c r="L657" t="s">
        <v>66</v>
      </c>
      <c r="M657" t="s">
        <v>84</v>
      </c>
      <c r="P657" t="s">
        <v>28</v>
      </c>
      <c r="Q657" t="s">
        <v>3159</v>
      </c>
      <c r="R657" t="s">
        <v>3160</v>
      </c>
      <c r="S657" t="s">
        <v>31</v>
      </c>
      <c r="T657">
        <v>0</v>
      </c>
    </row>
    <row r="658" spans="1:20" x14ac:dyDescent="0.25">
      <c r="A658" t="s">
        <v>3161</v>
      </c>
      <c r="B658" s="1">
        <v>45848</v>
      </c>
      <c r="C658" s="5">
        <v>0.98958333333333337</v>
      </c>
      <c r="D658">
        <v>184.39</v>
      </c>
      <c r="E658" t="s">
        <v>44</v>
      </c>
      <c r="F658" t="s">
        <v>308</v>
      </c>
      <c r="G658" t="s">
        <v>89</v>
      </c>
      <c r="H658" t="s">
        <v>66</v>
      </c>
      <c r="I658" t="s">
        <v>3162</v>
      </c>
      <c r="J658">
        <v>70</v>
      </c>
      <c r="K658" t="s">
        <v>25</v>
      </c>
      <c r="L658" t="s">
        <v>119</v>
      </c>
      <c r="M658" t="s">
        <v>112</v>
      </c>
      <c r="P658" t="s">
        <v>28</v>
      </c>
      <c r="Q658" t="s">
        <v>3163</v>
      </c>
      <c r="R658" t="s">
        <v>3164</v>
      </c>
      <c r="S658" t="s">
        <v>31</v>
      </c>
      <c r="T658">
        <v>0</v>
      </c>
    </row>
    <row r="659" spans="1:20" x14ac:dyDescent="0.25">
      <c r="A659" t="s">
        <v>3165</v>
      </c>
      <c r="B659" s="1">
        <v>45841</v>
      </c>
      <c r="C659" s="5">
        <v>0.92488425925925921</v>
      </c>
      <c r="D659">
        <v>1.55</v>
      </c>
      <c r="E659" t="s">
        <v>44</v>
      </c>
      <c r="F659" t="s">
        <v>3166</v>
      </c>
      <c r="G659" t="s">
        <v>57</v>
      </c>
      <c r="H659" t="s">
        <v>119</v>
      </c>
      <c r="I659" t="s">
        <v>3167</v>
      </c>
      <c r="J659">
        <v>41</v>
      </c>
      <c r="K659" t="s">
        <v>49</v>
      </c>
      <c r="L659" t="s">
        <v>35</v>
      </c>
      <c r="M659" t="s">
        <v>105</v>
      </c>
      <c r="P659" t="s">
        <v>28</v>
      </c>
      <c r="Q659" t="s">
        <v>3168</v>
      </c>
      <c r="R659" t="s">
        <v>3169</v>
      </c>
      <c r="S659" t="s">
        <v>31</v>
      </c>
      <c r="T659">
        <v>1</v>
      </c>
    </row>
    <row r="660" spans="1:20" x14ac:dyDescent="0.25">
      <c r="A660" t="s">
        <v>3170</v>
      </c>
      <c r="B660" s="1">
        <v>45924</v>
      </c>
      <c r="C660" s="5">
        <v>0.86539351851851853</v>
      </c>
      <c r="D660">
        <v>862.22</v>
      </c>
      <c r="E660" t="s">
        <v>44</v>
      </c>
      <c r="F660" t="s">
        <v>3171</v>
      </c>
      <c r="G660" t="s">
        <v>71</v>
      </c>
      <c r="H660" t="s">
        <v>119</v>
      </c>
      <c r="I660" t="s">
        <v>3172</v>
      </c>
      <c r="J660">
        <v>56</v>
      </c>
      <c r="K660" t="s">
        <v>37</v>
      </c>
      <c r="L660" t="s">
        <v>66</v>
      </c>
      <c r="M660" t="s">
        <v>39</v>
      </c>
      <c r="P660" t="s">
        <v>28</v>
      </c>
      <c r="Q660" t="s">
        <v>3173</v>
      </c>
      <c r="R660" t="s">
        <v>3174</v>
      </c>
      <c r="S660" t="s">
        <v>31</v>
      </c>
      <c r="T660">
        <v>0</v>
      </c>
    </row>
    <row r="661" spans="1:20" x14ac:dyDescent="0.25">
      <c r="A661" t="s">
        <v>3175</v>
      </c>
      <c r="B661" s="1">
        <v>45949</v>
      </c>
      <c r="C661" s="5">
        <v>0.72350694444444441</v>
      </c>
      <c r="D661">
        <v>42.38</v>
      </c>
      <c r="E661" t="s">
        <v>44</v>
      </c>
      <c r="F661" t="s">
        <v>3176</v>
      </c>
      <c r="G661" t="s">
        <v>71</v>
      </c>
      <c r="H661" t="s">
        <v>130</v>
      </c>
      <c r="I661" t="s">
        <v>3177</v>
      </c>
      <c r="J661">
        <v>47</v>
      </c>
      <c r="K661" t="s">
        <v>49</v>
      </c>
      <c r="L661" t="s">
        <v>58</v>
      </c>
      <c r="M661" t="s">
        <v>39</v>
      </c>
      <c r="P661" t="s">
        <v>28</v>
      </c>
      <c r="Q661" t="s">
        <v>3178</v>
      </c>
      <c r="R661" t="s">
        <v>3179</v>
      </c>
      <c r="S661" t="s">
        <v>31</v>
      </c>
      <c r="T661">
        <v>0</v>
      </c>
    </row>
    <row r="662" spans="1:20" x14ac:dyDescent="0.25">
      <c r="A662" t="s">
        <v>3180</v>
      </c>
      <c r="B662" s="1">
        <v>45920</v>
      </c>
      <c r="C662" s="5">
        <v>9.043981481481482E-2</v>
      </c>
      <c r="D662">
        <v>109.98</v>
      </c>
      <c r="E662" t="s">
        <v>44</v>
      </c>
      <c r="F662" t="s">
        <v>1593</v>
      </c>
      <c r="G662" t="s">
        <v>124</v>
      </c>
      <c r="H662" t="s">
        <v>47</v>
      </c>
      <c r="I662" t="s">
        <v>3181</v>
      </c>
      <c r="J662">
        <v>75</v>
      </c>
      <c r="K662" t="s">
        <v>37</v>
      </c>
      <c r="L662" t="s">
        <v>38</v>
      </c>
      <c r="M662" t="s">
        <v>105</v>
      </c>
      <c r="P662" t="s">
        <v>28</v>
      </c>
      <c r="Q662" t="s">
        <v>3182</v>
      </c>
      <c r="R662" t="s">
        <v>3183</v>
      </c>
      <c r="S662" t="s">
        <v>31</v>
      </c>
      <c r="T662">
        <v>0</v>
      </c>
    </row>
    <row r="663" spans="1:20" x14ac:dyDescent="0.25">
      <c r="A663" t="s">
        <v>3184</v>
      </c>
      <c r="B663" s="1">
        <v>45917</v>
      </c>
      <c r="C663" s="5">
        <v>0.93586805555555552</v>
      </c>
      <c r="D663">
        <v>78.58</v>
      </c>
      <c r="E663" t="s">
        <v>44</v>
      </c>
      <c r="F663" t="s">
        <v>1296</v>
      </c>
      <c r="G663" t="s">
        <v>64</v>
      </c>
      <c r="H663" t="s">
        <v>248</v>
      </c>
      <c r="I663" t="s">
        <v>3185</v>
      </c>
      <c r="J663">
        <v>27</v>
      </c>
      <c r="K663" t="s">
        <v>49</v>
      </c>
      <c r="L663" t="s">
        <v>119</v>
      </c>
      <c r="M663" t="s">
        <v>84</v>
      </c>
      <c r="P663" t="s">
        <v>28</v>
      </c>
      <c r="Q663" t="s">
        <v>3186</v>
      </c>
      <c r="R663" t="s">
        <v>3187</v>
      </c>
      <c r="S663" t="s">
        <v>31</v>
      </c>
      <c r="T663">
        <v>0</v>
      </c>
    </row>
    <row r="664" spans="1:20" x14ac:dyDescent="0.25">
      <c r="A664" t="s">
        <v>3188</v>
      </c>
      <c r="B664" s="1">
        <v>45942</v>
      </c>
      <c r="C664" s="5">
        <v>0.6166666666666667</v>
      </c>
      <c r="D664">
        <v>146.78</v>
      </c>
      <c r="E664" t="s">
        <v>44</v>
      </c>
      <c r="F664" t="s">
        <v>2635</v>
      </c>
      <c r="G664" t="s">
        <v>34</v>
      </c>
      <c r="H664" t="s">
        <v>248</v>
      </c>
      <c r="I664" t="s">
        <v>3189</v>
      </c>
      <c r="J664">
        <v>41</v>
      </c>
      <c r="K664" t="s">
        <v>49</v>
      </c>
      <c r="L664" t="s">
        <v>47</v>
      </c>
      <c r="M664" t="s">
        <v>27</v>
      </c>
      <c r="P664" t="s">
        <v>28</v>
      </c>
      <c r="Q664" t="s">
        <v>3190</v>
      </c>
      <c r="R664" t="s">
        <v>3191</v>
      </c>
      <c r="S664" t="s">
        <v>31</v>
      </c>
      <c r="T664">
        <v>0</v>
      </c>
    </row>
    <row r="665" spans="1:20" x14ac:dyDescent="0.25">
      <c r="A665" t="s">
        <v>3192</v>
      </c>
      <c r="B665" s="1">
        <v>45939</v>
      </c>
      <c r="C665" s="5">
        <v>0.90271990740740737</v>
      </c>
      <c r="D665">
        <v>153.88</v>
      </c>
      <c r="E665" t="s">
        <v>44</v>
      </c>
      <c r="F665" t="s">
        <v>3193</v>
      </c>
      <c r="G665" t="s">
        <v>22</v>
      </c>
      <c r="H665" t="s">
        <v>47</v>
      </c>
      <c r="I665" t="s">
        <v>3194</v>
      </c>
      <c r="J665">
        <v>68</v>
      </c>
      <c r="K665" t="s">
        <v>25</v>
      </c>
      <c r="L665" t="s">
        <v>119</v>
      </c>
      <c r="M665" t="s">
        <v>51</v>
      </c>
      <c r="N665" t="s">
        <v>507</v>
      </c>
      <c r="O665">
        <v>477953</v>
      </c>
      <c r="P665" t="s">
        <v>28</v>
      </c>
      <c r="Q665" t="s">
        <v>3195</v>
      </c>
      <c r="R665" t="s">
        <v>3196</v>
      </c>
      <c r="S665" t="s">
        <v>31</v>
      </c>
      <c r="T665">
        <v>0</v>
      </c>
    </row>
    <row r="666" spans="1:20" x14ac:dyDescent="0.25">
      <c r="A666" t="s">
        <v>3197</v>
      </c>
      <c r="B666" s="1">
        <v>45808</v>
      </c>
      <c r="C666" s="5">
        <v>7.8680555555555559E-2</v>
      </c>
      <c r="D666">
        <v>139.69999999999999</v>
      </c>
      <c r="E666" t="s">
        <v>44</v>
      </c>
      <c r="F666" t="s">
        <v>1272</v>
      </c>
      <c r="G666" t="s">
        <v>71</v>
      </c>
      <c r="H666" t="s">
        <v>58</v>
      </c>
      <c r="I666" t="s">
        <v>3198</v>
      </c>
      <c r="J666">
        <v>31</v>
      </c>
      <c r="K666" t="s">
        <v>49</v>
      </c>
      <c r="L666" t="s">
        <v>66</v>
      </c>
      <c r="M666" t="s">
        <v>105</v>
      </c>
      <c r="P666" t="s">
        <v>28</v>
      </c>
      <c r="Q666" t="s">
        <v>3199</v>
      </c>
      <c r="R666" t="s">
        <v>3200</v>
      </c>
      <c r="S666" t="s">
        <v>31</v>
      </c>
      <c r="T666">
        <v>0</v>
      </c>
    </row>
    <row r="667" spans="1:20" x14ac:dyDescent="0.25">
      <c r="A667" t="s">
        <v>3201</v>
      </c>
      <c r="B667" s="1">
        <v>45808</v>
      </c>
      <c r="C667" s="5">
        <v>0.40921296296296295</v>
      </c>
      <c r="D667">
        <v>62.81</v>
      </c>
      <c r="E667" t="s">
        <v>44</v>
      </c>
      <c r="F667" t="s">
        <v>379</v>
      </c>
      <c r="G667" t="s">
        <v>124</v>
      </c>
      <c r="H667" t="s">
        <v>130</v>
      </c>
      <c r="I667" t="s">
        <v>3202</v>
      </c>
      <c r="J667">
        <v>33</v>
      </c>
      <c r="K667" t="s">
        <v>25</v>
      </c>
      <c r="L667" t="s">
        <v>97</v>
      </c>
      <c r="M667" t="s">
        <v>39</v>
      </c>
      <c r="P667" t="s">
        <v>28</v>
      </c>
      <c r="Q667" t="s">
        <v>3203</v>
      </c>
      <c r="R667" t="s">
        <v>3204</v>
      </c>
      <c r="S667" t="s">
        <v>31</v>
      </c>
      <c r="T667">
        <v>0</v>
      </c>
    </row>
    <row r="668" spans="1:20" x14ac:dyDescent="0.25">
      <c r="A668" t="s">
        <v>3205</v>
      </c>
      <c r="B668" s="1">
        <v>45912</v>
      </c>
      <c r="C668" s="5">
        <v>0.90438657407407408</v>
      </c>
      <c r="D668">
        <v>694.36</v>
      </c>
      <c r="E668" t="s">
        <v>44</v>
      </c>
      <c r="F668" t="s">
        <v>3206</v>
      </c>
      <c r="G668" t="s">
        <v>96</v>
      </c>
      <c r="H668" t="s">
        <v>66</v>
      </c>
      <c r="I668" t="s">
        <v>3207</v>
      </c>
      <c r="J668">
        <v>33</v>
      </c>
      <c r="K668" t="s">
        <v>49</v>
      </c>
      <c r="L668" t="s">
        <v>35</v>
      </c>
      <c r="M668" t="s">
        <v>84</v>
      </c>
      <c r="P668" t="s">
        <v>28</v>
      </c>
      <c r="Q668" t="s">
        <v>3208</v>
      </c>
      <c r="R668" t="s">
        <v>3209</v>
      </c>
      <c r="S668" t="s">
        <v>31</v>
      </c>
      <c r="T668">
        <v>0</v>
      </c>
    </row>
    <row r="669" spans="1:20" x14ac:dyDescent="0.25">
      <c r="A669" t="s">
        <v>3210</v>
      </c>
      <c r="B669" s="1">
        <v>45942</v>
      </c>
      <c r="C669" s="5">
        <v>4.3437499999999997E-2</v>
      </c>
      <c r="D669">
        <v>62.1</v>
      </c>
      <c r="E669" t="s">
        <v>44</v>
      </c>
      <c r="F669" t="s">
        <v>3211</v>
      </c>
      <c r="G669" t="s">
        <v>34</v>
      </c>
      <c r="H669" t="s">
        <v>23</v>
      </c>
      <c r="I669" t="s">
        <v>3212</v>
      </c>
      <c r="J669">
        <v>69</v>
      </c>
      <c r="K669" t="s">
        <v>49</v>
      </c>
      <c r="L669" t="s">
        <v>110</v>
      </c>
      <c r="M669" t="s">
        <v>112</v>
      </c>
      <c r="P669" t="s">
        <v>28</v>
      </c>
      <c r="Q669" t="s">
        <v>3213</v>
      </c>
      <c r="R669" t="s">
        <v>3214</v>
      </c>
      <c r="S669" t="s">
        <v>31</v>
      </c>
      <c r="T669">
        <v>0</v>
      </c>
    </row>
    <row r="670" spans="1:20" x14ac:dyDescent="0.25">
      <c r="A670" t="s">
        <v>3215</v>
      </c>
      <c r="B670" s="1">
        <v>45803</v>
      </c>
      <c r="C670" s="5">
        <v>0.80902777777777779</v>
      </c>
      <c r="D670">
        <v>211.95</v>
      </c>
      <c r="E670" t="s">
        <v>44</v>
      </c>
      <c r="F670" t="s">
        <v>3216</v>
      </c>
      <c r="G670" t="s">
        <v>124</v>
      </c>
      <c r="H670" t="s">
        <v>23</v>
      </c>
      <c r="I670" t="s">
        <v>3217</v>
      </c>
      <c r="J670">
        <v>22</v>
      </c>
      <c r="K670" t="s">
        <v>49</v>
      </c>
      <c r="L670" t="s">
        <v>58</v>
      </c>
      <c r="M670" t="s">
        <v>112</v>
      </c>
      <c r="P670" t="s">
        <v>28</v>
      </c>
      <c r="Q670" t="s">
        <v>3218</v>
      </c>
      <c r="R670" t="s">
        <v>3219</v>
      </c>
      <c r="S670" t="s">
        <v>31</v>
      </c>
      <c r="T670">
        <v>0</v>
      </c>
    </row>
    <row r="671" spans="1:20" x14ac:dyDescent="0.25">
      <c r="A671" t="s">
        <v>3220</v>
      </c>
      <c r="B671" s="1">
        <v>45832</v>
      </c>
      <c r="C671" s="5">
        <v>2.6678240740740742E-2</v>
      </c>
      <c r="D671">
        <v>97.29</v>
      </c>
      <c r="E671" t="s">
        <v>44</v>
      </c>
      <c r="F671" t="s">
        <v>2654</v>
      </c>
      <c r="G671" t="s">
        <v>57</v>
      </c>
      <c r="H671" t="s">
        <v>97</v>
      </c>
      <c r="I671" t="s">
        <v>3221</v>
      </c>
      <c r="J671">
        <v>39</v>
      </c>
      <c r="K671" t="s">
        <v>37</v>
      </c>
      <c r="L671" t="s">
        <v>58</v>
      </c>
      <c r="M671" t="s">
        <v>105</v>
      </c>
      <c r="P671" t="s">
        <v>28</v>
      </c>
      <c r="Q671" t="s">
        <v>3222</v>
      </c>
      <c r="R671" t="s">
        <v>3223</v>
      </c>
      <c r="S671" t="s">
        <v>31</v>
      </c>
      <c r="T671">
        <v>0</v>
      </c>
    </row>
    <row r="672" spans="1:20" x14ac:dyDescent="0.25">
      <c r="A672" t="s">
        <v>3224</v>
      </c>
      <c r="B672" s="1">
        <v>45874</v>
      </c>
      <c r="C672" s="5">
        <v>0.65105324074074078</v>
      </c>
      <c r="D672">
        <v>344.52</v>
      </c>
      <c r="E672" t="s">
        <v>44</v>
      </c>
      <c r="F672" t="s">
        <v>3225</v>
      </c>
      <c r="G672" t="s">
        <v>71</v>
      </c>
      <c r="H672" t="s">
        <v>146</v>
      </c>
      <c r="I672" t="s">
        <v>3226</v>
      </c>
      <c r="J672">
        <v>55</v>
      </c>
      <c r="K672" t="s">
        <v>25</v>
      </c>
      <c r="L672" t="s">
        <v>130</v>
      </c>
      <c r="M672" t="s">
        <v>51</v>
      </c>
      <c r="N672" t="s">
        <v>173</v>
      </c>
      <c r="O672">
        <v>511773</v>
      </c>
      <c r="P672" t="s">
        <v>28</v>
      </c>
      <c r="Q672" t="s">
        <v>3227</v>
      </c>
      <c r="R672" t="s">
        <v>3228</v>
      </c>
      <c r="S672" t="s">
        <v>31</v>
      </c>
      <c r="T672">
        <v>0</v>
      </c>
    </row>
    <row r="673" spans="1:20" x14ac:dyDescent="0.25">
      <c r="A673" t="s">
        <v>3229</v>
      </c>
      <c r="B673" s="1">
        <v>45918</v>
      </c>
      <c r="C673" s="5">
        <v>0.86396990740740742</v>
      </c>
      <c r="D673">
        <v>66.03</v>
      </c>
      <c r="E673" t="s">
        <v>44</v>
      </c>
      <c r="F673" t="s">
        <v>3045</v>
      </c>
      <c r="G673" t="s">
        <v>46</v>
      </c>
      <c r="H673" t="s">
        <v>26</v>
      </c>
      <c r="I673" t="s">
        <v>3230</v>
      </c>
      <c r="J673">
        <v>65</v>
      </c>
      <c r="K673" t="s">
        <v>25</v>
      </c>
      <c r="L673" t="s">
        <v>91</v>
      </c>
      <c r="M673" t="s">
        <v>27</v>
      </c>
      <c r="P673" t="s">
        <v>28</v>
      </c>
      <c r="Q673" t="s">
        <v>3231</v>
      </c>
      <c r="R673" t="s">
        <v>3232</v>
      </c>
      <c r="S673" t="s">
        <v>31</v>
      </c>
      <c r="T673">
        <v>0</v>
      </c>
    </row>
    <row r="674" spans="1:20" x14ac:dyDescent="0.25">
      <c r="A674" t="s">
        <v>3233</v>
      </c>
      <c r="B674" s="1">
        <v>45828</v>
      </c>
      <c r="C674" s="5">
        <v>0.63641203703703708</v>
      </c>
      <c r="D674">
        <v>154.71</v>
      </c>
      <c r="E674" t="s">
        <v>44</v>
      </c>
      <c r="F674" t="s">
        <v>1666</v>
      </c>
      <c r="G674" t="s">
        <v>96</v>
      </c>
      <c r="H674" t="s">
        <v>146</v>
      </c>
      <c r="I674" t="s">
        <v>3234</v>
      </c>
      <c r="J674">
        <v>36</v>
      </c>
      <c r="K674" t="s">
        <v>37</v>
      </c>
      <c r="L674" t="s">
        <v>97</v>
      </c>
      <c r="M674" t="s">
        <v>39</v>
      </c>
      <c r="P674" t="s">
        <v>28</v>
      </c>
      <c r="Q674" t="s">
        <v>3235</v>
      </c>
      <c r="R674" t="s">
        <v>3236</v>
      </c>
      <c r="S674" t="s">
        <v>31</v>
      </c>
      <c r="T674">
        <v>1</v>
      </c>
    </row>
    <row r="675" spans="1:20" x14ac:dyDescent="0.25">
      <c r="A675" t="s">
        <v>3237</v>
      </c>
      <c r="B675" s="1">
        <v>45829</v>
      </c>
      <c r="C675" s="5">
        <v>0.71800925925925929</v>
      </c>
      <c r="D675">
        <v>31.14</v>
      </c>
      <c r="E675" t="s">
        <v>44</v>
      </c>
      <c r="F675" t="s">
        <v>3238</v>
      </c>
      <c r="G675" t="s">
        <v>71</v>
      </c>
      <c r="H675" t="s">
        <v>47</v>
      </c>
      <c r="I675" t="s">
        <v>3239</v>
      </c>
      <c r="J675">
        <v>15</v>
      </c>
      <c r="K675" t="s">
        <v>49</v>
      </c>
      <c r="L675" t="s">
        <v>26</v>
      </c>
      <c r="M675" t="s">
        <v>105</v>
      </c>
      <c r="P675" t="s">
        <v>28</v>
      </c>
      <c r="Q675" t="s">
        <v>3240</v>
      </c>
      <c r="R675" t="s">
        <v>3241</v>
      </c>
      <c r="S675" t="s">
        <v>31</v>
      </c>
      <c r="T675">
        <v>0</v>
      </c>
    </row>
    <row r="676" spans="1:20" x14ac:dyDescent="0.25">
      <c r="A676" t="s">
        <v>3242</v>
      </c>
      <c r="B676" s="1">
        <v>45928</v>
      </c>
      <c r="C676" s="5">
        <v>0.14709490740740741</v>
      </c>
      <c r="D676">
        <v>190.76</v>
      </c>
      <c r="E676" t="s">
        <v>44</v>
      </c>
      <c r="F676" t="s">
        <v>3243</v>
      </c>
      <c r="G676" t="s">
        <v>71</v>
      </c>
      <c r="H676" t="s">
        <v>91</v>
      </c>
      <c r="I676" t="s">
        <v>3244</v>
      </c>
      <c r="J676">
        <v>61</v>
      </c>
      <c r="K676" t="s">
        <v>37</v>
      </c>
      <c r="L676" t="s">
        <v>119</v>
      </c>
      <c r="M676" t="s">
        <v>112</v>
      </c>
      <c r="P676" t="s">
        <v>28</v>
      </c>
      <c r="Q676" t="s">
        <v>3245</v>
      </c>
      <c r="R676" t="s">
        <v>3246</v>
      </c>
      <c r="S676" t="s">
        <v>31</v>
      </c>
      <c r="T676">
        <v>0</v>
      </c>
    </row>
    <row r="677" spans="1:20" x14ac:dyDescent="0.25">
      <c r="A677" t="s">
        <v>3247</v>
      </c>
      <c r="B677" s="1">
        <v>45886</v>
      </c>
      <c r="C677" s="5">
        <v>5.3009259259259256E-2</v>
      </c>
      <c r="D677">
        <v>82.88</v>
      </c>
      <c r="E677" t="s">
        <v>44</v>
      </c>
      <c r="F677" t="s">
        <v>1499</v>
      </c>
      <c r="G677" t="s">
        <v>89</v>
      </c>
      <c r="H677" t="s">
        <v>38</v>
      </c>
      <c r="I677" t="s">
        <v>3248</v>
      </c>
      <c r="J677">
        <v>21</v>
      </c>
      <c r="K677" t="s">
        <v>49</v>
      </c>
      <c r="L677" t="s">
        <v>91</v>
      </c>
      <c r="M677" t="s">
        <v>27</v>
      </c>
      <c r="P677" t="s">
        <v>28</v>
      </c>
      <c r="Q677" t="s">
        <v>3249</v>
      </c>
      <c r="R677" t="s">
        <v>3250</v>
      </c>
      <c r="S677" t="s">
        <v>31</v>
      </c>
      <c r="T677">
        <v>0</v>
      </c>
    </row>
    <row r="678" spans="1:20" x14ac:dyDescent="0.25">
      <c r="A678" t="s">
        <v>3251</v>
      </c>
      <c r="B678" s="1">
        <v>45835</v>
      </c>
      <c r="C678" s="5">
        <v>0.85687500000000005</v>
      </c>
      <c r="D678">
        <v>41.9</v>
      </c>
      <c r="E678" t="s">
        <v>44</v>
      </c>
      <c r="F678" t="s">
        <v>1012</v>
      </c>
      <c r="G678" t="s">
        <v>77</v>
      </c>
      <c r="H678" t="s">
        <v>47</v>
      </c>
      <c r="I678" t="s">
        <v>3252</v>
      </c>
      <c r="J678">
        <v>46</v>
      </c>
      <c r="K678" t="s">
        <v>25</v>
      </c>
      <c r="L678" t="s">
        <v>35</v>
      </c>
      <c r="M678" t="s">
        <v>112</v>
      </c>
      <c r="P678" t="s">
        <v>28</v>
      </c>
      <c r="Q678" t="s">
        <v>3253</v>
      </c>
      <c r="R678" t="s">
        <v>3254</v>
      </c>
      <c r="S678" t="s">
        <v>31</v>
      </c>
      <c r="T678">
        <v>0</v>
      </c>
    </row>
    <row r="679" spans="1:20" x14ac:dyDescent="0.25">
      <c r="A679" t="s">
        <v>3255</v>
      </c>
      <c r="B679" s="1">
        <v>45861</v>
      </c>
      <c r="C679" s="5">
        <v>0.30653935185185183</v>
      </c>
      <c r="D679">
        <v>219.08</v>
      </c>
      <c r="E679" t="s">
        <v>44</v>
      </c>
      <c r="F679" t="s">
        <v>3256</v>
      </c>
      <c r="G679" t="s">
        <v>64</v>
      </c>
      <c r="H679" t="s">
        <v>66</v>
      </c>
      <c r="I679" t="s">
        <v>3257</v>
      </c>
      <c r="J679">
        <v>60</v>
      </c>
      <c r="K679" t="s">
        <v>37</v>
      </c>
      <c r="L679" t="s">
        <v>66</v>
      </c>
      <c r="M679" t="s">
        <v>51</v>
      </c>
      <c r="N679" t="s">
        <v>345</v>
      </c>
      <c r="O679">
        <v>511183</v>
      </c>
      <c r="P679" t="s">
        <v>113</v>
      </c>
      <c r="Q679" t="s">
        <v>3258</v>
      </c>
      <c r="R679" t="s">
        <v>3259</v>
      </c>
      <c r="S679" t="s">
        <v>31</v>
      </c>
      <c r="T679">
        <v>0</v>
      </c>
    </row>
    <row r="680" spans="1:20" x14ac:dyDescent="0.25">
      <c r="A680" t="s">
        <v>3260</v>
      </c>
      <c r="B680" s="1">
        <v>45925</v>
      </c>
      <c r="C680" s="5">
        <v>0.40989583333333335</v>
      </c>
      <c r="D680">
        <v>1185.7</v>
      </c>
      <c r="E680" t="s">
        <v>44</v>
      </c>
      <c r="F680" t="s">
        <v>3261</v>
      </c>
      <c r="G680" t="s">
        <v>64</v>
      </c>
      <c r="H680" t="s">
        <v>97</v>
      </c>
      <c r="I680" t="s">
        <v>3262</v>
      </c>
      <c r="J680">
        <v>39</v>
      </c>
      <c r="K680" t="s">
        <v>49</v>
      </c>
      <c r="L680" t="s">
        <v>130</v>
      </c>
      <c r="M680" t="s">
        <v>84</v>
      </c>
      <c r="P680" t="s">
        <v>28</v>
      </c>
      <c r="Q680" t="s">
        <v>3263</v>
      </c>
      <c r="R680" t="s">
        <v>3264</v>
      </c>
      <c r="S680" t="s">
        <v>31</v>
      </c>
      <c r="T680">
        <v>0</v>
      </c>
    </row>
    <row r="681" spans="1:20" x14ac:dyDescent="0.25">
      <c r="A681" t="s">
        <v>3265</v>
      </c>
      <c r="B681" s="1">
        <v>45865</v>
      </c>
      <c r="C681" s="5">
        <v>0.20333333333333334</v>
      </c>
      <c r="D681">
        <v>123.38</v>
      </c>
      <c r="E681" t="s">
        <v>44</v>
      </c>
      <c r="F681" t="s">
        <v>3266</v>
      </c>
      <c r="G681" t="s">
        <v>22</v>
      </c>
      <c r="H681" t="s">
        <v>97</v>
      </c>
      <c r="I681" t="s">
        <v>602</v>
      </c>
      <c r="J681">
        <v>53</v>
      </c>
      <c r="K681" t="s">
        <v>37</v>
      </c>
      <c r="L681" t="s">
        <v>26</v>
      </c>
      <c r="M681" t="s">
        <v>84</v>
      </c>
      <c r="P681" t="s">
        <v>28</v>
      </c>
      <c r="Q681" t="s">
        <v>3267</v>
      </c>
      <c r="R681" t="s">
        <v>3268</v>
      </c>
      <c r="S681" t="s">
        <v>31</v>
      </c>
      <c r="T681">
        <v>0</v>
      </c>
    </row>
    <row r="682" spans="1:20" x14ac:dyDescent="0.25">
      <c r="A682" t="s">
        <v>3269</v>
      </c>
      <c r="B682" s="1">
        <v>45866</v>
      </c>
      <c r="C682" s="5">
        <v>8.4884259259259257E-2</v>
      </c>
      <c r="D682">
        <v>141.63999999999999</v>
      </c>
      <c r="E682" t="s">
        <v>44</v>
      </c>
      <c r="F682" t="s">
        <v>3270</v>
      </c>
      <c r="G682" t="s">
        <v>124</v>
      </c>
      <c r="H682" t="s">
        <v>130</v>
      </c>
      <c r="I682" t="s">
        <v>3271</v>
      </c>
      <c r="J682">
        <v>19</v>
      </c>
      <c r="K682" t="s">
        <v>25</v>
      </c>
      <c r="L682" t="s">
        <v>91</v>
      </c>
      <c r="M682" t="s">
        <v>39</v>
      </c>
      <c r="P682" t="s">
        <v>28</v>
      </c>
      <c r="Q682" t="s">
        <v>3272</v>
      </c>
      <c r="R682" t="s">
        <v>3273</v>
      </c>
      <c r="S682" t="s">
        <v>31</v>
      </c>
      <c r="T682">
        <v>0</v>
      </c>
    </row>
    <row r="683" spans="1:20" x14ac:dyDescent="0.25">
      <c r="A683" t="s">
        <v>3274</v>
      </c>
      <c r="B683" s="1">
        <v>45921</v>
      </c>
      <c r="C683" s="5">
        <v>0.22981481481481481</v>
      </c>
      <c r="D683">
        <v>27.45</v>
      </c>
      <c r="E683" t="s">
        <v>44</v>
      </c>
      <c r="F683" t="s">
        <v>76</v>
      </c>
      <c r="G683" t="s">
        <v>46</v>
      </c>
      <c r="H683" t="s">
        <v>110</v>
      </c>
      <c r="I683" t="s">
        <v>3275</v>
      </c>
      <c r="J683">
        <v>51</v>
      </c>
      <c r="K683" t="s">
        <v>49</v>
      </c>
      <c r="L683" t="s">
        <v>97</v>
      </c>
      <c r="M683" t="s">
        <v>51</v>
      </c>
      <c r="N683" t="s">
        <v>52</v>
      </c>
      <c r="O683">
        <v>460024</v>
      </c>
      <c r="P683" t="s">
        <v>28</v>
      </c>
      <c r="Q683" t="s">
        <v>3276</v>
      </c>
      <c r="R683" t="s">
        <v>3277</v>
      </c>
      <c r="S683" t="s">
        <v>31</v>
      </c>
      <c r="T683">
        <v>1</v>
      </c>
    </row>
    <row r="684" spans="1:20" x14ac:dyDescent="0.25">
      <c r="A684" t="s">
        <v>3278</v>
      </c>
      <c r="B684" s="1">
        <v>45916</v>
      </c>
      <c r="C684" s="5">
        <v>0.80140046296296297</v>
      </c>
      <c r="D684">
        <v>9.67</v>
      </c>
      <c r="E684" t="s">
        <v>44</v>
      </c>
      <c r="F684" t="s">
        <v>3279</v>
      </c>
      <c r="G684" t="s">
        <v>57</v>
      </c>
      <c r="H684" t="s">
        <v>248</v>
      </c>
      <c r="I684" t="s">
        <v>3280</v>
      </c>
      <c r="J684">
        <v>36</v>
      </c>
      <c r="K684" t="s">
        <v>37</v>
      </c>
      <c r="L684" t="s">
        <v>38</v>
      </c>
      <c r="M684" t="s">
        <v>27</v>
      </c>
      <c r="P684" t="s">
        <v>28</v>
      </c>
      <c r="Q684" t="s">
        <v>3281</v>
      </c>
      <c r="R684" t="s">
        <v>3282</v>
      </c>
      <c r="S684" t="s">
        <v>31</v>
      </c>
      <c r="T684">
        <v>0</v>
      </c>
    </row>
    <row r="685" spans="1:20" x14ac:dyDescent="0.25">
      <c r="A685" t="s">
        <v>3283</v>
      </c>
      <c r="B685" s="1">
        <v>45833</v>
      </c>
      <c r="C685" s="5">
        <v>0.85089120370370375</v>
      </c>
      <c r="D685">
        <v>164.7</v>
      </c>
      <c r="E685" t="s">
        <v>44</v>
      </c>
      <c r="F685" t="s">
        <v>3284</v>
      </c>
      <c r="G685" t="s">
        <v>34</v>
      </c>
      <c r="H685" t="s">
        <v>97</v>
      </c>
      <c r="I685" t="s">
        <v>3285</v>
      </c>
      <c r="J685">
        <v>57</v>
      </c>
      <c r="K685" t="s">
        <v>49</v>
      </c>
      <c r="L685" t="s">
        <v>38</v>
      </c>
      <c r="M685" t="s">
        <v>84</v>
      </c>
      <c r="P685" t="s">
        <v>28</v>
      </c>
      <c r="Q685" t="s">
        <v>3286</v>
      </c>
      <c r="R685" t="s">
        <v>3287</v>
      </c>
      <c r="S685" t="s">
        <v>31</v>
      </c>
      <c r="T685">
        <v>0</v>
      </c>
    </row>
    <row r="686" spans="1:20" x14ac:dyDescent="0.25">
      <c r="A686" t="s">
        <v>3288</v>
      </c>
      <c r="B686" s="1">
        <v>45877</v>
      </c>
      <c r="C686" s="5">
        <v>0.47045138888888888</v>
      </c>
      <c r="D686">
        <v>153.66999999999999</v>
      </c>
      <c r="E686" t="s">
        <v>44</v>
      </c>
      <c r="F686" t="s">
        <v>1514</v>
      </c>
      <c r="G686" t="s">
        <v>34</v>
      </c>
      <c r="H686" t="s">
        <v>38</v>
      </c>
      <c r="I686" t="s">
        <v>3289</v>
      </c>
      <c r="J686">
        <v>61</v>
      </c>
      <c r="K686" t="s">
        <v>37</v>
      </c>
      <c r="L686" t="s">
        <v>248</v>
      </c>
      <c r="M686" t="s">
        <v>39</v>
      </c>
      <c r="P686" t="s">
        <v>28</v>
      </c>
      <c r="Q686" t="s">
        <v>3290</v>
      </c>
      <c r="R686" t="s">
        <v>3291</v>
      </c>
      <c r="S686" t="s">
        <v>31</v>
      </c>
      <c r="T686">
        <v>0</v>
      </c>
    </row>
    <row r="687" spans="1:20" x14ac:dyDescent="0.25">
      <c r="A687" t="s">
        <v>3292</v>
      </c>
      <c r="B687" s="1">
        <v>45812</v>
      </c>
      <c r="C687" s="5">
        <v>0.82377314814814817</v>
      </c>
      <c r="D687">
        <v>115.28</v>
      </c>
      <c r="E687" t="s">
        <v>44</v>
      </c>
      <c r="F687" t="s">
        <v>3293</v>
      </c>
      <c r="G687" t="s">
        <v>71</v>
      </c>
      <c r="H687" t="s">
        <v>23</v>
      </c>
      <c r="I687" t="s">
        <v>3294</v>
      </c>
      <c r="J687">
        <v>53</v>
      </c>
      <c r="K687" t="s">
        <v>49</v>
      </c>
      <c r="L687" t="s">
        <v>110</v>
      </c>
      <c r="M687" t="s">
        <v>27</v>
      </c>
      <c r="P687" t="s">
        <v>28</v>
      </c>
      <c r="Q687" t="s">
        <v>3295</v>
      </c>
      <c r="R687" t="s">
        <v>3296</v>
      </c>
      <c r="S687" t="s">
        <v>31</v>
      </c>
      <c r="T687">
        <v>0</v>
      </c>
    </row>
    <row r="688" spans="1:20" x14ac:dyDescent="0.25">
      <c r="A688" t="s">
        <v>3297</v>
      </c>
      <c r="B688" s="1">
        <v>45932</v>
      </c>
      <c r="C688" s="5">
        <v>0.50207175925925929</v>
      </c>
      <c r="D688">
        <v>191.13</v>
      </c>
      <c r="E688" t="s">
        <v>44</v>
      </c>
      <c r="F688" t="s">
        <v>1916</v>
      </c>
      <c r="G688" t="s">
        <v>124</v>
      </c>
      <c r="H688" t="s">
        <v>26</v>
      </c>
      <c r="I688" t="s">
        <v>3298</v>
      </c>
      <c r="J688">
        <v>44</v>
      </c>
      <c r="K688" t="s">
        <v>49</v>
      </c>
      <c r="L688" t="s">
        <v>66</v>
      </c>
      <c r="M688" t="s">
        <v>51</v>
      </c>
      <c r="N688" t="s">
        <v>507</v>
      </c>
      <c r="O688">
        <v>552929</v>
      </c>
      <c r="P688" t="s">
        <v>28</v>
      </c>
      <c r="Q688" t="s">
        <v>3299</v>
      </c>
      <c r="R688" t="s">
        <v>3300</v>
      </c>
      <c r="S688" t="s">
        <v>101</v>
      </c>
      <c r="T688">
        <v>0</v>
      </c>
    </row>
    <row r="689" spans="1:20" x14ac:dyDescent="0.25">
      <c r="A689" t="s">
        <v>3301</v>
      </c>
      <c r="B689" s="1">
        <v>45951</v>
      </c>
      <c r="C689" s="5">
        <v>0.68341435185185184</v>
      </c>
      <c r="D689">
        <v>2.1</v>
      </c>
      <c r="E689" t="s">
        <v>44</v>
      </c>
      <c r="F689" t="s">
        <v>2927</v>
      </c>
      <c r="G689" t="s">
        <v>57</v>
      </c>
      <c r="H689" t="s">
        <v>119</v>
      </c>
      <c r="I689" t="s">
        <v>3302</v>
      </c>
      <c r="J689">
        <v>20</v>
      </c>
      <c r="K689" t="s">
        <v>49</v>
      </c>
      <c r="L689" t="s">
        <v>50</v>
      </c>
      <c r="M689" t="s">
        <v>39</v>
      </c>
      <c r="P689" t="s">
        <v>28</v>
      </c>
      <c r="Q689" t="s">
        <v>3303</v>
      </c>
      <c r="R689" t="s">
        <v>3304</v>
      </c>
      <c r="S689" t="s">
        <v>31</v>
      </c>
      <c r="T689">
        <v>0</v>
      </c>
    </row>
    <row r="690" spans="1:20" x14ac:dyDescent="0.25">
      <c r="A690" t="s">
        <v>3305</v>
      </c>
      <c r="B690" s="1">
        <v>45895</v>
      </c>
      <c r="C690" s="5">
        <v>1.5775462962962963E-2</v>
      </c>
      <c r="D690">
        <v>136.59</v>
      </c>
      <c r="E690" t="s">
        <v>44</v>
      </c>
      <c r="F690" t="s">
        <v>2630</v>
      </c>
      <c r="G690" t="s">
        <v>57</v>
      </c>
      <c r="H690" t="s">
        <v>38</v>
      </c>
      <c r="I690" t="s">
        <v>3306</v>
      </c>
      <c r="J690">
        <v>62</v>
      </c>
      <c r="K690" t="s">
        <v>49</v>
      </c>
      <c r="L690" t="s">
        <v>66</v>
      </c>
      <c r="M690" t="s">
        <v>51</v>
      </c>
      <c r="N690" t="s">
        <v>870</v>
      </c>
      <c r="O690">
        <v>558114</v>
      </c>
      <c r="P690" t="s">
        <v>28</v>
      </c>
      <c r="Q690" t="s">
        <v>3307</v>
      </c>
      <c r="R690" t="s">
        <v>3308</v>
      </c>
      <c r="S690" t="s">
        <v>31</v>
      </c>
      <c r="T690">
        <v>0</v>
      </c>
    </row>
    <row r="691" spans="1:20" x14ac:dyDescent="0.25">
      <c r="A691" t="s">
        <v>3309</v>
      </c>
      <c r="B691" s="1">
        <v>45887</v>
      </c>
      <c r="C691" s="5">
        <v>0.58186342592592588</v>
      </c>
      <c r="D691">
        <v>173.79</v>
      </c>
      <c r="E691" t="s">
        <v>44</v>
      </c>
      <c r="F691" t="s">
        <v>1874</v>
      </c>
      <c r="G691" t="s">
        <v>64</v>
      </c>
      <c r="H691" t="s">
        <v>38</v>
      </c>
      <c r="I691" t="s">
        <v>3310</v>
      </c>
      <c r="J691">
        <v>25</v>
      </c>
      <c r="K691" t="s">
        <v>25</v>
      </c>
      <c r="L691" t="s">
        <v>248</v>
      </c>
      <c r="M691" t="s">
        <v>39</v>
      </c>
      <c r="P691" t="s">
        <v>28</v>
      </c>
      <c r="Q691" t="s">
        <v>3311</v>
      </c>
      <c r="R691" t="s">
        <v>3312</v>
      </c>
      <c r="S691" t="s">
        <v>31</v>
      </c>
      <c r="T691">
        <v>0</v>
      </c>
    </row>
    <row r="692" spans="1:20" x14ac:dyDescent="0.25">
      <c r="A692" t="s">
        <v>3313</v>
      </c>
      <c r="B692" s="1">
        <v>45945</v>
      </c>
      <c r="C692" s="5">
        <v>0.63993055555555556</v>
      </c>
      <c r="D692">
        <v>144.06</v>
      </c>
      <c r="E692" t="s">
        <v>44</v>
      </c>
      <c r="F692" t="s">
        <v>3314</v>
      </c>
      <c r="G692" t="s">
        <v>77</v>
      </c>
      <c r="H692" t="s">
        <v>35</v>
      </c>
      <c r="I692" t="s">
        <v>1525</v>
      </c>
      <c r="J692">
        <v>75</v>
      </c>
      <c r="K692" t="s">
        <v>49</v>
      </c>
      <c r="L692" t="s">
        <v>91</v>
      </c>
      <c r="M692" t="s">
        <v>112</v>
      </c>
      <c r="P692" t="s">
        <v>28</v>
      </c>
      <c r="Q692" t="s">
        <v>3315</v>
      </c>
      <c r="R692" t="s">
        <v>3316</v>
      </c>
      <c r="S692" t="s">
        <v>31</v>
      </c>
      <c r="T692">
        <v>0</v>
      </c>
    </row>
    <row r="693" spans="1:20" x14ac:dyDescent="0.25">
      <c r="A693" t="s">
        <v>3317</v>
      </c>
      <c r="B693" s="1">
        <v>45925</v>
      </c>
      <c r="C693" s="5">
        <v>0.53700231481481486</v>
      </c>
      <c r="D693">
        <v>112.96</v>
      </c>
      <c r="E693" t="s">
        <v>44</v>
      </c>
      <c r="F693" t="s">
        <v>3318</v>
      </c>
      <c r="G693" t="s">
        <v>96</v>
      </c>
      <c r="H693" t="s">
        <v>23</v>
      </c>
      <c r="I693" t="s">
        <v>3319</v>
      </c>
      <c r="J693">
        <v>53</v>
      </c>
      <c r="K693" t="s">
        <v>25</v>
      </c>
      <c r="L693" t="s">
        <v>26</v>
      </c>
      <c r="M693" t="s">
        <v>112</v>
      </c>
      <c r="P693" t="s">
        <v>28</v>
      </c>
      <c r="Q693" t="s">
        <v>3320</v>
      </c>
      <c r="R693" t="s">
        <v>3321</v>
      </c>
      <c r="S693" t="s">
        <v>31</v>
      </c>
      <c r="T693">
        <v>0</v>
      </c>
    </row>
    <row r="694" spans="1:20" x14ac:dyDescent="0.25">
      <c r="A694" t="s">
        <v>3322</v>
      </c>
      <c r="B694" s="1">
        <v>45920</v>
      </c>
      <c r="C694" s="5">
        <v>0.25903935185185184</v>
      </c>
      <c r="D694">
        <v>82.36</v>
      </c>
      <c r="E694" t="s">
        <v>44</v>
      </c>
      <c r="F694" t="s">
        <v>3323</v>
      </c>
      <c r="G694" t="s">
        <v>96</v>
      </c>
      <c r="H694" t="s">
        <v>119</v>
      </c>
      <c r="I694" t="s">
        <v>3324</v>
      </c>
      <c r="J694">
        <v>60</v>
      </c>
      <c r="K694" t="s">
        <v>25</v>
      </c>
      <c r="L694" t="s">
        <v>50</v>
      </c>
      <c r="M694" t="s">
        <v>112</v>
      </c>
      <c r="P694" t="s">
        <v>28</v>
      </c>
      <c r="Q694" t="s">
        <v>3325</v>
      </c>
      <c r="R694" t="s">
        <v>3326</v>
      </c>
      <c r="S694" t="s">
        <v>31</v>
      </c>
      <c r="T694">
        <v>0</v>
      </c>
    </row>
    <row r="695" spans="1:20" x14ac:dyDescent="0.25">
      <c r="A695" t="s">
        <v>3327</v>
      </c>
      <c r="B695" s="1">
        <v>45862</v>
      </c>
      <c r="C695" s="5">
        <v>0.66925925925925922</v>
      </c>
      <c r="D695">
        <v>151.96</v>
      </c>
      <c r="E695" t="s">
        <v>44</v>
      </c>
      <c r="F695" t="s">
        <v>1040</v>
      </c>
      <c r="G695" t="s">
        <v>22</v>
      </c>
      <c r="H695" t="s">
        <v>26</v>
      </c>
      <c r="I695" t="s">
        <v>3328</v>
      </c>
      <c r="J695">
        <v>108</v>
      </c>
      <c r="K695" t="s">
        <v>49</v>
      </c>
      <c r="L695" t="s">
        <v>110</v>
      </c>
      <c r="M695" t="s">
        <v>105</v>
      </c>
      <c r="P695" t="s">
        <v>28</v>
      </c>
      <c r="Q695" t="s">
        <v>3329</v>
      </c>
      <c r="R695" t="s">
        <v>3330</v>
      </c>
      <c r="S695" t="s">
        <v>31</v>
      </c>
      <c r="T695">
        <v>0</v>
      </c>
    </row>
    <row r="696" spans="1:20" x14ac:dyDescent="0.25">
      <c r="A696" t="s">
        <v>3331</v>
      </c>
      <c r="B696" s="1">
        <v>45895</v>
      </c>
      <c r="C696" s="5">
        <v>0.9735300925925926</v>
      </c>
      <c r="D696">
        <v>81.17</v>
      </c>
      <c r="E696" t="s">
        <v>44</v>
      </c>
      <c r="F696" t="s">
        <v>1326</v>
      </c>
      <c r="G696" t="s">
        <v>96</v>
      </c>
      <c r="H696" t="s">
        <v>35</v>
      </c>
      <c r="I696" t="s">
        <v>3332</v>
      </c>
      <c r="J696">
        <v>64</v>
      </c>
      <c r="K696" t="s">
        <v>25</v>
      </c>
      <c r="L696" t="s">
        <v>35</v>
      </c>
      <c r="M696" t="s">
        <v>112</v>
      </c>
      <c r="P696" t="s">
        <v>113</v>
      </c>
      <c r="Q696" t="s">
        <v>3333</v>
      </c>
      <c r="R696" t="s">
        <v>3334</v>
      </c>
      <c r="S696" t="s">
        <v>31</v>
      </c>
      <c r="T696">
        <v>0</v>
      </c>
    </row>
    <row r="697" spans="1:20" x14ac:dyDescent="0.25">
      <c r="A697" t="s">
        <v>3335</v>
      </c>
      <c r="B697" s="1">
        <v>45953</v>
      </c>
      <c r="C697" s="5">
        <v>0.62710648148148151</v>
      </c>
      <c r="D697">
        <v>120.77</v>
      </c>
      <c r="E697" t="s">
        <v>44</v>
      </c>
      <c r="F697" t="s">
        <v>606</v>
      </c>
      <c r="G697" t="s">
        <v>46</v>
      </c>
      <c r="H697" t="s">
        <v>47</v>
      </c>
      <c r="I697" t="s">
        <v>3336</v>
      </c>
      <c r="J697">
        <v>19</v>
      </c>
      <c r="K697" t="s">
        <v>25</v>
      </c>
      <c r="L697" t="s">
        <v>38</v>
      </c>
      <c r="M697" t="s">
        <v>51</v>
      </c>
      <c r="N697" t="s">
        <v>304</v>
      </c>
      <c r="O697">
        <v>421890</v>
      </c>
      <c r="P697" t="s">
        <v>28</v>
      </c>
      <c r="Q697" t="s">
        <v>3337</v>
      </c>
      <c r="R697" t="s">
        <v>3338</v>
      </c>
      <c r="S697" t="s">
        <v>31</v>
      </c>
      <c r="T697">
        <v>0</v>
      </c>
    </row>
    <row r="698" spans="1:20" x14ac:dyDescent="0.25">
      <c r="A698" t="s">
        <v>3339</v>
      </c>
      <c r="B698" s="1">
        <v>45883</v>
      </c>
      <c r="C698" s="5">
        <v>0.55327546296296293</v>
      </c>
      <c r="D698">
        <v>484.05</v>
      </c>
      <c r="E698" t="s">
        <v>44</v>
      </c>
      <c r="F698" t="s">
        <v>3340</v>
      </c>
      <c r="G698" t="s">
        <v>46</v>
      </c>
      <c r="H698" t="s">
        <v>110</v>
      </c>
      <c r="I698" t="s">
        <v>3341</v>
      </c>
      <c r="J698">
        <v>62</v>
      </c>
      <c r="K698" t="s">
        <v>49</v>
      </c>
      <c r="L698" t="s">
        <v>26</v>
      </c>
      <c r="M698" t="s">
        <v>39</v>
      </c>
      <c r="P698" t="s">
        <v>28</v>
      </c>
      <c r="Q698" t="s">
        <v>3342</v>
      </c>
      <c r="R698" t="s">
        <v>3343</v>
      </c>
      <c r="S698" t="s">
        <v>31</v>
      </c>
      <c r="T698">
        <v>0</v>
      </c>
    </row>
    <row r="699" spans="1:20" x14ac:dyDescent="0.25">
      <c r="A699" t="s">
        <v>3344</v>
      </c>
      <c r="B699" s="1">
        <v>45845</v>
      </c>
      <c r="C699" s="5">
        <v>0.92251157407407403</v>
      </c>
      <c r="D699">
        <v>71.540000000000006</v>
      </c>
      <c r="E699" t="s">
        <v>44</v>
      </c>
      <c r="F699" t="s">
        <v>1734</v>
      </c>
      <c r="G699" t="s">
        <v>77</v>
      </c>
      <c r="H699" t="s">
        <v>130</v>
      </c>
      <c r="I699" t="s">
        <v>3345</v>
      </c>
      <c r="J699">
        <v>62</v>
      </c>
      <c r="K699" t="s">
        <v>49</v>
      </c>
      <c r="L699" t="s">
        <v>130</v>
      </c>
      <c r="M699" t="s">
        <v>51</v>
      </c>
      <c r="N699" t="s">
        <v>304</v>
      </c>
      <c r="O699">
        <v>406061</v>
      </c>
      <c r="P699" t="s">
        <v>113</v>
      </c>
      <c r="Q699" t="s">
        <v>3346</v>
      </c>
      <c r="R699" t="s">
        <v>3347</v>
      </c>
      <c r="S699" t="s">
        <v>31</v>
      </c>
      <c r="T699">
        <v>0</v>
      </c>
    </row>
    <row r="700" spans="1:20" x14ac:dyDescent="0.25">
      <c r="A700" t="s">
        <v>3348</v>
      </c>
      <c r="B700" s="1">
        <v>45925</v>
      </c>
      <c r="C700" s="5">
        <v>0.49680555555555556</v>
      </c>
      <c r="D700">
        <v>16.61</v>
      </c>
      <c r="E700" t="s">
        <v>44</v>
      </c>
      <c r="F700" t="s">
        <v>2726</v>
      </c>
      <c r="G700" t="s">
        <v>89</v>
      </c>
      <c r="H700" t="s">
        <v>130</v>
      </c>
      <c r="I700" t="s">
        <v>3349</v>
      </c>
      <c r="J700">
        <v>29</v>
      </c>
      <c r="K700" t="s">
        <v>37</v>
      </c>
      <c r="L700" t="s">
        <v>38</v>
      </c>
      <c r="M700" t="s">
        <v>39</v>
      </c>
      <c r="P700" t="s">
        <v>28</v>
      </c>
      <c r="Q700" t="s">
        <v>3350</v>
      </c>
      <c r="R700" t="s">
        <v>3351</v>
      </c>
      <c r="S700" t="s">
        <v>31</v>
      </c>
      <c r="T700">
        <v>0</v>
      </c>
    </row>
    <row r="701" spans="1:20" x14ac:dyDescent="0.25">
      <c r="A701" t="s">
        <v>3352</v>
      </c>
      <c r="B701" s="1">
        <v>45933</v>
      </c>
      <c r="C701" s="5">
        <v>0.30971064814814814</v>
      </c>
      <c r="D701">
        <v>25.01</v>
      </c>
      <c r="E701" t="s">
        <v>44</v>
      </c>
      <c r="F701" t="s">
        <v>2947</v>
      </c>
      <c r="G701" t="s">
        <v>57</v>
      </c>
      <c r="H701" t="s">
        <v>26</v>
      </c>
      <c r="I701" t="s">
        <v>3353</v>
      </c>
      <c r="J701">
        <v>65</v>
      </c>
      <c r="K701" t="s">
        <v>37</v>
      </c>
      <c r="L701" t="s">
        <v>35</v>
      </c>
      <c r="M701" t="s">
        <v>105</v>
      </c>
      <c r="P701" t="s">
        <v>28</v>
      </c>
      <c r="Q701" t="s">
        <v>3354</v>
      </c>
      <c r="R701" t="s">
        <v>3355</v>
      </c>
      <c r="S701" t="s">
        <v>31</v>
      </c>
      <c r="T701">
        <v>0</v>
      </c>
    </row>
    <row r="702" spans="1:20" x14ac:dyDescent="0.25">
      <c r="A702" t="s">
        <v>3356</v>
      </c>
      <c r="B702" s="1">
        <v>45835</v>
      </c>
      <c r="C702" s="5">
        <v>0.24099537037037036</v>
      </c>
      <c r="D702">
        <v>69</v>
      </c>
      <c r="E702" t="s">
        <v>44</v>
      </c>
      <c r="F702" t="s">
        <v>3357</v>
      </c>
      <c r="G702" t="s">
        <v>124</v>
      </c>
      <c r="H702" t="s">
        <v>58</v>
      </c>
      <c r="I702" t="s">
        <v>3358</v>
      </c>
      <c r="J702">
        <v>23</v>
      </c>
      <c r="K702" t="s">
        <v>49</v>
      </c>
      <c r="L702" t="s">
        <v>91</v>
      </c>
      <c r="M702" t="s">
        <v>112</v>
      </c>
      <c r="P702" t="s">
        <v>28</v>
      </c>
      <c r="Q702" t="s">
        <v>3359</v>
      </c>
      <c r="R702" t="s">
        <v>3360</v>
      </c>
      <c r="S702" t="s">
        <v>31</v>
      </c>
      <c r="T702">
        <v>0</v>
      </c>
    </row>
    <row r="703" spans="1:20" x14ac:dyDescent="0.25">
      <c r="A703" t="s">
        <v>3361</v>
      </c>
      <c r="B703" s="1">
        <v>45806</v>
      </c>
      <c r="C703" s="5">
        <v>0.71512731481481484</v>
      </c>
      <c r="D703">
        <v>63.51</v>
      </c>
      <c r="E703" t="s">
        <v>44</v>
      </c>
      <c r="F703" t="s">
        <v>1133</v>
      </c>
      <c r="G703" t="s">
        <v>57</v>
      </c>
      <c r="H703" t="s">
        <v>58</v>
      </c>
      <c r="I703" t="s">
        <v>3362</v>
      </c>
      <c r="J703">
        <v>34</v>
      </c>
      <c r="K703" t="s">
        <v>37</v>
      </c>
      <c r="L703" t="s">
        <v>47</v>
      </c>
      <c r="M703" t="s">
        <v>39</v>
      </c>
      <c r="P703" t="s">
        <v>28</v>
      </c>
      <c r="Q703" t="s">
        <v>3363</v>
      </c>
      <c r="R703" t="s">
        <v>3364</v>
      </c>
      <c r="S703" t="s">
        <v>31</v>
      </c>
      <c r="T703">
        <v>0</v>
      </c>
    </row>
    <row r="704" spans="1:20" x14ac:dyDescent="0.25">
      <c r="A704" t="s">
        <v>3365</v>
      </c>
      <c r="B704" s="1">
        <v>45831</v>
      </c>
      <c r="C704" s="5">
        <v>0.67443287037037036</v>
      </c>
      <c r="D704">
        <v>861.93</v>
      </c>
      <c r="E704" t="s">
        <v>44</v>
      </c>
      <c r="F704" t="s">
        <v>3366</v>
      </c>
      <c r="G704" t="s">
        <v>57</v>
      </c>
      <c r="H704" t="s">
        <v>35</v>
      </c>
      <c r="I704" t="s">
        <v>3367</v>
      </c>
      <c r="J704">
        <v>41</v>
      </c>
      <c r="K704" t="s">
        <v>49</v>
      </c>
      <c r="L704" t="s">
        <v>38</v>
      </c>
      <c r="M704" t="s">
        <v>105</v>
      </c>
      <c r="P704" t="s">
        <v>28</v>
      </c>
      <c r="Q704" t="s">
        <v>3368</v>
      </c>
      <c r="R704" t="s">
        <v>3369</v>
      </c>
      <c r="S704" t="s">
        <v>31</v>
      </c>
      <c r="T704">
        <v>0</v>
      </c>
    </row>
    <row r="705" spans="1:20" x14ac:dyDescent="0.25">
      <c r="A705" t="s">
        <v>3370</v>
      </c>
      <c r="B705" s="1">
        <v>45795</v>
      </c>
      <c r="C705" s="5">
        <v>0.64877314814814813</v>
      </c>
      <c r="D705">
        <v>64.78</v>
      </c>
      <c r="E705" t="s">
        <v>44</v>
      </c>
      <c r="F705" t="s">
        <v>3065</v>
      </c>
      <c r="G705" t="s">
        <v>57</v>
      </c>
      <c r="H705" t="s">
        <v>35</v>
      </c>
      <c r="I705" t="s">
        <v>3371</v>
      </c>
      <c r="J705">
        <v>75</v>
      </c>
      <c r="K705" t="s">
        <v>37</v>
      </c>
      <c r="L705" t="s">
        <v>26</v>
      </c>
      <c r="M705" t="s">
        <v>39</v>
      </c>
      <c r="P705" t="s">
        <v>28</v>
      </c>
      <c r="Q705" t="s">
        <v>3372</v>
      </c>
      <c r="R705" t="s">
        <v>3373</v>
      </c>
      <c r="S705" t="s">
        <v>31</v>
      </c>
      <c r="T705">
        <v>0</v>
      </c>
    </row>
    <row r="706" spans="1:20" x14ac:dyDescent="0.25">
      <c r="A706" t="s">
        <v>3374</v>
      </c>
      <c r="B706" s="1">
        <v>45955</v>
      </c>
      <c r="C706" s="5">
        <v>0.83680555555555558</v>
      </c>
      <c r="D706">
        <v>142.59</v>
      </c>
      <c r="E706" t="s">
        <v>44</v>
      </c>
      <c r="F706" t="s">
        <v>3375</v>
      </c>
      <c r="G706" t="s">
        <v>89</v>
      </c>
      <c r="H706" t="s">
        <v>119</v>
      </c>
      <c r="I706" t="s">
        <v>3376</v>
      </c>
      <c r="J706">
        <v>23</v>
      </c>
      <c r="K706" t="s">
        <v>25</v>
      </c>
      <c r="L706" t="s">
        <v>66</v>
      </c>
      <c r="M706" t="s">
        <v>84</v>
      </c>
      <c r="P706" t="s">
        <v>28</v>
      </c>
      <c r="Q706" t="s">
        <v>3377</v>
      </c>
      <c r="R706" t="s">
        <v>3378</v>
      </c>
      <c r="S706" t="s">
        <v>42</v>
      </c>
      <c r="T706">
        <v>0</v>
      </c>
    </row>
    <row r="707" spans="1:20" x14ac:dyDescent="0.25">
      <c r="A707" t="s">
        <v>3379</v>
      </c>
      <c r="B707" s="1">
        <v>45788</v>
      </c>
      <c r="C707" s="5">
        <v>0.52849537037037042</v>
      </c>
      <c r="D707">
        <v>128.63999999999999</v>
      </c>
      <c r="E707" t="s">
        <v>44</v>
      </c>
      <c r="F707" t="s">
        <v>3380</v>
      </c>
      <c r="G707" t="s">
        <v>64</v>
      </c>
      <c r="H707" t="s">
        <v>119</v>
      </c>
      <c r="I707" t="s">
        <v>3381</v>
      </c>
      <c r="J707">
        <v>61</v>
      </c>
      <c r="K707" t="s">
        <v>49</v>
      </c>
      <c r="L707" t="s">
        <v>58</v>
      </c>
      <c r="M707" t="s">
        <v>51</v>
      </c>
      <c r="N707" t="s">
        <v>345</v>
      </c>
      <c r="O707">
        <v>514734</v>
      </c>
      <c r="P707" t="s">
        <v>28</v>
      </c>
      <c r="Q707" t="s">
        <v>3382</v>
      </c>
      <c r="R707" t="s">
        <v>3383</v>
      </c>
      <c r="S707" t="s">
        <v>31</v>
      </c>
      <c r="T707">
        <v>0</v>
      </c>
    </row>
    <row r="708" spans="1:20" x14ac:dyDescent="0.25">
      <c r="A708" t="s">
        <v>3384</v>
      </c>
      <c r="B708" s="1">
        <v>45904</v>
      </c>
      <c r="C708" s="5">
        <v>0.52332175925925928</v>
      </c>
      <c r="D708">
        <v>91.54</v>
      </c>
      <c r="E708" t="s">
        <v>44</v>
      </c>
      <c r="F708" t="s">
        <v>3385</v>
      </c>
      <c r="G708" t="s">
        <v>22</v>
      </c>
      <c r="H708" t="s">
        <v>38</v>
      </c>
      <c r="I708" t="s">
        <v>3386</v>
      </c>
      <c r="J708">
        <v>50</v>
      </c>
      <c r="K708" t="s">
        <v>37</v>
      </c>
      <c r="L708" t="s">
        <v>97</v>
      </c>
      <c r="M708" t="s">
        <v>27</v>
      </c>
      <c r="P708" t="s">
        <v>28</v>
      </c>
      <c r="Q708" t="s">
        <v>3387</v>
      </c>
      <c r="R708" t="s">
        <v>3388</v>
      </c>
      <c r="S708" t="s">
        <v>31</v>
      </c>
      <c r="T708">
        <v>0</v>
      </c>
    </row>
    <row r="709" spans="1:20" x14ac:dyDescent="0.25">
      <c r="A709" t="s">
        <v>3389</v>
      </c>
      <c r="B709" s="1">
        <v>45791</v>
      </c>
      <c r="C709" s="5">
        <v>0.77731481481481479</v>
      </c>
      <c r="D709">
        <v>6.87</v>
      </c>
      <c r="E709" t="s">
        <v>44</v>
      </c>
      <c r="F709" t="s">
        <v>3390</v>
      </c>
      <c r="G709" t="s">
        <v>46</v>
      </c>
      <c r="H709" t="s">
        <v>50</v>
      </c>
      <c r="I709" t="s">
        <v>3391</v>
      </c>
      <c r="J709">
        <v>65</v>
      </c>
      <c r="K709" t="s">
        <v>49</v>
      </c>
      <c r="L709" t="s">
        <v>97</v>
      </c>
      <c r="M709" t="s">
        <v>84</v>
      </c>
      <c r="P709" t="s">
        <v>28</v>
      </c>
      <c r="Q709" t="s">
        <v>3392</v>
      </c>
      <c r="R709" t="s">
        <v>3393</v>
      </c>
      <c r="S709" t="s">
        <v>42</v>
      </c>
      <c r="T709">
        <v>0</v>
      </c>
    </row>
    <row r="710" spans="1:20" x14ac:dyDescent="0.25">
      <c r="A710" t="s">
        <v>3394</v>
      </c>
      <c r="B710" s="1">
        <v>45798</v>
      </c>
      <c r="C710" s="5">
        <v>0.45194444444444443</v>
      </c>
      <c r="D710">
        <v>122.15</v>
      </c>
      <c r="E710" t="s">
        <v>44</v>
      </c>
      <c r="F710" t="s">
        <v>3395</v>
      </c>
      <c r="G710" t="s">
        <v>57</v>
      </c>
      <c r="H710" t="s">
        <v>50</v>
      </c>
      <c r="I710" t="s">
        <v>3396</v>
      </c>
      <c r="J710">
        <v>52</v>
      </c>
      <c r="K710" t="s">
        <v>25</v>
      </c>
      <c r="L710" t="s">
        <v>146</v>
      </c>
      <c r="M710" t="s">
        <v>27</v>
      </c>
      <c r="P710" t="s">
        <v>28</v>
      </c>
      <c r="Q710" t="s">
        <v>3397</v>
      </c>
      <c r="R710" t="s">
        <v>3398</v>
      </c>
      <c r="S710" t="s">
        <v>31</v>
      </c>
      <c r="T710">
        <v>0</v>
      </c>
    </row>
    <row r="711" spans="1:20" x14ac:dyDescent="0.25">
      <c r="A711" t="s">
        <v>3399</v>
      </c>
      <c r="B711" s="1">
        <v>45796</v>
      </c>
      <c r="C711" s="5">
        <v>0.29439814814814813</v>
      </c>
      <c r="D711">
        <v>77.03</v>
      </c>
      <c r="E711" t="s">
        <v>44</v>
      </c>
      <c r="F711" t="s">
        <v>3400</v>
      </c>
      <c r="G711" t="s">
        <v>22</v>
      </c>
      <c r="H711" t="s">
        <v>119</v>
      </c>
      <c r="I711" t="s">
        <v>3401</v>
      </c>
      <c r="J711">
        <v>19</v>
      </c>
      <c r="K711" t="s">
        <v>49</v>
      </c>
      <c r="L711" t="s">
        <v>248</v>
      </c>
      <c r="M711" t="s">
        <v>84</v>
      </c>
      <c r="P711" t="s">
        <v>28</v>
      </c>
      <c r="Q711" t="s">
        <v>3402</v>
      </c>
      <c r="R711" t="s">
        <v>3403</v>
      </c>
      <c r="S711" t="s">
        <v>31</v>
      </c>
      <c r="T711">
        <v>0</v>
      </c>
    </row>
    <row r="712" spans="1:20" x14ac:dyDescent="0.25">
      <c r="A712" t="s">
        <v>3404</v>
      </c>
      <c r="B712" s="1">
        <v>45899</v>
      </c>
      <c r="C712" s="5">
        <v>0.92167824074074078</v>
      </c>
      <c r="D712">
        <v>19.53</v>
      </c>
      <c r="E712" t="s">
        <v>44</v>
      </c>
      <c r="F712" t="s">
        <v>639</v>
      </c>
      <c r="G712" t="s">
        <v>89</v>
      </c>
      <c r="H712" t="s">
        <v>38</v>
      </c>
      <c r="I712" t="s">
        <v>3405</v>
      </c>
      <c r="J712">
        <v>19</v>
      </c>
      <c r="K712" t="s">
        <v>37</v>
      </c>
      <c r="L712" t="s">
        <v>110</v>
      </c>
      <c r="M712" t="s">
        <v>39</v>
      </c>
      <c r="P712" t="s">
        <v>28</v>
      </c>
      <c r="Q712" t="s">
        <v>3406</v>
      </c>
      <c r="R712" t="s">
        <v>3407</v>
      </c>
      <c r="S712" t="s">
        <v>31</v>
      </c>
      <c r="T712">
        <v>0</v>
      </c>
    </row>
    <row r="713" spans="1:20" x14ac:dyDescent="0.25">
      <c r="A713" t="s">
        <v>3408</v>
      </c>
      <c r="B713" s="1">
        <v>45873</v>
      </c>
      <c r="C713" s="5">
        <v>0.85081018518518514</v>
      </c>
      <c r="D713">
        <v>28.96</v>
      </c>
      <c r="E713" t="s">
        <v>44</v>
      </c>
      <c r="F713" t="s">
        <v>753</v>
      </c>
      <c r="G713" t="s">
        <v>89</v>
      </c>
      <c r="H713" t="s">
        <v>146</v>
      </c>
      <c r="I713" t="s">
        <v>3409</v>
      </c>
      <c r="J713">
        <v>38</v>
      </c>
      <c r="K713" t="s">
        <v>37</v>
      </c>
      <c r="L713" t="s">
        <v>130</v>
      </c>
      <c r="M713" t="s">
        <v>39</v>
      </c>
      <c r="P713" t="s">
        <v>28</v>
      </c>
      <c r="Q713" t="s">
        <v>3410</v>
      </c>
      <c r="R713" t="s">
        <v>3411</v>
      </c>
      <c r="S713" t="s">
        <v>31</v>
      </c>
      <c r="T713">
        <v>0</v>
      </c>
    </row>
    <row r="714" spans="1:20" x14ac:dyDescent="0.25">
      <c r="A714" t="s">
        <v>3412</v>
      </c>
      <c r="B714" s="1">
        <v>45894</v>
      </c>
      <c r="C714" s="5">
        <v>0.53732638888888884</v>
      </c>
      <c r="D714">
        <v>21.2</v>
      </c>
      <c r="E714" t="s">
        <v>44</v>
      </c>
      <c r="F714" t="s">
        <v>3413</v>
      </c>
      <c r="G714" t="s">
        <v>34</v>
      </c>
      <c r="H714" t="s">
        <v>146</v>
      </c>
      <c r="I714" t="s">
        <v>3414</v>
      </c>
      <c r="J714">
        <v>48</v>
      </c>
      <c r="K714" t="s">
        <v>25</v>
      </c>
      <c r="L714" t="s">
        <v>97</v>
      </c>
      <c r="M714" t="s">
        <v>112</v>
      </c>
      <c r="P714" t="s">
        <v>28</v>
      </c>
      <c r="Q714" t="s">
        <v>3415</v>
      </c>
      <c r="R714" t="s">
        <v>3416</v>
      </c>
      <c r="S714" t="s">
        <v>31</v>
      </c>
      <c r="T714">
        <v>0</v>
      </c>
    </row>
    <row r="715" spans="1:20" x14ac:dyDescent="0.25">
      <c r="A715" t="s">
        <v>3417</v>
      </c>
      <c r="B715" s="1">
        <v>45846</v>
      </c>
      <c r="C715" s="5">
        <v>0.26871527777777776</v>
      </c>
      <c r="D715">
        <v>159.12</v>
      </c>
      <c r="E715" t="s">
        <v>44</v>
      </c>
      <c r="F715" t="s">
        <v>3418</v>
      </c>
      <c r="G715" t="s">
        <v>89</v>
      </c>
      <c r="H715" t="s">
        <v>110</v>
      </c>
      <c r="I715" t="s">
        <v>3419</v>
      </c>
      <c r="J715">
        <v>73</v>
      </c>
      <c r="K715" t="s">
        <v>49</v>
      </c>
      <c r="L715" t="s">
        <v>23</v>
      </c>
      <c r="M715" t="s">
        <v>105</v>
      </c>
      <c r="P715" t="s">
        <v>28</v>
      </c>
      <c r="Q715" t="s">
        <v>3420</v>
      </c>
      <c r="R715" t="s">
        <v>3421</v>
      </c>
      <c r="S715" t="s">
        <v>31</v>
      </c>
      <c r="T715">
        <v>0</v>
      </c>
    </row>
    <row r="716" spans="1:20" x14ac:dyDescent="0.25">
      <c r="A716" t="s">
        <v>3422</v>
      </c>
      <c r="B716" s="1">
        <v>45845</v>
      </c>
      <c r="C716" s="5">
        <v>8.278935185185185E-2</v>
      </c>
      <c r="D716">
        <v>170.31</v>
      </c>
      <c r="E716" t="s">
        <v>44</v>
      </c>
      <c r="F716" t="s">
        <v>983</v>
      </c>
      <c r="G716" t="s">
        <v>22</v>
      </c>
      <c r="H716" t="s">
        <v>58</v>
      </c>
      <c r="I716" t="s">
        <v>3423</v>
      </c>
      <c r="K716" t="s">
        <v>37</v>
      </c>
      <c r="L716" t="s">
        <v>26</v>
      </c>
      <c r="M716" t="s">
        <v>51</v>
      </c>
      <c r="N716" t="s">
        <v>304</v>
      </c>
      <c r="O716">
        <v>487693</v>
      </c>
      <c r="P716" t="s">
        <v>28</v>
      </c>
      <c r="Q716" t="s">
        <v>3424</v>
      </c>
      <c r="R716" t="s">
        <v>3425</v>
      </c>
      <c r="S716" t="s">
        <v>31</v>
      </c>
      <c r="T716">
        <v>0</v>
      </c>
    </row>
    <row r="717" spans="1:20" x14ac:dyDescent="0.25">
      <c r="A717" t="s">
        <v>3426</v>
      </c>
      <c r="B717" s="1">
        <v>45872</v>
      </c>
      <c r="C717" s="5">
        <v>0.27100694444444445</v>
      </c>
      <c r="D717">
        <v>41.41</v>
      </c>
      <c r="E717" t="s">
        <v>44</v>
      </c>
      <c r="F717" t="s">
        <v>3427</v>
      </c>
      <c r="G717" t="s">
        <v>71</v>
      </c>
      <c r="H717" t="s">
        <v>119</v>
      </c>
      <c r="I717" t="s">
        <v>3428</v>
      </c>
      <c r="J717">
        <v>21</v>
      </c>
      <c r="K717" t="s">
        <v>25</v>
      </c>
      <c r="L717" t="s">
        <v>58</v>
      </c>
      <c r="M717" t="s">
        <v>105</v>
      </c>
      <c r="P717" t="s">
        <v>28</v>
      </c>
      <c r="Q717" t="s">
        <v>3429</v>
      </c>
      <c r="R717" t="s">
        <v>3430</v>
      </c>
      <c r="S717" t="s">
        <v>31</v>
      </c>
      <c r="T717">
        <v>0</v>
      </c>
    </row>
    <row r="718" spans="1:20" x14ac:dyDescent="0.25">
      <c r="A718" t="s">
        <v>3431</v>
      </c>
      <c r="B718" s="1">
        <v>45865</v>
      </c>
      <c r="C718" s="5">
        <v>0.23480324074074074</v>
      </c>
      <c r="D718">
        <v>49.02</v>
      </c>
      <c r="E718" t="s">
        <v>44</v>
      </c>
      <c r="F718" t="s">
        <v>3432</v>
      </c>
      <c r="G718" t="s">
        <v>46</v>
      </c>
      <c r="H718" t="s">
        <v>97</v>
      </c>
      <c r="I718" t="s">
        <v>3433</v>
      </c>
      <c r="J718">
        <v>21</v>
      </c>
      <c r="K718" t="s">
        <v>49</v>
      </c>
      <c r="L718" t="s">
        <v>91</v>
      </c>
      <c r="M718" t="s">
        <v>105</v>
      </c>
      <c r="P718" t="s">
        <v>28</v>
      </c>
      <c r="Q718" t="s">
        <v>3434</v>
      </c>
      <c r="R718" t="s">
        <v>3435</v>
      </c>
      <c r="S718" t="s">
        <v>31</v>
      </c>
      <c r="T718">
        <v>0</v>
      </c>
    </row>
    <row r="719" spans="1:20" x14ac:dyDescent="0.25">
      <c r="A719" t="s">
        <v>3436</v>
      </c>
      <c r="B719" s="1">
        <v>45919</v>
      </c>
      <c r="C719" s="5">
        <v>0.93447916666666664</v>
      </c>
      <c r="D719">
        <v>174.54</v>
      </c>
      <c r="E719" t="s">
        <v>44</v>
      </c>
      <c r="F719" t="s">
        <v>3437</v>
      </c>
      <c r="G719" t="s">
        <v>22</v>
      </c>
      <c r="H719" t="s">
        <v>47</v>
      </c>
      <c r="I719" t="s">
        <v>3438</v>
      </c>
      <c r="J719">
        <v>26</v>
      </c>
      <c r="K719" t="s">
        <v>37</v>
      </c>
      <c r="L719" t="s">
        <v>58</v>
      </c>
      <c r="M719" t="s">
        <v>39</v>
      </c>
      <c r="P719" t="s">
        <v>28</v>
      </c>
      <c r="Q719" t="s">
        <v>3439</v>
      </c>
      <c r="R719" t="s">
        <v>3440</v>
      </c>
      <c r="S719" t="s">
        <v>31</v>
      </c>
      <c r="T719">
        <v>0</v>
      </c>
    </row>
    <row r="720" spans="1:20" x14ac:dyDescent="0.25">
      <c r="A720" t="s">
        <v>3441</v>
      </c>
      <c r="B720" s="1">
        <v>45945</v>
      </c>
      <c r="C720" s="5">
        <v>0.32459490740740743</v>
      </c>
      <c r="D720">
        <v>462.01</v>
      </c>
      <c r="E720" t="s">
        <v>44</v>
      </c>
      <c r="F720" t="s">
        <v>3442</v>
      </c>
      <c r="G720" t="s">
        <v>96</v>
      </c>
      <c r="H720" t="s">
        <v>91</v>
      </c>
      <c r="I720" t="s">
        <v>3443</v>
      </c>
      <c r="J720">
        <v>27</v>
      </c>
      <c r="K720" t="s">
        <v>49</v>
      </c>
      <c r="L720" t="s">
        <v>47</v>
      </c>
      <c r="M720" t="s">
        <v>112</v>
      </c>
      <c r="P720" t="s">
        <v>28</v>
      </c>
      <c r="Q720" t="s">
        <v>3444</v>
      </c>
      <c r="R720" t="s">
        <v>3445</v>
      </c>
      <c r="S720" t="s">
        <v>31</v>
      </c>
      <c r="T720">
        <v>0</v>
      </c>
    </row>
    <row r="721" spans="1:20" x14ac:dyDescent="0.25">
      <c r="A721" t="s">
        <v>3446</v>
      </c>
      <c r="B721" s="1">
        <v>45832</v>
      </c>
      <c r="C721" s="5">
        <v>0.38653935185185184</v>
      </c>
      <c r="D721">
        <v>441.42</v>
      </c>
      <c r="E721" t="s">
        <v>44</v>
      </c>
      <c r="F721" t="s">
        <v>3447</v>
      </c>
      <c r="G721" t="s">
        <v>124</v>
      </c>
      <c r="H721" t="s">
        <v>97</v>
      </c>
      <c r="I721" t="s">
        <v>3448</v>
      </c>
      <c r="J721">
        <v>27</v>
      </c>
      <c r="K721" t="s">
        <v>37</v>
      </c>
      <c r="L721" t="s">
        <v>35</v>
      </c>
      <c r="M721" t="s">
        <v>112</v>
      </c>
      <c r="P721" t="s">
        <v>28</v>
      </c>
      <c r="Q721" t="s">
        <v>3449</v>
      </c>
      <c r="R721" t="s">
        <v>3450</v>
      </c>
      <c r="S721" t="s">
        <v>31</v>
      </c>
      <c r="T721">
        <v>0</v>
      </c>
    </row>
    <row r="722" spans="1:20" x14ac:dyDescent="0.25">
      <c r="A722" t="s">
        <v>3451</v>
      </c>
      <c r="B722" s="1">
        <v>45850</v>
      </c>
      <c r="C722" s="5">
        <v>0.82209490740740743</v>
      </c>
      <c r="D722">
        <v>339.89</v>
      </c>
      <c r="E722" t="s">
        <v>44</v>
      </c>
      <c r="F722" t="s">
        <v>3452</v>
      </c>
      <c r="G722" t="s">
        <v>57</v>
      </c>
      <c r="H722" t="s">
        <v>119</v>
      </c>
      <c r="I722" t="s">
        <v>3453</v>
      </c>
      <c r="J722">
        <v>66</v>
      </c>
      <c r="K722" t="s">
        <v>37</v>
      </c>
      <c r="L722" t="s">
        <v>146</v>
      </c>
      <c r="M722" t="s">
        <v>84</v>
      </c>
      <c r="P722" t="s">
        <v>28</v>
      </c>
      <c r="Q722" t="s">
        <v>3454</v>
      </c>
      <c r="R722" t="s">
        <v>3455</v>
      </c>
      <c r="S722" t="s">
        <v>101</v>
      </c>
      <c r="T722">
        <v>0</v>
      </c>
    </row>
    <row r="723" spans="1:20" x14ac:dyDescent="0.25">
      <c r="A723" t="s">
        <v>3456</v>
      </c>
      <c r="B723" s="1">
        <v>45891</v>
      </c>
      <c r="C723" s="5">
        <v>0.29381944444444447</v>
      </c>
      <c r="D723">
        <v>168.65</v>
      </c>
      <c r="E723" t="s">
        <v>44</v>
      </c>
      <c r="F723" t="s">
        <v>1832</v>
      </c>
      <c r="G723" t="s">
        <v>57</v>
      </c>
      <c r="H723" t="s">
        <v>35</v>
      </c>
      <c r="I723" t="s">
        <v>3457</v>
      </c>
      <c r="J723">
        <v>18</v>
      </c>
      <c r="K723" t="s">
        <v>49</v>
      </c>
      <c r="L723" t="s">
        <v>50</v>
      </c>
      <c r="M723" t="s">
        <v>105</v>
      </c>
      <c r="P723" t="s">
        <v>28</v>
      </c>
      <c r="Q723" t="s">
        <v>3458</v>
      </c>
      <c r="R723" t="s">
        <v>3459</v>
      </c>
      <c r="S723" t="s">
        <v>101</v>
      </c>
      <c r="T723">
        <v>0</v>
      </c>
    </row>
    <row r="724" spans="1:20" x14ac:dyDescent="0.25">
      <c r="A724" t="s">
        <v>3460</v>
      </c>
      <c r="B724" s="1">
        <v>45870</v>
      </c>
      <c r="C724" s="5">
        <v>0.76679398148148148</v>
      </c>
      <c r="D724">
        <v>117.46</v>
      </c>
      <c r="E724" t="s">
        <v>44</v>
      </c>
      <c r="F724" t="s">
        <v>2181</v>
      </c>
      <c r="G724" t="s">
        <v>96</v>
      </c>
      <c r="H724" t="s">
        <v>119</v>
      </c>
      <c r="I724" t="s">
        <v>3461</v>
      </c>
      <c r="J724">
        <v>44</v>
      </c>
      <c r="K724" t="s">
        <v>37</v>
      </c>
      <c r="L724" t="s">
        <v>248</v>
      </c>
      <c r="M724" t="s">
        <v>51</v>
      </c>
      <c r="N724" t="s">
        <v>304</v>
      </c>
      <c r="O724">
        <v>487146</v>
      </c>
      <c r="P724" t="s">
        <v>28</v>
      </c>
      <c r="Q724" t="s">
        <v>3462</v>
      </c>
      <c r="R724" t="s">
        <v>3463</v>
      </c>
      <c r="S724" t="s">
        <v>31</v>
      </c>
      <c r="T724">
        <v>0</v>
      </c>
    </row>
    <row r="725" spans="1:20" x14ac:dyDescent="0.25">
      <c r="A725" t="s">
        <v>3464</v>
      </c>
      <c r="B725" s="1">
        <v>45924</v>
      </c>
      <c r="C725" s="5">
        <v>0.52417824074074071</v>
      </c>
      <c r="D725">
        <v>123.17</v>
      </c>
      <c r="E725" t="s">
        <v>44</v>
      </c>
      <c r="F725" t="s">
        <v>2810</v>
      </c>
      <c r="G725" t="s">
        <v>46</v>
      </c>
      <c r="H725" t="s">
        <v>130</v>
      </c>
      <c r="I725" t="s">
        <v>3465</v>
      </c>
      <c r="J725">
        <v>43</v>
      </c>
      <c r="K725" t="s">
        <v>25</v>
      </c>
      <c r="L725" t="s">
        <v>119</v>
      </c>
      <c r="M725" t="s">
        <v>112</v>
      </c>
      <c r="P725" t="s">
        <v>28</v>
      </c>
      <c r="Q725" t="s">
        <v>3466</v>
      </c>
      <c r="R725" t="s">
        <v>3467</v>
      </c>
      <c r="S725" t="s">
        <v>31</v>
      </c>
      <c r="T725">
        <v>0</v>
      </c>
    </row>
    <row r="726" spans="1:20" x14ac:dyDescent="0.25">
      <c r="A726" t="s">
        <v>3468</v>
      </c>
      <c r="B726" s="1">
        <v>45808</v>
      </c>
      <c r="C726" s="5">
        <v>0.34604166666666669</v>
      </c>
      <c r="D726">
        <v>94.81</v>
      </c>
      <c r="E726" t="s">
        <v>44</v>
      </c>
      <c r="F726" t="s">
        <v>3469</v>
      </c>
      <c r="G726" t="s">
        <v>34</v>
      </c>
      <c r="H726" t="s">
        <v>50</v>
      </c>
      <c r="I726" t="s">
        <v>3470</v>
      </c>
      <c r="J726">
        <v>50</v>
      </c>
      <c r="K726" t="s">
        <v>25</v>
      </c>
      <c r="L726" t="s">
        <v>50</v>
      </c>
      <c r="M726" t="s">
        <v>51</v>
      </c>
      <c r="N726" t="s">
        <v>870</v>
      </c>
      <c r="O726">
        <v>503191</v>
      </c>
      <c r="P726" t="s">
        <v>113</v>
      </c>
      <c r="Q726" t="s">
        <v>3471</v>
      </c>
      <c r="R726" t="s">
        <v>3472</v>
      </c>
      <c r="S726" t="s">
        <v>31</v>
      </c>
      <c r="T726">
        <v>1</v>
      </c>
    </row>
    <row r="727" spans="1:20" x14ac:dyDescent="0.25">
      <c r="A727" t="s">
        <v>3473</v>
      </c>
      <c r="B727" s="1">
        <v>45840</v>
      </c>
      <c r="C727" s="5">
        <v>0.80684027777777778</v>
      </c>
      <c r="D727">
        <v>131.87</v>
      </c>
      <c r="E727" t="s">
        <v>44</v>
      </c>
      <c r="F727" t="s">
        <v>3474</v>
      </c>
      <c r="G727" t="s">
        <v>89</v>
      </c>
      <c r="H727" t="s">
        <v>130</v>
      </c>
      <c r="I727" t="s">
        <v>3475</v>
      </c>
      <c r="J727">
        <v>29</v>
      </c>
      <c r="K727" t="s">
        <v>37</v>
      </c>
      <c r="L727" t="s">
        <v>91</v>
      </c>
      <c r="M727" t="s">
        <v>112</v>
      </c>
      <c r="P727" t="s">
        <v>28</v>
      </c>
      <c r="Q727" t="s">
        <v>3476</v>
      </c>
      <c r="R727" t="s">
        <v>3477</v>
      </c>
      <c r="S727" t="s">
        <v>31</v>
      </c>
      <c r="T727">
        <v>0</v>
      </c>
    </row>
    <row r="728" spans="1:20" x14ac:dyDescent="0.25">
      <c r="A728" t="s">
        <v>3478</v>
      </c>
      <c r="B728" s="1">
        <v>45867</v>
      </c>
      <c r="C728" s="5">
        <v>0.24026620370370369</v>
      </c>
      <c r="D728">
        <v>16.98</v>
      </c>
      <c r="E728" t="s">
        <v>44</v>
      </c>
      <c r="F728" t="s">
        <v>1436</v>
      </c>
      <c r="G728" t="s">
        <v>89</v>
      </c>
      <c r="H728" t="s">
        <v>110</v>
      </c>
      <c r="I728" t="s">
        <v>3479</v>
      </c>
      <c r="J728">
        <v>40</v>
      </c>
      <c r="K728" t="s">
        <v>49</v>
      </c>
      <c r="L728" t="s">
        <v>146</v>
      </c>
      <c r="M728" t="s">
        <v>51</v>
      </c>
      <c r="N728" t="s">
        <v>173</v>
      </c>
      <c r="O728">
        <v>407825</v>
      </c>
      <c r="P728" t="s">
        <v>28</v>
      </c>
      <c r="Q728" t="s">
        <v>3480</v>
      </c>
      <c r="R728" t="s">
        <v>3481</v>
      </c>
      <c r="S728" t="s">
        <v>31</v>
      </c>
      <c r="T728">
        <v>0</v>
      </c>
    </row>
    <row r="729" spans="1:20" x14ac:dyDescent="0.25">
      <c r="A729" t="s">
        <v>3482</v>
      </c>
      <c r="B729" s="1">
        <v>45791</v>
      </c>
      <c r="C729" s="5">
        <v>0.42663194444444447</v>
      </c>
      <c r="D729">
        <v>123.63</v>
      </c>
      <c r="E729" t="s">
        <v>44</v>
      </c>
      <c r="F729" t="s">
        <v>3483</v>
      </c>
      <c r="G729" t="s">
        <v>71</v>
      </c>
      <c r="H729" t="s">
        <v>66</v>
      </c>
      <c r="I729" t="s">
        <v>3484</v>
      </c>
      <c r="J729">
        <v>72</v>
      </c>
      <c r="K729" t="s">
        <v>25</v>
      </c>
      <c r="L729" t="s">
        <v>130</v>
      </c>
      <c r="M729" t="s">
        <v>27</v>
      </c>
      <c r="P729" t="s">
        <v>28</v>
      </c>
      <c r="Q729" t="s">
        <v>3485</v>
      </c>
      <c r="R729" t="s">
        <v>3486</v>
      </c>
      <c r="S729" t="s">
        <v>31</v>
      </c>
      <c r="T729">
        <v>0</v>
      </c>
    </row>
    <row r="730" spans="1:20" x14ac:dyDescent="0.25">
      <c r="A730" t="s">
        <v>3487</v>
      </c>
      <c r="B730" s="1">
        <v>45896</v>
      </c>
      <c r="C730" s="5">
        <v>0.41462962962962963</v>
      </c>
      <c r="D730">
        <v>161.21</v>
      </c>
      <c r="E730" t="s">
        <v>44</v>
      </c>
      <c r="F730" t="s">
        <v>384</v>
      </c>
      <c r="G730" t="s">
        <v>89</v>
      </c>
      <c r="H730" t="s">
        <v>248</v>
      </c>
      <c r="I730" t="s">
        <v>3488</v>
      </c>
      <c r="J730">
        <v>70</v>
      </c>
      <c r="K730" t="s">
        <v>25</v>
      </c>
      <c r="L730" t="s">
        <v>35</v>
      </c>
      <c r="M730" t="s">
        <v>27</v>
      </c>
      <c r="P730" t="s">
        <v>28</v>
      </c>
      <c r="Q730" t="s">
        <v>3489</v>
      </c>
      <c r="R730" t="s">
        <v>3490</v>
      </c>
      <c r="S730" t="s">
        <v>101</v>
      </c>
      <c r="T730">
        <v>0</v>
      </c>
    </row>
    <row r="731" spans="1:20" x14ac:dyDescent="0.25">
      <c r="A731" t="s">
        <v>3491</v>
      </c>
      <c r="B731" s="1">
        <v>45907</v>
      </c>
      <c r="C731" s="5">
        <v>0.85975694444444439</v>
      </c>
      <c r="D731">
        <v>136.19</v>
      </c>
      <c r="E731" t="s">
        <v>44</v>
      </c>
      <c r="F731" t="s">
        <v>2044</v>
      </c>
      <c r="G731" t="s">
        <v>64</v>
      </c>
      <c r="H731" t="s">
        <v>119</v>
      </c>
      <c r="I731" t="s">
        <v>3492</v>
      </c>
      <c r="J731">
        <v>27</v>
      </c>
      <c r="K731" t="s">
        <v>49</v>
      </c>
      <c r="L731" t="s">
        <v>119</v>
      </c>
      <c r="M731" t="s">
        <v>105</v>
      </c>
      <c r="P731" t="s">
        <v>113</v>
      </c>
      <c r="Q731" t="s">
        <v>3493</v>
      </c>
      <c r="R731" t="s">
        <v>3494</v>
      </c>
      <c r="S731" t="s">
        <v>31</v>
      </c>
      <c r="T731">
        <v>0</v>
      </c>
    </row>
    <row r="732" spans="1:20" x14ac:dyDescent="0.25">
      <c r="A732" t="s">
        <v>3495</v>
      </c>
      <c r="B732" s="1">
        <v>45823</v>
      </c>
      <c r="C732" s="5">
        <v>0.17439814814814814</v>
      </c>
      <c r="D732">
        <v>749.46</v>
      </c>
      <c r="E732" t="s">
        <v>44</v>
      </c>
      <c r="F732" t="s">
        <v>621</v>
      </c>
      <c r="G732" t="s">
        <v>22</v>
      </c>
      <c r="H732" t="s">
        <v>47</v>
      </c>
      <c r="I732" t="s">
        <v>3496</v>
      </c>
      <c r="J732">
        <v>40</v>
      </c>
      <c r="K732" t="s">
        <v>25</v>
      </c>
      <c r="L732" t="s">
        <v>35</v>
      </c>
      <c r="M732" t="s">
        <v>105</v>
      </c>
      <c r="P732" t="s">
        <v>28</v>
      </c>
      <c r="Q732" t="s">
        <v>3497</v>
      </c>
      <c r="R732" t="s">
        <v>3498</v>
      </c>
      <c r="S732" t="s">
        <v>31</v>
      </c>
      <c r="T732">
        <v>0</v>
      </c>
    </row>
    <row r="733" spans="1:20" x14ac:dyDescent="0.25">
      <c r="A733" t="s">
        <v>3499</v>
      </c>
      <c r="B733" s="1">
        <v>45926</v>
      </c>
      <c r="C733" s="5">
        <v>6.3472222222222222E-2</v>
      </c>
      <c r="D733">
        <v>55.05</v>
      </c>
      <c r="E733" t="s">
        <v>44</v>
      </c>
      <c r="F733" t="s">
        <v>3243</v>
      </c>
      <c r="G733" t="s">
        <v>34</v>
      </c>
      <c r="H733" t="s">
        <v>91</v>
      </c>
      <c r="I733" t="s">
        <v>3500</v>
      </c>
      <c r="J733">
        <v>44</v>
      </c>
      <c r="K733" t="s">
        <v>37</v>
      </c>
      <c r="L733" t="s">
        <v>47</v>
      </c>
      <c r="M733" t="s">
        <v>105</v>
      </c>
      <c r="P733" t="s">
        <v>28</v>
      </c>
      <c r="Q733" t="s">
        <v>3501</v>
      </c>
      <c r="R733" t="s">
        <v>3502</v>
      </c>
      <c r="S733" t="s">
        <v>31</v>
      </c>
      <c r="T733">
        <v>0</v>
      </c>
    </row>
    <row r="734" spans="1:20" x14ac:dyDescent="0.25">
      <c r="A734" t="s">
        <v>3503</v>
      </c>
      <c r="B734" s="1">
        <v>45936</v>
      </c>
      <c r="C734" s="5">
        <v>0.6958333333333333</v>
      </c>
      <c r="D734">
        <v>3.93</v>
      </c>
      <c r="E734" t="s">
        <v>44</v>
      </c>
      <c r="F734" t="s">
        <v>3504</v>
      </c>
      <c r="G734" t="s">
        <v>64</v>
      </c>
      <c r="H734" t="s">
        <v>110</v>
      </c>
      <c r="I734" t="s">
        <v>3505</v>
      </c>
      <c r="J734">
        <v>32</v>
      </c>
      <c r="K734" t="s">
        <v>25</v>
      </c>
      <c r="L734" t="s">
        <v>97</v>
      </c>
      <c r="M734" t="s">
        <v>84</v>
      </c>
      <c r="P734" t="s">
        <v>28</v>
      </c>
      <c r="Q734" t="s">
        <v>3506</v>
      </c>
      <c r="R734" t="s">
        <v>3507</v>
      </c>
      <c r="S734" t="s">
        <v>101</v>
      </c>
      <c r="T734">
        <v>0</v>
      </c>
    </row>
    <row r="735" spans="1:20" x14ac:dyDescent="0.25">
      <c r="A735" t="s">
        <v>3508</v>
      </c>
      <c r="B735" s="1">
        <v>45795</v>
      </c>
      <c r="C735" s="5">
        <v>0.80111111111111111</v>
      </c>
      <c r="D735">
        <v>17.899999999999999</v>
      </c>
      <c r="E735" t="s">
        <v>44</v>
      </c>
      <c r="F735" t="s">
        <v>1883</v>
      </c>
      <c r="G735" t="s">
        <v>96</v>
      </c>
      <c r="H735" t="s">
        <v>97</v>
      </c>
      <c r="I735" t="s">
        <v>3509</v>
      </c>
      <c r="J735">
        <v>45</v>
      </c>
      <c r="K735" t="s">
        <v>37</v>
      </c>
      <c r="L735" t="s">
        <v>110</v>
      </c>
      <c r="M735" t="s">
        <v>39</v>
      </c>
      <c r="P735" t="s">
        <v>28</v>
      </c>
      <c r="Q735" t="s">
        <v>3510</v>
      </c>
      <c r="R735" t="s">
        <v>3511</v>
      </c>
      <c r="S735" t="s">
        <v>42</v>
      </c>
      <c r="T735">
        <v>0</v>
      </c>
    </row>
    <row r="736" spans="1:20" x14ac:dyDescent="0.25">
      <c r="A736" t="s">
        <v>3512</v>
      </c>
      <c r="B736" s="1">
        <v>45829</v>
      </c>
      <c r="C736" s="5">
        <v>0.19625000000000001</v>
      </c>
      <c r="D736">
        <v>180.56</v>
      </c>
      <c r="E736" t="s">
        <v>44</v>
      </c>
      <c r="F736" t="s">
        <v>253</v>
      </c>
      <c r="G736" t="s">
        <v>71</v>
      </c>
      <c r="H736" t="s">
        <v>38</v>
      </c>
      <c r="I736" t="s">
        <v>3513</v>
      </c>
      <c r="J736">
        <v>24</v>
      </c>
      <c r="K736" t="s">
        <v>25</v>
      </c>
      <c r="L736" t="s">
        <v>130</v>
      </c>
      <c r="M736" t="s">
        <v>51</v>
      </c>
      <c r="N736" t="s">
        <v>52</v>
      </c>
      <c r="O736">
        <v>521293</v>
      </c>
      <c r="P736" t="s">
        <v>28</v>
      </c>
      <c r="Q736" t="s">
        <v>3514</v>
      </c>
      <c r="R736" t="s">
        <v>3515</v>
      </c>
      <c r="S736" t="s">
        <v>31</v>
      </c>
      <c r="T736">
        <v>0</v>
      </c>
    </row>
    <row r="737" spans="1:20" x14ac:dyDescent="0.25">
      <c r="A737" t="s">
        <v>3516</v>
      </c>
      <c r="B737" s="1">
        <v>45846</v>
      </c>
      <c r="C737" s="5">
        <v>0.72479166666666661</v>
      </c>
      <c r="D737">
        <v>24.41</v>
      </c>
      <c r="E737" t="s">
        <v>44</v>
      </c>
      <c r="F737" t="s">
        <v>3517</v>
      </c>
      <c r="G737" t="s">
        <v>71</v>
      </c>
      <c r="H737" t="s">
        <v>110</v>
      </c>
      <c r="I737" t="s">
        <v>3518</v>
      </c>
      <c r="J737">
        <v>26</v>
      </c>
      <c r="K737" t="s">
        <v>37</v>
      </c>
      <c r="L737" t="s">
        <v>66</v>
      </c>
      <c r="M737" t="s">
        <v>51</v>
      </c>
      <c r="N737" t="s">
        <v>52</v>
      </c>
      <c r="O737">
        <v>478669</v>
      </c>
      <c r="P737" t="s">
        <v>28</v>
      </c>
      <c r="Q737" t="s">
        <v>3519</v>
      </c>
      <c r="R737" t="s">
        <v>3520</v>
      </c>
      <c r="S737" t="s">
        <v>31</v>
      </c>
      <c r="T737">
        <v>0</v>
      </c>
    </row>
    <row r="738" spans="1:20" x14ac:dyDescent="0.25">
      <c r="A738" t="s">
        <v>3521</v>
      </c>
      <c r="B738" s="1">
        <v>45899</v>
      </c>
      <c r="C738" s="5">
        <v>0.9521412037037037</v>
      </c>
      <c r="D738">
        <v>128.1</v>
      </c>
      <c r="E738" t="s">
        <v>44</v>
      </c>
      <c r="F738" t="s">
        <v>2282</v>
      </c>
      <c r="G738" t="s">
        <v>71</v>
      </c>
      <c r="H738" t="s">
        <v>146</v>
      </c>
      <c r="I738" t="s">
        <v>3522</v>
      </c>
      <c r="J738">
        <v>18</v>
      </c>
      <c r="K738" t="s">
        <v>49</v>
      </c>
      <c r="L738" t="s">
        <v>91</v>
      </c>
      <c r="M738" t="s">
        <v>39</v>
      </c>
      <c r="P738" t="s">
        <v>28</v>
      </c>
      <c r="Q738" t="s">
        <v>3523</v>
      </c>
      <c r="R738" t="s">
        <v>3524</v>
      </c>
      <c r="S738" t="s">
        <v>31</v>
      </c>
      <c r="T738">
        <v>0</v>
      </c>
    </row>
    <row r="739" spans="1:20" x14ac:dyDescent="0.25">
      <c r="A739" t="s">
        <v>3525</v>
      </c>
      <c r="B739" s="1">
        <v>45788</v>
      </c>
      <c r="C739" s="5">
        <v>0.13</v>
      </c>
      <c r="D739">
        <v>65.05</v>
      </c>
      <c r="E739" t="s">
        <v>44</v>
      </c>
      <c r="F739" t="s">
        <v>3526</v>
      </c>
      <c r="G739" t="s">
        <v>34</v>
      </c>
      <c r="H739" t="s">
        <v>248</v>
      </c>
      <c r="I739" t="s">
        <v>3527</v>
      </c>
      <c r="J739">
        <v>26</v>
      </c>
      <c r="K739" t="s">
        <v>25</v>
      </c>
      <c r="L739" t="s">
        <v>50</v>
      </c>
      <c r="M739" t="s">
        <v>105</v>
      </c>
      <c r="P739" t="s">
        <v>28</v>
      </c>
      <c r="Q739" t="s">
        <v>3528</v>
      </c>
      <c r="R739" t="s">
        <v>3529</v>
      </c>
      <c r="S739" t="s">
        <v>101</v>
      </c>
      <c r="T739">
        <v>0</v>
      </c>
    </row>
    <row r="740" spans="1:20" x14ac:dyDescent="0.25">
      <c r="A740" t="s">
        <v>3530</v>
      </c>
      <c r="B740" s="1">
        <v>45799</v>
      </c>
      <c r="C740" s="5">
        <v>0.94379629629629624</v>
      </c>
      <c r="D740">
        <v>185.84</v>
      </c>
      <c r="E740" t="s">
        <v>44</v>
      </c>
      <c r="F740" t="s">
        <v>3531</v>
      </c>
      <c r="G740" t="s">
        <v>64</v>
      </c>
      <c r="H740" t="s">
        <v>50</v>
      </c>
      <c r="I740" t="s">
        <v>3532</v>
      </c>
      <c r="J740">
        <v>60</v>
      </c>
      <c r="K740" t="s">
        <v>25</v>
      </c>
      <c r="L740" t="s">
        <v>47</v>
      </c>
      <c r="M740" t="s">
        <v>51</v>
      </c>
      <c r="N740" t="s">
        <v>173</v>
      </c>
      <c r="O740">
        <v>444009</v>
      </c>
      <c r="P740" t="s">
        <v>28</v>
      </c>
      <c r="Q740" t="s">
        <v>3533</v>
      </c>
      <c r="R740" t="s">
        <v>3534</v>
      </c>
      <c r="S740" t="s">
        <v>31</v>
      </c>
      <c r="T740">
        <v>0</v>
      </c>
    </row>
    <row r="741" spans="1:20" x14ac:dyDescent="0.25">
      <c r="A741" t="s">
        <v>3535</v>
      </c>
      <c r="B741" s="1">
        <v>45885</v>
      </c>
      <c r="C741" s="5">
        <v>4.1423611111111112E-2</v>
      </c>
      <c r="D741">
        <v>88.13</v>
      </c>
      <c r="E741" t="s">
        <v>44</v>
      </c>
      <c r="F741" t="s">
        <v>1200</v>
      </c>
      <c r="G741" t="s">
        <v>89</v>
      </c>
      <c r="H741" t="s">
        <v>146</v>
      </c>
      <c r="I741" t="s">
        <v>3536</v>
      </c>
      <c r="J741">
        <v>18</v>
      </c>
      <c r="K741" t="s">
        <v>49</v>
      </c>
      <c r="L741" t="s">
        <v>23</v>
      </c>
      <c r="M741" t="s">
        <v>39</v>
      </c>
      <c r="P741" t="s">
        <v>28</v>
      </c>
      <c r="Q741" t="s">
        <v>3537</v>
      </c>
      <c r="R741" t="s">
        <v>3538</v>
      </c>
      <c r="S741" t="s">
        <v>31</v>
      </c>
      <c r="T741">
        <v>0</v>
      </c>
    </row>
    <row r="742" spans="1:20" x14ac:dyDescent="0.25">
      <c r="A742" t="s">
        <v>3539</v>
      </c>
      <c r="B742" s="1">
        <v>45843</v>
      </c>
      <c r="C742" s="5">
        <v>0.99651620370370375</v>
      </c>
      <c r="D742">
        <v>56.01</v>
      </c>
      <c r="E742" t="s">
        <v>44</v>
      </c>
      <c r="F742" t="s">
        <v>1115</v>
      </c>
      <c r="G742" t="s">
        <v>34</v>
      </c>
      <c r="H742" t="s">
        <v>97</v>
      </c>
      <c r="I742" t="s">
        <v>3540</v>
      </c>
      <c r="J742">
        <v>42</v>
      </c>
      <c r="K742" t="s">
        <v>37</v>
      </c>
      <c r="L742" t="s">
        <v>58</v>
      </c>
      <c r="M742" t="s">
        <v>112</v>
      </c>
      <c r="P742" t="s">
        <v>28</v>
      </c>
      <c r="Q742" t="s">
        <v>3541</v>
      </c>
      <c r="R742" t="s">
        <v>3542</v>
      </c>
      <c r="S742" t="s">
        <v>31</v>
      </c>
      <c r="T742">
        <v>0</v>
      </c>
    </row>
    <row r="743" spans="1:20" x14ac:dyDescent="0.25">
      <c r="A743" t="s">
        <v>3543</v>
      </c>
      <c r="B743" s="1">
        <v>45895</v>
      </c>
      <c r="C743" s="5">
        <v>0.83605324074074072</v>
      </c>
      <c r="D743">
        <v>237.06</v>
      </c>
      <c r="E743" t="s">
        <v>44</v>
      </c>
      <c r="F743" t="s">
        <v>1210</v>
      </c>
      <c r="G743" t="s">
        <v>71</v>
      </c>
      <c r="H743" t="s">
        <v>248</v>
      </c>
      <c r="I743" t="s">
        <v>3544</v>
      </c>
      <c r="J743">
        <v>44</v>
      </c>
      <c r="K743" t="s">
        <v>25</v>
      </c>
      <c r="L743" t="s">
        <v>146</v>
      </c>
      <c r="M743" t="s">
        <v>39</v>
      </c>
      <c r="P743" t="s">
        <v>28</v>
      </c>
      <c r="Q743" t="s">
        <v>3545</v>
      </c>
      <c r="R743" t="s">
        <v>3546</v>
      </c>
      <c r="S743" t="s">
        <v>31</v>
      </c>
      <c r="T743">
        <v>0</v>
      </c>
    </row>
    <row r="744" spans="1:20" x14ac:dyDescent="0.25">
      <c r="A744" t="s">
        <v>3547</v>
      </c>
      <c r="B744" s="1">
        <v>45834</v>
      </c>
      <c r="C744" s="5">
        <v>0.5614351851851852</v>
      </c>
      <c r="D744">
        <v>37.78</v>
      </c>
      <c r="E744" t="s">
        <v>44</v>
      </c>
      <c r="F744" t="s">
        <v>3548</v>
      </c>
      <c r="G744" t="s">
        <v>124</v>
      </c>
      <c r="H744" t="s">
        <v>91</v>
      </c>
      <c r="I744" t="s">
        <v>3549</v>
      </c>
      <c r="J744">
        <v>27</v>
      </c>
      <c r="K744" t="s">
        <v>37</v>
      </c>
      <c r="L744" t="s">
        <v>23</v>
      </c>
      <c r="M744" t="s">
        <v>39</v>
      </c>
      <c r="P744" t="s">
        <v>28</v>
      </c>
      <c r="Q744" t="s">
        <v>3550</v>
      </c>
      <c r="R744" t="s">
        <v>3551</v>
      </c>
      <c r="S744" t="s">
        <v>31</v>
      </c>
      <c r="T744">
        <v>0</v>
      </c>
    </row>
    <row r="745" spans="1:20" x14ac:dyDescent="0.25">
      <c r="A745" t="s">
        <v>3552</v>
      </c>
      <c r="B745" s="1">
        <v>45796</v>
      </c>
      <c r="C745" s="5">
        <v>0.8303356481481482</v>
      </c>
      <c r="D745">
        <v>137.56</v>
      </c>
      <c r="E745" t="s">
        <v>44</v>
      </c>
      <c r="F745" t="s">
        <v>3553</v>
      </c>
      <c r="G745" t="s">
        <v>77</v>
      </c>
      <c r="H745" t="s">
        <v>38</v>
      </c>
      <c r="I745" t="s">
        <v>3554</v>
      </c>
      <c r="J745">
        <v>69</v>
      </c>
      <c r="K745" t="s">
        <v>49</v>
      </c>
      <c r="L745" t="s">
        <v>248</v>
      </c>
      <c r="M745" t="s">
        <v>84</v>
      </c>
      <c r="P745" t="s">
        <v>28</v>
      </c>
      <c r="Q745" t="s">
        <v>3555</v>
      </c>
      <c r="R745" t="s">
        <v>3556</v>
      </c>
      <c r="S745" t="s">
        <v>31</v>
      </c>
      <c r="T745">
        <v>0</v>
      </c>
    </row>
    <row r="746" spans="1:20" x14ac:dyDescent="0.25">
      <c r="A746" t="s">
        <v>3557</v>
      </c>
      <c r="B746" s="1">
        <v>45886</v>
      </c>
      <c r="C746" s="5">
        <v>0.91554398148148153</v>
      </c>
      <c r="D746">
        <v>25.67</v>
      </c>
      <c r="E746" t="s">
        <v>44</v>
      </c>
      <c r="F746" t="s">
        <v>3558</v>
      </c>
      <c r="G746" t="s">
        <v>46</v>
      </c>
      <c r="H746" t="s">
        <v>23</v>
      </c>
      <c r="I746" t="s">
        <v>3559</v>
      </c>
      <c r="J746">
        <v>71</v>
      </c>
      <c r="K746" t="s">
        <v>49</v>
      </c>
      <c r="L746" t="s">
        <v>248</v>
      </c>
      <c r="M746" t="s">
        <v>105</v>
      </c>
      <c r="P746" t="s">
        <v>28</v>
      </c>
      <c r="Q746" t="s">
        <v>3560</v>
      </c>
      <c r="R746" t="s">
        <v>3561</v>
      </c>
      <c r="S746" t="s">
        <v>31</v>
      </c>
      <c r="T746">
        <v>0</v>
      </c>
    </row>
    <row r="747" spans="1:20" x14ac:dyDescent="0.25">
      <c r="A747" t="s">
        <v>3562</v>
      </c>
      <c r="B747" s="1">
        <v>45901</v>
      </c>
      <c r="C747" s="5">
        <v>0.46717592592592594</v>
      </c>
      <c r="D747">
        <v>193.05</v>
      </c>
      <c r="E747" t="s">
        <v>44</v>
      </c>
      <c r="F747" t="s">
        <v>1143</v>
      </c>
      <c r="G747" t="s">
        <v>96</v>
      </c>
      <c r="H747" t="s">
        <v>35</v>
      </c>
      <c r="I747" t="s">
        <v>3563</v>
      </c>
      <c r="J747">
        <v>36</v>
      </c>
      <c r="K747" t="s">
        <v>49</v>
      </c>
      <c r="L747" t="s">
        <v>35</v>
      </c>
      <c r="M747" t="s">
        <v>27</v>
      </c>
      <c r="P747" t="s">
        <v>113</v>
      </c>
      <c r="Q747" t="s">
        <v>3564</v>
      </c>
      <c r="R747" t="s">
        <v>3565</v>
      </c>
      <c r="S747" t="s">
        <v>31</v>
      </c>
      <c r="T747">
        <v>0</v>
      </c>
    </row>
    <row r="748" spans="1:20" x14ac:dyDescent="0.25">
      <c r="A748" t="s">
        <v>3566</v>
      </c>
      <c r="B748" s="1">
        <v>45793</v>
      </c>
      <c r="C748" s="5">
        <v>0.78923611111111114</v>
      </c>
      <c r="D748">
        <v>191.28</v>
      </c>
      <c r="E748" t="s">
        <v>44</v>
      </c>
      <c r="F748" t="s">
        <v>3284</v>
      </c>
      <c r="G748" t="s">
        <v>22</v>
      </c>
      <c r="H748" t="s">
        <v>26</v>
      </c>
      <c r="I748" t="s">
        <v>3567</v>
      </c>
      <c r="J748">
        <v>43</v>
      </c>
      <c r="K748" t="s">
        <v>49</v>
      </c>
      <c r="L748" t="s">
        <v>146</v>
      </c>
      <c r="M748" t="s">
        <v>27</v>
      </c>
      <c r="P748" t="s">
        <v>28</v>
      </c>
      <c r="Q748" t="s">
        <v>3568</v>
      </c>
      <c r="R748" t="s">
        <v>3569</v>
      </c>
      <c r="S748" t="s">
        <v>31</v>
      </c>
      <c r="T748">
        <v>0</v>
      </c>
    </row>
    <row r="749" spans="1:20" x14ac:dyDescent="0.25">
      <c r="A749" t="s">
        <v>3570</v>
      </c>
      <c r="B749" s="1">
        <v>45887</v>
      </c>
      <c r="C749" s="5">
        <v>0.9551736111111111</v>
      </c>
      <c r="D749">
        <v>106.55</v>
      </c>
      <c r="E749" t="s">
        <v>44</v>
      </c>
      <c r="F749" t="s">
        <v>1035</v>
      </c>
      <c r="G749" t="s">
        <v>89</v>
      </c>
      <c r="H749" t="s">
        <v>97</v>
      </c>
      <c r="I749" t="s">
        <v>3571</v>
      </c>
      <c r="J749">
        <v>30</v>
      </c>
      <c r="K749" t="s">
        <v>25</v>
      </c>
      <c r="L749" t="s">
        <v>26</v>
      </c>
      <c r="M749" t="s">
        <v>27</v>
      </c>
      <c r="P749" t="s">
        <v>28</v>
      </c>
      <c r="Q749" t="s">
        <v>3572</v>
      </c>
      <c r="R749" t="s">
        <v>3573</v>
      </c>
      <c r="S749" t="s">
        <v>31</v>
      </c>
      <c r="T749">
        <v>0</v>
      </c>
    </row>
    <row r="750" spans="1:20" x14ac:dyDescent="0.25">
      <c r="A750" t="s">
        <v>3574</v>
      </c>
      <c r="B750" s="1">
        <v>45938</v>
      </c>
      <c r="C750" s="5">
        <v>0.50821759259259258</v>
      </c>
      <c r="D750">
        <v>118.82</v>
      </c>
      <c r="E750" t="s">
        <v>44</v>
      </c>
      <c r="F750" t="s">
        <v>718</v>
      </c>
      <c r="G750" t="s">
        <v>96</v>
      </c>
      <c r="H750" t="s">
        <v>58</v>
      </c>
      <c r="I750" t="s">
        <v>1618</v>
      </c>
      <c r="J750">
        <v>16</v>
      </c>
      <c r="K750" t="s">
        <v>49</v>
      </c>
      <c r="L750" t="s">
        <v>248</v>
      </c>
      <c r="M750" t="s">
        <v>105</v>
      </c>
      <c r="P750" t="s">
        <v>28</v>
      </c>
      <c r="Q750" t="s">
        <v>3575</v>
      </c>
      <c r="R750" t="s">
        <v>3576</v>
      </c>
      <c r="S750" t="s">
        <v>31</v>
      </c>
      <c r="T750">
        <v>0</v>
      </c>
    </row>
    <row r="751" spans="1:20" x14ac:dyDescent="0.25">
      <c r="A751" t="s">
        <v>3577</v>
      </c>
      <c r="B751" s="1">
        <v>45885</v>
      </c>
      <c r="C751" s="5">
        <v>0.81322916666666667</v>
      </c>
      <c r="D751">
        <v>940</v>
      </c>
      <c r="E751" t="s">
        <v>44</v>
      </c>
      <c r="F751" t="s">
        <v>1504</v>
      </c>
      <c r="G751" t="s">
        <v>77</v>
      </c>
      <c r="H751" t="s">
        <v>26</v>
      </c>
      <c r="I751" t="s">
        <v>3578</v>
      </c>
      <c r="J751">
        <v>40</v>
      </c>
      <c r="K751" t="s">
        <v>37</v>
      </c>
      <c r="L751" t="s">
        <v>91</v>
      </c>
      <c r="M751" t="s">
        <v>27</v>
      </c>
      <c r="P751" t="s">
        <v>28</v>
      </c>
      <c r="Q751" t="s">
        <v>3579</v>
      </c>
      <c r="R751" t="s">
        <v>3580</v>
      </c>
      <c r="S751" t="s">
        <v>31</v>
      </c>
      <c r="T751">
        <v>0</v>
      </c>
    </row>
    <row r="752" spans="1:20" x14ac:dyDescent="0.25">
      <c r="A752" t="s">
        <v>3581</v>
      </c>
      <c r="B752" s="1">
        <v>45792</v>
      </c>
      <c r="C752" s="5">
        <v>0.8652199074074074</v>
      </c>
      <c r="D752">
        <v>4729.3500000000004</v>
      </c>
      <c r="E752" t="s">
        <v>44</v>
      </c>
      <c r="F752" t="s">
        <v>3582</v>
      </c>
      <c r="G752" t="s">
        <v>96</v>
      </c>
      <c r="H752" t="s">
        <v>23</v>
      </c>
      <c r="I752" t="s">
        <v>3583</v>
      </c>
      <c r="J752">
        <v>19</v>
      </c>
      <c r="K752" t="s">
        <v>37</v>
      </c>
      <c r="L752" t="s">
        <v>146</v>
      </c>
      <c r="M752" t="s">
        <v>112</v>
      </c>
      <c r="P752" t="s">
        <v>28</v>
      </c>
      <c r="Q752" t="s">
        <v>3584</v>
      </c>
      <c r="R752" t="s">
        <v>3585</v>
      </c>
      <c r="S752" t="s">
        <v>31</v>
      </c>
      <c r="T752">
        <v>0</v>
      </c>
    </row>
    <row r="753" spans="1:20" x14ac:dyDescent="0.25">
      <c r="A753" t="s">
        <v>3586</v>
      </c>
      <c r="B753" s="1">
        <v>45918</v>
      </c>
      <c r="C753" s="5">
        <v>0.75543981481481481</v>
      </c>
      <c r="D753">
        <v>181.82</v>
      </c>
      <c r="E753" t="s">
        <v>44</v>
      </c>
      <c r="F753" t="s">
        <v>2099</v>
      </c>
      <c r="G753" t="s">
        <v>22</v>
      </c>
      <c r="H753" t="s">
        <v>119</v>
      </c>
      <c r="I753" t="s">
        <v>3587</v>
      </c>
      <c r="J753">
        <v>45</v>
      </c>
      <c r="K753" t="s">
        <v>37</v>
      </c>
      <c r="L753" t="s">
        <v>110</v>
      </c>
      <c r="M753" t="s">
        <v>39</v>
      </c>
      <c r="P753" t="s">
        <v>28</v>
      </c>
      <c r="Q753" t="s">
        <v>3588</v>
      </c>
      <c r="R753" t="s">
        <v>3589</v>
      </c>
      <c r="S753" t="s">
        <v>31</v>
      </c>
      <c r="T753">
        <v>0</v>
      </c>
    </row>
    <row r="754" spans="1:20" x14ac:dyDescent="0.25">
      <c r="A754" t="s">
        <v>3590</v>
      </c>
      <c r="B754" s="1">
        <v>45801</v>
      </c>
      <c r="C754" s="5">
        <v>0.49346064814814816</v>
      </c>
      <c r="D754">
        <v>193.98</v>
      </c>
      <c r="E754" t="s">
        <v>44</v>
      </c>
      <c r="F754" t="s">
        <v>2335</v>
      </c>
      <c r="G754" t="s">
        <v>124</v>
      </c>
      <c r="H754" t="s">
        <v>47</v>
      </c>
      <c r="I754" t="s">
        <v>3591</v>
      </c>
      <c r="J754">
        <v>59</v>
      </c>
      <c r="K754" t="s">
        <v>37</v>
      </c>
      <c r="L754" t="s">
        <v>50</v>
      </c>
      <c r="M754" t="s">
        <v>27</v>
      </c>
      <c r="P754" t="s">
        <v>28</v>
      </c>
      <c r="Q754" t="s">
        <v>3592</v>
      </c>
      <c r="R754" t="s">
        <v>3593</v>
      </c>
      <c r="S754" t="s">
        <v>31</v>
      </c>
      <c r="T754">
        <v>0</v>
      </c>
    </row>
    <row r="755" spans="1:20" x14ac:dyDescent="0.25">
      <c r="A755" t="s">
        <v>3594</v>
      </c>
      <c r="B755" s="1">
        <v>45940</v>
      </c>
      <c r="C755" s="5">
        <v>3.3541666666666664E-2</v>
      </c>
      <c r="D755">
        <v>139.72999999999999</v>
      </c>
      <c r="E755" t="s">
        <v>44</v>
      </c>
      <c r="F755" t="s">
        <v>3595</v>
      </c>
      <c r="G755" t="s">
        <v>71</v>
      </c>
      <c r="H755" t="s">
        <v>26</v>
      </c>
      <c r="I755" t="s">
        <v>3596</v>
      </c>
      <c r="J755">
        <v>69</v>
      </c>
      <c r="K755" t="s">
        <v>25</v>
      </c>
      <c r="L755" t="s">
        <v>146</v>
      </c>
      <c r="M755" t="s">
        <v>84</v>
      </c>
      <c r="P755" t="s">
        <v>28</v>
      </c>
      <c r="Q755" t="s">
        <v>3597</v>
      </c>
      <c r="R755" t="s">
        <v>3598</v>
      </c>
      <c r="S755" t="s">
        <v>31</v>
      </c>
      <c r="T755">
        <v>0</v>
      </c>
    </row>
    <row r="756" spans="1:20" x14ac:dyDescent="0.25">
      <c r="A756" t="s">
        <v>3599</v>
      </c>
      <c r="B756" s="1">
        <v>45896</v>
      </c>
      <c r="C756" s="5">
        <v>7.4907407407407409E-2</v>
      </c>
      <c r="D756">
        <v>168.69</v>
      </c>
      <c r="E756" t="s">
        <v>44</v>
      </c>
      <c r="F756" t="s">
        <v>3600</v>
      </c>
      <c r="G756" t="s">
        <v>96</v>
      </c>
      <c r="H756" t="s">
        <v>23</v>
      </c>
      <c r="I756" t="s">
        <v>3601</v>
      </c>
      <c r="K756" t="s">
        <v>49</v>
      </c>
      <c r="L756" t="s">
        <v>97</v>
      </c>
      <c r="M756" t="s">
        <v>84</v>
      </c>
      <c r="P756" t="s">
        <v>28</v>
      </c>
      <c r="Q756" t="s">
        <v>3602</v>
      </c>
      <c r="R756" t="s">
        <v>3603</v>
      </c>
      <c r="S756" t="s">
        <v>31</v>
      </c>
      <c r="T756">
        <v>0</v>
      </c>
    </row>
    <row r="757" spans="1:20" x14ac:dyDescent="0.25">
      <c r="A757" t="s">
        <v>3604</v>
      </c>
      <c r="B757" s="1">
        <v>45826</v>
      </c>
      <c r="C757" s="5">
        <v>0.99631944444444442</v>
      </c>
      <c r="D757">
        <v>22.29</v>
      </c>
      <c r="E757" t="s">
        <v>44</v>
      </c>
      <c r="F757" t="s">
        <v>3055</v>
      </c>
      <c r="G757" t="s">
        <v>46</v>
      </c>
      <c r="H757" t="s">
        <v>97</v>
      </c>
      <c r="I757" t="s">
        <v>3605</v>
      </c>
      <c r="J757">
        <v>62</v>
      </c>
      <c r="K757" t="s">
        <v>37</v>
      </c>
      <c r="L757" t="s">
        <v>248</v>
      </c>
      <c r="M757" t="s">
        <v>105</v>
      </c>
      <c r="P757" t="s">
        <v>28</v>
      </c>
      <c r="Q757" t="s">
        <v>3606</v>
      </c>
      <c r="R757" t="s">
        <v>3607</v>
      </c>
      <c r="S757" t="s">
        <v>101</v>
      </c>
      <c r="T757">
        <v>0</v>
      </c>
    </row>
    <row r="758" spans="1:20" x14ac:dyDescent="0.25">
      <c r="A758" t="s">
        <v>3608</v>
      </c>
      <c r="B758" s="1">
        <v>45857</v>
      </c>
      <c r="C758" s="5">
        <v>0.81990740740740742</v>
      </c>
      <c r="D758">
        <v>17.21</v>
      </c>
      <c r="E758" t="s">
        <v>44</v>
      </c>
      <c r="F758" t="s">
        <v>3206</v>
      </c>
      <c r="G758" t="s">
        <v>96</v>
      </c>
      <c r="H758" t="s">
        <v>50</v>
      </c>
      <c r="I758" t="s">
        <v>3609</v>
      </c>
      <c r="J758">
        <v>22</v>
      </c>
      <c r="K758" t="s">
        <v>25</v>
      </c>
      <c r="L758" t="s">
        <v>248</v>
      </c>
      <c r="M758" t="s">
        <v>27</v>
      </c>
      <c r="P758" t="s">
        <v>28</v>
      </c>
      <c r="Q758" t="s">
        <v>3610</v>
      </c>
      <c r="R758" t="s">
        <v>3611</v>
      </c>
      <c r="S758" t="s">
        <v>31</v>
      </c>
      <c r="T758">
        <v>0</v>
      </c>
    </row>
    <row r="759" spans="1:20" x14ac:dyDescent="0.25">
      <c r="A759" t="s">
        <v>3612</v>
      </c>
      <c r="B759" s="1">
        <v>45822</v>
      </c>
      <c r="C759" s="5">
        <v>0.28269675925925924</v>
      </c>
      <c r="D759">
        <v>149.54</v>
      </c>
      <c r="E759" t="s">
        <v>44</v>
      </c>
      <c r="F759" t="s">
        <v>903</v>
      </c>
      <c r="G759" t="s">
        <v>22</v>
      </c>
      <c r="H759" t="s">
        <v>110</v>
      </c>
      <c r="I759" t="s">
        <v>3613</v>
      </c>
      <c r="J759">
        <v>116</v>
      </c>
      <c r="K759" t="s">
        <v>49</v>
      </c>
      <c r="L759" t="s">
        <v>35</v>
      </c>
      <c r="M759" t="s">
        <v>84</v>
      </c>
      <c r="P759" t="s">
        <v>28</v>
      </c>
      <c r="Q759" t="s">
        <v>3614</v>
      </c>
      <c r="R759" t="s">
        <v>3615</v>
      </c>
      <c r="S759" t="s">
        <v>31</v>
      </c>
      <c r="T759">
        <v>0</v>
      </c>
    </row>
    <row r="760" spans="1:20" x14ac:dyDescent="0.25">
      <c r="A760" t="s">
        <v>3616</v>
      </c>
      <c r="B760" s="1">
        <v>45809</v>
      </c>
      <c r="C760" s="5">
        <v>0.5631828703703704</v>
      </c>
      <c r="D760">
        <v>105.29</v>
      </c>
      <c r="E760" t="s">
        <v>44</v>
      </c>
      <c r="F760" t="s">
        <v>3617</v>
      </c>
      <c r="G760" t="s">
        <v>57</v>
      </c>
      <c r="H760" t="s">
        <v>38</v>
      </c>
      <c r="I760" t="s">
        <v>3618</v>
      </c>
      <c r="J760">
        <v>68</v>
      </c>
      <c r="K760" t="s">
        <v>25</v>
      </c>
      <c r="L760" t="s">
        <v>146</v>
      </c>
      <c r="M760" t="s">
        <v>112</v>
      </c>
      <c r="P760" t="s">
        <v>28</v>
      </c>
      <c r="Q760" t="s">
        <v>3619</v>
      </c>
      <c r="R760" t="s">
        <v>3620</v>
      </c>
      <c r="S760" t="s">
        <v>31</v>
      </c>
      <c r="T760">
        <v>0</v>
      </c>
    </row>
    <row r="761" spans="1:20" x14ac:dyDescent="0.25">
      <c r="A761" t="s">
        <v>3621</v>
      </c>
      <c r="B761" s="1">
        <v>45957</v>
      </c>
      <c r="C761" s="5">
        <v>4.9351851851851855E-2</v>
      </c>
      <c r="D761">
        <v>715.87</v>
      </c>
      <c r="E761" t="s">
        <v>44</v>
      </c>
      <c r="F761" t="s">
        <v>2163</v>
      </c>
      <c r="G761" t="s">
        <v>64</v>
      </c>
      <c r="H761" t="s">
        <v>97</v>
      </c>
      <c r="I761" t="s">
        <v>3622</v>
      </c>
      <c r="J761">
        <v>53</v>
      </c>
      <c r="K761" t="s">
        <v>37</v>
      </c>
      <c r="L761" t="s">
        <v>50</v>
      </c>
      <c r="M761" t="s">
        <v>27</v>
      </c>
      <c r="P761" t="s">
        <v>28</v>
      </c>
      <c r="Q761" t="s">
        <v>3623</v>
      </c>
      <c r="R761" t="s">
        <v>3624</v>
      </c>
      <c r="S761" t="s">
        <v>31</v>
      </c>
      <c r="T761">
        <v>0</v>
      </c>
    </row>
    <row r="762" spans="1:20" x14ac:dyDescent="0.25">
      <c r="A762" t="s">
        <v>3625</v>
      </c>
      <c r="B762" s="1">
        <v>45853</v>
      </c>
      <c r="C762" s="5">
        <v>1.7488425925925925E-2</v>
      </c>
      <c r="D762">
        <v>170.66</v>
      </c>
      <c r="E762" t="s">
        <v>44</v>
      </c>
      <c r="F762" t="s">
        <v>2121</v>
      </c>
      <c r="G762" t="s">
        <v>89</v>
      </c>
      <c r="H762" t="s">
        <v>26</v>
      </c>
      <c r="I762" t="s">
        <v>3626</v>
      </c>
      <c r="J762">
        <v>58</v>
      </c>
      <c r="K762" t="s">
        <v>25</v>
      </c>
      <c r="L762" t="s">
        <v>47</v>
      </c>
      <c r="M762" t="s">
        <v>105</v>
      </c>
      <c r="P762" t="s">
        <v>28</v>
      </c>
      <c r="Q762" t="s">
        <v>3627</v>
      </c>
      <c r="R762" t="s">
        <v>3628</v>
      </c>
      <c r="S762" t="s">
        <v>31</v>
      </c>
      <c r="T762">
        <v>0</v>
      </c>
    </row>
    <row r="763" spans="1:20" x14ac:dyDescent="0.25">
      <c r="A763" t="s">
        <v>3629</v>
      </c>
      <c r="B763" s="1">
        <v>45880</v>
      </c>
      <c r="C763" s="5">
        <v>0.70902777777777781</v>
      </c>
      <c r="D763">
        <v>166.32</v>
      </c>
      <c r="E763" t="s">
        <v>44</v>
      </c>
      <c r="F763" t="s">
        <v>3630</v>
      </c>
      <c r="G763" t="s">
        <v>34</v>
      </c>
      <c r="H763" t="s">
        <v>26</v>
      </c>
      <c r="I763" t="s">
        <v>3631</v>
      </c>
      <c r="J763">
        <v>17</v>
      </c>
      <c r="K763" t="s">
        <v>25</v>
      </c>
      <c r="L763" t="s">
        <v>23</v>
      </c>
      <c r="M763" t="s">
        <v>84</v>
      </c>
      <c r="P763" t="s">
        <v>28</v>
      </c>
      <c r="Q763" t="s">
        <v>3632</v>
      </c>
      <c r="R763" t="s">
        <v>3633</v>
      </c>
      <c r="S763" t="s">
        <v>31</v>
      </c>
      <c r="T763">
        <v>0</v>
      </c>
    </row>
    <row r="764" spans="1:20" x14ac:dyDescent="0.25">
      <c r="A764" t="s">
        <v>3634</v>
      </c>
      <c r="B764" s="1">
        <v>45926</v>
      </c>
      <c r="C764" s="5">
        <v>0.14510416666666667</v>
      </c>
      <c r="D764">
        <v>904.41</v>
      </c>
      <c r="E764" t="s">
        <v>44</v>
      </c>
      <c r="F764" t="s">
        <v>1418</v>
      </c>
      <c r="G764" t="s">
        <v>22</v>
      </c>
      <c r="H764" t="s">
        <v>119</v>
      </c>
      <c r="I764" t="s">
        <v>3635</v>
      </c>
      <c r="J764">
        <v>58</v>
      </c>
      <c r="K764" t="s">
        <v>49</v>
      </c>
      <c r="L764" t="s">
        <v>47</v>
      </c>
      <c r="M764" t="s">
        <v>27</v>
      </c>
      <c r="P764" t="s">
        <v>28</v>
      </c>
      <c r="Q764" t="s">
        <v>3636</v>
      </c>
      <c r="R764" t="s">
        <v>3637</v>
      </c>
      <c r="S764" t="s">
        <v>31</v>
      </c>
      <c r="T764">
        <v>0</v>
      </c>
    </row>
    <row r="765" spans="1:20" x14ac:dyDescent="0.25">
      <c r="A765" t="s">
        <v>3638</v>
      </c>
      <c r="B765" s="1">
        <v>45813</v>
      </c>
      <c r="C765" s="5">
        <v>0.53690972222222222</v>
      </c>
      <c r="D765">
        <v>182.02</v>
      </c>
      <c r="E765" t="s">
        <v>44</v>
      </c>
      <c r="F765" t="s">
        <v>217</v>
      </c>
      <c r="G765" t="s">
        <v>77</v>
      </c>
      <c r="H765" t="s">
        <v>130</v>
      </c>
      <c r="I765" t="s">
        <v>3639</v>
      </c>
      <c r="J765">
        <v>62</v>
      </c>
      <c r="K765" t="s">
        <v>37</v>
      </c>
      <c r="L765" t="s">
        <v>110</v>
      </c>
      <c r="M765" t="s">
        <v>39</v>
      </c>
      <c r="P765" t="s">
        <v>28</v>
      </c>
      <c r="Q765" t="s">
        <v>3640</v>
      </c>
      <c r="R765" t="s">
        <v>3641</v>
      </c>
      <c r="S765" t="s">
        <v>31</v>
      </c>
      <c r="T765">
        <v>0</v>
      </c>
    </row>
    <row r="766" spans="1:20" x14ac:dyDescent="0.25">
      <c r="A766" t="s">
        <v>3642</v>
      </c>
      <c r="B766" s="1">
        <v>45875</v>
      </c>
      <c r="C766" s="5">
        <v>0.60807870370370365</v>
      </c>
      <c r="D766">
        <v>105.6</v>
      </c>
      <c r="E766" t="s">
        <v>44</v>
      </c>
      <c r="F766" t="s">
        <v>3643</v>
      </c>
      <c r="G766" t="s">
        <v>57</v>
      </c>
      <c r="H766" t="s">
        <v>38</v>
      </c>
      <c r="I766" t="s">
        <v>3644</v>
      </c>
      <c r="J766">
        <v>24</v>
      </c>
      <c r="K766" t="s">
        <v>25</v>
      </c>
      <c r="L766" t="s">
        <v>119</v>
      </c>
      <c r="M766" t="s">
        <v>51</v>
      </c>
      <c r="N766" t="s">
        <v>870</v>
      </c>
      <c r="O766">
        <v>436657</v>
      </c>
      <c r="P766" t="s">
        <v>28</v>
      </c>
      <c r="Q766" t="s">
        <v>3645</v>
      </c>
      <c r="R766" t="s">
        <v>3646</v>
      </c>
      <c r="S766" t="s">
        <v>31</v>
      </c>
      <c r="T766">
        <v>0</v>
      </c>
    </row>
    <row r="767" spans="1:20" x14ac:dyDescent="0.25">
      <c r="A767" t="s">
        <v>3647</v>
      </c>
      <c r="B767" s="1">
        <v>45942</v>
      </c>
      <c r="C767" s="5">
        <v>0.25063657407407408</v>
      </c>
      <c r="D767">
        <v>181.98</v>
      </c>
      <c r="E767" t="s">
        <v>44</v>
      </c>
      <c r="F767" t="s">
        <v>1470</v>
      </c>
      <c r="G767" t="s">
        <v>46</v>
      </c>
      <c r="H767" t="s">
        <v>58</v>
      </c>
      <c r="I767" t="s">
        <v>3648</v>
      </c>
      <c r="J767">
        <v>59</v>
      </c>
      <c r="K767" t="s">
        <v>37</v>
      </c>
      <c r="L767" t="s">
        <v>119</v>
      </c>
      <c r="M767" t="s">
        <v>112</v>
      </c>
      <c r="P767" t="s">
        <v>28</v>
      </c>
      <c r="Q767" t="s">
        <v>3649</v>
      </c>
      <c r="R767" t="s">
        <v>3650</v>
      </c>
      <c r="S767" t="s">
        <v>101</v>
      </c>
      <c r="T767">
        <v>0</v>
      </c>
    </row>
    <row r="768" spans="1:20" x14ac:dyDescent="0.25">
      <c r="A768" t="s">
        <v>3651</v>
      </c>
      <c r="B768" s="1">
        <v>45826</v>
      </c>
      <c r="C768" s="5">
        <v>0.82972222222222225</v>
      </c>
      <c r="D768">
        <v>35.659999999999997</v>
      </c>
      <c r="E768" t="s">
        <v>44</v>
      </c>
      <c r="F768" t="s">
        <v>2819</v>
      </c>
      <c r="G768" t="s">
        <v>34</v>
      </c>
      <c r="H768" t="s">
        <v>119</v>
      </c>
      <c r="I768" t="s">
        <v>3652</v>
      </c>
      <c r="J768">
        <v>55</v>
      </c>
      <c r="K768" t="s">
        <v>37</v>
      </c>
      <c r="L768" t="s">
        <v>91</v>
      </c>
      <c r="M768" t="s">
        <v>51</v>
      </c>
      <c r="N768" t="s">
        <v>507</v>
      </c>
      <c r="O768">
        <v>516934</v>
      </c>
      <c r="P768" t="s">
        <v>28</v>
      </c>
      <c r="Q768" t="s">
        <v>3653</v>
      </c>
      <c r="R768" t="s">
        <v>3654</v>
      </c>
      <c r="S768" t="s">
        <v>31</v>
      </c>
      <c r="T768">
        <v>0</v>
      </c>
    </row>
    <row r="769" spans="1:20" x14ac:dyDescent="0.25">
      <c r="A769" t="s">
        <v>3655</v>
      </c>
      <c r="B769" s="1">
        <v>45925</v>
      </c>
      <c r="C769" s="5">
        <v>0.32319444444444445</v>
      </c>
      <c r="D769">
        <v>86.2</v>
      </c>
      <c r="E769" t="s">
        <v>44</v>
      </c>
      <c r="F769" t="s">
        <v>3656</v>
      </c>
      <c r="G769" t="s">
        <v>64</v>
      </c>
      <c r="H769" t="s">
        <v>47</v>
      </c>
      <c r="I769" t="s">
        <v>243</v>
      </c>
      <c r="J769">
        <v>22</v>
      </c>
      <c r="K769" t="s">
        <v>25</v>
      </c>
      <c r="L769" t="s">
        <v>47</v>
      </c>
      <c r="M769" t="s">
        <v>27</v>
      </c>
      <c r="P769" t="s">
        <v>113</v>
      </c>
      <c r="Q769" t="s">
        <v>3657</v>
      </c>
      <c r="R769" t="s">
        <v>3658</v>
      </c>
      <c r="S769" t="s">
        <v>31</v>
      </c>
      <c r="T769">
        <v>0</v>
      </c>
    </row>
    <row r="770" spans="1:20" x14ac:dyDescent="0.25">
      <c r="A770" t="s">
        <v>3659</v>
      </c>
      <c r="B770" s="1">
        <v>45947</v>
      </c>
      <c r="C770" s="5">
        <v>0.55715277777777783</v>
      </c>
      <c r="D770">
        <v>39.869999999999997</v>
      </c>
      <c r="E770" t="s">
        <v>44</v>
      </c>
      <c r="F770" t="s">
        <v>3660</v>
      </c>
      <c r="G770" t="s">
        <v>22</v>
      </c>
      <c r="H770" t="s">
        <v>35</v>
      </c>
      <c r="I770" t="s">
        <v>3661</v>
      </c>
      <c r="J770">
        <v>51</v>
      </c>
      <c r="K770" t="s">
        <v>49</v>
      </c>
      <c r="L770" t="s">
        <v>130</v>
      </c>
      <c r="M770" t="s">
        <v>112</v>
      </c>
      <c r="P770" t="s">
        <v>28</v>
      </c>
      <c r="Q770" t="s">
        <v>3662</v>
      </c>
      <c r="R770" t="s">
        <v>3663</v>
      </c>
      <c r="S770" t="s">
        <v>31</v>
      </c>
      <c r="T770">
        <v>0</v>
      </c>
    </row>
    <row r="771" spans="1:20" x14ac:dyDescent="0.25">
      <c r="A771" t="s">
        <v>3664</v>
      </c>
      <c r="B771" s="1">
        <v>45837</v>
      </c>
      <c r="C771" s="5">
        <v>0.9664814814814815</v>
      </c>
      <c r="D771">
        <v>19.05</v>
      </c>
      <c r="E771" t="s">
        <v>44</v>
      </c>
      <c r="F771" t="s">
        <v>1548</v>
      </c>
      <c r="G771" t="s">
        <v>124</v>
      </c>
      <c r="H771" t="s">
        <v>91</v>
      </c>
      <c r="I771" t="s">
        <v>3665</v>
      </c>
      <c r="J771">
        <v>27</v>
      </c>
      <c r="K771" t="s">
        <v>49</v>
      </c>
      <c r="L771" t="s">
        <v>110</v>
      </c>
      <c r="M771" t="s">
        <v>105</v>
      </c>
      <c r="P771" t="s">
        <v>28</v>
      </c>
      <c r="Q771" t="s">
        <v>3666</v>
      </c>
      <c r="R771" t="s">
        <v>3667</v>
      </c>
      <c r="S771" t="s">
        <v>31</v>
      </c>
      <c r="T771">
        <v>0</v>
      </c>
    </row>
    <row r="772" spans="1:20" x14ac:dyDescent="0.25">
      <c r="A772" t="s">
        <v>3668</v>
      </c>
      <c r="B772" s="1">
        <v>45909</v>
      </c>
      <c r="C772" s="5">
        <v>0.68049768518518516</v>
      </c>
      <c r="D772">
        <v>45.36</v>
      </c>
      <c r="E772" t="s">
        <v>44</v>
      </c>
      <c r="F772" t="s">
        <v>1247</v>
      </c>
      <c r="G772" t="s">
        <v>34</v>
      </c>
      <c r="H772" t="s">
        <v>66</v>
      </c>
      <c r="I772" t="s">
        <v>3669</v>
      </c>
      <c r="K772" t="s">
        <v>37</v>
      </c>
      <c r="L772" t="s">
        <v>146</v>
      </c>
      <c r="M772" t="s">
        <v>51</v>
      </c>
      <c r="N772" t="s">
        <v>507</v>
      </c>
      <c r="O772">
        <v>411127</v>
      </c>
      <c r="P772" t="s">
        <v>28</v>
      </c>
      <c r="Q772" t="s">
        <v>3670</v>
      </c>
      <c r="R772" t="s">
        <v>3671</v>
      </c>
      <c r="S772" t="s">
        <v>101</v>
      </c>
      <c r="T772">
        <v>0</v>
      </c>
    </row>
    <row r="773" spans="1:20" x14ac:dyDescent="0.25">
      <c r="A773" t="s">
        <v>3672</v>
      </c>
      <c r="B773" s="1">
        <v>45896</v>
      </c>
      <c r="C773" s="5">
        <v>7.5451388888888887E-2</v>
      </c>
      <c r="D773">
        <v>22.82</v>
      </c>
      <c r="E773" t="s">
        <v>44</v>
      </c>
      <c r="F773" t="s">
        <v>621</v>
      </c>
      <c r="G773" t="s">
        <v>22</v>
      </c>
      <c r="H773" t="s">
        <v>91</v>
      </c>
      <c r="I773" t="s">
        <v>3673</v>
      </c>
      <c r="J773">
        <v>24</v>
      </c>
      <c r="K773" t="s">
        <v>25</v>
      </c>
      <c r="L773" t="s">
        <v>248</v>
      </c>
      <c r="M773" t="s">
        <v>105</v>
      </c>
      <c r="P773" t="s">
        <v>28</v>
      </c>
      <c r="Q773" t="s">
        <v>3674</v>
      </c>
      <c r="R773" t="s">
        <v>3675</v>
      </c>
      <c r="S773" t="s">
        <v>42</v>
      </c>
      <c r="T773">
        <v>1</v>
      </c>
    </row>
    <row r="774" spans="1:20" x14ac:dyDescent="0.25">
      <c r="A774" t="s">
        <v>3676</v>
      </c>
      <c r="B774" s="1">
        <v>45960</v>
      </c>
      <c r="C774" s="5">
        <v>0.41197916666666667</v>
      </c>
      <c r="D774">
        <v>839.9</v>
      </c>
      <c r="E774" t="s">
        <v>44</v>
      </c>
      <c r="F774" t="s">
        <v>3045</v>
      </c>
      <c r="G774" t="s">
        <v>96</v>
      </c>
      <c r="H774" t="s">
        <v>91</v>
      </c>
      <c r="I774" t="s">
        <v>3677</v>
      </c>
      <c r="J774">
        <v>33</v>
      </c>
      <c r="K774" t="s">
        <v>25</v>
      </c>
      <c r="L774" t="s">
        <v>110</v>
      </c>
      <c r="M774" t="s">
        <v>27</v>
      </c>
      <c r="P774" t="s">
        <v>28</v>
      </c>
      <c r="Q774" t="s">
        <v>3678</v>
      </c>
      <c r="R774" t="s">
        <v>3679</v>
      </c>
      <c r="S774" t="s">
        <v>31</v>
      </c>
      <c r="T774">
        <v>0</v>
      </c>
    </row>
    <row r="775" spans="1:20" x14ac:dyDescent="0.25">
      <c r="A775" t="s">
        <v>3680</v>
      </c>
      <c r="B775" s="1">
        <v>45917</v>
      </c>
      <c r="C775" s="5">
        <v>0.16876157407407408</v>
      </c>
      <c r="D775">
        <v>191.25</v>
      </c>
      <c r="E775" t="s">
        <v>44</v>
      </c>
      <c r="F775" t="s">
        <v>3681</v>
      </c>
      <c r="G775" t="s">
        <v>77</v>
      </c>
      <c r="H775" t="s">
        <v>26</v>
      </c>
      <c r="I775" t="s">
        <v>3682</v>
      </c>
      <c r="J775">
        <v>61</v>
      </c>
      <c r="K775" t="s">
        <v>37</v>
      </c>
      <c r="L775" t="s">
        <v>91</v>
      </c>
      <c r="M775" t="s">
        <v>84</v>
      </c>
      <c r="P775" t="s">
        <v>28</v>
      </c>
      <c r="Q775" t="s">
        <v>3683</v>
      </c>
      <c r="R775" t="s">
        <v>3684</v>
      </c>
      <c r="S775" t="s">
        <v>31</v>
      </c>
      <c r="T775">
        <v>0</v>
      </c>
    </row>
    <row r="776" spans="1:20" x14ac:dyDescent="0.25">
      <c r="A776" t="s">
        <v>3685</v>
      </c>
      <c r="B776" s="1">
        <v>45841</v>
      </c>
      <c r="C776" s="5">
        <v>0.43945601851851851</v>
      </c>
      <c r="D776">
        <v>45.93</v>
      </c>
      <c r="E776" t="s">
        <v>44</v>
      </c>
      <c r="F776" t="s">
        <v>3686</v>
      </c>
      <c r="G776" t="s">
        <v>57</v>
      </c>
      <c r="H776" t="s">
        <v>66</v>
      </c>
      <c r="I776" t="s">
        <v>3687</v>
      </c>
      <c r="J776">
        <v>55</v>
      </c>
      <c r="K776" t="s">
        <v>37</v>
      </c>
      <c r="L776" t="s">
        <v>119</v>
      </c>
      <c r="M776" t="s">
        <v>51</v>
      </c>
      <c r="N776" t="s">
        <v>507</v>
      </c>
      <c r="O776">
        <v>451976</v>
      </c>
      <c r="P776" t="s">
        <v>28</v>
      </c>
      <c r="Q776" t="s">
        <v>3688</v>
      </c>
      <c r="R776" t="s">
        <v>3689</v>
      </c>
      <c r="S776" t="s">
        <v>31</v>
      </c>
      <c r="T776">
        <v>0</v>
      </c>
    </row>
    <row r="777" spans="1:20" x14ac:dyDescent="0.25">
      <c r="A777" t="s">
        <v>3690</v>
      </c>
      <c r="B777" s="1">
        <v>45796</v>
      </c>
      <c r="C777" s="5">
        <v>8.5462962962962963E-2</v>
      </c>
      <c r="D777">
        <v>78.31</v>
      </c>
      <c r="E777" t="s">
        <v>44</v>
      </c>
      <c r="F777" t="s">
        <v>3691</v>
      </c>
      <c r="G777" t="s">
        <v>22</v>
      </c>
      <c r="H777" t="s">
        <v>248</v>
      </c>
      <c r="I777" t="s">
        <v>3692</v>
      </c>
      <c r="J777">
        <v>73</v>
      </c>
      <c r="K777" t="s">
        <v>25</v>
      </c>
      <c r="L777" t="s">
        <v>91</v>
      </c>
      <c r="M777" t="s">
        <v>39</v>
      </c>
      <c r="P777" t="s">
        <v>28</v>
      </c>
      <c r="Q777" t="s">
        <v>3693</v>
      </c>
      <c r="R777" t="s">
        <v>3694</v>
      </c>
      <c r="S777" t="s">
        <v>31</v>
      </c>
      <c r="T777">
        <v>0</v>
      </c>
    </row>
    <row r="778" spans="1:20" x14ac:dyDescent="0.25">
      <c r="A778" t="s">
        <v>3695</v>
      </c>
      <c r="B778" s="1">
        <v>45894</v>
      </c>
      <c r="C778" s="5">
        <v>0.87681712962962965</v>
      </c>
      <c r="D778">
        <v>49.16</v>
      </c>
      <c r="E778" t="s">
        <v>44</v>
      </c>
      <c r="F778" t="s">
        <v>3696</v>
      </c>
      <c r="G778" t="s">
        <v>57</v>
      </c>
      <c r="H778" t="s">
        <v>66</v>
      </c>
      <c r="I778" t="s">
        <v>3697</v>
      </c>
      <c r="J778">
        <v>75</v>
      </c>
      <c r="K778" t="s">
        <v>49</v>
      </c>
      <c r="L778" t="s">
        <v>47</v>
      </c>
      <c r="M778" t="s">
        <v>51</v>
      </c>
      <c r="N778" t="s">
        <v>173</v>
      </c>
      <c r="O778">
        <v>517785</v>
      </c>
      <c r="P778" t="s">
        <v>28</v>
      </c>
      <c r="Q778" t="s">
        <v>3698</v>
      </c>
      <c r="R778" t="s">
        <v>3699</v>
      </c>
      <c r="S778" t="s">
        <v>31</v>
      </c>
      <c r="T778">
        <v>0</v>
      </c>
    </row>
    <row r="779" spans="1:20" x14ac:dyDescent="0.25">
      <c r="A779" t="s">
        <v>3700</v>
      </c>
      <c r="B779" s="1">
        <v>45865</v>
      </c>
      <c r="C779" s="5">
        <v>0.53358796296296296</v>
      </c>
      <c r="D779">
        <v>132.35</v>
      </c>
      <c r="E779" t="s">
        <v>44</v>
      </c>
      <c r="F779" t="s">
        <v>1007</v>
      </c>
      <c r="G779" t="s">
        <v>89</v>
      </c>
      <c r="H779" t="s">
        <v>66</v>
      </c>
      <c r="I779" t="s">
        <v>1819</v>
      </c>
      <c r="K779" t="s">
        <v>49</v>
      </c>
      <c r="L779" t="s">
        <v>58</v>
      </c>
      <c r="M779" t="s">
        <v>112</v>
      </c>
      <c r="P779" t="s">
        <v>28</v>
      </c>
      <c r="Q779" t="s">
        <v>3701</v>
      </c>
      <c r="R779" t="s">
        <v>3702</v>
      </c>
      <c r="S779" t="s">
        <v>31</v>
      </c>
      <c r="T779">
        <v>0</v>
      </c>
    </row>
    <row r="780" spans="1:20" x14ac:dyDescent="0.25">
      <c r="A780" t="s">
        <v>3703</v>
      </c>
      <c r="B780" s="1">
        <v>45942</v>
      </c>
      <c r="C780" s="5">
        <v>0.69354166666666661</v>
      </c>
      <c r="D780">
        <v>2.11</v>
      </c>
      <c r="E780" t="s">
        <v>44</v>
      </c>
      <c r="F780" t="s">
        <v>1050</v>
      </c>
      <c r="G780" t="s">
        <v>34</v>
      </c>
      <c r="H780" t="s">
        <v>119</v>
      </c>
      <c r="I780" t="s">
        <v>3704</v>
      </c>
      <c r="J780">
        <v>35</v>
      </c>
      <c r="K780" t="s">
        <v>37</v>
      </c>
      <c r="L780" t="s">
        <v>130</v>
      </c>
      <c r="M780" t="s">
        <v>112</v>
      </c>
      <c r="P780" t="s">
        <v>28</v>
      </c>
      <c r="Q780" t="s">
        <v>3705</v>
      </c>
      <c r="R780" t="s">
        <v>3706</v>
      </c>
      <c r="S780" t="s">
        <v>31</v>
      </c>
      <c r="T780">
        <v>0</v>
      </c>
    </row>
    <row r="781" spans="1:20" x14ac:dyDescent="0.25">
      <c r="A781" t="s">
        <v>3707</v>
      </c>
      <c r="B781" s="1">
        <v>45819</v>
      </c>
      <c r="C781" s="5">
        <v>0.28255787037037039</v>
      </c>
      <c r="D781">
        <v>96.41</v>
      </c>
      <c r="E781" t="s">
        <v>44</v>
      </c>
      <c r="F781" t="s">
        <v>3708</v>
      </c>
      <c r="G781" t="s">
        <v>77</v>
      </c>
      <c r="H781" t="s">
        <v>97</v>
      </c>
      <c r="I781" t="s">
        <v>3709</v>
      </c>
      <c r="J781">
        <v>35</v>
      </c>
      <c r="K781" t="s">
        <v>25</v>
      </c>
      <c r="L781" t="s">
        <v>66</v>
      </c>
      <c r="M781" t="s">
        <v>105</v>
      </c>
      <c r="P781" t="s">
        <v>28</v>
      </c>
      <c r="Q781" t="s">
        <v>3710</v>
      </c>
      <c r="R781" t="s">
        <v>3711</v>
      </c>
      <c r="S781" t="s">
        <v>31</v>
      </c>
      <c r="T781">
        <v>0</v>
      </c>
    </row>
    <row r="782" spans="1:20" x14ac:dyDescent="0.25">
      <c r="A782" t="s">
        <v>3712</v>
      </c>
      <c r="B782" s="1">
        <v>45801</v>
      </c>
      <c r="C782" s="5">
        <v>0.74730324074074073</v>
      </c>
      <c r="D782">
        <v>156.76</v>
      </c>
      <c r="E782" t="s">
        <v>44</v>
      </c>
      <c r="F782" t="s">
        <v>212</v>
      </c>
      <c r="G782" t="s">
        <v>22</v>
      </c>
      <c r="H782" t="s">
        <v>58</v>
      </c>
      <c r="I782" t="s">
        <v>3713</v>
      </c>
      <c r="J782">
        <v>36</v>
      </c>
      <c r="K782" t="s">
        <v>37</v>
      </c>
      <c r="L782" t="s">
        <v>248</v>
      </c>
      <c r="M782" t="s">
        <v>105</v>
      </c>
      <c r="P782" t="s">
        <v>28</v>
      </c>
      <c r="Q782" t="s">
        <v>3714</v>
      </c>
      <c r="R782" t="s">
        <v>3715</v>
      </c>
      <c r="S782" t="s">
        <v>31</v>
      </c>
      <c r="T782">
        <v>0</v>
      </c>
    </row>
    <row r="783" spans="1:20" x14ac:dyDescent="0.25">
      <c r="A783" t="s">
        <v>3716</v>
      </c>
      <c r="B783" s="1">
        <v>45798</v>
      </c>
      <c r="C783" s="5">
        <v>6.3194444444444442E-2</v>
      </c>
      <c r="D783">
        <v>83.97</v>
      </c>
      <c r="E783" t="s">
        <v>44</v>
      </c>
      <c r="F783" t="s">
        <v>3717</v>
      </c>
      <c r="G783" t="s">
        <v>57</v>
      </c>
      <c r="H783" t="s">
        <v>23</v>
      </c>
      <c r="I783" t="s">
        <v>3718</v>
      </c>
      <c r="J783">
        <v>51</v>
      </c>
      <c r="K783" t="s">
        <v>25</v>
      </c>
      <c r="L783" t="s">
        <v>119</v>
      </c>
      <c r="M783" t="s">
        <v>84</v>
      </c>
      <c r="P783" t="s">
        <v>28</v>
      </c>
      <c r="Q783" t="s">
        <v>3719</v>
      </c>
      <c r="R783" t="s">
        <v>3720</v>
      </c>
      <c r="S783" t="s">
        <v>101</v>
      </c>
      <c r="T783">
        <v>0</v>
      </c>
    </row>
    <row r="784" spans="1:20" x14ac:dyDescent="0.25">
      <c r="A784" t="s">
        <v>3721</v>
      </c>
      <c r="B784" s="1">
        <v>45888</v>
      </c>
      <c r="C784" s="5">
        <v>0.21048611111111112</v>
      </c>
      <c r="D784">
        <v>58.82</v>
      </c>
      <c r="E784" t="s">
        <v>44</v>
      </c>
      <c r="F784" t="s">
        <v>3380</v>
      </c>
      <c r="G784" t="s">
        <v>57</v>
      </c>
      <c r="H784" t="s">
        <v>119</v>
      </c>
      <c r="I784" t="s">
        <v>3722</v>
      </c>
      <c r="J784">
        <v>29</v>
      </c>
      <c r="K784" t="s">
        <v>25</v>
      </c>
      <c r="L784" t="s">
        <v>38</v>
      </c>
      <c r="M784" t="s">
        <v>112</v>
      </c>
      <c r="P784" t="s">
        <v>28</v>
      </c>
      <c r="Q784" t="s">
        <v>3723</v>
      </c>
      <c r="R784" t="s">
        <v>3724</v>
      </c>
      <c r="S784" t="s">
        <v>31</v>
      </c>
      <c r="T784">
        <v>0</v>
      </c>
    </row>
    <row r="785" spans="1:20" x14ac:dyDescent="0.25">
      <c r="A785" t="s">
        <v>3725</v>
      </c>
      <c r="B785" s="1">
        <v>45916</v>
      </c>
      <c r="C785" s="5">
        <v>0.35197916666666668</v>
      </c>
      <c r="D785">
        <v>769.31</v>
      </c>
      <c r="E785" t="s">
        <v>44</v>
      </c>
      <c r="F785" t="s">
        <v>3726</v>
      </c>
      <c r="G785" t="s">
        <v>64</v>
      </c>
      <c r="H785" t="s">
        <v>91</v>
      </c>
      <c r="I785" t="s">
        <v>3727</v>
      </c>
      <c r="J785">
        <v>63</v>
      </c>
      <c r="K785" t="s">
        <v>49</v>
      </c>
      <c r="L785" t="s">
        <v>58</v>
      </c>
      <c r="M785" t="s">
        <v>51</v>
      </c>
      <c r="N785" t="s">
        <v>345</v>
      </c>
      <c r="O785">
        <v>523033</v>
      </c>
      <c r="P785" t="s">
        <v>28</v>
      </c>
      <c r="Q785" t="s">
        <v>3728</v>
      </c>
      <c r="R785" t="s">
        <v>3729</v>
      </c>
      <c r="S785" t="s">
        <v>31</v>
      </c>
      <c r="T785">
        <v>0</v>
      </c>
    </row>
    <row r="786" spans="1:20" x14ac:dyDescent="0.25">
      <c r="A786" t="s">
        <v>3730</v>
      </c>
      <c r="B786" s="1">
        <v>45821</v>
      </c>
      <c r="C786" s="5">
        <v>0.91981481481481486</v>
      </c>
      <c r="D786">
        <v>157.33000000000001</v>
      </c>
      <c r="E786" t="s">
        <v>44</v>
      </c>
      <c r="F786" t="s">
        <v>70</v>
      </c>
      <c r="G786" t="s">
        <v>46</v>
      </c>
      <c r="H786" t="s">
        <v>38</v>
      </c>
      <c r="I786" t="s">
        <v>3731</v>
      </c>
      <c r="J786">
        <v>58</v>
      </c>
      <c r="K786" t="s">
        <v>25</v>
      </c>
      <c r="L786" t="s">
        <v>47</v>
      </c>
      <c r="M786" t="s">
        <v>39</v>
      </c>
      <c r="P786" t="s">
        <v>28</v>
      </c>
      <c r="Q786" t="s">
        <v>3732</v>
      </c>
      <c r="R786" t="s">
        <v>3733</v>
      </c>
      <c r="S786" t="s">
        <v>101</v>
      </c>
      <c r="T786">
        <v>0</v>
      </c>
    </row>
    <row r="787" spans="1:20" x14ac:dyDescent="0.25">
      <c r="A787" t="s">
        <v>3734</v>
      </c>
      <c r="B787" s="1">
        <v>45912</v>
      </c>
      <c r="C787" s="5">
        <v>0.1083449074074074</v>
      </c>
      <c r="D787">
        <v>23.23</v>
      </c>
      <c r="E787" t="s">
        <v>44</v>
      </c>
      <c r="F787" t="s">
        <v>302</v>
      </c>
      <c r="G787" t="s">
        <v>46</v>
      </c>
      <c r="H787" t="s">
        <v>119</v>
      </c>
      <c r="I787" t="s">
        <v>3735</v>
      </c>
      <c r="J787">
        <v>74</v>
      </c>
      <c r="K787" t="s">
        <v>49</v>
      </c>
      <c r="L787" t="s">
        <v>58</v>
      </c>
      <c r="M787" t="s">
        <v>39</v>
      </c>
      <c r="P787" t="s">
        <v>28</v>
      </c>
      <c r="Q787" t="s">
        <v>3736</v>
      </c>
      <c r="R787" t="s">
        <v>3737</v>
      </c>
      <c r="S787" t="s">
        <v>42</v>
      </c>
      <c r="T787">
        <v>0</v>
      </c>
    </row>
    <row r="788" spans="1:20" x14ac:dyDescent="0.25">
      <c r="A788" t="s">
        <v>3738</v>
      </c>
      <c r="B788" s="1">
        <v>45832</v>
      </c>
      <c r="C788" s="5">
        <v>0.37130787037037039</v>
      </c>
      <c r="D788">
        <v>13.18</v>
      </c>
      <c r="E788" t="s">
        <v>44</v>
      </c>
      <c r="F788" t="s">
        <v>932</v>
      </c>
      <c r="G788" t="s">
        <v>71</v>
      </c>
      <c r="H788" t="s">
        <v>146</v>
      </c>
      <c r="I788" t="s">
        <v>3739</v>
      </c>
      <c r="J788">
        <v>40</v>
      </c>
      <c r="K788" t="s">
        <v>25</v>
      </c>
      <c r="L788" t="s">
        <v>248</v>
      </c>
      <c r="M788" t="s">
        <v>27</v>
      </c>
      <c r="P788" t="s">
        <v>28</v>
      </c>
      <c r="Q788" t="s">
        <v>3740</v>
      </c>
      <c r="R788" t="s">
        <v>3741</v>
      </c>
      <c r="S788" t="s">
        <v>31</v>
      </c>
      <c r="T788">
        <v>0</v>
      </c>
    </row>
    <row r="789" spans="1:20" x14ac:dyDescent="0.25">
      <c r="A789" t="s">
        <v>3742</v>
      </c>
      <c r="B789" s="1">
        <v>45937</v>
      </c>
      <c r="C789" s="5">
        <v>7.7905092592592595E-2</v>
      </c>
      <c r="D789">
        <v>167.45</v>
      </c>
      <c r="E789" t="s">
        <v>44</v>
      </c>
      <c r="F789" t="s">
        <v>3743</v>
      </c>
      <c r="G789" t="s">
        <v>71</v>
      </c>
      <c r="H789" t="s">
        <v>35</v>
      </c>
      <c r="I789" t="s">
        <v>3744</v>
      </c>
      <c r="J789">
        <v>47</v>
      </c>
      <c r="K789" t="s">
        <v>49</v>
      </c>
      <c r="L789" t="s">
        <v>66</v>
      </c>
      <c r="M789" t="s">
        <v>39</v>
      </c>
      <c r="P789" t="s">
        <v>28</v>
      </c>
      <c r="Q789" t="s">
        <v>3745</v>
      </c>
      <c r="R789" t="s">
        <v>3746</v>
      </c>
      <c r="S789" t="s">
        <v>31</v>
      </c>
      <c r="T789">
        <v>0</v>
      </c>
    </row>
    <row r="790" spans="1:20" x14ac:dyDescent="0.25">
      <c r="A790" t="s">
        <v>3747</v>
      </c>
      <c r="B790" s="1">
        <v>45934</v>
      </c>
      <c r="C790" s="5">
        <v>0.53334490740740736</v>
      </c>
      <c r="D790">
        <v>612.02</v>
      </c>
      <c r="E790" t="s">
        <v>44</v>
      </c>
      <c r="F790" t="s">
        <v>3748</v>
      </c>
      <c r="G790" t="s">
        <v>89</v>
      </c>
      <c r="H790" t="s">
        <v>119</v>
      </c>
      <c r="I790" t="s">
        <v>3749</v>
      </c>
      <c r="J790">
        <v>62</v>
      </c>
      <c r="K790" t="s">
        <v>49</v>
      </c>
      <c r="L790" t="s">
        <v>97</v>
      </c>
      <c r="M790" t="s">
        <v>51</v>
      </c>
      <c r="N790" t="s">
        <v>345</v>
      </c>
      <c r="O790">
        <v>498298</v>
      </c>
      <c r="P790" t="s">
        <v>28</v>
      </c>
      <c r="Q790" t="s">
        <v>3750</v>
      </c>
      <c r="R790" t="s">
        <v>3751</v>
      </c>
      <c r="S790" t="s">
        <v>31</v>
      </c>
      <c r="T790">
        <v>0</v>
      </c>
    </row>
    <row r="791" spans="1:20" x14ac:dyDescent="0.25">
      <c r="A791" t="s">
        <v>3752</v>
      </c>
      <c r="B791" s="1">
        <v>45859</v>
      </c>
      <c r="C791" s="5">
        <v>0.17883101851851851</v>
      </c>
      <c r="D791">
        <v>65.569999999999993</v>
      </c>
      <c r="E791" t="s">
        <v>44</v>
      </c>
      <c r="F791" t="s">
        <v>3753</v>
      </c>
      <c r="G791" t="s">
        <v>57</v>
      </c>
      <c r="H791" t="s">
        <v>58</v>
      </c>
      <c r="I791" t="s">
        <v>3754</v>
      </c>
      <c r="K791" t="s">
        <v>25</v>
      </c>
      <c r="L791" t="s">
        <v>119</v>
      </c>
      <c r="M791" t="s">
        <v>27</v>
      </c>
      <c r="P791" t="s">
        <v>28</v>
      </c>
      <c r="Q791" t="s">
        <v>3755</v>
      </c>
      <c r="R791" t="s">
        <v>3756</v>
      </c>
      <c r="S791" t="s">
        <v>31</v>
      </c>
      <c r="T791">
        <v>0</v>
      </c>
    </row>
    <row r="792" spans="1:20" x14ac:dyDescent="0.25">
      <c r="A792" t="s">
        <v>3757</v>
      </c>
      <c r="B792" s="1">
        <v>45884</v>
      </c>
      <c r="C792" s="5">
        <v>0.6206828703703704</v>
      </c>
      <c r="D792">
        <v>161.30000000000001</v>
      </c>
      <c r="E792" t="s">
        <v>44</v>
      </c>
      <c r="F792" t="s">
        <v>3758</v>
      </c>
      <c r="G792" t="s">
        <v>46</v>
      </c>
      <c r="H792" t="s">
        <v>23</v>
      </c>
      <c r="I792" t="s">
        <v>3759</v>
      </c>
      <c r="J792">
        <v>30</v>
      </c>
      <c r="K792" t="s">
        <v>37</v>
      </c>
      <c r="L792" t="s">
        <v>47</v>
      </c>
      <c r="M792" t="s">
        <v>51</v>
      </c>
      <c r="N792" t="s">
        <v>870</v>
      </c>
      <c r="O792">
        <v>465865</v>
      </c>
      <c r="P792" t="s">
        <v>28</v>
      </c>
      <c r="Q792" t="s">
        <v>3760</v>
      </c>
      <c r="R792" t="s">
        <v>3761</v>
      </c>
      <c r="S792" t="s">
        <v>101</v>
      </c>
      <c r="T792">
        <v>0</v>
      </c>
    </row>
    <row r="793" spans="1:20" x14ac:dyDescent="0.25">
      <c r="A793" t="s">
        <v>3762</v>
      </c>
      <c r="B793" s="1">
        <v>45952</v>
      </c>
      <c r="C793" s="5">
        <v>0.45966435185185184</v>
      </c>
      <c r="D793">
        <v>83.8</v>
      </c>
      <c r="E793" t="s">
        <v>44</v>
      </c>
      <c r="F793" t="s">
        <v>3763</v>
      </c>
      <c r="G793" t="s">
        <v>57</v>
      </c>
      <c r="H793" t="s">
        <v>97</v>
      </c>
      <c r="I793" t="s">
        <v>3764</v>
      </c>
      <c r="J793">
        <v>24</v>
      </c>
      <c r="K793" t="s">
        <v>49</v>
      </c>
      <c r="L793" t="s">
        <v>119</v>
      </c>
      <c r="M793" t="s">
        <v>112</v>
      </c>
      <c r="P793" t="s">
        <v>28</v>
      </c>
      <c r="Q793" t="s">
        <v>3765</v>
      </c>
      <c r="R793" t="s">
        <v>3766</v>
      </c>
      <c r="S793" t="s">
        <v>101</v>
      </c>
      <c r="T793">
        <v>0</v>
      </c>
    </row>
    <row r="794" spans="1:20" x14ac:dyDescent="0.25">
      <c r="A794" t="s">
        <v>3767</v>
      </c>
      <c r="B794" s="1">
        <v>45839</v>
      </c>
      <c r="C794" s="5">
        <v>0.33206018518518521</v>
      </c>
      <c r="D794">
        <v>87.22</v>
      </c>
      <c r="E794" t="s">
        <v>44</v>
      </c>
      <c r="F794" t="s">
        <v>763</v>
      </c>
      <c r="G794" t="s">
        <v>96</v>
      </c>
      <c r="H794" t="s">
        <v>38</v>
      </c>
      <c r="I794" t="s">
        <v>3768</v>
      </c>
      <c r="J794">
        <v>30</v>
      </c>
      <c r="K794" t="s">
        <v>37</v>
      </c>
      <c r="L794" t="s">
        <v>110</v>
      </c>
      <c r="M794" t="s">
        <v>84</v>
      </c>
      <c r="P794" t="s">
        <v>28</v>
      </c>
      <c r="Q794" t="s">
        <v>3769</v>
      </c>
      <c r="R794" t="s">
        <v>3770</v>
      </c>
      <c r="S794" t="s">
        <v>31</v>
      </c>
      <c r="T794">
        <v>0</v>
      </c>
    </row>
    <row r="795" spans="1:20" x14ac:dyDescent="0.25">
      <c r="A795" t="s">
        <v>3771</v>
      </c>
      <c r="B795" s="1">
        <v>45807</v>
      </c>
      <c r="C795" s="5">
        <v>0.39071759259259259</v>
      </c>
      <c r="D795">
        <v>25.13</v>
      </c>
      <c r="E795" t="s">
        <v>44</v>
      </c>
      <c r="F795" t="s">
        <v>1785</v>
      </c>
      <c r="G795" t="s">
        <v>71</v>
      </c>
      <c r="H795" t="s">
        <v>38</v>
      </c>
      <c r="I795" t="s">
        <v>3772</v>
      </c>
      <c r="J795">
        <v>54</v>
      </c>
      <c r="K795" t="s">
        <v>49</v>
      </c>
      <c r="L795" t="s">
        <v>91</v>
      </c>
      <c r="M795" t="s">
        <v>84</v>
      </c>
      <c r="P795" t="s">
        <v>28</v>
      </c>
      <c r="Q795" t="s">
        <v>3773</v>
      </c>
      <c r="R795" t="s">
        <v>3774</v>
      </c>
      <c r="S795" t="s">
        <v>31</v>
      </c>
      <c r="T795">
        <v>0</v>
      </c>
    </row>
    <row r="796" spans="1:20" x14ac:dyDescent="0.25">
      <c r="A796" t="s">
        <v>3775</v>
      </c>
      <c r="B796" s="1">
        <v>45818</v>
      </c>
      <c r="C796" s="5">
        <v>0.83574074074074078</v>
      </c>
      <c r="D796">
        <v>41.89</v>
      </c>
      <c r="E796" t="s">
        <v>44</v>
      </c>
      <c r="F796" t="s">
        <v>2659</v>
      </c>
      <c r="G796" t="s">
        <v>89</v>
      </c>
      <c r="H796" t="s">
        <v>35</v>
      </c>
      <c r="I796" t="s">
        <v>3776</v>
      </c>
      <c r="J796">
        <v>31</v>
      </c>
      <c r="K796" t="s">
        <v>49</v>
      </c>
      <c r="L796" t="s">
        <v>26</v>
      </c>
      <c r="M796" t="s">
        <v>39</v>
      </c>
      <c r="P796" t="s">
        <v>28</v>
      </c>
      <c r="Q796" t="s">
        <v>3777</v>
      </c>
      <c r="R796" t="s">
        <v>3778</v>
      </c>
      <c r="S796" t="s">
        <v>31</v>
      </c>
      <c r="T796">
        <v>0</v>
      </c>
    </row>
    <row r="797" spans="1:20" x14ac:dyDescent="0.25">
      <c r="A797" t="s">
        <v>3779</v>
      </c>
      <c r="B797" s="1">
        <v>45854</v>
      </c>
      <c r="C797" s="5">
        <v>0.58296296296296302</v>
      </c>
      <c r="D797">
        <v>93.15</v>
      </c>
      <c r="E797" t="s">
        <v>44</v>
      </c>
      <c r="F797" t="s">
        <v>3780</v>
      </c>
      <c r="G797" t="s">
        <v>96</v>
      </c>
      <c r="H797" t="s">
        <v>130</v>
      </c>
      <c r="I797" t="s">
        <v>3781</v>
      </c>
      <c r="J797">
        <v>39</v>
      </c>
      <c r="K797" t="s">
        <v>37</v>
      </c>
      <c r="L797" t="s">
        <v>110</v>
      </c>
      <c r="M797" t="s">
        <v>27</v>
      </c>
      <c r="P797" t="s">
        <v>28</v>
      </c>
      <c r="Q797" t="s">
        <v>3782</v>
      </c>
      <c r="R797" t="s">
        <v>3783</v>
      </c>
      <c r="S797" t="s">
        <v>31</v>
      </c>
      <c r="T797">
        <v>0</v>
      </c>
    </row>
    <row r="798" spans="1:20" x14ac:dyDescent="0.25">
      <c r="A798" t="s">
        <v>3784</v>
      </c>
      <c r="B798" s="1">
        <v>45845</v>
      </c>
      <c r="C798" s="5">
        <v>0.74447916666666669</v>
      </c>
      <c r="D798">
        <v>166.25</v>
      </c>
      <c r="E798" t="s">
        <v>44</v>
      </c>
      <c r="F798" t="s">
        <v>983</v>
      </c>
      <c r="G798" t="s">
        <v>96</v>
      </c>
      <c r="H798" t="s">
        <v>119</v>
      </c>
      <c r="I798" t="s">
        <v>3785</v>
      </c>
      <c r="J798">
        <v>70</v>
      </c>
      <c r="K798" t="s">
        <v>49</v>
      </c>
      <c r="L798" t="s">
        <v>58</v>
      </c>
      <c r="M798" t="s">
        <v>51</v>
      </c>
      <c r="N798" t="s">
        <v>345</v>
      </c>
      <c r="O798">
        <v>527906</v>
      </c>
      <c r="P798" t="s">
        <v>28</v>
      </c>
      <c r="Q798" t="s">
        <v>3786</v>
      </c>
      <c r="R798" t="s">
        <v>3787</v>
      </c>
      <c r="S798" t="s">
        <v>31</v>
      </c>
      <c r="T798">
        <v>0</v>
      </c>
    </row>
    <row r="799" spans="1:20" x14ac:dyDescent="0.25">
      <c r="A799" t="s">
        <v>3788</v>
      </c>
      <c r="B799" s="1">
        <v>45845</v>
      </c>
      <c r="C799" s="5">
        <v>0.51181712962962966</v>
      </c>
      <c r="D799">
        <v>37.65</v>
      </c>
      <c r="E799" t="s">
        <v>44</v>
      </c>
      <c r="F799" t="s">
        <v>3789</v>
      </c>
      <c r="G799" t="s">
        <v>46</v>
      </c>
      <c r="H799" t="s">
        <v>97</v>
      </c>
      <c r="I799" t="s">
        <v>3790</v>
      </c>
      <c r="K799" t="s">
        <v>37</v>
      </c>
      <c r="L799" t="s">
        <v>119</v>
      </c>
      <c r="M799" t="s">
        <v>105</v>
      </c>
      <c r="P799" t="s">
        <v>28</v>
      </c>
      <c r="Q799" t="s">
        <v>3791</v>
      </c>
      <c r="R799" t="s">
        <v>3792</v>
      </c>
      <c r="S799" t="s">
        <v>31</v>
      </c>
      <c r="T799">
        <v>0</v>
      </c>
    </row>
    <row r="800" spans="1:20" x14ac:dyDescent="0.25">
      <c r="A800" t="s">
        <v>3793</v>
      </c>
      <c r="B800" s="1">
        <v>45849</v>
      </c>
      <c r="C800" s="5">
        <v>3.9432870370370368E-2</v>
      </c>
      <c r="D800">
        <v>169.9</v>
      </c>
      <c r="E800" t="s">
        <v>44</v>
      </c>
      <c r="F800" t="s">
        <v>1776</v>
      </c>
      <c r="G800" t="s">
        <v>124</v>
      </c>
      <c r="H800" t="s">
        <v>146</v>
      </c>
      <c r="I800" t="s">
        <v>3794</v>
      </c>
      <c r="J800">
        <v>25</v>
      </c>
      <c r="K800" t="s">
        <v>37</v>
      </c>
      <c r="L800" t="s">
        <v>58</v>
      </c>
      <c r="M800" t="s">
        <v>105</v>
      </c>
      <c r="P800" t="s">
        <v>28</v>
      </c>
      <c r="Q800" t="s">
        <v>3795</v>
      </c>
      <c r="R800" t="s">
        <v>3796</v>
      </c>
      <c r="S800" t="s">
        <v>31</v>
      </c>
      <c r="T800">
        <v>0</v>
      </c>
    </row>
    <row r="801" spans="1:20" x14ac:dyDescent="0.25">
      <c r="A801" t="s">
        <v>3797</v>
      </c>
      <c r="B801" s="1">
        <v>45874</v>
      </c>
      <c r="C801" s="5">
        <v>0.62876157407407407</v>
      </c>
      <c r="D801">
        <v>140.16</v>
      </c>
      <c r="E801" t="s">
        <v>44</v>
      </c>
      <c r="F801" t="s">
        <v>1637</v>
      </c>
      <c r="G801" t="s">
        <v>124</v>
      </c>
      <c r="H801" t="s">
        <v>146</v>
      </c>
      <c r="I801" t="s">
        <v>3798</v>
      </c>
      <c r="J801">
        <v>42</v>
      </c>
      <c r="K801" t="s">
        <v>37</v>
      </c>
      <c r="L801" t="s">
        <v>47</v>
      </c>
      <c r="M801" t="s">
        <v>27</v>
      </c>
      <c r="P801" t="s">
        <v>28</v>
      </c>
      <c r="Q801" t="s">
        <v>3799</v>
      </c>
      <c r="R801" t="s">
        <v>3800</v>
      </c>
      <c r="S801" t="s">
        <v>31</v>
      </c>
      <c r="T801">
        <v>1</v>
      </c>
    </row>
    <row r="802" spans="1:20" x14ac:dyDescent="0.25">
      <c r="A802" t="s">
        <v>3801</v>
      </c>
      <c r="B802" s="1">
        <v>45932</v>
      </c>
      <c r="C802" s="5">
        <v>0.78076388888888892</v>
      </c>
      <c r="D802">
        <v>87.34</v>
      </c>
      <c r="E802" t="s">
        <v>44</v>
      </c>
      <c r="F802" t="s">
        <v>3802</v>
      </c>
      <c r="G802" t="s">
        <v>124</v>
      </c>
      <c r="H802" t="s">
        <v>38</v>
      </c>
      <c r="I802" t="s">
        <v>3803</v>
      </c>
      <c r="J802">
        <v>42</v>
      </c>
      <c r="K802" t="s">
        <v>25</v>
      </c>
      <c r="L802" t="s">
        <v>130</v>
      </c>
      <c r="M802" t="s">
        <v>112</v>
      </c>
      <c r="P802" t="s">
        <v>28</v>
      </c>
      <c r="Q802" t="s">
        <v>3804</v>
      </c>
      <c r="R802" t="s">
        <v>3805</v>
      </c>
      <c r="S802" t="s">
        <v>31</v>
      </c>
      <c r="T802">
        <v>0</v>
      </c>
    </row>
    <row r="803" spans="1:20" x14ac:dyDescent="0.25">
      <c r="A803" t="s">
        <v>3806</v>
      </c>
      <c r="B803" s="1">
        <v>45813</v>
      </c>
      <c r="C803" s="5">
        <v>0.27519675925925924</v>
      </c>
      <c r="D803">
        <v>174.55</v>
      </c>
      <c r="E803" t="s">
        <v>44</v>
      </c>
      <c r="F803" t="s">
        <v>3807</v>
      </c>
      <c r="G803" t="s">
        <v>57</v>
      </c>
      <c r="H803" t="s">
        <v>91</v>
      </c>
      <c r="I803" t="s">
        <v>3808</v>
      </c>
      <c r="J803">
        <v>27</v>
      </c>
      <c r="K803" t="s">
        <v>49</v>
      </c>
      <c r="L803" t="s">
        <v>66</v>
      </c>
      <c r="M803" t="s">
        <v>105</v>
      </c>
      <c r="P803" t="s">
        <v>28</v>
      </c>
      <c r="Q803" t="s">
        <v>3809</v>
      </c>
      <c r="R803" t="s">
        <v>3810</v>
      </c>
      <c r="S803" t="s">
        <v>31</v>
      </c>
      <c r="T803">
        <v>0</v>
      </c>
    </row>
    <row r="804" spans="1:20" x14ac:dyDescent="0.25">
      <c r="A804" t="s">
        <v>3811</v>
      </c>
      <c r="B804" s="1">
        <v>45887</v>
      </c>
      <c r="C804" s="5">
        <v>0.95473379629629629</v>
      </c>
      <c r="D804">
        <v>186.55</v>
      </c>
      <c r="E804" t="s">
        <v>44</v>
      </c>
      <c r="F804" t="s">
        <v>1823</v>
      </c>
      <c r="G804" t="s">
        <v>46</v>
      </c>
      <c r="H804" t="s">
        <v>130</v>
      </c>
      <c r="I804" t="s">
        <v>3812</v>
      </c>
      <c r="J804">
        <v>30</v>
      </c>
      <c r="K804" t="s">
        <v>37</v>
      </c>
      <c r="L804" t="s">
        <v>47</v>
      </c>
      <c r="M804" t="s">
        <v>112</v>
      </c>
      <c r="P804" t="s">
        <v>28</v>
      </c>
      <c r="Q804" t="s">
        <v>3813</v>
      </c>
      <c r="R804" t="s">
        <v>3814</v>
      </c>
      <c r="S804" t="s">
        <v>31</v>
      </c>
      <c r="T804">
        <v>0</v>
      </c>
    </row>
    <row r="805" spans="1:20" x14ac:dyDescent="0.25">
      <c r="A805" t="s">
        <v>3815</v>
      </c>
      <c r="B805" s="1">
        <v>45861</v>
      </c>
      <c r="C805" s="5">
        <v>0.91570601851851852</v>
      </c>
      <c r="D805">
        <v>78.34</v>
      </c>
      <c r="E805" t="s">
        <v>44</v>
      </c>
      <c r="F805" t="s">
        <v>3816</v>
      </c>
      <c r="G805" t="s">
        <v>71</v>
      </c>
      <c r="H805" t="s">
        <v>91</v>
      </c>
      <c r="I805" t="s">
        <v>3817</v>
      </c>
      <c r="J805">
        <v>62</v>
      </c>
      <c r="K805" t="s">
        <v>25</v>
      </c>
      <c r="L805" t="s">
        <v>66</v>
      </c>
      <c r="M805" t="s">
        <v>27</v>
      </c>
      <c r="P805" t="s">
        <v>28</v>
      </c>
      <c r="Q805" t="s">
        <v>3818</v>
      </c>
      <c r="R805" t="s">
        <v>3819</v>
      </c>
      <c r="S805" t="s">
        <v>31</v>
      </c>
      <c r="T805">
        <v>0</v>
      </c>
    </row>
    <row r="806" spans="1:20" x14ac:dyDescent="0.25">
      <c r="A806" t="s">
        <v>3820</v>
      </c>
      <c r="B806" s="1">
        <v>45796</v>
      </c>
      <c r="C806" s="5">
        <v>0.98016203703703708</v>
      </c>
      <c r="D806">
        <v>151.71</v>
      </c>
      <c r="E806" t="s">
        <v>44</v>
      </c>
      <c r="F806" t="s">
        <v>3821</v>
      </c>
      <c r="G806" t="s">
        <v>57</v>
      </c>
      <c r="H806" t="s">
        <v>47</v>
      </c>
      <c r="I806" t="s">
        <v>3822</v>
      </c>
      <c r="J806">
        <v>61</v>
      </c>
      <c r="K806" t="s">
        <v>25</v>
      </c>
      <c r="L806" t="s">
        <v>50</v>
      </c>
      <c r="M806" t="s">
        <v>105</v>
      </c>
      <c r="P806" t="s">
        <v>28</v>
      </c>
      <c r="Q806" t="s">
        <v>3823</v>
      </c>
      <c r="R806" t="s">
        <v>3824</v>
      </c>
      <c r="S806" t="s">
        <v>31</v>
      </c>
      <c r="T806">
        <v>0</v>
      </c>
    </row>
    <row r="807" spans="1:20" x14ac:dyDescent="0.25">
      <c r="A807" t="s">
        <v>3825</v>
      </c>
      <c r="B807" s="1">
        <v>45905</v>
      </c>
      <c r="C807" s="5">
        <v>0.86195601851851855</v>
      </c>
      <c r="D807">
        <v>89.02</v>
      </c>
      <c r="E807" t="s">
        <v>44</v>
      </c>
      <c r="F807" t="s">
        <v>3826</v>
      </c>
      <c r="G807" t="s">
        <v>71</v>
      </c>
      <c r="H807" t="s">
        <v>50</v>
      </c>
      <c r="I807" t="s">
        <v>3827</v>
      </c>
      <c r="J807">
        <v>43</v>
      </c>
      <c r="K807" t="s">
        <v>37</v>
      </c>
      <c r="L807" t="s">
        <v>50</v>
      </c>
      <c r="M807" t="s">
        <v>105</v>
      </c>
      <c r="P807" t="s">
        <v>113</v>
      </c>
      <c r="Q807" t="s">
        <v>3828</v>
      </c>
      <c r="R807" t="s">
        <v>3829</v>
      </c>
      <c r="S807" t="s">
        <v>31</v>
      </c>
      <c r="T807">
        <v>0</v>
      </c>
    </row>
    <row r="808" spans="1:20" x14ac:dyDescent="0.25">
      <c r="A808" t="s">
        <v>3830</v>
      </c>
      <c r="B808" s="1">
        <v>45920</v>
      </c>
      <c r="C808" s="5">
        <v>0.64939814814814811</v>
      </c>
      <c r="D808">
        <v>171.15</v>
      </c>
      <c r="E808" t="s">
        <v>44</v>
      </c>
      <c r="F808" t="s">
        <v>1968</v>
      </c>
      <c r="G808" t="s">
        <v>57</v>
      </c>
      <c r="H808" t="s">
        <v>130</v>
      </c>
      <c r="I808" t="s">
        <v>3831</v>
      </c>
      <c r="J808">
        <v>52</v>
      </c>
      <c r="K808" t="s">
        <v>49</v>
      </c>
      <c r="L808" t="s">
        <v>23</v>
      </c>
      <c r="M808" t="s">
        <v>112</v>
      </c>
      <c r="P808" t="s">
        <v>28</v>
      </c>
      <c r="Q808" t="s">
        <v>3832</v>
      </c>
      <c r="R808" t="s">
        <v>3833</v>
      </c>
      <c r="S808" t="s">
        <v>31</v>
      </c>
      <c r="T808">
        <v>0</v>
      </c>
    </row>
    <row r="809" spans="1:20" x14ac:dyDescent="0.25">
      <c r="A809" t="s">
        <v>3834</v>
      </c>
      <c r="B809" s="1">
        <v>45890</v>
      </c>
      <c r="C809" s="5">
        <v>0.15952546296296297</v>
      </c>
      <c r="D809">
        <v>175.61</v>
      </c>
      <c r="E809" t="s">
        <v>44</v>
      </c>
      <c r="F809" t="s">
        <v>3835</v>
      </c>
      <c r="G809" t="s">
        <v>89</v>
      </c>
      <c r="H809" t="s">
        <v>97</v>
      </c>
      <c r="I809" t="s">
        <v>3836</v>
      </c>
      <c r="J809">
        <v>18</v>
      </c>
      <c r="K809" t="s">
        <v>49</v>
      </c>
      <c r="L809" t="s">
        <v>119</v>
      </c>
      <c r="M809" t="s">
        <v>84</v>
      </c>
      <c r="P809" t="s">
        <v>28</v>
      </c>
      <c r="Q809" t="s">
        <v>3837</v>
      </c>
      <c r="R809" t="s">
        <v>3838</v>
      </c>
      <c r="S809" t="s">
        <v>31</v>
      </c>
      <c r="T809">
        <v>0</v>
      </c>
    </row>
    <row r="810" spans="1:20" x14ac:dyDescent="0.25">
      <c r="A810" t="s">
        <v>3839</v>
      </c>
      <c r="B810" s="1">
        <v>45802</v>
      </c>
      <c r="C810" s="5">
        <v>0.14770833333333333</v>
      </c>
      <c r="D810">
        <v>22.33</v>
      </c>
      <c r="E810" t="s">
        <v>44</v>
      </c>
      <c r="F810" t="s">
        <v>3110</v>
      </c>
      <c r="G810" t="s">
        <v>57</v>
      </c>
      <c r="H810" t="s">
        <v>50</v>
      </c>
      <c r="I810" t="s">
        <v>3840</v>
      </c>
      <c r="K810" t="s">
        <v>49</v>
      </c>
      <c r="L810" t="s">
        <v>23</v>
      </c>
      <c r="M810" t="s">
        <v>84</v>
      </c>
      <c r="P810" t="s">
        <v>28</v>
      </c>
      <c r="Q810" t="s">
        <v>3841</v>
      </c>
      <c r="R810" t="s">
        <v>3842</v>
      </c>
      <c r="S810" t="s">
        <v>31</v>
      </c>
      <c r="T810">
        <v>0</v>
      </c>
    </row>
    <row r="811" spans="1:20" x14ac:dyDescent="0.25">
      <c r="A811" t="s">
        <v>3843</v>
      </c>
      <c r="B811" s="1">
        <v>45833</v>
      </c>
      <c r="C811" s="5">
        <v>0.93475694444444446</v>
      </c>
      <c r="D811">
        <v>919.08</v>
      </c>
      <c r="E811" t="s">
        <v>44</v>
      </c>
      <c r="F811" t="s">
        <v>946</v>
      </c>
      <c r="G811" t="s">
        <v>22</v>
      </c>
      <c r="H811" t="s">
        <v>47</v>
      </c>
      <c r="I811" t="s">
        <v>3844</v>
      </c>
      <c r="J811">
        <v>44</v>
      </c>
      <c r="K811" t="s">
        <v>25</v>
      </c>
      <c r="L811" t="s">
        <v>23</v>
      </c>
      <c r="M811" t="s">
        <v>105</v>
      </c>
      <c r="P811" t="s">
        <v>28</v>
      </c>
      <c r="Q811" t="s">
        <v>3845</v>
      </c>
      <c r="R811" t="s">
        <v>3846</v>
      </c>
      <c r="S811" t="s">
        <v>31</v>
      </c>
      <c r="T811">
        <v>0</v>
      </c>
    </row>
    <row r="812" spans="1:20" x14ac:dyDescent="0.25">
      <c r="A812" t="s">
        <v>3847</v>
      </c>
      <c r="B812" s="1">
        <v>45794</v>
      </c>
      <c r="C812" s="5">
        <v>0.28849537037037037</v>
      </c>
      <c r="D812">
        <v>40.549999999999997</v>
      </c>
      <c r="E812" t="s">
        <v>44</v>
      </c>
      <c r="F812" t="s">
        <v>1563</v>
      </c>
      <c r="G812" t="s">
        <v>124</v>
      </c>
      <c r="H812" t="s">
        <v>26</v>
      </c>
      <c r="I812" t="s">
        <v>3848</v>
      </c>
      <c r="J812">
        <v>42</v>
      </c>
      <c r="K812" t="s">
        <v>25</v>
      </c>
      <c r="L812" t="s">
        <v>130</v>
      </c>
      <c r="M812" t="s">
        <v>39</v>
      </c>
      <c r="P812" t="s">
        <v>28</v>
      </c>
      <c r="Q812" t="s">
        <v>3849</v>
      </c>
      <c r="R812" t="s">
        <v>3850</v>
      </c>
      <c r="S812" t="s">
        <v>31</v>
      </c>
      <c r="T812">
        <v>0</v>
      </c>
    </row>
    <row r="813" spans="1:20" x14ac:dyDescent="0.25">
      <c r="A813" t="s">
        <v>3851</v>
      </c>
      <c r="B813" s="1">
        <v>45818</v>
      </c>
      <c r="C813" s="5">
        <v>0.22325231481481481</v>
      </c>
      <c r="D813">
        <v>28.81</v>
      </c>
      <c r="E813" t="s">
        <v>44</v>
      </c>
      <c r="F813" t="s">
        <v>814</v>
      </c>
      <c r="G813" t="s">
        <v>64</v>
      </c>
      <c r="H813" t="s">
        <v>66</v>
      </c>
      <c r="I813" t="s">
        <v>3852</v>
      </c>
      <c r="J813">
        <v>68</v>
      </c>
      <c r="K813" t="s">
        <v>25</v>
      </c>
      <c r="L813" t="s">
        <v>91</v>
      </c>
      <c r="M813" t="s">
        <v>27</v>
      </c>
      <c r="P813" t="s">
        <v>28</v>
      </c>
      <c r="Q813" t="s">
        <v>3853</v>
      </c>
      <c r="R813" t="s">
        <v>3854</v>
      </c>
      <c r="S813" t="s">
        <v>31</v>
      </c>
      <c r="T813">
        <v>1</v>
      </c>
    </row>
    <row r="814" spans="1:20" x14ac:dyDescent="0.25">
      <c r="A814" t="s">
        <v>3855</v>
      </c>
      <c r="B814" s="1">
        <v>45834</v>
      </c>
      <c r="C814" s="5">
        <v>0.17128472222222221</v>
      </c>
      <c r="D814">
        <v>190.53</v>
      </c>
      <c r="E814" t="s">
        <v>44</v>
      </c>
      <c r="F814" t="s">
        <v>1311</v>
      </c>
      <c r="G814" t="s">
        <v>89</v>
      </c>
      <c r="H814" t="s">
        <v>248</v>
      </c>
      <c r="I814" t="s">
        <v>3856</v>
      </c>
      <c r="J814">
        <v>65</v>
      </c>
      <c r="K814" t="s">
        <v>49</v>
      </c>
      <c r="L814" t="s">
        <v>91</v>
      </c>
      <c r="M814" t="s">
        <v>84</v>
      </c>
      <c r="P814" t="s">
        <v>28</v>
      </c>
      <c r="Q814" t="s">
        <v>3857</v>
      </c>
      <c r="R814" t="s">
        <v>3858</v>
      </c>
      <c r="S814" t="s">
        <v>31</v>
      </c>
      <c r="T814">
        <v>0</v>
      </c>
    </row>
    <row r="815" spans="1:20" x14ac:dyDescent="0.25">
      <c r="A815" t="s">
        <v>3859</v>
      </c>
      <c r="B815" s="1">
        <v>45880</v>
      </c>
      <c r="C815" s="5">
        <v>0.62020833333333336</v>
      </c>
      <c r="D815">
        <v>2037.83</v>
      </c>
      <c r="E815" t="s">
        <v>44</v>
      </c>
      <c r="F815" t="s">
        <v>3860</v>
      </c>
      <c r="G815" t="s">
        <v>22</v>
      </c>
      <c r="H815" t="s">
        <v>50</v>
      </c>
      <c r="I815" t="s">
        <v>3861</v>
      </c>
      <c r="J815">
        <v>34</v>
      </c>
      <c r="K815" t="s">
        <v>49</v>
      </c>
      <c r="L815" t="s">
        <v>23</v>
      </c>
      <c r="M815" t="s">
        <v>105</v>
      </c>
      <c r="P815" t="s">
        <v>28</v>
      </c>
      <c r="Q815" t="s">
        <v>3862</v>
      </c>
      <c r="R815" t="s">
        <v>3863</v>
      </c>
      <c r="S815" t="s">
        <v>31</v>
      </c>
      <c r="T815">
        <v>0</v>
      </c>
    </row>
    <row r="816" spans="1:20" x14ac:dyDescent="0.25">
      <c r="A816" t="s">
        <v>3864</v>
      </c>
      <c r="B816" s="1">
        <v>45878</v>
      </c>
      <c r="C816" s="5">
        <v>0.50305555555555559</v>
      </c>
      <c r="D816">
        <v>111.25</v>
      </c>
      <c r="E816" t="s">
        <v>44</v>
      </c>
      <c r="F816" t="s">
        <v>1785</v>
      </c>
      <c r="G816" t="s">
        <v>57</v>
      </c>
      <c r="H816" t="s">
        <v>58</v>
      </c>
      <c r="I816" t="s">
        <v>3865</v>
      </c>
      <c r="J816">
        <v>45</v>
      </c>
      <c r="K816" t="s">
        <v>37</v>
      </c>
      <c r="L816" t="s">
        <v>248</v>
      </c>
      <c r="M816" t="s">
        <v>51</v>
      </c>
      <c r="N816" t="s">
        <v>52</v>
      </c>
      <c r="O816">
        <v>499589</v>
      </c>
      <c r="P816" t="s">
        <v>28</v>
      </c>
      <c r="Q816" t="s">
        <v>3866</v>
      </c>
      <c r="R816" t="s">
        <v>3867</v>
      </c>
      <c r="S816" t="s">
        <v>31</v>
      </c>
      <c r="T816">
        <v>0</v>
      </c>
    </row>
    <row r="817" spans="1:20" x14ac:dyDescent="0.25">
      <c r="A817" t="s">
        <v>3868</v>
      </c>
      <c r="B817" s="1">
        <v>45867</v>
      </c>
      <c r="C817" s="5">
        <v>0.92423611111111115</v>
      </c>
      <c r="D817">
        <v>68.41</v>
      </c>
      <c r="E817" t="s">
        <v>44</v>
      </c>
      <c r="F817" t="s">
        <v>606</v>
      </c>
      <c r="G817" t="s">
        <v>64</v>
      </c>
      <c r="H817" t="s">
        <v>130</v>
      </c>
      <c r="I817" t="s">
        <v>3869</v>
      </c>
      <c r="J817">
        <v>72</v>
      </c>
      <c r="K817" t="s">
        <v>49</v>
      </c>
      <c r="L817" t="s">
        <v>130</v>
      </c>
      <c r="M817" t="s">
        <v>105</v>
      </c>
      <c r="P817" t="s">
        <v>113</v>
      </c>
      <c r="Q817" t="s">
        <v>3870</v>
      </c>
      <c r="R817" t="s">
        <v>3871</v>
      </c>
      <c r="S817" t="s">
        <v>101</v>
      </c>
      <c r="T817">
        <v>0</v>
      </c>
    </row>
    <row r="818" spans="1:20" x14ac:dyDescent="0.25">
      <c r="A818" t="s">
        <v>3872</v>
      </c>
      <c r="B818" s="1">
        <v>45914</v>
      </c>
      <c r="C818" s="5">
        <v>6.2731481481481484E-3</v>
      </c>
      <c r="D818">
        <v>187.42</v>
      </c>
      <c r="E818" t="s">
        <v>44</v>
      </c>
      <c r="F818" t="s">
        <v>2507</v>
      </c>
      <c r="G818" t="s">
        <v>96</v>
      </c>
      <c r="H818" t="s">
        <v>248</v>
      </c>
      <c r="I818" t="s">
        <v>3873</v>
      </c>
      <c r="J818">
        <v>27</v>
      </c>
      <c r="K818" t="s">
        <v>37</v>
      </c>
      <c r="L818" t="s">
        <v>38</v>
      </c>
      <c r="M818" t="s">
        <v>84</v>
      </c>
      <c r="P818" t="s">
        <v>28</v>
      </c>
      <c r="Q818" t="s">
        <v>3874</v>
      </c>
      <c r="R818" t="s">
        <v>3875</v>
      </c>
      <c r="S818" t="s">
        <v>31</v>
      </c>
      <c r="T818">
        <v>0</v>
      </c>
    </row>
    <row r="819" spans="1:20" x14ac:dyDescent="0.25">
      <c r="A819" t="s">
        <v>3876</v>
      </c>
      <c r="B819" s="1">
        <v>45870</v>
      </c>
      <c r="C819" s="5">
        <v>0.73599537037037033</v>
      </c>
      <c r="D819">
        <v>182</v>
      </c>
      <c r="E819" t="s">
        <v>44</v>
      </c>
      <c r="F819" t="s">
        <v>3816</v>
      </c>
      <c r="G819" t="s">
        <v>22</v>
      </c>
      <c r="H819" t="s">
        <v>119</v>
      </c>
      <c r="I819" t="s">
        <v>3877</v>
      </c>
      <c r="J819">
        <v>70</v>
      </c>
      <c r="K819" t="s">
        <v>49</v>
      </c>
      <c r="L819" t="s">
        <v>58</v>
      </c>
      <c r="M819" t="s">
        <v>39</v>
      </c>
      <c r="P819" t="s">
        <v>28</v>
      </c>
      <c r="Q819" t="s">
        <v>3878</v>
      </c>
      <c r="R819" t="s">
        <v>3879</v>
      </c>
      <c r="S819" t="s">
        <v>31</v>
      </c>
      <c r="T819">
        <v>0</v>
      </c>
    </row>
    <row r="820" spans="1:20" x14ac:dyDescent="0.25">
      <c r="A820" t="s">
        <v>3880</v>
      </c>
      <c r="B820" s="1">
        <v>45785</v>
      </c>
      <c r="C820" s="5">
        <v>0.53537037037037039</v>
      </c>
      <c r="D820">
        <v>155.4</v>
      </c>
      <c r="E820" t="s">
        <v>44</v>
      </c>
      <c r="F820" t="s">
        <v>1573</v>
      </c>
      <c r="G820" t="s">
        <v>34</v>
      </c>
      <c r="H820" t="s">
        <v>97</v>
      </c>
      <c r="I820" t="s">
        <v>3881</v>
      </c>
      <c r="J820">
        <v>58</v>
      </c>
      <c r="K820" t="s">
        <v>37</v>
      </c>
      <c r="L820" t="s">
        <v>91</v>
      </c>
      <c r="M820" t="s">
        <v>51</v>
      </c>
      <c r="N820" t="s">
        <v>345</v>
      </c>
      <c r="O820">
        <v>400383</v>
      </c>
      <c r="P820" t="s">
        <v>28</v>
      </c>
      <c r="Q820" t="s">
        <v>3882</v>
      </c>
      <c r="R820" t="s">
        <v>3883</v>
      </c>
      <c r="S820" t="s">
        <v>31</v>
      </c>
      <c r="T820">
        <v>0</v>
      </c>
    </row>
    <row r="821" spans="1:20" x14ac:dyDescent="0.25">
      <c r="A821" t="s">
        <v>3884</v>
      </c>
      <c r="B821" s="1">
        <v>45890</v>
      </c>
      <c r="C821" s="5">
        <v>0.14278935185185185</v>
      </c>
      <c r="D821">
        <v>194.78</v>
      </c>
      <c r="E821" t="s">
        <v>44</v>
      </c>
      <c r="F821" t="s">
        <v>3743</v>
      </c>
      <c r="G821" t="s">
        <v>34</v>
      </c>
      <c r="H821" t="s">
        <v>35</v>
      </c>
      <c r="I821" t="s">
        <v>3885</v>
      </c>
      <c r="J821">
        <v>67</v>
      </c>
      <c r="K821" t="s">
        <v>25</v>
      </c>
      <c r="L821" t="s">
        <v>110</v>
      </c>
      <c r="M821" t="s">
        <v>51</v>
      </c>
      <c r="N821" t="s">
        <v>345</v>
      </c>
      <c r="O821">
        <v>501745</v>
      </c>
      <c r="P821" t="s">
        <v>28</v>
      </c>
      <c r="Q821" t="s">
        <v>3886</v>
      </c>
      <c r="R821" t="s">
        <v>3887</v>
      </c>
      <c r="S821" t="s">
        <v>31</v>
      </c>
      <c r="T821">
        <v>0</v>
      </c>
    </row>
    <row r="822" spans="1:20" x14ac:dyDescent="0.25">
      <c r="A822" t="s">
        <v>3888</v>
      </c>
      <c r="B822" s="1">
        <v>45831</v>
      </c>
      <c r="C822" s="5">
        <v>4.670138888888889E-2</v>
      </c>
      <c r="D822">
        <v>136.86000000000001</v>
      </c>
      <c r="E822" t="s">
        <v>44</v>
      </c>
      <c r="F822" t="s">
        <v>3889</v>
      </c>
      <c r="G822" t="s">
        <v>77</v>
      </c>
      <c r="H822" t="s">
        <v>26</v>
      </c>
      <c r="I822" t="s">
        <v>3890</v>
      </c>
      <c r="J822">
        <v>36</v>
      </c>
      <c r="K822" t="s">
        <v>49</v>
      </c>
      <c r="L822" t="s">
        <v>97</v>
      </c>
      <c r="M822" t="s">
        <v>112</v>
      </c>
      <c r="P822" t="s">
        <v>28</v>
      </c>
      <c r="Q822" t="s">
        <v>3891</v>
      </c>
      <c r="R822" t="s">
        <v>3892</v>
      </c>
      <c r="S822" t="s">
        <v>31</v>
      </c>
      <c r="T822">
        <v>0</v>
      </c>
    </row>
    <row r="823" spans="1:20" x14ac:dyDescent="0.25">
      <c r="A823" t="s">
        <v>3893</v>
      </c>
      <c r="B823" s="1">
        <v>45911</v>
      </c>
      <c r="C823" s="5">
        <v>0.17967592592592593</v>
      </c>
      <c r="D823">
        <v>7.51</v>
      </c>
      <c r="E823" t="s">
        <v>44</v>
      </c>
      <c r="F823" t="s">
        <v>3816</v>
      </c>
      <c r="G823" t="s">
        <v>89</v>
      </c>
      <c r="H823" t="s">
        <v>97</v>
      </c>
      <c r="I823" t="s">
        <v>3894</v>
      </c>
      <c r="J823">
        <v>38</v>
      </c>
      <c r="K823" t="s">
        <v>49</v>
      </c>
      <c r="L823" t="s">
        <v>110</v>
      </c>
      <c r="M823" t="s">
        <v>84</v>
      </c>
      <c r="P823" t="s">
        <v>28</v>
      </c>
      <c r="Q823" t="s">
        <v>3895</v>
      </c>
      <c r="R823" t="s">
        <v>3896</v>
      </c>
      <c r="S823" t="s">
        <v>31</v>
      </c>
      <c r="T823">
        <v>0</v>
      </c>
    </row>
    <row r="824" spans="1:20" x14ac:dyDescent="0.25">
      <c r="A824" t="s">
        <v>3897</v>
      </c>
      <c r="B824" s="1">
        <v>45814</v>
      </c>
      <c r="C824" s="5">
        <v>0.52445601851851853</v>
      </c>
      <c r="D824">
        <v>133.41</v>
      </c>
      <c r="E824" t="s">
        <v>44</v>
      </c>
      <c r="F824" t="s">
        <v>2918</v>
      </c>
      <c r="G824" t="s">
        <v>34</v>
      </c>
      <c r="H824" t="s">
        <v>47</v>
      </c>
      <c r="I824" t="s">
        <v>3898</v>
      </c>
      <c r="J824">
        <v>64</v>
      </c>
      <c r="K824" t="s">
        <v>37</v>
      </c>
      <c r="L824" t="s">
        <v>146</v>
      </c>
      <c r="M824" t="s">
        <v>105</v>
      </c>
      <c r="P824" t="s">
        <v>28</v>
      </c>
      <c r="Q824" t="s">
        <v>3899</v>
      </c>
      <c r="R824" t="s">
        <v>3900</v>
      </c>
      <c r="S824" t="s">
        <v>31</v>
      </c>
      <c r="T824">
        <v>0</v>
      </c>
    </row>
    <row r="825" spans="1:20" x14ac:dyDescent="0.25">
      <c r="A825" t="s">
        <v>3901</v>
      </c>
      <c r="B825" s="1">
        <v>45904</v>
      </c>
      <c r="C825" s="5">
        <v>0.14828703703703705</v>
      </c>
      <c r="D825">
        <v>81.86</v>
      </c>
      <c r="E825" t="s">
        <v>44</v>
      </c>
      <c r="F825" t="s">
        <v>3902</v>
      </c>
      <c r="G825" t="s">
        <v>77</v>
      </c>
      <c r="H825" t="s">
        <v>50</v>
      </c>
      <c r="I825" t="s">
        <v>3903</v>
      </c>
      <c r="J825">
        <v>53</v>
      </c>
      <c r="K825" t="s">
        <v>49</v>
      </c>
      <c r="L825" t="s">
        <v>47</v>
      </c>
      <c r="M825" t="s">
        <v>105</v>
      </c>
      <c r="P825" t="s">
        <v>28</v>
      </c>
      <c r="Q825" t="s">
        <v>3904</v>
      </c>
      <c r="R825" t="s">
        <v>3905</v>
      </c>
      <c r="S825" t="s">
        <v>31</v>
      </c>
      <c r="T825">
        <v>0</v>
      </c>
    </row>
    <row r="826" spans="1:20" x14ac:dyDescent="0.25">
      <c r="A826" t="s">
        <v>3906</v>
      </c>
      <c r="B826" s="1">
        <v>45795</v>
      </c>
      <c r="C826" s="5">
        <v>0.1615162037037037</v>
      </c>
      <c r="D826">
        <v>587.4</v>
      </c>
      <c r="E826" t="s">
        <v>44</v>
      </c>
      <c r="F826" t="s">
        <v>3206</v>
      </c>
      <c r="G826" t="s">
        <v>77</v>
      </c>
      <c r="H826" t="s">
        <v>58</v>
      </c>
      <c r="I826" t="s">
        <v>3907</v>
      </c>
      <c r="J826">
        <v>37</v>
      </c>
      <c r="K826" t="s">
        <v>37</v>
      </c>
      <c r="L826" t="s">
        <v>66</v>
      </c>
      <c r="M826" t="s">
        <v>51</v>
      </c>
      <c r="N826" t="s">
        <v>52</v>
      </c>
      <c r="O826">
        <v>557756</v>
      </c>
      <c r="P826" t="s">
        <v>28</v>
      </c>
      <c r="Q826" t="s">
        <v>3908</v>
      </c>
      <c r="R826" t="s">
        <v>3909</v>
      </c>
      <c r="S826" t="s">
        <v>31</v>
      </c>
      <c r="T826">
        <v>0</v>
      </c>
    </row>
    <row r="827" spans="1:20" x14ac:dyDescent="0.25">
      <c r="A827" t="s">
        <v>3910</v>
      </c>
      <c r="B827" s="1">
        <v>45946</v>
      </c>
      <c r="C827" s="5">
        <v>0.12527777777777777</v>
      </c>
      <c r="D827">
        <v>162.01</v>
      </c>
      <c r="E827" t="s">
        <v>44</v>
      </c>
      <c r="F827" t="s">
        <v>3911</v>
      </c>
      <c r="G827" t="s">
        <v>34</v>
      </c>
      <c r="H827" t="s">
        <v>47</v>
      </c>
      <c r="I827" t="s">
        <v>3912</v>
      </c>
      <c r="J827">
        <v>44</v>
      </c>
      <c r="K827" t="s">
        <v>37</v>
      </c>
      <c r="L827" t="s">
        <v>35</v>
      </c>
      <c r="M827" t="s">
        <v>112</v>
      </c>
      <c r="P827" t="s">
        <v>28</v>
      </c>
      <c r="Q827" t="s">
        <v>3913</v>
      </c>
      <c r="R827" t="s">
        <v>3914</v>
      </c>
      <c r="S827" t="s">
        <v>31</v>
      </c>
      <c r="T827">
        <v>0</v>
      </c>
    </row>
    <row r="828" spans="1:20" x14ac:dyDescent="0.25">
      <c r="A828" t="s">
        <v>3915</v>
      </c>
      <c r="B828" s="1">
        <v>45885</v>
      </c>
      <c r="C828" s="5">
        <v>0.18836805555555555</v>
      </c>
      <c r="D828">
        <v>69.52</v>
      </c>
      <c r="E828" t="s">
        <v>44</v>
      </c>
      <c r="F828" t="s">
        <v>723</v>
      </c>
      <c r="G828" t="s">
        <v>22</v>
      </c>
      <c r="H828" t="s">
        <v>119</v>
      </c>
      <c r="I828" t="s">
        <v>3916</v>
      </c>
      <c r="J828">
        <v>60</v>
      </c>
      <c r="K828" t="s">
        <v>49</v>
      </c>
      <c r="L828" t="s">
        <v>146</v>
      </c>
      <c r="M828" t="s">
        <v>105</v>
      </c>
      <c r="P828" t="s">
        <v>28</v>
      </c>
      <c r="Q828" t="s">
        <v>3917</v>
      </c>
      <c r="R828" t="s">
        <v>3918</v>
      </c>
      <c r="S828" t="s">
        <v>31</v>
      </c>
      <c r="T828">
        <v>0</v>
      </c>
    </row>
    <row r="829" spans="1:20" x14ac:dyDescent="0.25">
      <c r="A829" t="s">
        <v>3919</v>
      </c>
      <c r="B829" s="1">
        <v>45942</v>
      </c>
      <c r="C829" s="5">
        <v>0.42273148148148149</v>
      </c>
      <c r="D829">
        <v>197.92</v>
      </c>
      <c r="E829" t="s">
        <v>44</v>
      </c>
      <c r="F829" t="s">
        <v>292</v>
      </c>
      <c r="G829" t="s">
        <v>64</v>
      </c>
      <c r="H829" t="s">
        <v>47</v>
      </c>
      <c r="I829" t="s">
        <v>3920</v>
      </c>
      <c r="J829">
        <v>53</v>
      </c>
      <c r="K829" t="s">
        <v>25</v>
      </c>
      <c r="L829" t="s">
        <v>110</v>
      </c>
      <c r="M829" t="s">
        <v>51</v>
      </c>
      <c r="N829" t="s">
        <v>345</v>
      </c>
      <c r="O829">
        <v>534614</v>
      </c>
      <c r="P829" t="s">
        <v>28</v>
      </c>
      <c r="Q829" t="s">
        <v>3921</v>
      </c>
      <c r="R829" t="s">
        <v>3922</v>
      </c>
      <c r="S829" t="s">
        <v>31</v>
      </c>
      <c r="T829">
        <v>0</v>
      </c>
    </row>
    <row r="830" spans="1:20" x14ac:dyDescent="0.25">
      <c r="A830" t="s">
        <v>3923</v>
      </c>
      <c r="B830" s="1">
        <v>45893</v>
      </c>
      <c r="C830" s="5">
        <v>0.26870370370370372</v>
      </c>
      <c r="D830">
        <v>91.61</v>
      </c>
      <c r="E830" t="s">
        <v>44</v>
      </c>
      <c r="F830" t="s">
        <v>3924</v>
      </c>
      <c r="G830" t="s">
        <v>96</v>
      </c>
      <c r="H830" t="s">
        <v>66</v>
      </c>
      <c r="I830" t="s">
        <v>3925</v>
      </c>
      <c r="J830">
        <v>72</v>
      </c>
      <c r="K830" t="s">
        <v>49</v>
      </c>
      <c r="L830" t="s">
        <v>47</v>
      </c>
      <c r="M830" t="s">
        <v>27</v>
      </c>
      <c r="P830" t="s">
        <v>28</v>
      </c>
      <c r="Q830" t="s">
        <v>3926</v>
      </c>
      <c r="R830" t="s">
        <v>3927</v>
      </c>
      <c r="S830" t="s">
        <v>31</v>
      </c>
      <c r="T830">
        <v>0</v>
      </c>
    </row>
    <row r="831" spans="1:20" x14ac:dyDescent="0.25">
      <c r="A831" t="s">
        <v>3928</v>
      </c>
      <c r="B831" s="1">
        <v>45855</v>
      </c>
      <c r="C831" s="5">
        <v>0.5926851851851852</v>
      </c>
      <c r="D831">
        <v>89.72</v>
      </c>
      <c r="E831" t="s">
        <v>44</v>
      </c>
      <c r="F831" t="s">
        <v>3929</v>
      </c>
      <c r="G831" t="s">
        <v>71</v>
      </c>
      <c r="H831" t="s">
        <v>35</v>
      </c>
      <c r="I831" t="s">
        <v>3930</v>
      </c>
      <c r="J831">
        <v>54</v>
      </c>
      <c r="K831" t="s">
        <v>25</v>
      </c>
      <c r="L831" t="s">
        <v>58</v>
      </c>
      <c r="M831" t="s">
        <v>105</v>
      </c>
      <c r="P831" t="s">
        <v>28</v>
      </c>
      <c r="Q831" t="s">
        <v>3931</v>
      </c>
      <c r="R831" t="s">
        <v>3932</v>
      </c>
      <c r="S831" t="s">
        <v>31</v>
      </c>
      <c r="T831">
        <v>0</v>
      </c>
    </row>
    <row r="832" spans="1:20" x14ac:dyDescent="0.25">
      <c r="A832" t="s">
        <v>3933</v>
      </c>
      <c r="B832" s="1">
        <v>45845</v>
      </c>
      <c r="C832" s="5">
        <v>0.851099537037037</v>
      </c>
      <c r="D832">
        <v>153.41</v>
      </c>
      <c r="E832" t="s">
        <v>44</v>
      </c>
      <c r="F832" t="s">
        <v>3934</v>
      </c>
      <c r="G832" t="s">
        <v>57</v>
      </c>
      <c r="H832" t="s">
        <v>248</v>
      </c>
      <c r="I832" t="s">
        <v>3935</v>
      </c>
      <c r="J832">
        <v>49</v>
      </c>
      <c r="K832" t="s">
        <v>37</v>
      </c>
      <c r="L832" t="s">
        <v>97</v>
      </c>
      <c r="M832" t="s">
        <v>112</v>
      </c>
      <c r="P832" t="s">
        <v>28</v>
      </c>
      <c r="Q832" t="s">
        <v>3936</v>
      </c>
      <c r="R832" t="s">
        <v>3020</v>
      </c>
      <c r="S832" t="s">
        <v>31</v>
      </c>
      <c r="T832">
        <v>0</v>
      </c>
    </row>
    <row r="833" spans="1:20" x14ac:dyDescent="0.25">
      <c r="A833" t="s">
        <v>3937</v>
      </c>
      <c r="B833" s="1">
        <v>45947</v>
      </c>
      <c r="C833" s="5">
        <v>0.85623842592592592</v>
      </c>
      <c r="D833">
        <v>599.66</v>
      </c>
      <c r="E833" t="s">
        <v>44</v>
      </c>
      <c r="F833" t="s">
        <v>1291</v>
      </c>
      <c r="G833" t="s">
        <v>46</v>
      </c>
      <c r="H833" t="s">
        <v>50</v>
      </c>
      <c r="I833" t="s">
        <v>3938</v>
      </c>
      <c r="J833">
        <v>60</v>
      </c>
      <c r="K833" t="s">
        <v>37</v>
      </c>
      <c r="L833" t="s">
        <v>91</v>
      </c>
      <c r="M833" t="s">
        <v>27</v>
      </c>
      <c r="P833" t="s">
        <v>28</v>
      </c>
      <c r="Q833" t="s">
        <v>3939</v>
      </c>
      <c r="R833" t="s">
        <v>3940</v>
      </c>
      <c r="S833" t="s">
        <v>31</v>
      </c>
      <c r="T833">
        <v>0</v>
      </c>
    </row>
    <row r="834" spans="1:20" x14ac:dyDescent="0.25">
      <c r="A834" t="s">
        <v>3941</v>
      </c>
      <c r="B834" s="1">
        <v>45894</v>
      </c>
      <c r="C834" s="5">
        <v>0.66607638888888887</v>
      </c>
      <c r="D834">
        <v>160.31</v>
      </c>
      <c r="E834" t="s">
        <v>44</v>
      </c>
      <c r="F834" t="s">
        <v>3942</v>
      </c>
      <c r="G834" t="s">
        <v>71</v>
      </c>
      <c r="H834" t="s">
        <v>146</v>
      </c>
      <c r="I834" t="s">
        <v>3943</v>
      </c>
      <c r="J834">
        <v>48</v>
      </c>
      <c r="K834" t="s">
        <v>49</v>
      </c>
      <c r="L834" t="s">
        <v>146</v>
      </c>
      <c r="M834" t="s">
        <v>112</v>
      </c>
      <c r="P834" t="s">
        <v>113</v>
      </c>
      <c r="Q834" t="s">
        <v>3944</v>
      </c>
      <c r="R834" t="s">
        <v>3945</v>
      </c>
      <c r="S834" t="s">
        <v>31</v>
      </c>
      <c r="T834">
        <v>0</v>
      </c>
    </row>
    <row r="835" spans="1:20" x14ac:dyDescent="0.25">
      <c r="A835" t="s">
        <v>3946</v>
      </c>
      <c r="B835" s="1">
        <v>45837</v>
      </c>
      <c r="C835" s="5">
        <v>0.49572916666666667</v>
      </c>
      <c r="D835">
        <v>145.08000000000001</v>
      </c>
      <c r="E835" t="s">
        <v>44</v>
      </c>
      <c r="F835" t="s">
        <v>844</v>
      </c>
      <c r="G835" t="s">
        <v>46</v>
      </c>
      <c r="H835" t="s">
        <v>110</v>
      </c>
      <c r="I835" t="s">
        <v>3947</v>
      </c>
      <c r="J835">
        <v>19</v>
      </c>
      <c r="K835" t="s">
        <v>49</v>
      </c>
      <c r="L835" t="s">
        <v>35</v>
      </c>
      <c r="M835" t="s">
        <v>51</v>
      </c>
      <c r="N835" t="s">
        <v>52</v>
      </c>
      <c r="O835">
        <v>411466</v>
      </c>
      <c r="P835" t="s">
        <v>28</v>
      </c>
      <c r="Q835" t="s">
        <v>3948</v>
      </c>
      <c r="R835" t="s">
        <v>3949</v>
      </c>
      <c r="S835" t="s">
        <v>31</v>
      </c>
      <c r="T835">
        <v>0</v>
      </c>
    </row>
    <row r="836" spans="1:20" x14ac:dyDescent="0.25">
      <c r="A836" t="s">
        <v>3950</v>
      </c>
      <c r="B836" s="1">
        <v>45844</v>
      </c>
      <c r="C836" s="5">
        <v>0.76266203703703705</v>
      </c>
      <c r="D836">
        <v>69.73</v>
      </c>
      <c r="E836" t="s">
        <v>44</v>
      </c>
      <c r="F836" t="s">
        <v>3951</v>
      </c>
      <c r="G836" t="s">
        <v>124</v>
      </c>
      <c r="H836" t="s">
        <v>91</v>
      </c>
      <c r="I836" t="s">
        <v>3952</v>
      </c>
      <c r="J836">
        <v>57</v>
      </c>
      <c r="K836" t="s">
        <v>25</v>
      </c>
      <c r="L836" t="s">
        <v>50</v>
      </c>
      <c r="M836" t="s">
        <v>51</v>
      </c>
      <c r="N836" t="s">
        <v>870</v>
      </c>
      <c r="O836">
        <v>400770</v>
      </c>
      <c r="P836" t="s">
        <v>28</v>
      </c>
      <c r="Q836" t="s">
        <v>3953</v>
      </c>
      <c r="R836" t="s">
        <v>3954</v>
      </c>
      <c r="S836" t="s">
        <v>31</v>
      </c>
      <c r="T836">
        <v>0</v>
      </c>
    </row>
    <row r="837" spans="1:20" x14ac:dyDescent="0.25">
      <c r="A837" t="s">
        <v>3955</v>
      </c>
      <c r="B837" s="1">
        <v>45824</v>
      </c>
      <c r="C837" s="5">
        <v>0.89841435185185181</v>
      </c>
      <c r="D837">
        <v>76.81</v>
      </c>
      <c r="E837" t="s">
        <v>44</v>
      </c>
      <c r="F837" t="s">
        <v>3763</v>
      </c>
      <c r="G837" t="s">
        <v>64</v>
      </c>
      <c r="H837" t="s">
        <v>66</v>
      </c>
      <c r="I837" t="s">
        <v>3956</v>
      </c>
      <c r="J837">
        <v>67</v>
      </c>
      <c r="K837" t="s">
        <v>37</v>
      </c>
      <c r="L837" t="s">
        <v>26</v>
      </c>
      <c r="M837" t="s">
        <v>112</v>
      </c>
      <c r="P837" t="s">
        <v>28</v>
      </c>
      <c r="Q837" t="s">
        <v>3957</v>
      </c>
      <c r="R837" t="s">
        <v>3958</v>
      </c>
      <c r="S837" t="s">
        <v>31</v>
      </c>
      <c r="T837">
        <v>0</v>
      </c>
    </row>
    <row r="838" spans="1:20" x14ac:dyDescent="0.25">
      <c r="A838" t="s">
        <v>3959</v>
      </c>
      <c r="B838" s="1">
        <v>45805</v>
      </c>
      <c r="C838" s="5">
        <v>0.94340277777777781</v>
      </c>
      <c r="D838">
        <v>118.16</v>
      </c>
      <c r="E838" t="s">
        <v>44</v>
      </c>
      <c r="F838" t="s">
        <v>3960</v>
      </c>
      <c r="G838" t="s">
        <v>124</v>
      </c>
      <c r="H838" t="s">
        <v>23</v>
      </c>
      <c r="I838" t="s">
        <v>3961</v>
      </c>
      <c r="J838">
        <v>25</v>
      </c>
      <c r="K838" t="s">
        <v>37</v>
      </c>
      <c r="L838" t="s">
        <v>50</v>
      </c>
      <c r="M838" t="s">
        <v>51</v>
      </c>
      <c r="N838" t="s">
        <v>507</v>
      </c>
      <c r="O838">
        <v>479367</v>
      </c>
      <c r="P838" t="s">
        <v>28</v>
      </c>
      <c r="Q838" t="s">
        <v>3962</v>
      </c>
      <c r="R838" t="s">
        <v>3963</v>
      </c>
      <c r="S838" t="s">
        <v>42</v>
      </c>
      <c r="T838">
        <v>0</v>
      </c>
    </row>
    <row r="839" spans="1:20" x14ac:dyDescent="0.25">
      <c r="A839" t="s">
        <v>3964</v>
      </c>
      <c r="B839" s="1">
        <v>45786</v>
      </c>
      <c r="C839" s="5">
        <v>0.10234953703703703</v>
      </c>
      <c r="D839">
        <v>89.88</v>
      </c>
      <c r="E839" t="s">
        <v>44</v>
      </c>
      <c r="F839" t="s">
        <v>3934</v>
      </c>
      <c r="G839" t="s">
        <v>124</v>
      </c>
      <c r="H839" t="s">
        <v>26</v>
      </c>
      <c r="I839" t="s">
        <v>3965</v>
      </c>
      <c r="J839">
        <v>46</v>
      </c>
      <c r="K839" t="s">
        <v>37</v>
      </c>
      <c r="L839" t="s">
        <v>50</v>
      </c>
      <c r="M839" t="s">
        <v>84</v>
      </c>
      <c r="P839" t="s">
        <v>28</v>
      </c>
      <c r="Q839" t="s">
        <v>3966</v>
      </c>
      <c r="R839" t="s">
        <v>3967</v>
      </c>
      <c r="S839" t="s">
        <v>31</v>
      </c>
      <c r="T839">
        <v>0</v>
      </c>
    </row>
    <row r="840" spans="1:20" x14ac:dyDescent="0.25">
      <c r="A840" t="s">
        <v>3968</v>
      </c>
      <c r="B840" s="1">
        <v>45832</v>
      </c>
      <c r="C840" s="5">
        <v>0.46255787037037038</v>
      </c>
      <c r="D840">
        <v>177.12</v>
      </c>
      <c r="E840" t="s">
        <v>44</v>
      </c>
      <c r="F840" t="s">
        <v>2819</v>
      </c>
      <c r="G840" t="s">
        <v>34</v>
      </c>
      <c r="H840" t="s">
        <v>35</v>
      </c>
      <c r="I840" t="s">
        <v>3969</v>
      </c>
      <c r="J840">
        <v>72</v>
      </c>
      <c r="K840" t="s">
        <v>25</v>
      </c>
      <c r="L840" t="s">
        <v>47</v>
      </c>
      <c r="M840" t="s">
        <v>112</v>
      </c>
      <c r="P840" t="s">
        <v>28</v>
      </c>
      <c r="Q840" t="s">
        <v>3970</v>
      </c>
      <c r="R840" t="s">
        <v>3971</v>
      </c>
      <c r="S840" t="s">
        <v>31</v>
      </c>
      <c r="T840">
        <v>0</v>
      </c>
    </row>
    <row r="841" spans="1:20" x14ac:dyDescent="0.25">
      <c r="A841" t="s">
        <v>3972</v>
      </c>
      <c r="B841" s="1">
        <v>45891</v>
      </c>
      <c r="C841" s="5">
        <v>0.41493055555555558</v>
      </c>
      <c r="D841">
        <v>58.99</v>
      </c>
      <c r="E841" t="s">
        <v>44</v>
      </c>
      <c r="F841" t="s">
        <v>1110</v>
      </c>
      <c r="G841" t="s">
        <v>77</v>
      </c>
      <c r="H841" t="s">
        <v>35</v>
      </c>
      <c r="I841" t="s">
        <v>3973</v>
      </c>
      <c r="J841">
        <v>52</v>
      </c>
      <c r="K841" t="s">
        <v>49</v>
      </c>
      <c r="L841" t="s">
        <v>38</v>
      </c>
      <c r="M841" t="s">
        <v>27</v>
      </c>
      <c r="P841" t="s">
        <v>28</v>
      </c>
      <c r="Q841" t="s">
        <v>3974</v>
      </c>
      <c r="R841" t="s">
        <v>3975</v>
      </c>
      <c r="S841" t="s">
        <v>31</v>
      </c>
      <c r="T841">
        <v>0</v>
      </c>
    </row>
    <row r="842" spans="1:20" x14ac:dyDescent="0.25">
      <c r="A842" t="s">
        <v>3976</v>
      </c>
      <c r="B842" s="1">
        <v>45936</v>
      </c>
      <c r="C842" s="5">
        <v>0.63236111111111115</v>
      </c>
      <c r="D842">
        <v>140.41</v>
      </c>
      <c r="E842" t="s">
        <v>44</v>
      </c>
      <c r="F842" t="s">
        <v>2190</v>
      </c>
      <c r="G842" t="s">
        <v>89</v>
      </c>
      <c r="H842" t="s">
        <v>130</v>
      </c>
      <c r="I842" t="s">
        <v>3977</v>
      </c>
      <c r="J842">
        <v>45</v>
      </c>
      <c r="K842" t="s">
        <v>49</v>
      </c>
      <c r="L842" t="s">
        <v>110</v>
      </c>
      <c r="M842" t="s">
        <v>39</v>
      </c>
      <c r="P842" t="s">
        <v>28</v>
      </c>
      <c r="Q842" t="s">
        <v>3978</v>
      </c>
      <c r="R842" t="s">
        <v>3979</v>
      </c>
      <c r="S842" t="s">
        <v>31</v>
      </c>
      <c r="T842">
        <v>0</v>
      </c>
    </row>
    <row r="843" spans="1:20" x14ac:dyDescent="0.25">
      <c r="A843" t="s">
        <v>3980</v>
      </c>
      <c r="B843" s="1">
        <v>45931</v>
      </c>
      <c r="C843" s="5">
        <v>0.25792824074074072</v>
      </c>
      <c r="D843">
        <v>173.74</v>
      </c>
      <c r="E843" t="s">
        <v>44</v>
      </c>
      <c r="F843" t="s">
        <v>3981</v>
      </c>
      <c r="G843" t="s">
        <v>124</v>
      </c>
      <c r="H843" t="s">
        <v>23</v>
      </c>
      <c r="I843" t="s">
        <v>3982</v>
      </c>
      <c r="J843">
        <v>40</v>
      </c>
      <c r="K843" t="s">
        <v>49</v>
      </c>
      <c r="L843" t="s">
        <v>248</v>
      </c>
      <c r="M843" t="s">
        <v>112</v>
      </c>
      <c r="P843" t="s">
        <v>28</v>
      </c>
      <c r="Q843" t="s">
        <v>3983</v>
      </c>
      <c r="R843" t="s">
        <v>3984</v>
      </c>
      <c r="S843" t="s">
        <v>101</v>
      </c>
      <c r="T843">
        <v>0</v>
      </c>
    </row>
    <row r="844" spans="1:20" x14ac:dyDescent="0.25">
      <c r="A844" t="s">
        <v>3985</v>
      </c>
      <c r="B844" s="1">
        <v>45885</v>
      </c>
      <c r="C844" s="5">
        <v>0.27195601851851853</v>
      </c>
      <c r="D844">
        <v>151.72999999999999</v>
      </c>
      <c r="E844" t="s">
        <v>44</v>
      </c>
      <c r="F844" t="s">
        <v>3986</v>
      </c>
      <c r="G844" t="s">
        <v>77</v>
      </c>
      <c r="H844" t="s">
        <v>130</v>
      </c>
      <c r="I844" t="s">
        <v>3987</v>
      </c>
      <c r="J844">
        <v>57</v>
      </c>
      <c r="K844" t="s">
        <v>25</v>
      </c>
      <c r="L844" t="s">
        <v>97</v>
      </c>
      <c r="M844" t="s">
        <v>27</v>
      </c>
      <c r="P844" t="s">
        <v>28</v>
      </c>
      <c r="Q844" t="s">
        <v>3988</v>
      </c>
      <c r="R844" t="s">
        <v>3989</v>
      </c>
      <c r="S844" t="s">
        <v>42</v>
      </c>
      <c r="T844">
        <v>0</v>
      </c>
    </row>
    <row r="845" spans="1:20" x14ac:dyDescent="0.25">
      <c r="A845" t="s">
        <v>3990</v>
      </c>
      <c r="B845" s="1">
        <v>45934</v>
      </c>
      <c r="C845" s="5">
        <v>0.28512731481481479</v>
      </c>
      <c r="D845">
        <v>43.21</v>
      </c>
      <c r="E845" t="s">
        <v>44</v>
      </c>
      <c r="F845" t="s">
        <v>849</v>
      </c>
      <c r="G845" t="s">
        <v>124</v>
      </c>
      <c r="H845" t="s">
        <v>146</v>
      </c>
      <c r="I845" t="s">
        <v>3991</v>
      </c>
      <c r="J845">
        <v>28</v>
      </c>
      <c r="K845" t="s">
        <v>37</v>
      </c>
      <c r="L845" t="s">
        <v>91</v>
      </c>
      <c r="M845" t="s">
        <v>27</v>
      </c>
      <c r="P845" t="s">
        <v>28</v>
      </c>
      <c r="Q845" t="s">
        <v>3992</v>
      </c>
      <c r="R845" t="s">
        <v>3993</v>
      </c>
      <c r="S845" t="s">
        <v>31</v>
      </c>
      <c r="T845">
        <v>0</v>
      </c>
    </row>
    <row r="846" spans="1:20" x14ac:dyDescent="0.25">
      <c r="A846" t="s">
        <v>3994</v>
      </c>
      <c r="B846" s="1">
        <v>45881</v>
      </c>
      <c r="C846" s="5">
        <v>0.28931712962962963</v>
      </c>
      <c r="D846">
        <v>166.26</v>
      </c>
      <c r="E846" t="s">
        <v>44</v>
      </c>
      <c r="F846" t="s">
        <v>1306</v>
      </c>
      <c r="G846" t="s">
        <v>46</v>
      </c>
      <c r="H846" t="s">
        <v>38</v>
      </c>
      <c r="I846" t="s">
        <v>3995</v>
      </c>
      <c r="J846">
        <v>33</v>
      </c>
      <c r="K846" t="s">
        <v>49</v>
      </c>
      <c r="L846" t="s">
        <v>146</v>
      </c>
      <c r="M846" t="s">
        <v>51</v>
      </c>
      <c r="N846" t="s">
        <v>52</v>
      </c>
      <c r="O846">
        <v>468630</v>
      </c>
      <c r="P846" t="s">
        <v>28</v>
      </c>
      <c r="Q846" t="s">
        <v>3996</v>
      </c>
      <c r="R846" t="s">
        <v>3997</v>
      </c>
      <c r="S846" t="s">
        <v>31</v>
      </c>
      <c r="T846">
        <v>0</v>
      </c>
    </row>
    <row r="847" spans="1:20" x14ac:dyDescent="0.25">
      <c r="A847" t="s">
        <v>3998</v>
      </c>
      <c r="B847" s="1">
        <v>45914</v>
      </c>
      <c r="C847" s="5">
        <v>0.48836805555555557</v>
      </c>
      <c r="D847">
        <v>29.21</v>
      </c>
      <c r="E847" t="s">
        <v>44</v>
      </c>
      <c r="F847" t="s">
        <v>2044</v>
      </c>
      <c r="G847" t="s">
        <v>34</v>
      </c>
      <c r="H847" t="s">
        <v>23</v>
      </c>
      <c r="I847" t="s">
        <v>3999</v>
      </c>
      <c r="J847">
        <v>49</v>
      </c>
      <c r="K847" t="s">
        <v>25</v>
      </c>
      <c r="L847" t="s">
        <v>130</v>
      </c>
      <c r="M847" t="s">
        <v>39</v>
      </c>
      <c r="P847" t="s">
        <v>28</v>
      </c>
      <c r="Q847" t="s">
        <v>4000</v>
      </c>
      <c r="R847" t="s">
        <v>4001</v>
      </c>
      <c r="S847" t="s">
        <v>42</v>
      </c>
      <c r="T847">
        <v>0</v>
      </c>
    </row>
    <row r="848" spans="1:20" x14ac:dyDescent="0.25">
      <c r="A848" t="s">
        <v>4002</v>
      </c>
      <c r="B848" s="1">
        <v>45819</v>
      </c>
      <c r="C848" s="5">
        <v>0.13980324074074074</v>
      </c>
      <c r="D848">
        <v>183.28</v>
      </c>
      <c r="E848" t="s">
        <v>44</v>
      </c>
      <c r="F848" t="s">
        <v>4003</v>
      </c>
      <c r="G848" t="s">
        <v>57</v>
      </c>
      <c r="H848" t="s">
        <v>110</v>
      </c>
      <c r="I848" t="s">
        <v>4004</v>
      </c>
      <c r="J848">
        <v>59</v>
      </c>
      <c r="K848" t="s">
        <v>37</v>
      </c>
      <c r="L848" t="s">
        <v>97</v>
      </c>
      <c r="M848" t="s">
        <v>112</v>
      </c>
      <c r="P848" t="s">
        <v>28</v>
      </c>
      <c r="Q848" t="s">
        <v>4005</v>
      </c>
      <c r="R848" t="s">
        <v>4006</v>
      </c>
      <c r="S848" t="s">
        <v>31</v>
      </c>
      <c r="T848">
        <v>0</v>
      </c>
    </row>
    <row r="849" spans="1:20" x14ac:dyDescent="0.25">
      <c r="A849" t="s">
        <v>4007</v>
      </c>
      <c r="B849" s="1">
        <v>45833</v>
      </c>
      <c r="C849" s="5">
        <v>0.62320601851851853</v>
      </c>
      <c r="D849">
        <v>4054.3</v>
      </c>
      <c r="E849" t="s">
        <v>44</v>
      </c>
      <c r="F849" t="s">
        <v>1916</v>
      </c>
      <c r="G849" t="s">
        <v>22</v>
      </c>
      <c r="H849" t="s">
        <v>110</v>
      </c>
      <c r="I849" t="s">
        <v>4008</v>
      </c>
      <c r="J849">
        <v>26</v>
      </c>
      <c r="K849" t="s">
        <v>37</v>
      </c>
      <c r="L849" t="s">
        <v>66</v>
      </c>
      <c r="M849" t="s">
        <v>51</v>
      </c>
      <c r="N849" t="s">
        <v>870</v>
      </c>
      <c r="O849">
        <v>446572</v>
      </c>
      <c r="P849" t="s">
        <v>28</v>
      </c>
      <c r="Q849" t="s">
        <v>4009</v>
      </c>
      <c r="R849" t="s">
        <v>4010</v>
      </c>
      <c r="S849" t="s">
        <v>31</v>
      </c>
      <c r="T849">
        <v>0</v>
      </c>
    </row>
    <row r="850" spans="1:20" x14ac:dyDescent="0.25">
      <c r="A850" t="s">
        <v>4011</v>
      </c>
      <c r="B850" s="1">
        <v>45895</v>
      </c>
      <c r="C850" s="5">
        <v>0.57651620370370371</v>
      </c>
      <c r="D850">
        <v>100.07</v>
      </c>
      <c r="E850" t="s">
        <v>44</v>
      </c>
      <c r="F850" t="s">
        <v>1598</v>
      </c>
      <c r="G850" t="s">
        <v>64</v>
      </c>
      <c r="H850" t="s">
        <v>248</v>
      </c>
      <c r="I850" t="s">
        <v>4012</v>
      </c>
      <c r="J850">
        <v>28</v>
      </c>
      <c r="K850" t="s">
        <v>37</v>
      </c>
      <c r="L850" t="s">
        <v>50</v>
      </c>
      <c r="M850" t="s">
        <v>105</v>
      </c>
      <c r="P850" t="s">
        <v>28</v>
      </c>
      <c r="Q850" t="s">
        <v>4013</v>
      </c>
      <c r="R850" t="s">
        <v>4014</v>
      </c>
      <c r="S850" t="s">
        <v>31</v>
      </c>
      <c r="T850">
        <v>0</v>
      </c>
    </row>
    <row r="851" spans="1:20" x14ac:dyDescent="0.25">
      <c r="A851" t="s">
        <v>4015</v>
      </c>
      <c r="B851" s="1">
        <v>45833</v>
      </c>
      <c r="C851" s="5">
        <v>0.82815972222222223</v>
      </c>
      <c r="D851">
        <v>328.71</v>
      </c>
      <c r="E851" t="s">
        <v>44</v>
      </c>
      <c r="F851" t="s">
        <v>4016</v>
      </c>
      <c r="G851" t="s">
        <v>64</v>
      </c>
      <c r="H851" t="s">
        <v>66</v>
      </c>
      <c r="I851" t="s">
        <v>4017</v>
      </c>
      <c r="J851">
        <v>62</v>
      </c>
      <c r="K851" t="s">
        <v>37</v>
      </c>
      <c r="L851" t="s">
        <v>97</v>
      </c>
      <c r="M851" t="s">
        <v>27</v>
      </c>
      <c r="P851" t="s">
        <v>28</v>
      </c>
      <c r="Q851" t="s">
        <v>4018</v>
      </c>
      <c r="R851" t="s">
        <v>4019</v>
      </c>
      <c r="S851" t="s">
        <v>31</v>
      </c>
      <c r="T851">
        <v>0</v>
      </c>
    </row>
    <row r="852" spans="1:20" x14ac:dyDescent="0.25">
      <c r="A852" t="s">
        <v>4020</v>
      </c>
      <c r="B852" s="1">
        <v>45843</v>
      </c>
      <c r="C852" s="5">
        <v>0.51666666666666672</v>
      </c>
      <c r="D852">
        <v>65.17</v>
      </c>
      <c r="E852" t="s">
        <v>44</v>
      </c>
      <c r="F852" t="s">
        <v>649</v>
      </c>
      <c r="G852" t="s">
        <v>96</v>
      </c>
      <c r="H852" t="s">
        <v>130</v>
      </c>
      <c r="I852" t="s">
        <v>4021</v>
      </c>
      <c r="J852">
        <v>91</v>
      </c>
      <c r="K852" t="s">
        <v>49</v>
      </c>
      <c r="L852" t="s">
        <v>110</v>
      </c>
      <c r="M852" t="s">
        <v>39</v>
      </c>
      <c r="P852" t="s">
        <v>28</v>
      </c>
      <c r="Q852" t="s">
        <v>4022</v>
      </c>
      <c r="R852" t="s">
        <v>4023</v>
      </c>
      <c r="S852" t="s">
        <v>31</v>
      </c>
      <c r="T852">
        <v>0</v>
      </c>
    </row>
    <row r="853" spans="1:20" x14ac:dyDescent="0.25">
      <c r="A853" t="s">
        <v>4024</v>
      </c>
      <c r="B853" s="1">
        <v>45870</v>
      </c>
      <c r="C853" s="5">
        <v>0.79888888888888887</v>
      </c>
      <c r="D853">
        <v>102.15</v>
      </c>
      <c r="E853" t="s">
        <v>44</v>
      </c>
      <c r="F853" t="s">
        <v>4025</v>
      </c>
      <c r="G853" t="s">
        <v>77</v>
      </c>
      <c r="H853" t="s">
        <v>146</v>
      </c>
      <c r="I853" t="s">
        <v>4026</v>
      </c>
      <c r="J853">
        <v>39</v>
      </c>
      <c r="K853" t="s">
        <v>49</v>
      </c>
      <c r="L853" t="s">
        <v>23</v>
      </c>
      <c r="M853" t="s">
        <v>39</v>
      </c>
      <c r="P853" t="s">
        <v>28</v>
      </c>
      <c r="Q853" t="s">
        <v>4027</v>
      </c>
      <c r="R853" t="s">
        <v>4028</v>
      </c>
      <c r="S853" t="s">
        <v>31</v>
      </c>
      <c r="T853">
        <v>0</v>
      </c>
    </row>
    <row r="854" spans="1:20" x14ac:dyDescent="0.25">
      <c r="A854" t="s">
        <v>4029</v>
      </c>
      <c r="B854" s="1">
        <v>45886</v>
      </c>
      <c r="C854" s="5">
        <v>0.17959490740740741</v>
      </c>
      <c r="D854">
        <v>34.909999999999997</v>
      </c>
      <c r="E854" t="s">
        <v>44</v>
      </c>
      <c r="F854" t="s">
        <v>4030</v>
      </c>
      <c r="G854" t="s">
        <v>71</v>
      </c>
      <c r="H854" t="s">
        <v>248</v>
      </c>
      <c r="I854" t="s">
        <v>4031</v>
      </c>
      <c r="J854">
        <v>24</v>
      </c>
      <c r="K854" t="s">
        <v>37</v>
      </c>
      <c r="L854" t="s">
        <v>130</v>
      </c>
      <c r="M854" t="s">
        <v>39</v>
      </c>
      <c r="P854" t="s">
        <v>28</v>
      </c>
      <c r="Q854" t="s">
        <v>4032</v>
      </c>
      <c r="R854" t="s">
        <v>4033</v>
      </c>
      <c r="S854" t="s">
        <v>31</v>
      </c>
      <c r="T854">
        <v>0</v>
      </c>
    </row>
    <row r="855" spans="1:20" x14ac:dyDescent="0.25">
      <c r="A855" t="s">
        <v>4034</v>
      </c>
      <c r="B855" s="1">
        <v>45875</v>
      </c>
      <c r="C855" s="5">
        <v>0.84854166666666664</v>
      </c>
      <c r="D855">
        <v>100.54</v>
      </c>
      <c r="E855" t="s">
        <v>44</v>
      </c>
      <c r="F855" t="s">
        <v>4035</v>
      </c>
      <c r="G855" t="s">
        <v>89</v>
      </c>
      <c r="H855" t="s">
        <v>97</v>
      </c>
      <c r="I855" t="s">
        <v>4036</v>
      </c>
      <c r="J855">
        <v>24</v>
      </c>
      <c r="K855" t="s">
        <v>37</v>
      </c>
      <c r="L855" t="s">
        <v>47</v>
      </c>
      <c r="M855" t="s">
        <v>51</v>
      </c>
      <c r="N855" t="s">
        <v>52</v>
      </c>
      <c r="O855">
        <v>534127</v>
      </c>
      <c r="P855" t="s">
        <v>28</v>
      </c>
      <c r="Q855" t="s">
        <v>4037</v>
      </c>
      <c r="R855" t="s">
        <v>4038</v>
      </c>
      <c r="S855" t="s">
        <v>31</v>
      </c>
      <c r="T855">
        <v>0</v>
      </c>
    </row>
    <row r="856" spans="1:20" x14ac:dyDescent="0.25">
      <c r="A856" t="s">
        <v>4039</v>
      </c>
      <c r="B856" s="1">
        <v>45958</v>
      </c>
      <c r="C856" s="5">
        <v>0.67002314814814812</v>
      </c>
      <c r="D856">
        <v>82.39</v>
      </c>
      <c r="E856" t="s">
        <v>44</v>
      </c>
      <c r="F856" t="s">
        <v>787</v>
      </c>
      <c r="G856" t="s">
        <v>34</v>
      </c>
      <c r="H856" t="s">
        <v>110</v>
      </c>
      <c r="I856" t="s">
        <v>4040</v>
      </c>
      <c r="J856">
        <v>30</v>
      </c>
      <c r="K856" t="s">
        <v>25</v>
      </c>
      <c r="L856" t="s">
        <v>146</v>
      </c>
      <c r="M856" t="s">
        <v>51</v>
      </c>
      <c r="N856" t="s">
        <v>52</v>
      </c>
      <c r="O856">
        <v>538997</v>
      </c>
      <c r="P856" t="s">
        <v>28</v>
      </c>
      <c r="Q856" t="s">
        <v>4041</v>
      </c>
      <c r="R856" t="s">
        <v>4042</v>
      </c>
      <c r="S856" t="s">
        <v>31</v>
      </c>
      <c r="T856">
        <v>0</v>
      </c>
    </row>
    <row r="857" spans="1:20" x14ac:dyDescent="0.25">
      <c r="A857" t="s">
        <v>4043</v>
      </c>
      <c r="B857" s="1">
        <v>45865</v>
      </c>
      <c r="C857" s="5">
        <v>0.47810185185185183</v>
      </c>
      <c r="D857">
        <v>59.87</v>
      </c>
      <c r="E857" t="s">
        <v>44</v>
      </c>
      <c r="F857" t="s">
        <v>1888</v>
      </c>
      <c r="G857" t="s">
        <v>34</v>
      </c>
      <c r="H857" t="s">
        <v>66</v>
      </c>
      <c r="I857" t="s">
        <v>4044</v>
      </c>
      <c r="J857">
        <v>74</v>
      </c>
      <c r="K857" t="s">
        <v>49</v>
      </c>
      <c r="L857" t="s">
        <v>23</v>
      </c>
      <c r="M857" t="s">
        <v>84</v>
      </c>
      <c r="P857" t="s">
        <v>28</v>
      </c>
      <c r="Q857" t="s">
        <v>4045</v>
      </c>
      <c r="R857" t="s">
        <v>4046</v>
      </c>
      <c r="S857" t="s">
        <v>31</v>
      </c>
      <c r="T857">
        <v>0</v>
      </c>
    </row>
    <row r="858" spans="1:20" x14ac:dyDescent="0.25">
      <c r="A858" t="s">
        <v>4047</v>
      </c>
      <c r="B858" s="1">
        <v>45798</v>
      </c>
      <c r="C858" s="5">
        <v>6.4432870370370376E-2</v>
      </c>
      <c r="D858">
        <v>25.05</v>
      </c>
      <c r="E858" t="s">
        <v>44</v>
      </c>
      <c r="F858" t="s">
        <v>4048</v>
      </c>
      <c r="G858" t="s">
        <v>124</v>
      </c>
      <c r="H858" t="s">
        <v>26</v>
      </c>
      <c r="I858" t="s">
        <v>4049</v>
      </c>
      <c r="J858">
        <v>68</v>
      </c>
      <c r="K858" t="s">
        <v>25</v>
      </c>
      <c r="L858" t="s">
        <v>97</v>
      </c>
      <c r="M858" t="s">
        <v>105</v>
      </c>
      <c r="P858" t="s">
        <v>28</v>
      </c>
      <c r="Q858" t="s">
        <v>4050</v>
      </c>
      <c r="R858" t="s">
        <v>4051</v>
      </c>
      <c r="S858" t="s">
        <v>31</v>
      </c>
      <c r="T858">
        <v>0</v>
      </c>
    </row>
    <row r="859" spans="1:20" x14ac:dyDescent="0.25">
      <c r="A859" t="s">
        <v>4052</v>
      </c>
      <c r="B859" s="1">
        <v>45852</v>
      </c>
      <c r="C859" s="5">
        <v>0.10159722222222223</v>
      </c>
      <c r="D859">
        <v>29.85</v>
      </c>
      <c r="E859" t="s">
        <v>44</v>
      </c>
      <c r="F859" t="s">
        <v>4053</v>
      </c>
      <c r="G859" t="s">
        <v>124</v>
      </c>
      <c r="H859" t="s">
        <v>38</v>
      </c>
      <c r="I859" t="s">
        <v>4054</v>
      </c>
      <c r="J859">
        <v>56</v>
      </c>
      <c r="K859" t="s">
        <v>25</v>
      </c>
      <c r="L859" t="s">
        <v>248</v>
      </c>
      <c r="M859" t="s">
        <v>51</v>
      </c>
      <c r="N859" t="s">
        <v>52</v>
      </c>
      <c r="O859">
        <v>469264</v>
      </c>
      <c r="P859" t="s">
        <v>28</v>
      </c>
      <c r="Q859" t="s">
        <v>4055</v>
      </c>
      <c r="R859" t="s">
        <v>4056</v>
      </c>
      <c r="S859" t="s">
        <v>31</v>
      </c>
      <c r="T859">
        <v>0</v>
      </c>
    </row>
    <row r="860" spans="1:20" x14ac:dyDescent="0.25">
      <c r="A860" t="s">
        <v>4057</v>
      </c>
      <c r="B860" s="1">
        <v>45870</v>
      </c>
      <c r="C860" s="5">
        <v>0.75412037037037039</v>
      </c>
      <c r="D860">
        <v>118.76</v>
      </c>
      <c r="E860" t="s">
        <v>44</v>
      </c>
      <c r="F860" t="s">
        <v>4058</v>
      </c>
      <c r="G860" t="s">
        <v>77</v>
      </c>
      <c r="H860" t="s">
        <v>130</v>
      </c>
      <c r="I860" t="s">
        <v>4059</v>
      </c>
      <c r="J860">
        <v>39</v>
      </c>
      <c r="K860" t="s">
        <v>49</v>
      </c>
      <c r="L860" t="s">
        <v>248</v>
      </c>
      <c r="M860" t="s">
        <v>27</v>
      </c>
      <c r="P860" t="s">
        <v>28</v>
      </c>
      <c r="Q860" t="s">
        <v>4060</v>
      </c>
      <c r="R860" t="s">
        <v>4061</v>
      </c>
      <c r="S860" t="s">
        <v>31</v>
      </c>
      <c r="T860">
        <v>1</v>
      </c>
    </row>
    <row r="861" spans="1:20" x14ac:dyDescent="0.25">
      <c r="A861" t="s">
        <v>4062</v>
      </c>
      <c r="B861" s="1">
        <v>45864</v>
      </c>
      <c r="C861" s="5">
        <v>0.27900462962962963</v>
      </c>
      <c r="D861">
        <v>144.49</v>
      </c>
      <c r="E861" t="s">
        <v>44</v>
      </c>
      <c r="F861" t="s">
        <v>486</v>
      </c>
      <c r="G861" t="s">
        <v>57</v>
      </c>
      <c r="H861" t="s">
        <v>130</v>
      </c>
      <c r="I861" t="s">
        <v>4063</v>
      </c>
      <c r="J861">
        <v>52</v>
      </c>
      <c r="K861" t="s">
        <v>25</v>
      </c>
      <c r="L861" t="s">
        <v>146</v>
      </c>
      <c r="M861" t="s">
        <v>112</v>
      </c>
      <c r="P861" t="s">
        <v>28</v>
      </c>
      <c r="Q861" t="s">
        <v>4064</v>
      </c>
      <c r="R861" t="s">
        <v>4065</v>
      </c>
      <c r="S861" t="s">
        <v>31</v>
      </c>
      <c r="T861">
        <v>0</v>
      </c>
    </row>
    <row r="862" spans="1:20" x14ac:dyDescent="0.25">
      <c r="A862" t="s">
        <v>4066</v>
      </c>
      <c r="B862" s="1">
        <v>45891</v>
      </c>
      <c r="C862" s="5">
        <v>0.14935185185185185</v>
      </c>
      <c r="D862">
        <v>27.87</v>
      </c>
      <c r="E862" t="s">
        <v>44</v>
      </c>
      <c r="F862" t="s">
        <v>4067</v>
      </c>
      <c r="G862" t="s">
        <v>34</v>
      </c>
      <c r="H862" t="s">
        <v>23</v>
      </c>
      <c r="I862" t="s">
        <v>4068</v>
      </c>
      <c r="J862">
        <v>37</v>
      </c>
      <c r="K862" t="s">
        <v>25</v>
      </c>
      <c r="L862" t="s">
        <v>35</v>
      </c>
      <c r="M862" t="s">
        <v>39</v>
      </c>
      <c r="P862" t="s">
        <v>28</v>
      </c>
      <c r="Q862" t="s">
        <v>4069</v>
      </c>
      <c r="R862" t="s">
        <v>4070</v>
      </c>
      <c r="S862" t="s">
        <v>31</v>
      </c>
      <c r="T862">
        <v>0</v>
      </c>
    </row>
    <row r="863" spans="1:20" x14ac:dyDescent="0.25">
      <c r="A863" t="s">
        <v>4071</v>
      </c>
      <c r="B863" s="1">
        <v>45880</v>
      </c>
      <c r="C863" s="5">
        <v>0.19028935185185186</v>
      </c>
      <c r="D863">
        <v>570.33000000000004</v>
      </c>
      <c r="E863" t="s">
        <v>44</v>
      </c>
      <c r="F863" t="s">
        <v>4072</v>
      </c>
      <c r="G863" t="s">
        <v>34</v>
      </c>
      <c r="H863" t="s">
        <v>35</v>
      </c>
      <c r="I863" t="s">
        <v>4073</v>
      </c>
      <c r="J863">
        <v>33</v>
      </c>
      <c r="K863" t="s">
        <v>49</v>
      </c>
      <c r="L863" t="s">
        <v>47</v>
      </c>
      <c r="M863" t="s">
        <v>105</v>
      </c>
      <c r="P863" t="s">
        <v>28</v>
      </c>
      <c r="Q863" t="s">
        <v>4074</v>
      </c>
      <c r="R863" t="s">
        <v>4075</v>
      </c>
      <c r="S863" t="s">
        <v>31</v>
      </c>
      <c r="T863">
        <v>0</v>
      </c>
    </row>
    <row r="864" spans="1:20" x14ac:dyDescent="0.25">
      <c r="A864" t="s">
        <v>4076</v>
      </c>
      <c r="B864" s="1">
        <v>45814</v>
      </c>
      <c r="C864" s="5">
        <v>3.6979166666666667E-2</v>
      </c>
      <c r="D864">
        <v>49.99</v>
      </c>
      <c r="E864" t="s">
        <v>44</v>
      </c>
      <c r="F864" t="s">
        <v>2163</v>
      </c>
      <c r="G864" t="s">
        <v>89</v>
      </c>
      <c r="H864" t="s">
        <v>119</v>
      </c>
      <c r="I864" t="s">
        <v>4077</v>
      </c>
      <c r="J864">
        <v>35</v>
      </c>
      <c r="K864" t="s">
        <v>49</v>
      </c>
      <c r="L864" t="s">
        <v>119</v>
      </c>
      <c r="M864" t="s">
        <v>51</v>
      </c>
      <c r="N864" t="s">
        <v>870</v>
      </c>
      <c r="O864">
        <v>508433</v>
      </c>
      <c r="P864" t="s">
        <v>113</v>
      </c>
      <c r="Q864" t="s">
        <v>4078</v>
      </c>
      <c r="R864" t="s">
        <v>4079</v>
      </c>
      <c r="S864" t="s">
        <v>31</v>
      </c>
      <c r="T864">
        <v>1</v>
      </c>
    </row>
    <row r="865" spans="1:20" x14ac:dyDescent="0.25">
      <c r="A865" t="s">
        <v>4080</v>
      </c>
      <c r="B865" s="1">
        <v>45832</v>
      </c>
      <c r="C865" s="5">
        <v>0.10658564814814815</v>
      </c>
      <c r="D865">
        <v>90.58</v>
      </c>
      <c r="E865" t="s">
        <v>44</v>
      </c>
      <c r="F865" t="s">
        <v>4081</v>
      </c>
      <c r="G865" t="s">
        <v>124</v>
      </c>
      <c r="H865" t="s">
        <v>50</v>
      </c>
      <c r="I865" t="s">
        <v>4082</v>
      </c>
      <c r="J865">
        <v>20</v>
      </c>
      <c r="K865" t="s">
        <v>49</v>
      </c>
      <c r="L865" t="s">
        <v>35</v>
      </c>
      <c r="M865" t="s">
        <v>112</v>
      </c>
      <c r="P865" t="s">
        <v>28</v>
      </c>
      <c r="Q865" t="s">
        <v>4083</v>
      </c>
      <c r="R865" t="s">
        <v>4084</v>
      </c>
      <c r="S865" t="s">
        <v>31</v>
      </c>
      <c r="T865">
        <v>0</v>
      </c>
    </row>
    <row r="866" spans="1:20" x14ac:dyDescent="0.25">
      <c r="A866" t="s">
        <v>4085</v>
      </c>
      <c r="B866" s="1">
        <v>45927</v>
      </c>
      <c r="C866" s="5">
        <v>0.41605324074074074</v>
      </c>
      <c r="D866">
        <v>104.92</v>
      </c>
      <c r="E866" t="s">
        <v>44</v>
      </c>
      <c r="F866" t="s">
        <v>1529</v>
      </c>
      <c r="G866" t="s">
        <v>77</v>
      </c>
      <c r="H866" t="s">
        <v>91</v>
      </c>
      <c r="I866" t="s">
        <v>4086</v>
      </c>
      <c r="J866">
        <v>56</v>
      </c>
      <c r="K866" t="s">
        <v>25</v>
      </c>
      <c r="L866" t="s">
        <v>47</v>
      </c>
      <c r="M866" t="s">
        <v>112</v>
      </c>
      <c r="P866" t="s">
        <v>28</v>
      </c>
      <c r="Q866" t="s">
        <v>4087</v>
      </c>
      <c r="R866" t="s">
        <v>4088</v>
      </c>
      <c r="S866" t="s">
        <v>31</v>
      </c>
      <c r="T866">
        <v>0</v>
      </c>
    </row>
    <row r="867" spans="1:20" x14ac:dyDescent="0.25">
      <c r="A867" t="s">
        <v>4089</v>
      </c>
      <c r="B867" s="1">
        <v>45817</v>
      </c>
      <c r="C867" s="5">
        <v>0.40386574074074072</v>
      </c>
      <c r="D867">
        <v>138.94999999999999</v>
      </c>
      <c r="E867" t="s">
        <v>44</v>
      </c>
      <c r="F867" t="s">
        <v>1030</v>
      </c>
      <c r="G867" t="s">
        <v>124</v>
      </c>
      <c r="H867" t="s">
        <v>110</v>
      </c>
      <c r="I867" t="s">
        <v>4090</v>
      </c>
      <c r="J867">
        <v>119</v>
      </c>
      <c r="K867" t="s">
        <v>37</v>
      </c>
      <c r="L867" t="s">
        <v>38</v>
      </c>
      <c r="M867" t="s">
        <v>84</v>
      </c>
      <c r="P867" t="s">
        <v>28</v>
      </c>
      <c r="Q867" t="s">
        <v>4091</v>
      </c>
      <c r="R867" t="s">
        <v>4092</v>
      </c>
      <c r="S867" t="s">
        <v>31</v>
      </c>
      <c r="T867">
        <v>0</v>
      </c>
    </row>
    <row r="868" spans="1:20" x14ac:dyDescent="0.25">
      <c r="A868" t="s">
        <v>4093</v>
      </c>
      <c r="B868" s="1">
        <v>45868</v>
      </c>
      <c r="C868" s="5">
        <v>0.63795138888888892</v>
      </c>
      <c r="D868">
        <v>194.71</v>
      </c>
      <c r="E868" t="s">
        <v>44</v>
      </c>
      <c r="F868" t="s">
        <v>3452</v>
      </c>
      <c r="G868" t="s">
        <v>77</v>
      </c>
      <c r="H868" t="s">
        <v>146</v>
      </c>
      <c r="I868" t="s">
        <v>4094</v>
      </c>
      <c r="J868">
        <v>39</v>
      </c>
      <c r="K868" t="s">
        <v>49</v>
      </c>
      <c r="L868" t="s">
        <v>110</v>
      </c>
      <c r="M868" t="s">
        <v>39</v>
      </c>
      <c r="P868" t="s">
        <v>28</v>
      </c>
      <c r="Q868" t="s">
        <v>4095</v>
      </c>
      <c r="R868" t="s">
        <v>4096</v>
      </c>
      <c r="S868" t="s">
        <v>31</v>
      </c>
      <c r="T868">
        <v>0</v>
      </c>
    </row>
    <row r="869" spans="1:20" x14ac:dyDescent="0.25">
      <c r="A869" t="s">
        <v>4097</v>
      </c>
      <c r="B869" s="1">
        <v>45830</v>
      </c>
      <c r="C869" s="5">
        <v>2.4050925925925927E-2</v>
      </c>
      <c r="D869">
        <v>68.59</v>
      </c>
      <c r="E869" t="s">
        <v>44</v>
      </c>
      <c r="F869" t="s">
        <v>4098</v>
      </c>
      <c r="G869" t="s">
        <v>89</v>
      </c>
      <c r="H869" t="s">
        <v>35</v>
      </c>
      <c r="I869" t="s">
        <v>4099</v>
      </c>
      <c r="J869">
        <v>27</v>
      </c>
      <c r="K869" t="s">
        <v>37</v>
      </c>
      <c r="L869" t="s">
        <v>91</v>
      </c>
      <c r="M869" t="s">
        <v>105</v>
      </c>
      <c r="P869" t="s">
        <v>28</v>
      </c>
      <c r="Q869" t="s">
        <v>4100</v>
      </c>
      <c r="R869" t="s">
        <v>4101</v>
      </c>
      <c r="S869" t="s">
        <v>31</v>
      </c>
      <c r="T869">
        <v>0</v>
      </c>
    </row>
    <row r="870" spans="1:20" x14ac:dyDescent="0.25">
      <c r="A870" t="s">
        <v>4102</v>
      </c>
      <c r="B870" s="1">
        <v>45908</v>
      </c>
      <c r="C870" s="5">
        <v>0.52972222222222221</v>
      </c>
      <c r="D870">
        <v>168.02</v>
      </c>
      <c r="E870" t="s">
        <v>44</v>
      </c>
      <c r="F870" t="s">
        <v>531</v>
      </c>
      <c r="G870" t="s">
        <v>64</v>
      </c>
      <c r="H870" t="s">
        <v>26</v>
      </c>
      <c r="I870" t="s">
        <v>4103</v>
      </c>
      <c r="J870">
        <v>25</v>
      </c>
      <c r="K870" t="s">
        <v>37</v>
      </c>
      <c r="L870" t="s">
        <v>110</v>
      </c>
      <c r="M870" t="s">
        <v>39</v>
      </c>
      <c r="P870" t="s">
        <v>28</v>
      </c>
      <c r="Q870" t="s">
        <v>4104</v>
      </c>
      <c r="R870" t="s">
        <v>4105</v>
      </c>
      <c r="S870" t="s">
        <v>31</v>
      </c>
      <c r="T870">
        <v>0</v>
      </c>
    </row>
    <row r="871" spans="1:20" x14ac:dyDescent="0.25">
      <c r="A871" t="s">
        <v>4106</v>
      </c>
      <c r="B871" s="1">
        <v>45959</v>
      </c>
      <c r="C871" s="5">
        <v>0.75527777777777783</v>
      </c>
      <c r="D871">
        <v>165.93</v>
      </c>
      <c r="E871" t="s">
        <v>44</v>
      </c>
      <c r="F871" t="s">
        <v>2805</v>
      </c>
      <c r="G871" t="s">
        <v>46</v>
      </c>
      <c r="H871" t="s">
        <v>35</v>
      </c>
      <c r="I871" t="s">
        <v>4107</v>
      </c>
      <c r="K871" t="s">
        <v>37</v>
      </c>
      <c r="L871" t="s">
        <v>248</v>
      </c>
      <c r="M871" t="s">
        <v>27</v>
      </c>
      <c r="P871" t="s">
        <v>28</v>
      </c>
      <c r="Q871" t="s">
        <v>4108</v>
      </c>
      <c r="R871" t="s">
        <v>4109</v>
      </c>
      <c r="S871" t="s">
        <v>31</v>
      </c>
      <c r="T871">
        <v>1</v>
      </c>
    </row>
    <row r="872" spans="1:20" x14ac:dyDescent="0.25">
      <c r="A872" t="s">
        <v>4110</v>
      </c>
      <c r="B872" s="1">
        <v>45942</v>
      </c>
      <c r="C872" s="5">
        <v>0.69229166666666664</v>
      </c>
      <c r="D872">
        <v>15.46</v>
      </c>
      <c r="E872" t="s">
        <v>44</v>
      </c>
      <c r="F872" t="s">
        <v>988</v>
      </c>
      <c r="G872" t="s">
        <v>22</v>
      </c>
      <c r="H872" t="s">
        <v>91</v>
      </c>
      <c r="I872" t="s">
        <v>4111</v>
      </c>
      <c r="J872">
        <v>49</v>
      </c>
      <c r="K872" t="s">
        <v>37</v>
      </c>
      <c r="L872" t="s">
        <v>58</v>
      </c>
      <c r="M872" t="s">
        <v>39</v>
      </c>
      <c r="P872" t="s">
        <v>28</v>
      </c>
      <c r="Q872" t="s">
        <v>4112</v>
      </c>
      <c r="R872" t="s">
        <v>4113</v>
      </c>
      <c r="S872" t="s">
        <v>31</v>
      </c>
      <c r="T872">
        <v>0</v>
      </c>
    </row>
    <row r="873" spans="1:20" x14ac:dyDescent="0.25">
      <c r="A873" t="s">
        <v>4114</v>
      </c>
      <c r="B873" s="1">
        <v>45807</v>
      </c>
      <c r="C873" s="5">
        <v>8.924768518518518E-2</v>
      </c>
      <c r="D873">
        <v>59.87</v>
      </c>
      <c r="E873" t="s">
        <v>44</v>
      </c>
      <c r="F873" t="s">
        <v>1470</v>
      </c>
      <c r="G873" t="s">
        <v>96</v>
      </c>
      <c r="H873" t="s">
        <v>248</v>
      </c>
      <c r="I873" t="s">
        <v>4115</v>
      </c>
      <c r="J873">
        <v>18</v>
      </c>
      <c r="K873" t="s">
        <v>25</v>
      </c>
      <c r="L873" t="s">
        <v>248</v>
      </c>
      <c r="M873" t="s">
        <v>105</v>
      </c>
      <c r="P873" t="s">
        <v>113</v>
      </c>
      <c r="Q873" t="s">
        <v>4116</v>
      </c>
      <c r="R873" t="s">
        <v>4117</v>
      </c>
      <c r="S873" t="s">
        <v>31</v>
      </c>
      <c r="T873">
        <v>1</v>
      </c>
    </row>
    <row r="874" spans="1:20" x14ac:dyDescent="0.25">
      <c r="A874" t="s">
        <v>4118</v>
      </c>
      <c r="B874" s="1">
        <v>45810</v>
      </c>
      <c r="C874" s="5">
        <v>0.92497685185185186</v>
      </c>
      <c r="D874">
        <v>127.94</v>
      </c>
      <c r="E874" t="s">
        <v>44</v>
      </c>
      <c r="F874" t="s">
        <v>1563</v>
      </c>
      <c r="G874" t="s">
        <v>124</v>
      </c>
      <c r="H874" t="s">
        <v>146</v>
      </c>
      <c r="I874" t="s">
        <v>4119</v>
      </c>
      <c r="J874">
        <v>51</v>
      </c>
      <c r="K874" t="s">
        <v>49</v>
      </c>
      <c r="L874" t="s">
        <v>130</v>
      </c>
      <c r="M874" t="s">
        <v>27</v>
      </c>
      <c r="P874" t="s">
        <v>28</v>
      </c>
      <c r="Q874" t="s">
        <v>4120</v>
      </c>
      <c r="R874" t="s">
        <v>4121</v>
      </c>
      <c r="S874" t="s">
        <v>31</v>
      </c>
      <c r="T874">
        <v>0</v>
      </c>
    </row>
    <row r="875" spans="1:20" x14ac:dyDescent="0.25">
      <c r="A875" t="s">
        <v>4122</v>
      </c>
      <c r="B875" s="1">
        <v>45786</v>
      </c>
      <c r="C875" s="5">
        <v>0.48237268518518517</v>
      </c>
      <c r="D875">
        <v>21.1</v>
      </c>
      <c r="E875" t="s">
        <v>44</v>
      </c>
      <c r="F875" t="s">
        <v>4123</v>
      </c>
      <c r="G875" t="s">
        <v>96</v>
      </c>
      <c r="H875" t="s">
        <v>91</v>
      </c>
      <c r="I875" t="s">
        <v>4124</v>
      </c>
      <c r="J875">
        <v>48</v>
      </c>
      <c r="K875" t="s">
        <v>25</v>
      </c>
      <c r="L875" t="s">
        <v>97</v>
      </c>
      <c r="M875" t="s">
        <v>112</v>
      </c>
      <c r="P875" t="s">
        <v>28</v>
      </c>
      <c r="Q875" t="s">
        <v>4125</v>
      </c>
      <c r="R875" t="s">
        <v>4126</v>
      </c>
      <c r="S875" t="s">
        <v>101</v>
      </c>
      <c r="T875">
        <v>0</v>
      </c>
    </row>
    <row r="876" spans="1:20" x14ac:dyDescent="0.25">
      <c r="A876" t="s">
        <v>4127</v>
      </c>
      <c r="B876" s="1">
        <v>45912</v>
      </c>
      <c r="C876" s="5">
        <v>0.13815972222222223</v>
      </c>
      <c r="D876">
        <v>24.42</v>
      </c>
      <c r="E876" t="s">
        <v>44</v>
      </c>
      <c r="F876" t="s">
        <v>1499</v>
      </c>
      <c r="G876" t="s">
        <v>34</v>
      </c>
      <c r="H876" t="s">
        <v>58</v>
      </c>
      <c r="I876" t="s">
        <v>4128</v>
      </c>
      <c r="J876">
        <v>41</v>
      </c>
      <c r="K876" t="s">
        <v>37</v>
      </c>
      <c r="L876" t="s">
        <v>50</v>
      </c>
      <c r="M876" t="s">
        <v>51</v>
      </c>
      <c r="N876" t="s">
        <v>304</v>
      </c>
      <c r="O876">
        <v>505471</v>
      </c>
      <c r="P876" t="s">
        <v>28</v>
      </c>
      <c r="Q876" t="s">
        <v>4129</v>
      </c>
      <c r="R876" t="s">
        <v>4130</v>
      </c>
      <c r="S876" t="s">
        <v>31</v>
      </c>
      <c r="T876">
        <v>0</v>
      </c>
    </row>
    <row r="877" spans="1:20" x14ac:dyDescent="0.25">
      <c r="A877" t="s">
        <v>4131</v>
      </c>
      <c r="B877" s="1">
        <v>45821</v>
      </c>
      <c r="C877" s="5">
        <v>0.62971064814814814</v>
      </c>
      <c r="D877">
        <v>428.12</v>
      </c>
      <c r="E877" t="s">
        <v>44</v>
      </c>
      <c r="F877" t="s">
        <v>3469</v>
      </c>
      <c r="G877" t="s">
        <v>57</v>
      </c>
      <c r="H877" t="s">
        <v>91</v>
      </c>
      <c r="I877" t="s">
        <v>4132</v>
      </c>
      <c r="J877">
        <v>24</v>
      </c>
      <c r="K877" t="s">
        <v>49</v>
      </c>
      <c r="L877" t="s">
        <v>146</v>
      </c>
      <c r="M877" t="s">
        <v>112</v>
      </c>
      <c r="P877" t="s">
        <v>28</v>
      </c>
      <c r="Q877" t="s">
        <v>4133</v>
      </c>
      <c r="R877" t="s">
        <v>4134</v>
      </c>
      <c r="S877" t="s">
        <v>31</v>
      </c>
      <c r="T877">
        <v>0</v>
      </c>
    </row>
    <row r="878" spans="1:20" x14ac:dyDescent="0.25">
      <c r="A878" t="s">
        <v>4135</v>
      </c>
      <c r="B878" s="1">
        <v>45811</v>
      </c>
      <c r="C878" s="5">
        <v>0.59478009259259257</v>
      </c>
      <c r="D878">
        <v>22.77</v>
      </c>
      <c r="E878" t="s">
        <v>44</v>
      </c>
      <c r="F878" t="s">
        <v>1978</v>
      </c>
      <c r="G878" t="s">
        <v>34</v>
      </c>
      <c r="H878" t="s">
        <v>248</v>
      </c>
      <c r="I878" t="s">
        <v>4136</v>
      </c>
      <c r="J878">
        <v>38</v>
      </c>
      <c r="K878" t="s">
        <v>25</v>
      </c>
      <c r="L878" t="s">
        <v>146</v>
      </c>
      <c r="M878" t="s">
        <v>51</v>
      </c>
      <c r="N878" t="s">
        <v>345</v>
      </c>
      <c r="O878">
        <v>407470</v>
      </c>
      <c r="P878" t="s">
        <v>28</v>
      </c>
      <c r="Q878" t="s">
        <v>4137</v>
      </c>
      <c r="R878" t="s">
        <v>4138</v>
      </c>
      <c r="S878" t="s">
        <v>101</v>
      </c>
      <c r="T878">
        <v>1</v>
      </c>
    </row>
    <row r="879" spans="1:20" x14ac:dyDescent="0.25">
      <c r="A879" t="s">
        <v>4139</v>
      </c>
      <c r="B879" s="1">
        <v>45914</v>
      </c>
      <c r="C879" s="5">
        <v>0.46840277777777778</v>
      </c>
      <c r="D879">
        <v>42.81</v>
      </c>
      <c r="E879" t="s">
        <v>44</v>
      </c>
      <c r="F879" t="s">
        <v>4140</v>
      </c>
      <c r="G879" t="s">
        <v>77</v>
      </c>
      <c r="H879" t="s">
        <v>47</v>
      </c>
      <c r="I879" t="s">
        <v>4141</v>
      </c>
      <c r="J879">
        <v>60</v>
      </c>
      <c r="K879" t="s">
        <v>49</v>
      </c>
      <c r="L879" t="s">
        <v>58</v>
      </c>
      <c r="M879" t="s">
        <v>105</v>
      </c>
      <c r="P879" t="s">
        <v>28</v>
      </c>
      <c r="Q879" t="s">
        <v>4142</v>
      </c>
      <c r="R879" t="s">
        <v>4143</v>
      </c>
      <c r="S879" t="s">
        <v>31</v>
      </c>
      <c r="T879">
        <v>0</v>
      </c>
    </row>
    <row r="880" spans="1:20" x14ac:dyDescent="0.25">
      <c r="A880" t="s">
        <v>4144</v>
      </c>
      <c r="B880" s="1">
        <v>45844</v>
      </c>
      <c r="C880" s="5">
        <v>0.22186342592592592</v>
      </c>
      <c r="D880">
        <v>152.82</v>
      </c>
      <c r="E880" t="s">
        <v>44</v>
      </c>
      <c r="F880" t="s">
        <v>4145</v>
      </c>
      <c r="G880" t="s">
        <v>77</v>
      </c>
      <c r="H880" t="s">
        <v>38</v>
      </c>
      <c r="I880" t="s">
        <v>4146</v>
      </c>
      <c r="J880">
        <v>69</v>
      </c>
      <c r="K880" t="s">
        <v>49</v>
      </c>
      <c r="L880" t="s">
        <v>23</v>
      </c>
      <c r="M880" t="s">
        <v>105</v>
      </c>
      <c r="P880" t="s">
        <v>28</v>
      </c>
      <c r="Q880" t="s">
        <v>4147</v>
      </c>
      <c r="R880" t="s">
        <v>4148</v>
      </c>
      <c r="S880" t="s">
        <v>31</v>
      </c>
      <c r="T880">
        <v>0</v>
      </c>
    </row>
    <row r="881" spans="1:20" x14ac:dyDescent="0.25">
      <c r="A881" t="s">
        <v>4149</v>
      </c>
      <c r="B881" s="1">
        <v>45942</v>
      </c>
      <c r="C881" s="5">
        <v>0.65297453703703701</v>
      </c>
      <c r="D881">
        <v>109.72</v>
      </c>
      <c r="E881" t="s">
        <v>44</v>
      </c>
      <c r="F881" t="s">
        <v>4150</v>
      </c>
      <c r="G881" t="s">
        <v>57</v>
      </c>
      <c r="H881" t="s">
        <v>248</v>
      </c>
      <c r="I881" t="s">
        <v>4151</v>
      </c>
      <c r="J881">
        <v>26</v>
      </c>
      <c r="K881" t="s">
        <v>49</v>
      </c>
      <c r="L881" t="s">
        <v>58</v>
      </c>
      <c r="M881" t="s">
        <v>84</v>
      </c>
      <c r="P881" t="s">
        <v>28</v>
      </c>
      <c r="Q881" t="s">
        <v>4152</v>
      </c>
      <c r="R881" t="s">
        <v>4153</v>
      </c>
      <c r="S881" t="s">
        <v>31</v>
      </c>
      <c r="T881">
        <v>0</v>
      </c>
    </row>
    <row r="882" spans="1:20" x14ac:dyDescent="0.25">
      <c r="A882" t="s">
        <v>4154</v>
      </c>
      <c r="B882" s="1">
        <v>45821</v>
      </c>
      <c r="C882" s="5">
        <v>0.8391319444444445</v>
      </c>
      <c r="D882">
        <v>24.88</v>
      </c>
      <c r="E882" t="s">
        <v>44</v>
      </c>
      <c r="F882" t="s">
        <v>4155</v>
      </c>
      <c r="G882" t="s">
        <v>34</v>
      </c>
      <c r="H882" t="s">
        <v>47</v>
      </c>
      <c r="I882" t="s">
        <v>4156</v>
      </c>
      <c r="J882">
        <v>31</v>
      </c>
      <c r="K882" t="s">
        <v>49</v>
      </c>
      <c r="L882" t="s">
        <v>130</v>
      </c>
      <c r="M882" t="s">
        <v>105</v>
      </c>
      <c r="P882" t="s">
        <v>28</v>
      </c>
      <c r="Q882" t="s">
        <v>4157</v>
      </c>
      <c r="R882" t="s">
        <v>4158</v>
      </c>
      <c r="S882" t="s">
        <v>31</v>
      </c>
      <c r="T882">
        <v>0</v>
      </c>
    </row>
    <row r="883" spans="1:20" x14ac:dyDescent="0.25">
      <c r="A883" t="s">
        <v>4159</v>
      </c>
      <c r="B883" s="1">
        <v>45852</v>
      </c>
      <c r="C883" s="5">
        <v>0.18601851851851853</v>
      </c>
      <c r="D883">
        <v>659.17</v>
      </c>
      <c r="E883" t="s">
        <v>44</v>
      </c>
      <c r="F883" t="s">
        <v>601</v>
      </c>
      <c r="G883" t="s">
        <v>89</v>
      </c>
      <c r="H883" t="s">
        <v>38</v>
      </c>
      <c r="I883" t="s">
        <v>4160</v>
      </c>
      <c r="J883">
        <v>28</v>
      </c>
      <c r="K883" t="s">
        <v>37</v>
      </c>
      <c r="L883" t="s">
        <v>66</v>
      </c>
      <c r="M883" t="s">
        <v>51</v>
      </c>
      <c r="N883" t="s">
        <v>304</v>
      </c>
      <c r="O883">
        <v>403399</v>
      </c>
      <c r="P883" t="s">
        <v>28</v>
      </c>
      <c r="Q883" t="s">
        <v>4161</v>
      </c>
      <c r="R883" t="s">
        <v>4162</v>
      </c>
      <c r="S883" t="s">
        <v>31</v>
      </c>
      <c r="T883">
        <v>0</v>
      </c>
    </row>
    <row r="884" spans="1:20" x14ac:dyDescent="0.25">
      <c r="A884" t="s">
        <v>4163</v>
      </c>
      <c r="B884" s="1">
        <v>45927</v>
      </c>
      <c r="C884" s="5">
        <v>0.38219907407407405</v>
      </c>
      <c r="D884">
        <v>9.7100000000000009</v>
      </c>
      <c r="E884" t="s">
        <v>44</v>
      </c>
      <c r="F884" t="s">
        <v>2277</v>
      </c>
      <c r="G884" t="s">
        <v>46</v>
      </c>
      <c r="H884" t="s">
        <v>35</v>
      </c>
      <c r="I884" t="s">
        <v>4164</v>
      </c>
      <c r="J884">
        <v>11</v>
      </c>
      <c r="K884" t="s">
        <v>49</v>
      </c>
      <c r="L884" t="s">
        <v>38</v>
      </c>
      <c r="M884" t="s">
        <v>27</v>
      </c>
      <c r="P884" t="s">
        <v>28</v>
      </c>
      <c r="Q884" t="s">
        <v>4165</v>
      </c>
      <c r="R884" t="s">
        <v>4166</v>
      </c>
      <c r="S884" t="s">
        <v>31</v>
      </c>
      <c r="T884">
        <v>0</v>
      </c>
    </row>
    <row r="885" spans="1:20" x14ac:dyDescent="0.25">
      <c r="A885" t="s">
        <v>4167</v>
      </c>
      <c r="B885" s="1">
        <v>45853</v>
      </c>
      <c r="C885" s="5">
        <v>0.14547453703703703</v>
      </c>
      <c r="D885">
        <v>782.38</v>
      </c>
      <c r="E885" t="s">
        <v>44</v>
      </c>
      <c r="F885" t="s">
        <v>1583</v>
      </c>
      <c r="G885" t="s">
        <v>46</v>
      </c>
      <c r="H885" t="s">
        <v>23</v>
      </c>
      <c r="I885" t="s">
        <v>4168</v>
      </c>
      <c r="J885">
        <v>29</v>
      </c>
      <c r="K885" t="s">
        <v>25</v>
      </c>
      <c r="L885" t="s">
        <v>248</v>
      </c>
      <c r="M885" t="s">
        <v>27</v>
      </c>
      <c r="P885" t="s">
        <v>28</v>
      </c>
      <c r="Q885" t="s">
        <v>4169</v>
      </c>
      <c r="R885" t="s">
        <v>4170</v>
      </c>
      <c r="S885" t="s">
        <v>31</v>
      </c>
      <c r="T885">
        <v>0</v>
      </c>
    </row>
    <row r="886" spans="1:20" x14ac:dyDescent="0.25">
      <c r="A886" t="s">
        <v>4171</v>
      </c>
      <c r="B886" s="1">
        <v>45897</v>
      </c>
      <c r="C886" s="5">
        <v>0.546875</v>
      </c>
      <c r="D886">
        <v>105.19</v>
      </c>
      <c r="E886" t="s">
        <v>44</v>
      </c>
      <c r="F886" t="s">
        <v>1296</v>
      </c>
      <c r="G886" t="s">
        <v>64</v>
      </c>
      <c r="H886" t="s">
        <v>248</v>
      </c>
      <c r="I886" t="s">
        <v>4172</v>
      </c>
      <c r="J886">
        <v>35</v>
      </c>
      <c r="K886" t="s">
        <v>49</v>
      </c>
      <c r="L886" t="s">
        <v>26</v>
      </c>
      <c r="M886" t="s">
        <v>105</v>
      </c>
      <c r="P886" t="s">
        <v>28</v>
      </c>
      <c r="Q886" t="s">
        <v>4173</v>
      </c>
      <c r="R886" t="s">
        <v>4174</v>
      </c>
      <c r="S886" t="s">
        <v>31</v>
      </c>
      <c r="T886">
        <v>0</v>
      </c>
    </row>
    <row r="887" spans="1:20" x14ac:dyDescent="0.25">
      <c r="A887" t="s">
        <v>4175</v>
      </c>
      <c r="B887" s="1">
        <v>45819</v>
      </c>
      <c r="C887" s="5">
        <v>0.55587962962962967</v>
      </c>
      <c r="D887">
        <v>56.51</v>
      </c>
      <c r="E887" t="s">
        <v>44</v>
      </c>
      <c r="F887" t="s">
        <v>4176</v>
      </c>
      <c r="G887" t="s">
        <v>64</v>
      </c>
      <c r="H887" t="s">
        <v>50</v>
      </c>
      <c r="I887" t="s">
        <v>4177</v>
      </c>
      <c r="J887">
        <v>64</v>
      </c>
      <c r="K887" t="s">
        <v>49</v>
      </c>
      <c r="L887" t="s">
        <v>66</v>
      </c>
      <c r="M887" t="s">
        <v>105</v>
      </c>
      <c r="P887" t="s">
        <v>28</v>
      </c>
      <c r="Q887" t="s">
        <v>4178</v>
      </c>
      <c r="R887" t="s">
        <v>4179</v>
      </c>
      <c r="S887" t="s">
        <v>31</v>
      </c>
      <c r="T887">
        <v>0</v>
      </c>
    </row>
    <row r="888" spans="1:20" x14ac:dyDescent="0.25">
      <c r="A888" t="s">
        <v>4180</v>
      </c>
      <c r="B888" s="1">
        <v>45920</v>
      </c>
      <c r="C888" s="5">
        <v>0.27748842592592593</v>
      </c>
      <c r="D888">
        <v>16.63</v>
      </c>
      <c r="E888" t="s">
        <v>44</v>
      </c>
      <c r="F888" t="s">
        <v>1465</v>
      </c>
      <c r="G888" t="s">
        <v>96</v>
      </c>
      <c r="H888" t="s">
        <v>248</v>
      </c>
      <c r="I888" t="s">
        <v>4181</v>
      </c>
      <c r="J888">
        <v>110</v>
      </c>
      <c r="K888" t="s">
        <v>49</v>
      </c>
      <c r="L888" t="s">
        <v>146</v>
      </c>
      <c r="M888" t="s">
        <v>112</v>
      </c>
      <c r="P888" t="s">
        <v>28</v>
      </c>
      <c r="Q888" t="s">
        <v>4182</v>
      </c>
      <c r="R888" t="s">
        <v>4183</v>
      </c>
      <c r="S888" t="s">
        <v>31</v>
      </c>
      <c r="T888">
        <v>0</v>
      </c>
    </row>
    <row r="889" spans="1:20" x14ac:dyDescent="0.25">
      <c r="A889" t="s">
        <v>4184</v>
      </c>
      <c r="B889" s="1">
        <v>45870</v>
      </c>
      <c r="C889" s="5">
        <v>0.83</v>
      </c>
      <c r="D889">
        <v>184.48</v>
      </c>
      <c r="E889" t="s">
        <v>44</v>
      </c>
      <c r="F889" t="s">
        <v>1257</v>
      </c>
      <c r="G889" t="s">
        <v>57</v>
      </c>
      <c r="H889" t="s">
        <v>47</v>
      </c>
      <c r="I889" t="s">
        <v>233</v>
      </c>
      <c r="J889">
        <v>49</v>
      </c>
      <c r="K889" t="s">
        <v>25</v>
      </c>
      <c r="L889" t="s">
        <v>97</v>
      </c>
      <c r="M889" t="s">
        <v>112</v>
      </c>
      <c r="P889" t="s">
        <v>28</v>
      </c>
      <c r="Q889" t="s">
        <v>4185</v>
      </c>
      <c r="R889" t="s">
        <v>4186</v>
      </c>
      <c r="S889" t="s">
        <v>101</v>
      </c>
      <c r="T889">
        <v>0</v>
      </c>
    </row>
    <row r="890" spans="1:20" x14ac:dyDescent="0.25">
      <c r="A890" t="s">
        <v>4187</v>
      </c>
      <c r="B890" s="1">
        <v>45838</v>
      </c>
      <c r="C890" s="5">
        <v>0.78300925925925924</v>
      </c>
      <c r="D890">
        <v>32.1</v>
      </c>
      <c r="E890" t="s">
        <v>44</v>
      </c>
      <c r="F890" t="s">
        <v>3040</v>
      </c>
      <c r="G890" t="s">
        <v>89</v>
      </c>
      <c r="H890" t="s">
        <v>35</v>
      </c>
      <c r="I890" t="s">
        <v>4188</v>
      </c>
      <c r="J890">
        <v>56</v>
      </c>
      <c r="K890" t="s">
        <v>25</v>
      </c>
      <c r="L890" t="s">
        <v>97</v>
      </c>
      <c r="M890" t="s">
        <v>39</v>
      </c>
      <c r="P890" t="s">
        <v>28</v>
      </c>
      <c r="Q890" t="s">
        <v>4189</v>
      </c>
      <c r="R890" t="s">
        <v>4190</v>
      </c>
      <c r="S890" t="s">
        <v>31</v>
      </c>
      <c r="T890">
        <v>0</v>
      </c>
    </row>
    <row r="891" spans="1:20" x14ac:dyDescent="0.25">
      <c r="A891" t="s">
        <v>4191</v>
      </c>
      <c r="B891" s="1">
        <v>45809</v>
      </c>
      <c r="C891" s="5">
        <v>0.81776620370370368</v>
      </c>
      <c r="D891">
        <v>152.85</v>
      </c>
      <c r="E891" t="s">
        <v>44</v>
      </c>
      <c r="F891" t="s">
        <v>561</v>
      </c>
      <c r="G891" t="s">
        <v>96</v>
      </c>
      <c r="H891" t="s">
        <v>91</v>
      </c>
      <c r="I891" t="s">
        <v>4192</v>
      </c>
      <c r="J891">
        <v>43</v>
      </c>
      <c r="K891" t="s">
        <v>37</v>
      </c>
      <c r="L891" t="s">
        <v>130</v>
      </c>
      <c r="M891" t="s">
        <v>112</v>
      </c>
      <c r="P891" t="s">
        <v>28</v>
      </c>
      <c r="Q891" t="s">
        <v>4193</v>
      </c>
      <c r="R891" t="s">
        <v>4194</v>
      </c>
      <c r="S891" t="s">
        <v>31</v>
      </c>
      <c r="T891">
        <v>0</v>
      </c>
    </row>
    <row r="892" spans="1:20" x14ac:dyDescent="0.25">
      <c r="A892" t="s">
        <v>4195</v>
      </c>
      <c r="B892" s="1">
        <v>45946</v>
      </c>
      <c r="C892" s="5">
        <v>0.43979166666666669</v>
      </c>
      <c r="D892">
        <v>60.17</v>
      </c>
      <c r="E892" t="s">
        <v>44</v>
      </c>
      <c r="F892" t="s">
        <v>3835</v>
      </c>
      <c r="G892" t="s">
        <v>57</v>
      </c>
      <c r="H892" t="s">
        <v>119</v>
      </c>
      <c r="I892" t="s">
        <v>4196</v>
      </c>
      <c r="J892">
        <v>73</v>
      </c>
      <c r="K892" t="s">
        <v>49</v>
      </c>
      <c r="L892" t="s">
        <v>66</v>
      </c>
      <c r="M892" t="s">
        <v>112</v>
      </c>
      <c r="P892" t="s">
        <v>28</v>
      </c>
      <c r="Q892" t="s">
        <v>4197</v>
      </c>
      <c r="R892" t="s">
        <v>4198</v>
      </c>
      <c r="S892" t="s">
        <v>31</v>
      </c>
      <c r="T892">
        <v>0</v>
      </c>
    </row>
    <row r="893" spans="1:20" x14ac:dyDescent="0.25">
      <c r="A893" t="s">
        <v>4199</v>
      </c>
      <c r="B893" s="1">
        <v>45936</v>
      </c>
      <c r="C893" s="5">
        <v>0.76478009259259261</v>
      </c>
      <c r="D893">
        <v>97.94</v>
      </c>
      <c r="E893" t="s">
        <v>44</v>
      </c>
      <c r="F893" t="s">
        <v>2805</v>
      </c>
      <c r="G893" t="s">
        <v>57</v>
      </c>
      <c r="H893" t="s">
        <v>47</v>
      </c>
      <c r="I893" t="s">
        <v>4200</v>
      </c>
      <c r="J893">
        <v>22</v>
      </c>
      <c r="K893" t="s">
        <v>37</v>
      </c>
      <c r="L893" t="s">
        <v>50</v>
      </c>
      <c r="M893" t="s">
        <v>39</v>
      </c>
      <c r="P893" t="s">
        <v>28</v>
      </c>
      <c r="Q893" t="s">
        <v>4201</v>
      </c>
      <c r="R893" t="s">
        <v>4202</v>
      </c>
      <c r="S893" t="s">
        <v>31</v>
      </c>
      <c r="T893">
        <v>0</v>
      </c>
    </row>
    <row r="894" spans="1:20" x14ac:dyDescent="0.25">
      <c r="A894" t="s">
        <v>4203</v>
      </c>
      <c r="B894" s="1">
        <v>45940</v>
      </c>
      <c r="C894" s="5">
        <v>0.2101851851851852</v>
      </c>
      <c r="D894">
        <v>2.25</v>
      </c>
      <c r="E894" t="s">
        <v>44</v>
      </c>
      <c r="F894" t="s">
        <v>2860</v>
      </c>
      <c r="G894" t="s">
        <v>71</v>
      </c>
      <c r="H894" t="s">
        <v>130</v>
      </c>
      <c r="I894" t="s">
        <v>4204</v>
      </c>
      <c r="J894">
        <v>58</v>
      </c>
      <c r="K894" t="s">
        <v>37</v>
      </c>
      <c r="L894" t="s">
        <v>248</v>
      </c>
      <c r="M894" t="s">
        <v>84</v>
      </c>
      <c r="P894" t="s">
        <v>28</v>
      </c>
      <c r="Q894" t="s">
        <v>4205</v>
      </c>
      <c r="R894" t="s">
        <v>4206</v>
      </c>
      <c r="S894" t="s">
        <v>31</v>
      </c>
      <c r="T894">
        <v>0</v>
      </c>
    </row>
    <row r="895" spans="1:20" x14ac:dyDescent="0.25">
      <c r="A895" t="s">
        <v>4207</v>
      </c>
      <c r="B895" s="1">
        <v>45846</v>
      </c>
      <c r="C895" s="5">
        <v>0.59945601851851849</v>
      </c>
      <c r="D895">
        <v>974.73</v>
      </c>
      <c r="E895" t="s">
        <v>44</v>
      </c>
      <c r="F895" t="s">
        <v>733</v>
      </c>
      <c r="G895" t="s">
        <v>89</v>
      </c>
      <c r="H895" t="s">
        <v>66</v>
      </c>
      <c r="I895" t="s">
        <v>4208</v>
      </c>
      <c r="J895">
        <v>49</v>
      </c>
      <c r="K895" t="s">
        <v>25</v>
      </c>
      <c r="L895" t="s">
        <v>110</v>
      </c>
      <c r="M895" t="s">
        <v>84</v>
      </c>
      <c r="P895" t="s">
        <v>28</v>
      </c>
      <c r="Q895" t="s">
        <v>4209</v>
      </c>
      <c r="R895" t="s">
        <v>4210</v>
      </c>
      <c r="S895" t="s">
        <v>31</v>
      </c>
      <c r="T895">
        <v>0</v>
      </c>
    </row>
    <row r="896" spans="1:20" x14ac:dyDescent="0.25">
      <c r="A896" t="s">
        <v>4211</v>
      </c>
      <c r="B896" s="1">
        <v>45806</v>
      </c>
      <c r="C896" s="5">
        <v>0.88519675925925922</v>
      </c>
      <c r="D896">
        <v>11.4</v>
      </c>
      <c r="E896" t="s">
        <v>44</v>
      </c>
      <c r="F896" t="s">
        <v>733</v>
      </c>
      <c r="G896" t="s">
        <v>96</v>
      </c>
      <c r="H896" t="s">
        <v>91</v>
      </c>
      <c r="I896" t="s">
        <v>4212</v>
      </c>
      <c r="J896">
        <v>71</v>
      </c>
      <c r="K896" t="s">
        <v>49</v>
      </c>
      <c r="L896" t="s">
        <v>146</v>
      </c>
      <c r="M896" t="s">
        <v>105</v>
      </c>
      <c r="P896" t="s">
        <v>28</v>
      </c>
      <c r="Q896" t="s">
        <v>4213</v>
      </c>
      <c r="R896" t="s">
        <v>4214</v>
      </c>
      <c r="S896" t="s">
        <v>31</v>
      </c>
      <c r="T896">
        <v>0</v>
      </c>
    </row>
    <row r="897" spans="1:20" x14ac:dyDescent="0.25">
      <c r="A897" t="s">
        <v>4215</v>
      </c>
      <c r="B897" s="1">
        <v>45914</v>
      </c>
      <c r="C897" s="5">
        <v>0.91572916666666671</v>
      </c>
      <c r="D897">
        <v>154.41999999999999</v>
      </c>
      <c r="E897" t="s">
        <v>44</v>
      </c>
      <c r="F897" t="s">
        <v>3284</v>
      </c>
      <c r="G897" t="s">
        <v>22</v>
      </c>
      <c r="H897" t="s">
        <v>146</v>
      </c>
      <c r="I897" t="s">
        <v>4216</v>
      </c>
      <c r="J897">
        <v>33</v>
      </c>
      <c r="K897" t="s">
        <v>49</v>
      </c>
      <c r="L897" t="s">
        <v>91</v>
      </c>
      <c r="M897" t="s">
        <v>51</v>
      </c>
      <c r="N897" t="s">
        <v>870</v>
      </c>
      <c r="O897">
        <v>526885</v>
      </c>
      <c r="P897" t="s">
        <v>28</v>
      </c>
      <c r="Q897" t="s">
        <v>4217</v>
      </c>
      <c r="R897" t="s">
        <v>4218</v>
      </c>
      <c r="S897" t="s">
        <v>31</v>
      </c>
      <c r="T897">
        <v>0</v>
      </c>
    </row>
    <row r="898" spans="1:20" x14ac:dyDescent="0.25">
      <c r="A898" t="s">
        <v>4219</v>
      </c>
      <c r="B898" s="1">
        <v>45892</v>
      </c>
      <c r="C898" s="5">
        <v>0.94429398148148147</v>
      </c>
      <c r="D898">
        <v>645.94000000000005</v>
      </c>
      <c r="E898" t="s">
        <v>44</v>
      </c>
      <c r="F898" t="s">
        <v>1177</v>
      </c>
      <c r="G898" t="s">
        <v>22</v>
      </c>
      <c r="H898" t="s">
        <v>130</v>
      </c>
      <c r="I898" t="s">
        <v>4220</v>
      </c>
      <c r="J898">
        <v>58</v>
      </c>
      <c r="K898" t="s">
        <v>49</v>
      </c>
      <c r="L898" t="s">
        <v>23</v>
      </c>
      <c r="M898" t="s">
        <v>112</v>
      </c>
      <c r="P898" t="s">
        <v>28</v>
      </c>
      <c r="Q898" t="s">
        <v>4221</v>
      </c>
      <c r="R898" t="s">
        <v>4222</v>
      </c>
      <c r="S898" t="s">
        <v>31</v>
      </c>
      <c r="T898">
        <v>0</v>
      </c>
    </row>
    <row r="899" spans="1:20" x14ac:dyDescent="0.25">
      <c r="A899" t="s">
        <v>4223</v>
      </c>
      <c r="B899" s="1">
        <v>45833</v>
      </c>
      <c r="C899" s="5">
        <v>0.57310185185185181</v>
      </c>
      <c r="D899">
        <v>57.88</v>
      </c>
      <c r="E899" t="s">
        <v>44</v>
      </c>
      <c r="F899" t="s">
        <v>4224</v>
      </c>
      <c r="G899" t="s">
        <v>46</v>
      </c>
      <c r="H899" t="s">
        <v>47</v>
      </c>
      <c r="I899" t="s">
        <v>4225</v>
      </c>
      <c r="J899">
        <v>62</v>
      </c>
      <c r="K899" t="s">
        <v>37</v>
      </c>
      <c r="L899" t="s">
        <v>50</v>
      </c>
      <c r="M899" t="s">
        <v>84</v>
      </c>
      <c r="P899" t="s">
        <v>28</v>
      </c>
      <c r="Q899" t="s">
        <v>4226</v>
      </c>
      <c r="R899" t="s">
        <v>4227</v>
      </c>
      <c r="S899" t="s">
        <v>31</v>
      </c>
      <c r="T899">
        <v>0</v>
      </c>
    </row>
    <row r="900" spans="1:20" x14ac:dyDescent="0.25">
      <c r="A900" t="s">
        <v>4228</v>
      </c>
      <c r="B900" s="1">
        <v>45945</v>
      </c>
      <c r="C900" s="5">
        <v>0.84747685185185184</v>
      </c>
      <c r="D900">
        <v>4659.0600000000004</v>
      </c>
      <c r="E900" t="s">
        <v>44</v>
      </c>
      <c r="F900" t="s">
        <v>364</v>
      </c>
      <c r="G900" t="s">
        <v>34</v>
      </c>
      <c r="H900" t="s">
        <v>66</v>
      </c>
      <c r="I900" t="s">
        <v>4229</v>
      </c>
      <c r="J900">
        <v>32</v>
      </c>
      <c r="K900" t="s">
        <v>25</v>
      </c>
      <c r="L900" t="s">
        <v>97</v>
      </c>
      <c r="M900" t="s">
        <v>105</v>
      </c>
      <c r="P900" t="s">
        <v>28</v>
      </c>
      <c r="Q900" t="s">
        <v>4230</v>
      </c>
      <c r="R900" t="s">
        <v>4231</v>
      </c>
      <c r="S900" t="s">
        <v>31</v>
      </c>
      <c r="T900">
        <v>0</v>
      </c>
    </row>
    <row r="901" spans="1:20" x14ac:dyDescent="0.25">
      <c r="A901" t="s">
        <v>4232</v>
      </c>
      <c r="B901" s="1">
        <v>45791</v>
      </c>
      <c r="C901" s="5">
        <v>0.96150462962962968</v>
      </c>
      <c r="D901">
        <v>141.12</v>
      </c>
      <c r="E901" t="s">
        <v>44</v>
      </c>
      <c r="F901" t="s">
        <v>4233</v>
      </c>
      <c r="G901" t="s">
        <v>71</v>
      </c>
      <c r="H901" t="s">
        <v>23</v>
      </c>
      <c r="I901" t="s">
        <v>4234</v>
      </c>
      <c r="J901">
        <v>65</v>
      </c>
      <c r="K901" t="s">
        <v>25</v>
      </c>
      <c r="L901" t="s">
        <v>110</v>
      </c>
      <c r="M901" t="s">
        <v>39</v>
      </c>
      <c r="P901" t="s">
        <v>28</v>
      </c>
      <c r="Q901" t="s">
        <v>4235</v>
      </c>
      <c r="R901" t="s">
        <v>4236</v>
      </c>
      <c r="S901" t="s">
        <v>31</v>
      </c>
      <c r="T901">
        <v>0</v>
      </c>
    </row>
    <row r="902" spans="1:20" x14ac:dyDescent="0.25">
      <c r="A902" t="s">
        <v>4237</v>
      </c>
      <c r="B902" s="1">
        <v>45785</v>
      </c>
      <c r="C902" s="5">
        <v>0.56122685185185184</v>
      </c>
      <c r="D902">
        <v>147.34</v>
      </c>
      <c r="E902" t="s">
        <v>44</v>
      </c>
      <c r="F902" t="s">
        <v>3696</v>
      </c>
      <c r="G902" t="s">
        <v>34</v>
      </c>
      <c r="H902" t="s">
        <v>130</v>
      </c>
      <c r="I902" t="s">
        <v>4238</v>
      </c>
      <c r="J902">
        <v>24</v>
      </c>
      <c r="K902" t="s">
        <v>25</v>
      </c>
      <c r="L902" t="s">
        <v>23</v>
      </c>
      <c r="M902" t="s">
        <v>39</v>
      </c>
      <c r="P902" t="s">
        <v>28</v>
      </c>
      <c r="Q902" t="s">
        <v>4239</v>
      </c>
      <c r="R902" t="s">
        <v>4240</v>
      </c>
      <c r="S902" t="s">
        <v>42</v>
      </c>
      <c r="T902">
        <v>0</v>
      </c>
    </row>
    <row r="903" spans="1:20" x14ac:dyDescent="0.25">
      <c r="A903" t="s">
        <v>4241</v>
      </c>
      <c r="B903" s="1">
        <v>45818</v>
      </c>
      <c r="C903" s="5">
        <v>0.18172453703703703</v>
      </c>
      <c r="D903">
        <v>144.83000000000001</v>
      </c>
      <c r="E903" t="s">
        <v>44</v>
      </c>
      <c r="F903" t="s">
        <v>4242</v>
      </c>
      <c r="G903" t="s">
        <v>34</v>
      </c>
      <c r="H903" t="s">
        <v>58</v>
      </c>
      <c r="I903" t="s">
        <v>4243</v>
      </c>
      <c r="J903">
        <v>49</v>
      </c>
      <c r="K903" t="s">
        <v>49</v>
      </c>
      <c r="L903" t="s">
        <v>47</v>
      </c>
      <c r="M903" t="s">
        <v>39</v>
      </c>
      <c r="P903" t="s">
        <v>28</v>
      </c>
      <c r="Q903" t="s">
        <v>4244</v>
      </c>
      <c r="R903" t="s">
        <v>2907</v>
      </c>
      <c r="S903" t="s">
        <v>31</v>
      </c>
      <c r="T903">
        <v>0</v>
      </c>
    </row>
    <row r="904" spans="1:20" x14ac:dyDescent="0.25">
      <c r="A904" t="s">
        <v>4245</v>
      </c>
      <c r="B904" s="1">
        <v>45812</v>
      </c>
      <c r="C904" s="5">
        <v>3.4641203703703702E-2</v>
      </c>
      <c r="D904">
        <v>63.01</v>
      </c>
      <c r="E904" t="s">
        <v>44</v>
      </c>
      <c r="F904" t="s">
        <v>4246</v>
      </c>
      <c r="G904" t="s">
        <v>124</v>
      </c>
      <c r="H904" t="s">
        <v>66</v>
      </c>
      <c r="I904" t="s">
        <v>4247</v>
      </c>
      <c r="J904">
        <v>66</v>
      </c>
      <c r="K904" t="s">
        <v>25</v>
      </c>
      <c r="L904" t="s">
        <v>50</v>
      </c>
      <c r="M904" t="s">
        <v>84</v>
      </c>
      <c r="P904" t="s">
        <v>28</v>
      </c>
      <c r="Q904" t="s">
        <v>4248</v>
      </c>
      <c r="R904" t="s">
        <v>4249</v>
      </c>
      <c r="S904" t="s">
        <v>31</v>
      </c>
      <c r="T904">
        <v>0</v>
      </c>
    </row>
    <row r="905" spans="1:20" x14ac:dyDescent="0.25">
      <c r="A905" t="s">
        <v>4250</v>
      </c>
      <c r="B905" s="1">
        <v>45884</v>
      </c>
      <c r="C905" s="5">
        <v>0.24903935185185186</v>
      </c>
      <c r="D905">
        <v>99.05</v>
      </c>
      <c r="E905" t="s">
        <v>44</v>
      </c>
      <c r="F905" t="s">
        <v>959</v>
      </c>
      <c r="G905" t="s">
        <v>71</v>
      </c>
      <c r="H905" t="s">
        <v>97</v>
      </c>
      <c r="I905" t="s">
        <v>4251</v>
      </c>
      <c r="J905">
        <v>32</v>
      </c>
      <c r="K905" t="s">
        <v>37</v>
      </c>
      <c r="L905" t="s">
        <v>119</v>
      </c>
      <c r="M905" t="s">
        <v>84</v>
      </c>
      <c r="P905" t="s">
        <v>28</v>
      </c>
      <c r="Q905" t="s">
        <v>4252</v>
      </c>
      <c r="R905" t="s">
        <v>4253</v>
      </c>
      <c r="S905" t="s">
        <v>31</v>
      </c>
      <c r="T905">
        <v>0</v>
      </c>
    </row>
    <row r="906" spans="1:20" x14ac:dyDescent="0.25">
      <c r="A906" t="s">
        <v>4254</v>
      </c>
      <c r="B906" s="1">
        <v>45784</v>
      </c>
      <c r="C906" s="5">
        <v>0.67656249999999996</v>
      </c>
      <c r="D906">
        <v>33.659999999999997</v>
      </c>
      <c r="E906" t="s">
        <v>44</v>
      </c>
      <c r="F906" t="s">
        <v>2428</v>
      </c>
      <c r="G906" t="s">
        <v>57</v>
      </c>
      <c r="H906" t="s">
        <v>91</v>
      </c>
      <c r="I906" t="s">
        <v>4255</v>
      </c>
      <c r="J906">
        <v>75</v>
      </c>
      <c r="K906" t="s">
        <v>25</v>
      </c>
      <c r="L906" t="s">
        <v>97</v>
      </c>
      <c r="M906" t="s">
        <v>51</v>
      </c>
      <c r="N906" t="s">
        <v>507</v>
      </c>
      <c r="O906">
        <v>500671</v>
      </c>
      <c r="P906" t="s">
        <v>28</v>
      </c>
      <c r="Q906" t="s">
        <v>4256</v>
      </c>
      <c r="R906" t="s">
        <v>4257</v>
      </c>
      <c r="S906" t="s">
        <v>31</v>
      </c>
      <c r="T906">
        <v>0</v>
      </c>
    </row>
    <row r="907" spans="1:20" x14ac:dyDescent="0.25">
      <c r="A907" t="s">
        <v>4258</v>
      </c>
      <c r="B907" s="1">
        <v>45903</v>
      </c>
      <c r="C907" s="5">
        <v>0.20028935185185184</v>
      </c>
      <c r="D907">
        <v>68.5</v>
      </c>
      <c r="E907" t="s">
        <v>44</v>
      </c>
      <c r="F907" t="s">
        <v>3748</v>
      </c>
      <c r="G907" t="s">
        <v>77</v>
      </c>
      <c r="H907" t="s">
        <v>38</v>
      </c>
      <c r="I907" t="s">
        <v>4259</v>
      </c>
      <c r="J907">
        <v>52</v>
      </c>
      <c r="K907" t="s">
        <v>37</v>
      </c>
      <c r="L907" t="s">
        <v>91</v>
      </c>
      <c r="M907" t="s">
        <v>84</v>
      </c>
      <c r="P907" t="s">
        <v>28</v>
      </c>
      <c r="Q907" t="s">
        <v>4260</v>
      </c>
      <c r="R907" t="s">
        <v>4261</v>
      </c>
      <c r="S907" t="s">
        <v>31</v>
      </c>
      <c r="T907">
        <v>0</v>
      </c>
    </row>
    <row r="908" spans="1:20" x14ac:dyDescent="0.25">
      <c r="A908" t="s">
        <v>4262</v>
      </c>
      <c r="B908" s="1">
        <v>45934</v>
      </c>
      <c r="C908" s="5">
        <v>0.14753472222222222</v>
      </c>
      <c r="D908">
        <v>818.36</v>
      </c>
      <c r="E908" t="s">
        <v>44</v>
      </c>
      <c r="F908" t="s">
        <v>4263</v>
      </c>
      <c r="G908" t="s">
        <v>46</v>
      </c>
      <c r="H908" t="s">
        <v>26</v>
      </c>
      <c r="I908" t="s">
        <v>4264</v>
      </c>
      <c r="J908">
        <v>54</v>
      </c>
      <c r="K908" t="s">
        <v>49</v>
      </c>
      <c r="L908" t="s">
        <v>58</v>
      </c>
      <c r="M908" t="s">
        <v>84</v>
      </c>
      <c r="P908" t="s">
        <v>28</v>
      </c>
      <c r="Q908" t="s">
        <v>4265</v>
      </c>
      <c r="R908" t="s">
        <v>4266</v>
      </c>
      <c r="S908" t="s">
        <v>31</v>
      </c>
      <c r="T908">
        <v>0</v>
      </c>
    </row>
    <row r="909" spans="1:20" x14ac:dyDescent="0.25">
      <c r="A909" t="s">
        <v>4267</v>
      </c>
      <c r="B909" s="1">
        <v>45833</v>
      </c>
      <c r="C909" s="5">
        <v>0.59320601851851851</v>
      </c>
      <c r="D909">
        <v>32.25</v>
      </c>
      <c r="E909" t="s">
        <v>44</v>
      </c>
      <c r="F909" t="s">
        <v>1524</v>
      </c>
      <c r="G909" t="s">
        <v>57</v>
      </c>
      <c r="H909" t="s">
        <v>130</v>
      </c>
      <c r="I909" t="s">
        <v>4268</v>
      </c>
      <c r="J909">
        <v>60</v>
      </c>
      <c r="K909" t="s">
        <v>25</v>
      </c>
      <c r="L909" t="s">
        <v>119</v>
      </c>
      <c r="M909" t="s">
        <v>112</v>
      </c>
      <c r="P909" t="s">
        <v>28</v>
      </c>
      <c r="Q909" t="s">
        <v>4269</v>
      </c>
      <c r="R909" t="s">
        <v>4270</v>
      </c>
      <c r="S909" t="s">
        <v>31</v>
      </c>
      <c r="T909">
        <v>0</v>
      </c>
    </row>
    <row r="910" spans="1:20" x14ac:dyDescent="0.25">
      <c r="A910" t="s">
        <v>4271</v>
      </c>
      <c r="B910" s="1">
        <v>45842</v>
      </c>
      <c r="C910" s="5">
        <v>0.58715277777777775</v>
      </c>
      <c r="D910">
        <v>36.67</v>
      </c>
      <c r="E910" t="s">
        <v>44</v>
      </c>
      <c r="F910" t="s">
        <v>2846</v>
      </c>
      <c r="G910" t="s">
        <v>34</v>
      </c>
      <c r="H910" t="s">
        <v>58</v>
      </c>
      <c r="I910" t="s">
        <v>4272</v>
      </c>
      <c r="J910">
        <v>42</v>
      </c>
      <c r="K910" t="s">
        <v>49</v>
      </c>
      <c r="L910" t="s">
        <v>119</v>
      </c>
      <c r="M910" t="s">
        <v>27</v>
      </c>
      <c r="P910" t="s">
        <v>28</v>
      </c>
      <c r="Q910" t="s">
        <v>4273</v>
      </c>
      <c r="R910" t="s">
        <v>4274</v>
      </c>
      <c r="S910" t="s">
        <v>31</v>
      </c>
      <c r="T910">
        <v>0</v>
      </c>
    </row>
    <row r="911" spans="1:20" x14ac:dyDescent="0.25">
      <c r="A911" t="s">
        <v>4275</v>
      </c>
      <c r="B911" s="1">
        <v>45784</v>
      </c>
      <c r="C911" s="5">
        <v>0.61380787037037032</v>
      </c>
      <c r="D911">
        <v>104.37</v>
      </c>
      <c r="E911" t="s">
        <v>44</v>
      </c>
      <c r="F911" t="s">
        <v>3193</v>
      </c>
      <c r="G911" t="s">
        <v>124</v>
      </c>
      <c r="H911" t="s">
        <v>35</v>
      </c>
      <c r="I911" t="s">
        <v>4276</v>
      </c>
      <c r="J911">
        <v>23</v>
      </c>
      <c r="K911" t="s">
        <v>37</v>
      </c>
      <c r="L911" t="s">
        <v>146</v>
      </c>
      <c r="M911" t="s">
        <v>51</v>
      </c>
      <c r="N911" t="s">
        <v>52</v>
      </c>
      <c r="O911">
        <v>482143</v>
      </c>
      <c r="P911" t="s">
        <v>28</v>
      </c>
      <c r="Q911" t="s">
        <v>4277</v>
      </c>
      <c r="R911" t="s">
        <v>4278</v>
      </c>
      <c r="S911" t="s">
        <v>31</v>
      </c>
      <c r="T911">
        <v>0</v>
      </c>
    </row>
    <row r="912" spans="1:20" x14ac:dyDescent="0.25">
      <c r="A912" t="s">
        <v>4279</v>
      </c>
      <c r="B912" s="1">
        <v>45825</v>
      </c>
      <c r="C912" s="5">
        <v>0.73285879629629624</v>
      </c>
      <c r="D912">
        <v>83.66</v>
      </c>
      <c r="E912" t="s">
        <v>44</v>
      </c>
      <c r="F912" t="s">
        <v>1366</v>
      </c>
      <c r="G912" t="s">
        <v>71</v>
      </c>
      <c r="H912" t="s">
        <v>26</v>
      </c>
      <c r="I912" t="s">
        <v>4280</v>
      </c>
      <c r="J912">
        <v>63</v>
      </c>
      <c r="K912" t="s">
        <v>25</v>
      </c>
      <c r="L912" t="s">
        <v>38</v>
      </c>
      <c r="M912" t="s">
        <v>39</v>
      </c>
      <c r="P912" t="s">
        <v>28</v>
      </c>
      <c r="Q912" t="s">
        <v>4281</v>
      </c>
      <c r="R912" t="s">
        <v>4282</v>
      </c>
      <c r="S912" t="s">
        <v>31</v>
      </c>
      <c r="T912">
        <v>0</v>
      </c>
    </row>
    <row r="913" spans="1:20" x14ac:dyDescent="0.25">
      <c r="A913" t="s">
        <v>4283</v>
      </c>
      <c r="B913" s="1">
        <v>45851</v>
      </c>
      <c r="C913" s="5">
        <v>0.99159722222222224</v>
      </c>
      <c r="D913">
        <v>97.12</v>
      </c>
      <c r="E913" t="s">
        <v>44</v>
      </c>
      <c r="F913" t="s">
        <v>4284</v>
      </c>
      <c r="G913" t="s">
        <v>77</v>
      </c>
      <c r="H913" t="s">
        <v>110</v>
      </c>
      <c r="I913" t="s">
        <v>4285</v>
      </c>
      <c r="K913" t="s">
        <v>49</v>
      </c>
      <c r="L913" t="s">
        <v>110</v>
      </c>
      <c r="M913" t="s">
        <v>84</v>
      </c>
      <c r="P913" t="s">
        <v>113</v>
      </c>
      <c r="Q913" t="s">
        <v>4286</v>
      </c>
      <c r="R913" t="s">
        <v>4287</v>
      </c>
      <c r="S913" t="s">
        <v>31</v>
      </c>
      <c r="T913">
        <v>0</v>
      </c>
    </row>
    <row r="914" spans="1:20" x14ac:dyDescent="0.25">
      <c r="A914" t="s">
        <v>4288</v>
      </c>
      <c r="B914" s="1">
        <v>45889</v>
      </c>
      <c r="C914" s="5">
        <v>0.82196759259259256</v>
      </c>
      <c r="D914">
        <v>50.15</v>
      </c>
      <c r="E914" t="s">
        <v>44</v>
      </c>
      <c r="F914" t="s">
        <v>644</v>
      </c>
      <c r="G914" t="s">
        <v>46</v>
      </c>
      <c r="H914" t="s">
        <v>26</v>
      </c>
      <c r="I914" t="s">
        <v>4289</v>
      </c>
      <c r="J914">
        <v>63</v>
      </c>
      <c r="K914" t="s">
        <v>49</v>
      </c>
      <c r="L914" t="s">
        <v>58</v>
      </c>
      <c r="M914" t="s">
        <v>39</v>
      </c>
      <c r="P914" t="s">
        <v>28</v>
      </c>
      <c r="Q914" t="s">
        <v>4290</v>
      </c>
      <c r="R914" t="s">
        <v>4291</v>
      </c>
      <c r="S914" t="s">
        <v>31</v>
      </c>
      <c r="T914">
        <v>0</v>
      </c>
    </row>
    <row r="915" spans="1:20" x14ac:dyDescent="0.25">
      <c r="A915" t="s">
        <v>4292</v>
      </c>
      <c r="B915" s="1">
        <v>45914</v>
      </c>
      <c r="C915" s="5">
        <v>0.39195601851851852</v>
      </c>
      <c r="D915">
        <v>69.56</v>
      </c>
      <c r="E915" t="s">
        <v>44</v>
      </c>
      <c r="F915" t="s">
        <v>4293</v>
      </c>
      <c r="G915" t="s">
        <v>96</v>
      </c>
      <c r="H915" t="s">
        <v>146</v>
      </c>
      <c r="I915" t="s">
        <v>4294</v>
      </c>
      <c r="J915">
        <v>36</v>
      </c>
      <c r="K915" t="s">
        <v>37</v>
      </c>
      <c r="L915" t="s">
        <v>47</v>
      </c>
      <c r="M915" t="s">
        <v>105</v>
      </c>
      <c r="P915" t="s">
        <v>28</v>
      </c>
      <c r="Q915" t="s">
        <v>4295</v>
      </c>
      <c r="R915" t="s">
        <v>4296</v>
      </c>
      <c r="S915" t="s">
        <v>31</v>
      </c>
      <c r="T915">
        <v>0</v>
      </c>
    </row>
    <row r="916" spans="1:20" x14ac:dyDescent="0.25">
      <c r="A916" t="s">
        <v>4297</v>
      </c>
      <c r="B916" s="1">
        <v>45851</v>
      </c>
      <c r="C916" s="5">
        <v>0.26928240740740739</v>
      </c>
      <c r="D916">
        <v>135.96</v>
      </c>
      <c r="E916" t="s">
        <v>44</v>
      </c>
      <c r="F916" t="s">
        <v>1558</v>
      </c>
      <c r="G916" t="s">
        <v>46</v>
      </c>
      <c r="H916" t="s">
        <v>97</v>
      </c>
      <c r="I916" t="s">
        <v>4298</v>
      </c>
      <c r="J916">
        <v>56</v>
      </c>
      <c r="K916" t="s">
        <v>25</v>
      </c>
      <c r="L916" t="s">
        <v>50</v>
      </c>
      <c r="M916" t="s">
        <v>112</v>
      </c>
      <c r="P916" t="s">
        <v>28</v>
      </c>
      <c r="Q916" t="s">
        <v>4299</v>
      </c>
      <c r="R916" t="s">
        <v>4300</v>
      </c>
      <c r="S916" t="s">
        <v>31</v>
      </c>
      <c r="T916">
        <v>0</v>
      </c>
    </row>
    <row r="917" spans="1:20" x14ac:dyDescent="0.25">
      <c r="A917" t="s">
        <v>4301</v>
      </c>
      <c r="B917" s="1">
        <v>45819</v>
      </c>
      <c r="C917" s="5">
        <v>0.6744444444444444</v>
      </c>
      <c r="D917">
        <v>950.08</v>
      </c>
      <c r="E917" t="s">
        <v>44</v>
      </c>
      <c r="F917" t="s">
        <v>3017</v>
      </c>
      <c r="G917" t="s">
        <v>71</v>
      </c>
      <c r="H917" t="s">
        <v>91</v>
      </c>
      <c r="I917" t="s">
        <v>4302</v>
      </c>
      <c r="J917">
        <v>45</v>
      </c>
      <c r="K917" t="s">
        <v>25</v>
      </c>
      <c r="L917" t="s">
        <v>248</v>
      </c>
      <c r="M917" t="s">
        <v>84</v>
      </c>
      <c r="P917" t="s">
        <v>28</v>
      </c>
      <c r="Q917" t="s">
        <v>4303</v>
      </c>
      <c r="R917" t="s">
        <v>4304</v>
      </c>
      <c r="S917" t="s">
        <v>31</v>
      </c>
      <c r="T917">
        <v>0</v>
      </c>
    </row>
    <row r="918" spans="1:20" x14ac:dyDescent="0.25">
      <c r="A918" t="s">
        <v>4305</v>
      </c>
      <c r="B918" s="1">
        <v>45877</v>
      </c>
      <c r="C918" s="5">
        <v>0.71141203703703704</v>
      </c>
      <c r="D918">
        <v>135.47999999999999</v>
      </c>
      <c r="E918" t="s">
        <v>44</v>
      </c>
      <c r="F918" t="s">
        <v>4306</v>
      </c>
      <c r="G918" t="s">
        <v>22</v>
      </c>
      <c r="H918" t="s">
        <v>47</v>
      </c>
      <c r="I918" t="s">
        <v>2345</v>
      </c>
      <c r="J918">
        <v>91</v>
      </c>
      <c r="K918" t="s">
        <v>49</v>
      </c>
      <c r="L918" t="s">
        <v>38</v>
      </c>
      <c r="M918" t="s">
        <v>105</v>
      </c>
      <c r="P918" t="s">
        <v>28</v>
      </c>
      <c r="Q918" t="s">
        <v>4307</v>
      </c>
      <c r="R918" t="s">
        <v>4308</v>
      </c>
      <c r="S918" t="s">
        <v>31</v>
      </c>
      <c r="T918">
        <v>0</v>
      </c>
    </row>
    <row r="919" spans="1:20" x14ac:dyDescent="0.25">
      <c r="A919" t="s">
        <v>4309</v>
      </c>
      <c r="B919" s="1">
        <v>45908</v>
      </c>
      <c r="C919" s="5">
        <v>0.17302083333333335</v>
      </c>
      <c r="D919">
        <v>32.92</v>
      </c>
      <c r="E919" t="s">
        <v>44</v>
      </c>
      <c r="F919" t="s">
        <v>4310</v>
      </c>
      <c r="G919" t="s">
        <v>96</v>
      </c>
      <c r="H919" t="s">
        <v>50</v>
      </c>
      <c r="I919" t="s">
        <v>4311</v>
      </c>
      <c r="J919">
        <v>54</v>
      </c>
      <c r="K919" t="s">
        <v>25</v>
      </c>
      <c r="L919" t="s">
        <v>58</v>
      </c>
      <c r="M919" t="s">
        <v>27</v>
      </c>
      <c r="P919" t="s">
        <v>28</v>
      </c>
      <c r="Q919" t="s">
        <v>4312</v>
      </c>
      <c r="R919" t="s">
        <v>4313</v>
      </c>
      <c r="S919" t="s">
        <v>101</v>
      </c>
      <c r="T919">
        <v>0</v>
      </c>
    </row>
    <row r="920" spans="1:20" x14ac:dyDescent="0.25">
      <c r="A920" t="s">
        <v>4314</v>
      </c>
      <c r="B920" s="1">
        <v>45913</v>
      </c>
      <c r="C920" s="5">
        <v>0.89677083333333329</v>
      </c>
      <c r="D920">
        <v>52.22</v>
      </c>
      <c r="E920" t="s">
        <v>44</v>
      </c>
      <c r="F920" t="s">
        <v>3656</v>
      </c>
      <c r="G920" t="s">
        <v>96</v>
      </c>
      <c r="H920" t="s">
        <v>130</v>
      </c>
      <c r="I920" t="s">
        <v>4315</v>
      </c>
      <c r="J920">
        <v>33</v>
      </c>
      <c r="K920" t="s">
        <v>37</v>
      </c>
      <c r="L920" t="s">
        <v>110</v>
      </c>
      <c r="M920" t="s">
        <v>112</v>
      </c>
      <c r="P920" t="s">
        <v>28</v>
      </c>
      <c r="Q920" t="s">
        <v>4316</v>
      </c>
      <c r="R920" t="s">
        <v>4317</v>
      </c>
      <c r="S920" t="s">
        <v>31</v>
      </c>
      <c r="T920">
        <v>0</v>
      </c>
    </row>
    <row r="921" spans="1:20" x14ac:dyDescent="0.25">
      <c r="A921" t="s">
        <v>4318</v>
      </c>
      <c r="B921" s="1">
        <v>45892</v>
      </c>
      <c r="C921" s="5">
        <v>0.75</v>
      </c>
      <c r="D921">
        <v>30.23</v>
      </c>
      <c r="E921" t="s">
        <v>44</v>
      </c>
      <c r="F921" t="s">
        <v>4319</v>
      </c>
      <c r="G921" t="s">
        <v>22</v>
      </c>
      <c r="H921" t="s">
        <v>26</v>
      </c>
      <c r="I921" t="s">
        <v>4320</v>
      </c>
      <c r="J921">
        <v>66</v>
      </c>
      <c r="K921" t="s">
        <v>49</v>
      </c>
      <c r="L921" t="s">
        <v>58</v>
      </c>
      <c r="M921" t="s">
        <v>112</v>
      </c>
      <c r="P921" t="s">
        <v>28</v>
      </c>
      <c r="Q921" t="s">
        <v>4321</v>
      </c>
      <c r="R921" t="s">
        <v>4322</v>
      </c>
      <c r="S921" t="s">
        <v>31</v>
      </c>
      <c r="T921">
        <v>0</v>
      </c>
    </row>
    <row r="922" spans="1:20" x14ac:dyDescent="0.25">
      <c r="A922" t="s">
        <v>4323</v>
      </c>
      <c r="B922" s="1">
        <v>45782</v>
      </c>
      <c r="C922" s="5">
        <v>0.75875000000000004</v>
      </c>
      <c r="D922">
        <v>133.68</v>
      </c>
      <c r="E922" t="s">
        <v>44</v>
      </c>
      <c r="F922" t="s">
        <v>4324</v>
      </c>
      <c r="G922" t="s">
        <v>64</v>
      </c>
      <c r="H922" t="s">
        <v>66</v>
      </c>
      <c r="I922" t="s">
        <v>4325</v>
      </c>
      <c r="J922">
        <v>35</v>
      </c>
      <c r="K922" t="s">
        <v>37</v>
      </c>
      <c r="L922" t="s">
        <v>248</v>
      </c>
      <c r="M922" t="s">
        <v>51</v>
      </c>
      <c r="N922" t="s">
        <v>507</v>
      </c>
      <c r="O922">
        <v>512872</v>
      </c>
      <c r="P922" t="s">
        <v>28</v>
      </c>
      <c r="Q922" t="s">
        <v>4326</v>
      </c>
      <c r="R922" t="s">
        <v>4327</v>
      </c>
      <c r="S922" t="s">
        <v>31</v>
      </c>
      <c r="T922">
        <v>0</v>
      </c>
    </row>
    <row r="923" spans="1:20" x14ac:dyDescent="0.25">
      <c r="A923" t="s">
        <v>4328</v>
      </c>
      <c r="B923" s="1">
        <v>45889</v>
      </c>
      <c r="C923" s="5">
        <v>0.59538194444444448</v>
      </c>
      <c r="D923">
        <v>55.56</v>
      </c>
      <c r="E923" t="s">
        <v>44</v>
      </c>
      <c r="F923" t="s">
        <v>4329</v>
      </c>
      <c r="G923" t="s">
        <v>124</v>
      </c>
      <c r="H923" t="s">
        <v>146</v>
      </c>
      <c r="I923" t="s">
        <v>4330</v>
      </c>
      <c r="J923">
        <v>51</v>
      </c>
      <c r="K923" t="s">
        <v>49</v>
      </c>
      <c r="L923" t="s">
        <v>26</v>
      </c>
      <c r="M923" t="s">
        <v>112</v>
      </c>
      <c r="P923" t="s">
        <v>28</v>
      </c>
      <c r="Q923" t="s">
        <v>4331</v>
      </c>
      <c r="R923" t="s">
        <v>4332</v>
      </c>
      <c r="S923" t="s">
        <v>31</v>
      </c>
      <c r="T923">
        <v>1</v>
      </c>
    </row>
    <row r="924" spans="1:20" x14ac:dyDescent="0.25">
      <c r="A924" t="s">
        <v>4333</v>
      </c>
      <c r="B924" s="1">
        <v>45794</v>
      </c>
      <c r="C924" s="5">
        <v>0.87192129629629633</v>
      </c>
      <c r="D924">
        <v>75.209999999999994</v>
      </c>
      <c r="E924" t="s">
        <v>44</v>
      </c>
      <c r="F924" t="s">
        <v>1153</v>
      </c>
      <c r="G924" t="s">
        <v>124</v>
      </c>
      <c r="H924" t="s">
        <v>91</v>
      </c>
      <c r="I924" t="s">
        <v>4334</v>
      </c>
      <c r="J924">
        <v>47</v>
      </c>
      <c r="K924" t="s">
        <v>49</v>
      </c>
      <c r="L924" t="s">
        <v>97</v>
      </c>
      <c r="M924" t="s">
        <v>51</v>
      </c>
      <c r="N924" t="s">
        <v>173</v>
      </c>
      <c r="O924">
        <v>543168</v>
      </c>
      <c r="P924" t="s">
        <v>28</v>
      </c>
      <c r="Q924" t="s">
        <v>4335</v>
      </c>
      <c r="R924" t="s">
        <v>4336</v>
      </c>
      <c r="S924" t="s">
        <v>42</v>
      </c>
      <c r="T924">
        <v>0</v>
      </c>
    </row>
    <row r="925" spans="1:20" x14ac:dyDescent="0.25">
      <c r="A925" t="s">
        <v>4337</v>
      </c>
      <c r="B925" s="1">
        <v>45918</v>
      </c>
      <c r="C925" s="5">
        <v>0.81571759259259258</v>
      </c>
      <c r="D925">
        <v>85.68</v>
      </c>
      <c r="E925" t="s">
        <v>44</v>
      </c>
      <c r="F925" t="s">
        <v>1729</v>
      </c>
      <c r="G925" t="s">
        <v>57</v>
      </c>
      <c r="H925" t="s">
        <v>26</v>
      </c>
      <c r="I925" t="s">
        <v>4338</v>
      </c>
      <c r="J925">
        <v>55</v>
      </c>
      <c r="K925" t="s">
        <v>49</v>
      </c>
      <c r="L925" t="s">
        <v>110</v>
      </c>
      <c r="M925" t="s">
        <v>27</v>
      </c>
      <c r="P925" t="s">
        <v>28</v>
      </c>
      <c r="Q925" t="s">
        <v>4339</v>
      </c>
      <c r="R925" t="s">
        <v>4340</v>
      </c>
      <c r="S925" t="s">
        <v>31</v>
      </c>
      <c r="T925">
        <v>0</v>
      </c>
    </row>
    <row r="926" spans="1:20" x14ac:dyDescent="0.25">
      <c r="A926" t="s">
        <v>4341</v>
      </c>
      <c r="B926" s="1">
        <v>45797</v>
      </c>
      <c r="C926" s="5">
        <v>0.64248842592592592</v>
      </c>
      <c r="D926">
        <v>2355.92</v>
      </c>
      <c r="E926" t="s">
        <v>44</v>
      </c>
      <c r="F926" t="s">
        <v>505</v>
      </c>
      <c r="G926" t="s">
        <v>89</v>
      </c>
      <c r="H926" t="s">
        <v>58</v>
      </c>
      <c r="I926" t="s">
        <v>4342</v>
      </c>
      <c r="J926">
        <v>56</v>
      </c>
      <c r="K926" t="s">
        <v>25</v>
      </c>
      <c r="L926" t="s">
        <v>26</v>
      </c>
      <c r="M926" t="s">
        <v>112</v>
      </c>
      <c r="P926" t="s">
        <v>28</v>
      </c>
      <c r="Q926" t="s">
        <v>4343</v>
      </c>
      <c r="R926" t="s">
        <v>4344</v>
      </c>
      <c r="S926" t="s">
        <v>31</v>
      </c>
      <c r="T926">
        <v>0</v>
      </c>
    </row>
    <row r="927" spans="1:20" x14ac:dyDescent="0.25">
      <c r="A927" t="s">
        <v>4345</v>
      </c>
      <c r="B927" s="1">
        <v>45909</v>
      </c>
      <c r="C927" s="5">
        <v>0.43699074074074074</v>
      </c>
      <c r="D927">
        <v>134.07</v>
      </c>
      <c r="E927" t="s">
        <v>44</v>
      </c>
      <c r="F927" t="s">
        <v>423</v>
      </c>
      <c r="G927" t="s">
        <v>89</v>
      </c>
      <c r="H927" t="s">
        <v>130</v>
      </c>
      <c r="I927" t="s">
        <v>4346</v>
      </c>
      <c r="J927">
        <v>46</v>
      </c>
      <c r="K927" t="s">
        <v>49</v>
      </c>
      <c r="L927" t="s">
        <v>130</v>
      </c>
      <c r="M927" t="s">
        <v>27</v>
      </c>
      <c r="P927" t="s">
        <v>113</v>
      </c>
      <c r="Q927" t="s">
        <v>4347</v>
      </c>
      <c r="R927" t="s">
        <v>4348</v>
      </c>
      <c r="S927" t="s">
        <v>31</v>
      </c>
      <c r="T927">
        <v>0</v>
      </c>
    </row>
    <row r="928" spans="1:20" x14ac:dyDescent="0.25">
      <c r="A928" t="s">
        <v>4349</v>
      </c>
      <c r="B928" s="1">
        <v>45885</v>
      </c>
      <c r="C928" s="5">
        <v>0.41651620370370368</v>
      </c>
      <c r="D928">
        <v>88.21</v>
      </c>
      <c r="E928" t="s">
        <v>44</v>
      </c>
      <c r="F928" t="s">
        <v>4350</v>
      </c>
      <c r="G928" t="s">
        <v>77</v>
      </c>
      <c r="H928" t="s">
        <v>35</v>
      </c>
      <c r="I928" t="s">
        <v>4351</v>
      </c>
      <c r="J928">
        <v>41</v>
      </c>
      <c r="K928" t="s">
        <v>37</v>
      </c>
      <c r="L928" t="s">
        <v>23</v>
      </c>
      <c r="M928" t="s">
        <v>84</v>
      </c>
      <c r="P928" t="s">
        <v>28</v>
      </c>
      <c r="Q928" t="s">
        <v>4352</v>
      </c>
      <c r="R928" t="s">
        <v>4353</v>
      </c>
      <c r="S928" t="s">
        <v>31</v>
      </c>
      <c r="T928">
        <v>0</v>
      </c>
    </row>
    <row r="929" spans="1:20" x14ac:dyDescent="0.25">
      <c r="A929" t="s">
        <v>4354</v>
      </c>
      <c r="B929" s="1">
        <v>45855</v>
      </c>
      <c r="C929" s="5">
        <v>0.60832175925925924</v>
      </c>
      <c r="D929">
        <v>121.2</v>
      </c>
      <c r="E929" t="s">
        <v>44</v>
      </c>
      <c r="F929" t="s">
        <v>4355</v>
      </c>
      <c r="G929" t="s">
        <v>124</v>
      </c>
      <c r="H929" t="s">
        <v>50</v>
      </c>
      <c r="I929" t="s">
        <v>4356</v>
      </c>
      <c r="J929">
        <v>66</v>
      </c>
      <c r="K929" t="s">
        <v>25</v>
      </c>
      <c r="L929" t="s">
        <v>110</v>
      </c>
      <c r="M929" t="s">
        <v>27</v>
      </c>
      <c r="P929" t="s">
        <v>28</v>
      </c>
      <c r="Q929" t="s">
        <v>4357</v>
      </c>
      <c r="R929" t="s">
        <v>4358</v>
      </c>
      <c r="S929" t="s">
        <v>31</v>
      </c>
      <c r="T929">
        <v>0</v>
      </c>
    </row>
    <row r="930" spans="1:20" x14ac:dyDescent="0.25">
      <c r="A930" t="s">
        <v>4359</v>
      </c>
      <c r="B930" s="1">
        <v>45868</v>
      </c>
      <c r="C930" s="5">
        <v>0.63215277777777779</v>
      </c>
      <c r="D930">
        <v>46.02</v>
      </c>
      <c r="E930" t="s">
        <v>44</v>
      </c>
      <c r="F930" t="s">
        <v>2707</v>
      </c>
      <c r="G930" t="s">
        <v>22</v>
      </c>
      <c r="H930" t="s">
        <v>91</v>
      </c>
      <c r="I930" t="s">
        <v>4360</v>
      </c>
      <c r="J930">
        <v>69</v>
      </c>
      <c r="K930" t="s">
        <v>37</v>
      </c>
      <c r="L930" t="s">
        <v>91</v>
      </c>
      <c r="M930" t="s">
        <v>39</v>
      </c>
      <c r="P930" t="s">
        <v>113</v>
      </c>
      <c r="Q930" t="s">
        <v>4361</v>
      </c>
      <c r="R930" t="s">
        <v>4362</v>
      </c>
      <c r="S930" t="s">
        <v>31</v>
      </c>
      <c r="T930">
        <v>0</v>
      </c>
    </row>
    <row r="931" spans="1:20" x14ac:dyDescent="0.25">
      <c r="A931" t="s">
        <v>4363</v>
      </c>
      <c r="B931" s="1">
        <v>45844</v>
      </c>
      <c r="C931" s="5">
        <v>0.31318287037037035</v>
      </c>
      <c r="D931">
        <v>813.61</v>
      </c>
      <c r="E931" t="s">
        <v>44</v>
      </c>
      <c r="F931" t="s">
        <v>4364</v>
      </c>
      <c r="G931" t="s">
        <v>71</v>
      </c>
      <c r="H931" t="s">
        <v>66</v>
      </c>
      <c r="I931" t="s">
        <v>4365</v>
      </c>
      <c r="J931">
        <v>20</v>
      </c>
      <c r="K931" t="s">
        <v>25</v>
      </c>
      <c r="L931" t="s">
        <v>66</v>
      </c>
      <c r="M931" t="s">
        <v>39</v>
      </c>
      <c r="P931" t="s">
        <v>113</v>
      </c>
      <c r="Q931" t="s">
        <v>4366</v>
      </c>
      <c r="R931" t="s">
        <v>4367</v>
      </c>
      <c r="S931" t="s">
        <v>31</v>
      </c>
      <c r="T931">
        <v>0</v>
      </c>
    </row>
    <row r="932" spans="1:20" x14ac:dyDescent="0.25">
      <c r="A932" t="s">
        <v>4368</v>
      </c>
      <c r="B932" s="1">
        <v>45931</v>
      </c>
      <c r="C932" s="5">
        <v>0.72362268518518513</v>
      </c>
      <c r="D932">
        <v>106.84</v>
      </c>
      <c r="E932" t="s">
        <v>44</v>
      </c>
      <c r="F932" t="s">
        <v>4369</v>
      </c>
      <c r="G932" t="s">
        <v>57</v>
      </c>
      <c r="H932" t="s">
        <v>248</v>
      </c>
      <c r="I932" t="s">
        <v>4370</v>
      </c>
      <c r="J932">
        <v>43</v>
      </c>
      <c r="K932" t="s">
        <v>25</v>
      </c>
      <c r="L932" t="s">
        <v>50</v>
      </c>
      <c r="M932" t="s">
        <v>84</v>
      </c>
      <c r="P932" t="s">
        <v>28</v>
      </c>
      <c r="Q932" t="s">
        <v>4371</v>
      </c>
      <c r="R932" t="s">
        <v>4372</v>
      </c>
      <c r="S932" t="s">
        <v>31</v>
      </c>
      <c r="T932">
        <v>0</v>
      </c>
    </row>
    <row r="933" spans="1:20" x14ac:dyDescent="0.25">
      <c r="A933" t="s">
        <v>4373</v>
      </c>
      <c r="B933" s="1">
        <v>45802</v>
      </c>
      <c r="C933" s="5">
        <v>0.67113425925925929</v>
      </c>
      <c r="D933">
        <v>31.58</v>
      </c>
      <c r="E933" t="s">
        <v>44</v>
      </c>
      <c r="F933" t="s">
        <v>4374</v>
      </c>
      <c r="G933" t="s">
        <v>77</v>
      </c>
      <c r="H933" t="s">
        <v>119</v>
      </c>
      <c r="I933" t="s">
        <v>4375</v>
      </c>
      <c r="J933">
        <v>53</v>
      </c>
      <c r="K933" t="s">
        <v>49</v>
      </c>
      <c r="L933" t="s">
        <v>91</v>
      </c>
      <c r="M933" t="s">
        <v>112</v>
      </c>
      <c r="P933" t="s">
        <v>28</v>
      </c>
      <c r="Q933" t="s">
        <v>4376</v>
      </c>
      <c r="R933" t="s">
        <v>4377</v>
      </c>
      <c r="S933" t="s">
        <v>31</v>
      </c>
      <c r="T933">
        <v>0</v>
      </c>
    </row>
    <row r="934" spans="1:20" x14ac:dyDescent="0.25">
      <c r="A934" t="s">
        <v>4378</v>
      </c>
      <c r="B934" s="1">
        <v>45898</v>
      </c>
      <c r="C934" s="5">
        <v>0.41182870370370372</v>
      </c>
      <c r="D934">
        <v>116.21</v>
      </c>
      <c r="E934" t="s">
        <v>44</v>
      </c>
      <c r="F934" t="s">
        <v>4379</v>
      </c>
      <c r="G934" t="s">
        <v>22</v>
      </c>
      <c r="H934" t="s">
        <v>97</v>
      </c>
      <c r="I934" t="s">
        <v>4380</v>
      </c>
      <c r="J934">
        <v>40</v>
      </c>
      <c r="K934" t="s">
        <v>37</v>
      </c>
      <c r="L934" t="s">
        <v>23</v>
      </c>
      <c r="M934" t="s">
        <v>51</v>
      </c>
      <c r="N934" t="s">
        <v>304</v>
      </c>
      <c r="O934">
        <v>474497</v>
      </c>
      <c r="P934" t="s">
        <v>28</v>
      </c>
      <c r="Q934" t="s">
        <v>4381</v>
      </c>
      <c r="R934" t="s">
        <v>4382</v>
      </c>
      <c r="S934" t="s">
        <v>31</v>
      </c>
      <c r="T934">
        <v>0</v>
      </c>
    </row>
    <row r="935" spans="1:20" x14ac:dyDescent="0.25">
      <c r="A935" t="s">
        <v>4383</v>
      </c>
      <c r="B935" s="1">
        <v>45872</v>
      </c>
      <c r="C935" s="5">
        <v>0.88734953703703701</v>
      </c>
      <c r="D935">
        <v>678.58</v>
      </c>
      <c r="E935" t="s">
        <v>44</v>
      </c>
      <c r="F935" t="s">
        <v>4016</v>
      </c>
      <c r="G935" t="s">
        <v>71</v>
      </c>
      <c r="H935" t="s">
        <v>248</v>
      </c>
      <c r="I935" t="s">
        <v>4384</v>
      </c>
      <c r="J935">
        <v>43</v>
      </c>
      <c r="K935" t="s">
        <v>37</v>
      </c>
      <c r="L935" t="s">
        <v>35</v>
      </c>
      <c r="M935" t="s">
        <v>27</v>
      </c>
      <c r="P935" t="s">
        <v>28</v>
      </c>
      <c r="Q935" t="s">
        <v>4385</v>
      </c>
      <c r="R935" t="s">
        <v>4386</v>
      </c>
      <c r="S935" t="s">
        <v>31</v>
      </c>
      <c r="T935">
        <v>0</v>
      </c>
    </row>
    <row r="936" spans="1:20" x14ac:dyDescent="0.25">
      <c r="A936" t="s">
        <v>4387</v>
      </c>
      <c r="B936" s="1">
        <v>45908</v>
      </c>
      <c r="C936" s="5">
        <v>2.1458333333333333E-2</v>
      </c>
      <c r="D936">
        <v>571.95000000000005</v>
      </c>
      <c r="E936" t="s">
        <v>44</v>
      </c>
      <c r="F936" t="s">
        <v>467</v>
      </c>
      <c r="G936" t="s">
        <v>34</v>
      </c>
      <c r="H936" t="s">
        <v>50</v>
      </c>
      <c r="I936" t="s">
        <v>4388</v>
      </c>
      <c r="J936">
        <v>64</v>
      </c>
      <c r="K936" t="s">
        <v>49</v>
      </c>
      <c r="L936" t="s">
        <v>50</v>
      </c>
      <c r="M936" t="s">
        <v>39</v>
      </c>
      <c r="P936" t="s">
        <v>113</v>
      </c>
      <c r="Q936" t="s">
        <v>4389</v>
      </c>
      <c r="R936" t="s">
        <v>4390</v>
      </c>
      <c r="S936" t="s">
        <v>31</v>
      </c>
      <c r="T936">
        <v>0</v>
      </c>
    </row>
    <row r="937" spans="1:20" x14ac:dyDescent="0.25">
      <c r="A937" t="s">
        <v>4391</v>
      </c>
      <c r="B937" s="1">
        <v>45953</v>
      </c>
      <c r="C937" s="5">
        <v>0.29443287037037036</v>
      </c>
      <c r="D937">
        <v>55.77</v>
      </c>
      <c r="E937" t="s">
        <v>44</v>
      </c>
      <c r="F937" t="s">
        <v>1869</v>
      </c>
      <c r="G937" t="s">
        <v>96</v>
      </c>
      <c r="H937" t="s">
        <v>47</v>
      </c>
      <c r="I937" t="s">
        <v>4392</v>
      </c>
      <c r="J937">
        <v>36</v>
      </c>
      <c r="K937" t="s">
        <v>37</v>
      </c>
      <c r="L937" t="s">
        <v>130</v>
      </c>
      <c r="M937" t="s">
        <v>84</v>
      </c>
      <c r="P937" t="s">
        <v>28</v>
      </c>
      <c r="Q937" t="s">
        <v>4393</v>
      </c>
      <c r="R937" t="s">
        <v>4394</v>
      </c>
      <c r="S937" t="s">
        <v>42</v>
      </c>
      <c r="T937">
        <v>0</v>
      </c>
    </row>
    <row r="938" spans="1:20" x14ac:dyDescent="0.25">
      <c r="A938" t="s">
        <v>4395</v>
      </c>
      <c r="B938" s="1">
        <v>45861</v>
      </c>
      <c r="C938" s="5">
        <v>0.42248842592592595</v>
      </c>
      <c r="D938">
        <v>781.79</v>
      </c>
      <c r="E938" t="s">
        <v>44</v>
      </c>
      <c r="F938" t="s">
        <v>2494</v>
      </c>
      <c r="G938" t="s">
        <v>46</v>
      </c>
      <c r="H938" t="s">
        <v>130</v>
      </c>
      <c r="I938" t="s">
        <v>4396</v>
      </c>
      <c r="J938">
        <v>19</v>
      </c>
      <c r="K938" t="s">
        <v>25</v>
      </c>
      <c r="L938" t="s">
        <v>47</v>
      </c>
      <c r="M938" t="s">
        <v>39</v>
      </c>
      <c r="P938" t="s">
        <v>28</v>
      </c>
      <c r="Q938" t="s">
        <v>4397</v>
      </c>
      <c r="R938" t="s">
        <v>4398</v>
      </c>
      <c r="S938" t="s">
        <v>31</v>
      </c>
      <c r="T938">
        <v>0</v>
      </c>
    </row>
    <row r="939" spans="1:20" x14ac:dyDescent="0.25">
      <c r="A939" t="s">
        <v>4399</v>
      </c>
      <c r="B939" s="1">
        <v>45920</v>
      </c>
      <c r="C939" s="5">
        <v>0.99049768518518522</v>
      </c>
      <c r="D939">
        <v>163.78</v>
      </c>
      <c r="E939" t="s">
        <v>44</v>
      </c>
      <c r="F939" t="s">
        <v>3270</v>
      </c>
      <c r="G939" t="s">
        <v>89</v>
      </c>
      <c r="H939" t="s">
        <v>47</v>
      </c>
      <c r="I939" t="s">
        <v>4400</v>
      </c>
      <c r="J939">
        <v>47</v>
      </c>
      <c r="K939" t="s">
        <v>49</v>
      </c>
      <c r="L939" t="s">
        <v>248</v>
      </c>
      <c r="M939" t="s">
        <v>51</v>
      </c>
      <c r="N939" t="s">
        <v>52</v>
      </c>
      <c r="O939">
        <v>546455</v>
      </c>
      <c r="P939" t="s">
        <v>28</v>
      </c>
      <c r="Q939" t="s">
        <v>4401</v>
      </c>
      <c r="R939" t="s">
        <v>4402</v>
      </c>
      <c r="S939" t="s">
        <v>31</v>
      </c>
      <c r="T939">
        <v>0</v>
      </c>
    </row>
    <row r="940" spans="1:20" x14ac:dyDescent="0.25">
      <c r="A940" t="s">
        <v>4403</v>
      </c>
      <c r="B940" s="1">
        <v>45848</v>
      </c>
      <c r="C940" s="5">
        <v>0.51475694444444442</v>
      </c>
      <c r="D940">
        <v>153.41999999999999</v>
      </c>
      <c r="E940" t="s">
        <v>44</v>
      </c>
      <c r="F940" t="s">
        <v>123</v>
      </c>
      <c r="G940" t="s">
        <v>34</v>
      </c>
      <c r="H940" t="s">
        <v>38</v>
      </c>
      <c r="I940" t="s">
        <v>4404</v>
      </c>
      <c r="J940">
        <v>45</v>
      </c>
      <c r="K940" t="s">
        <v>25</v>
      </c>
      <c r="L940" t="s">
        <v>66</v>
      </c>
      <c r="M940" t="s">
        <v>51</v>
      </c>
      <c r="N940" t="s">
        <v>52</v>
      </c>
      <c r="O940">
        <v>436259</v>
      </c>
      <c r="P940" t="s">
        <v>28</v>
      </c>
      <c r="Q940" t="s">
        <v>4405</v>
      </c>
      <c r="R940" t="s">
        <v>4406</v>
      </c>
      <c r="S940" t="s">
        <v>101</v>
      </c>
      <c r="T940">
        <v>0</v>
      </c>
    </row>
    <row r="941" spans="1:20" x14ac:dyDescent="0.25">
      <c r="A941" t="s">
        <v>4407</v>
      </c>
      <c r="B941" s="1">
        <v>45892</v>
      </c>
      <c r="C941" s="5">
        <v>0.3135648148148148</v>
      </c>
      <c r="D941">
        <v>187.44</v>
      </c>
      <c r="E941" t="s">
        <v>44</v>
      </c>
      <c r="F941" t="s">
        <v>4379</v>
      </c>
      <c r="G941" t="s">
        <v>124</v>
      </c>
      <c r="H941" t="s">
        <v>248</v>
      </c>
      <c r="I941" t="s">
        <v>4408</v>
      </c>
      <c r="J941">
        <v>18</v>
      </c>
      <c r="K941" t="s">
        <v>25</v>
      </c>
      <c r="L941" t="s">
        <v>23</v>
      </c>
      <c r="M941" t="s">
        <v>51</v>
      </c>
      <c r="N941" t="s">
        <v>173</v>
      </c>
      <c r="O941">
        <v>517670</v>
      </c>
      <c r="P941" t="s">
        <v>28</v>
      </c>
      <c r="Q941" t="s">
        <v>4409</v>
      </c>
      <c r="R941" t="s">
        <v>4410</v>
      </c>
      <c r="S941" t="s">
        <v>31</v>
      </c>
      <c r="T941">
        <v>0</v>
      </c>
    </row>
    <row r="942" spans="1:20" x14ac:dyDescent="0.25">
      <c r="A942" t="s">
        <v>4411</v>
      </c>
      <c r="B942" s="1">
        <v>45950</v>
      </c>
      <c r="C942" s="5">
        <v>0.11350694444444444</v>
      </c>
      <c r="D942">
        <v>103.79</v>
      </c>
      <c r="E942" t="s">
        <v>44</v>
      </c>
      <c r="F942" t="s">
        <v>4412</v>
      </c>
      <c r="G942" t="s">
        <v>71</v>
      </c>
      <c r="H942" t="s">
        <v>91</v>
      </c>
      <c r="I942" t="s">
        <v>4413</v>
      </c>
      <c r="J942">
        <v>45</v>
      </c>
      <c r="K942" t="s">
        <v>37</v>
      </c>
      <c r="L942" t="s">
        <v>38</v>
      </c>
      <c r="M942" t="s">
        <v>105</v>
      </c>
      <c r="P942" t="s">
        <v>28</v>
      </c>
      <c r="Q942" t="s">
        <v>4414</v>
      </c>
      <c r="R942" t="s">
        <v>4415</v>
      </c>
      <c r="S942" t="s">
        <v>31</v>
      </c>
      <c r="T942">
        <v>1</v>
      </c>
    </row>
    <row r="943" spans="1:20" x14ac:dyDescent="0.25">
      <c r="A943" t="s">
        <v>4416</v>
      </c>
      <c r="B943" s="1">
        <v>45937</v>
      </c>
      <c r="C943" s="5">
        <v>0.25262731481481482</v>
      </c>
      <c r="D943">
        <v>43.99</v>
      </c>
      <c r="E943" t="s">
        <v>44</v>
      </c>
      <c r="F943" t="s">
        <v>3261</v>
      </c>
      <c r="G943" t="s">
        <v>71</v>
      </c>
      <c r="H943" t="s">
        <v>50</v>
      </c>
      <c r="I943" t="s">
        <v>4417</v>
      </c>
      <c r="J943">
        <v>37</v>
      </c>
      <c r="K943" t="s">
        <v>37</v>
      </c>
      <c r="L943" t="s">
        <v>38</v>
      </c>
      <c r="M943" t="s">
        <v>51</v>
      </c>
      <c r="N943" t="s">
        <v>173</v>
      </c>
      <c r="O943">
        <v>556096</v>
      </c>
      <c r="P943" t="s">
        <v>28</v>
      </c>
      <c r="Q943" t="s">
        <v>4418</v>
      </c>
      <c r="R943" t="s">
        <v>4419</v>
      </c>
      <c r="S943" t="s">
        <v>31</v>
      </c>
      <c r="T943">
        <v>0</v>
      </c>
    </row>
    <row r="944" spans="1:20" x14ac:dyDescent="0.25">
      <c r="A944" t="s">
        <v>4420</v>
      </c>
      <c r="B944" s="1">
        <v>45798</v>
      </c>
      <c r="C944" s="5">
        <v>0.72317129629629628</v>
      </c>
      <c r="D944">
        <v>29.78</v>
      </c>
      <c r="E944" t="s">
        <v>44</v>
      </c>
      <c r="F944" t="s">
        <v>4421</v>
      </c>
      <c r="G944" t="s">
        <v>77</v>
      </c>
      <c r="H944" t="s">
        <v>35</v>
      </c>
      <c r="I944" t="s">
        <v>4422</v>
      </c>
      <c r="J944">
        <v>30</v>
      </c>
      <c r="K944" t="s">
        <v>25</v>
      </c>
      <c r="L944" t="s">
        <v>26</v>
      </c>
      <c r="M944" t="s">
        <v>84</v>
      </c>
      <c r="P944" t="s">
        <v>28</v>
      </c>
      <c r="Q944" t="s">
        <v>4423</v>
      </c>
      <c r="R944" t="s">
        <v>4424</v>
      </c>
      <c r="S944" t="s">
        <v>31</v>
      </c>
      <c r="T944">
        <v>0</v>
      </c>
    </row>
    <row r="945" spans="1:20" x14ac:dyDescent="0.25">
      <c r="A945" t="s">
        <v>4425</v>
      </c>
      <c r="B945" s="1">
        <v>45852</v>
      </c>
      <c r="C945" s="5">
        <v>0.61159722222222224</v>
      </c>
      <c r="D945">
        <v>13.96</v>
      </c>
      <c r="E945" t="s">
        <v>44</v>
      </c>
      <c r="F945" t="s">
        <v>1470</v>
      </c>
      <c r="G945" t="s">
        <v>64</v>
      </c>
      <c r="H945" t="s">
        <v>58</v>
      </c>
      <c r="I945" t="s">
        <v>4426</v>
      </c>
      <c r="J945">
        <v>57</v>
      </c>
      <c r="K945" t="s">
        <v>37</v>
      </c>
      <c r="L945" t="s">
        <v>58</v>
      </c>
      <c r="M945" t="s">
        <v>27</v>
      </c>
      <c r="P945" t="s">
        <v>113</v>
      </c>
      <c r="Q945" t="s">
        <v>4427</v>
      </c>
      <c r="R945" t="s">
        <v>4428</v>
      </c>
      <c r="S945" t="s">
        <v>31</v>
      </c>
      <c r="T945">
        <v>0</v>
      </c>
    </row>
    <row r="946" spans="1:20" x14ac:dyDescent="0.25">
      <c r="A946" t="s">
        <v>4429</v>
      </c>
      <c r="B946" s="1">
        <v>45837</v>
      </c>
      <c r="C946" s="5">
        <v>0.85748842592592589</v>
      </c>
      <c r="D946">
        <v>695.79</v>
      </c>
      <c r="E946" t="s">
        <v>44</v>
      </c>
      <c r="F946" t="s">
        <v>4430</v>
      </c>
      <c r="G946" t="s">
        <v>96</v>
      </c>
      <c r="H946" t="s">
        <v>119</v>
      </c>
      <c r="I946" t="s">
        <v>4431</v>
      </c>
      <c r="J946">
        <v>21</v>
      </c>
      <c r="K946" t="s">
        <v>37</v>
      </c>
      <c r="L946" t="s">
        <v>130</v>
      </c>
      <c r="M946" t="s">
        <v>39</v>
      </c>
      <c r="P946" t="s">
        <v>28</v>
      </c>
      <c r="Q946" t="s">
        <v>4432</v>
      </c>
      <c r="R946" t="s">
        <v>4433</v>
      </c>
      <c r="S946" t="s">
        <v>31</v>
      </c>
      <c r="T946">
        <v>0</v>
      </c>
    </row>
    <row r="947" spans="1:20" x14ac:dyDescent="0.25">
      <c r="A947" t="s">
        <v>4434</v>
      </c>
      <c r="B947" s="1">
        <v>45795</v>
      </c>
      <c r="C947" s="5">
        <v>0.83083333333333331</v>
      </c>
      <c r="D947">
        <v>875.35</v>
      </c>
      <c r="E947" t="s">
        <v>44</v>
      </c>
      <c r="F947" t="s">
        <v>2966</v>
      </c>
      <c r="G947" t="s">
        <v>22</v>
      </c>
      <c r="H947" t="s">
        <v>130</v>
      </c>
      <c r="I947" t="s">
        <v>4435</v>
      </c>
      <c r="J947">
        <v>68</v>
      </c>
      <c r="K947" t="s">
        <v>25</v>
      </c>
      <c r="L947" t="s">
        <v>38</v>
      </c>
      <c r="M947" t="s">
        <v>112</v>
      </c>
      <c r="P947" t="s">
        <v>28</v>
      </c>
      <c r="Q947" t="s">
        <v>4436</v>
      </c>
      <c r="R947" t="s">
        <v>4437</v>
      </c>
      <c r="S947" t="s">
        <v>31</v>
      </c>
      <c r="T947">
        <v>0</v>
      </c>
    </row>
    <row r="948" spans="1:20" x14ac:dyDescent="0.25">
      <c r="A948" t="s">
        <v>4438</v>
      </c>
      <c r="B948" s="1">
        <v>45866</v>
      </c>
      <c r="C948" s="5">
        <v>0.57681712962962961</v>
      </c>
      <c r="D948">
        <v>111.43</v>
      </c>
      <c r="E948" t="s">
        <v>44</v>
      </c>
      <c r="F948" t="s">
        <v>1252</v>
      </c>
      <c r="G948" t="s">
        <v>57</v>
      </c>
      <c r="H948" t="s">
        <v>146</v>
      </c>
      <c r="I948" t="s">
        <v>4439</v>
      </c>
      <c r="J948">
        <v>57</v>
      </c>
      <c r="K948" t="s">
        <v>49</v>
      </c>
      <c r="L948" t="s">
        <v>38</v>
      </c>
      <c r="M948" t="s">
        <v>39</v>
      </c>
      <c r="P948" t="s">
        <v>28</v>
      </c>
      <c r="Q948" t="s">
        <v>4440</v>
      </c>
      <c r="R948" t="s">
        <v>4441</v>
      </c>
      <c r="S948" t="s">
        <v>31</v>
      </c>
      <c r="T948">
        <v>0</v>
      </c>
    </row>
    <row r="949" spans="1:20" x14ac:dyDescent="0.25">
      <c r="A949" t="s">
        <v>4442</v>
      </c>
      <c r="B949" s="1">
        <v>45815</v>
      </c>
      <c r="C949" s="5">
        <v>0.83915509259259258</v>
      </c>
      <c r="D949">
        <v>408.79</v>
      </c>
      <c r="E949" t="s">
        <v>44</v>
      </c>
      <c r="F949" t="s">
        <v>4443</v>
      </c>
      <c r="G949" t="s">
        <v>64</v>
      </c>
      <c r="H949" t="s">
        <v>38</v>
      </c>
      <c r="I949" t="s">
        <v>4444</v>
      </c>
      <c r="J949">
        <v>27</v>
      </c>
      <c r="K949" t="s">
        <v>49</v>
      </c>
      <c r="L949" t="s">
        <v>38</v>
      </c>
      <c r="M949" t="s">
        <v>39</v>
      </c>
      <c r="P949" t="s">
        <v>113</v>
      </c>
      <c r="Q949" t="s">
        <v>4445</v>
      </c>
      <c r="R949" t="s">
        <v>4446</v>
      </c>
      <c r="S949" t="s">
        <v>31</v>
      </c>
      <c r="T949">
        <v>0</v>
      </c>
    </row>
    <row r="950" spans="1:20" x14ac:dyDescent="0.25">
      <c r="A950" t="s">
        <v>4447</v>
      </c>
      <c r="B950" s="1">
        <v>45877</v>
      </c>
      <c r="C950" s="5">
        <v>0.58656249999999999</v>
      </c>
      <c r="D950">
        <v>180.95</v>
      </c>
      <c r="E950" t="s">
        <v>44</v>
      </c>
      <c r="F950" t="s">
        <v>4448</v>
      </c>
      <c r="G950" t="s">
        <v>46</v>
      </c>
      <c r="H950" t="s">
        <v>23</v>
      </c>
      <c r="I950" t="s">
        <v>4449</v>
      </c>
      <c r="J950">
        <v>53</v>
      </c>
      <c r="K950" t="s">
        <v>37</v>
      </c>
      <c r="L950" t="s">
        <v>91</v>
      </c>
      <c r="M950" t="s">
        <v>27</v>
      </c>
      <c r="P950" t="s">
        <v>28</v>
      </c>
      <c r="Q950" t="s">
        <v>4450</v>
      </c>
      <c r="R950" t="s">
        <v>4451</v>
      </c>
      <c r="S950" t="s">
        <v>31</v>
      </c>
      <c r="T950">
        <v>0</v>
      </c>
    </row>
    <row r="951" spans="1:20" x14ac:dyDescent="0.25">
      <c r="A951" t="s">
        <v>4452</v>
      </c>
      <c r="B951" s="1">
        <v>45898</v>
      </c>
      <c r="C951" s="5">
        <v>0.77964120370370371</v>
      </c>
      <c r="D951">
        <v>4.55</v>
      </c>
      <c r="E951" t="s">
        <v>44</v>
      </c>
      <c r="F951" t="s">
        <v>2980</v>
      </c>
      <c r="G951" t="s">
        <v>96</v>
      </c>
      <c r="H951" t="s">
        <v>58</v>
      </c>
      <c r="I951" t="s">
        <v>4453</v>
      </c>
      <c r="J951">
        <v>46</v>
      </c>
      <c r="K951" t="s">
        <v>37</v>
      </c>
      <c r="L951" t="s">
        <v>35</v>
      </c>
      <c r="M951" t="s">
        <v>27</v>
      </c>
      <c r="P951" t="s">
        <v>28</v>
      </c>
      <c r="Q951" t="s">
        <v>4454</v>
      </c>
      <c r="R951" t="s">
        <v>4455</v>
      </c>
      <c r="S951" t="s">
        <v>31</v>
      </c>
      <c r="T951">
        <v>0</v>
      </c>
    </row>
    <row r="952" spans="1:20" x14ac:dyDescent="0.25">
      <c r="A952" t="s">
        <v>4456</v>
      </c>
      <c r="B952" s="1">
        <v>45862</v>
      </c>
      <c r="C952" s="5">
        <v>0.11313657407407407</v>
      </c>
      <c r="D952">
        <v>146.54</v>
      </c>
      <c r="E952" t="s">
        <v>44</v>
      </c>
      <c r="F952" t="s">
        <v>2865</v>
      </c>
      <c r="G952" t="s">
        <v>124</v>
      </c>
      <c r="H952" t="s">
        <v>38</v>
      </c>
      <c r="I952" t="s">
        <v>3244</v>
      </c>
      <c r="K952" t="s">
        <v>49</v>
      </c>
      <c r="L952" t="s">
        <v>91</v>
      </c>
      <c r="M952" t="s">
        <v>51</v>
      </c>
      <c r="N952" t="s">
        <v>52</v>
      </c>
      <c r="O952">
        <v>534550</v>
      </c>
      <c r="P952" t="s">
        <v>28</v>
      </c>
      <c r="Q952" t="s">
        <v>4457</v>
      </c>
      <c r="R952" t="s">
        <v>4458</v>
      </c>
      <c r="S952" t="s">
        <v>31</v>
      </c>
      <c r="T952">
        <v>0</v>
      </c>
    </row>
    <row r="953" spans="1:20" x14ac:dyDescent="0.25">
      <c r="A953" t="s">
        <v>4459</v>
      </c>
      <c r="B953" s="1">
        <v>45926</v>
      </c>
      <c r="C953" s="5">
        <v>0.33537037037037037</v>
      </c>
      <c r="D953">
        <v>53</v>
      </c>
      <c r="E953" t="s">
        <v>44</v>
      </c>
      <c r="F953" t="s">
        <v>4072</v>
      </c>
      <c r="G953" t="s">
        <v>71</v>
      </c>
      <c r="H953" t="s">
        <v>91</v>
      </c>
      <c r="I953" t="s">
        <v>4460</v>
      </c>
      <c r="K953" t="s">
        <v>49</v>
      </c>
      <c r="L953" t="s">
        <v>47</v>
      </c>
      <c r="M953" t="s">
        <v>84</v>
      </c>
      <c r="P953" t="s">
        <v>28</v>
      </c>
      <c r="Q953" t="s">
        <v>4461</v>
      </c>
      <c r="R953" t="s">
        <v>4462</v>
      </c>
      <c r="S953" t="s">
        <v>31</v>
      </c>
      <c r="T953">
        <v>0</v>
      </c>
    </row>
    <row r="954" spans="1:20" x14ac:dyDescent="0.25">
      <c r="A954" t="s">
        <v>4463</v>
      </c>
      <c r="B954" s="1">
        <v>45882</v>
      </c>
      <c r="C954" s="5">
        <v>4.3692129629629629E-2</v>
      </c>
      <c r="D954">
        <v>580.54999999999995</v>
      </c>
      <c r="E954" t="s">
        <v>44</v>
      </c>
      <c r="F954" t="s">
        <v>4464</v>
      </c>
      <c r="G954" t="s">
        <v>77</v>
      </c>
      <c r="H954" t="s">
        <v>91</v>
      </c>
      <c r="I954" t="s">
        <v>4465</v>
      </c>
      <c r="J954">
        <v>28</v>
      </c>
      <c r="K954" t="s">
        <v>37</v>
      </c>
      <c r="L954" t="s">
        <v>119</v>
      </c>
      <c r="M954" t="s">
        <v>112</v>
      </c>
      <c r="P954" t="s">
        <v>28</v>
      </c>
      <c r="Q954" t="s">
        <v>4466</v>
      </c>
      <c r="R954" t="s">
        <v>4467</v>
      </c>
      <c r="S954" t="s">
        <v>31</v>
      </c>
      <c r="T954">
        <v>0</v>
      </c>
    </row>
    <row r="955" spans="1:20" x14ac:dyDescent="0.25">
      <c r="A955" t="s">
        <v>4468</v>
      </c>
      <c r="B955" s="1">
        <v>45802</v>
      </c>
      <c r="C955" s="5">
        <v>5.5821759259259258E-2</v>
      </c>
      <c r="D955">
        <v>4793.59</v>
      </c>
      <c r="E955" t="s">
        <v>44</v>
      </c>
      <c r="F955" t="s">
        <v>1398</v>
      </c>
      <c r="G955" t="s">
        <v>71</v>
      </c>
      <c r="H955" t="s">
        <v>23</v>
      </c>
      <c r="I955" t="s">
        <v>4469</v>
      </c>
      <c r="J955">
        <v>25</v>
      </c>
      <c r="K955" t="s">
        <v>49</v>
      </c>
      <c r="L955" t="s">
        <v>66</v>
      </c>
      <c r="M955" t="s">
        <v>105</v>
      </c>
      <c r="P955" t="s">
        <v>28</v>
      </c>
      <c r="Q955" t="s">
        <v>4470</v>
      </c>
      <c r="R955" t="s">
        <v>4471</v>
      </c>
      <c r="S955" t="s">
        <v>31</v>
      </c>
      <c r="T955">
        <v>0</v>
      </c>
    </row>
    <row r="956" spans="1:20" x14ac:dyDescent="0.25">
      <c r="A956" t="s">
        <v>4472</v>
      </c>
      <c r="B956" s="1">
        <v>45958</v>
      </c>
      <c r="C956" s="5">
        <v>0.54386574074074079</v>
      </c>
      <c r="D956">
        <v>109.15</v>
      </c>
      <c r="E956" t="s">
        <v>44</v>
      </c>
      <c r="F956" t="s">
        <v>4473</v>
      </c>
      <c r="G956" t="s">
        <v>57</v>
      </c>
      <c r="H956" t="s">
        <v>91</v>
      </c>
      <c r="I956" t="s">
        <v>4474</v>
      </c>
      <c r="J956">
        <v>28</v>
      </c>
      <c r="K956" t="s">
        <v>37</v>
      </c>
      <c r="L956" t="s">
        <v>91</v>
      </c>
      <c r="M956" t="s">
        <v>27</v>
      </c>
      <c r="P956" t="s">
        <v>113</v>
      </c>
      <c r="Q956" t="s">
        <v>4475</v>
      </c>
      <c r="R956" t="s">
        <v>4476</v>
      </c>
      <c r="S956" t="s">
        <v>31</v>
      </c>
      <c r="T956">
        <v>1</v>
      </c>
    </row>
    <row r="957" spans="1:20" x14ac:dyDescent="0.25">
      <c r="A957" t="s">
        <v>4477</v>
      </c>
      <c r="B957" s="1">
        <v>45854</v>
      </c>
      <c r="C957" s="5">
        <v>0.68163194444444442</v>
      </c>
      <c r="D957">
        <v>41.64</v>
      </c>
      <c r="E957" t="s">
        <v>44</v>
      </c>
      <c r="F957" t="s">
        <v>1456</v>
      </c>
      <c r="G957" t="s">
        <v>96</v>
      </c>
      <c r="H957" t="s">
        <v>38</v>
      </c>
      <c r="I957" t="s">
        <v>4478</v>
      </c>
      <c r="J957">
        <v>49</v>
      </c>
      <c r="K957" t="s">
        <v>37</v>
      </c>
      <c r="L957" t="s">
        <v>110</v>
      </c>
      <c r="M957" t="s">
        <v>105</v>
      </c>
      <c r="P957" t="s">
        <v>28</v>
      </c>
      <c r="Q957" t="s">
        <v>4479</v>
      </c>
      <c r="R957" t="s">
        <v>4480</v>
      </c>
      <c r="S957" t="s">
        <v>42</v>
      </c>
      <c r="T957">
        <v>0</v>
      </c>
    </row>
    <row r="958" spans="1:20" x14ac:dyDescent="0.25">
      <c r="A958" t="s">
        <v>4481</v>
      </c>
      <c r="B958" s="1">
        <v>45801</v>
      </c>
      <c r="C958" s="5">
        <v>0.87494212962962958</v>
      </c>
      <c r="D958">
        <v>58.08</v>
      </c>
      <c r="E958" t="s">
        <v>44</v>
      </c>
      <c r="F958" t="s">
        <v>768</v>
      </c>
      <c r="G958" t="s">
        <v>34</v>
      </c>
      <c r="H958" t="s">
        <v>248</v>
      </c>
      <c r="I958" t="s">
        <v>4482</v>
      </c>
      <c r="J958">
        <v>38</v>
      </c>
      <c r="K958" t="s">
        <v>25</v>
      </c>
      <c r="L958" t="s">
        <v>38</v>
      </c>
      <c r="M958" t="s">
        <v>51</v>
      </c>
      <c r="N958" t="s">
        <v>52</v>
      </c>
      <c r="O958">
        <v>462924</v>
      </c>
      <c r="P958" t="s">
        <v>28</v>
      </c>
      <c r="Q958" t="s">
        <v>4483</v>
      </c>
      <c r="R958" t="s">
        <v>4484</v>
      </c>
      <c r="S958" t="s">
        <v>31</v>
      </c>
      <c r="T958">
        <v>0</v>
      </c>
    </row>
    <row r="959" spans="1:20" x14ac:dyDescent="0.25">
      <c r="A959" t="s">
        <v>4485</v>
      </c>
      <c r="B959" s="1">
        <v>45845</v>
      </c>
      <c r="C959" s="5">
        <v>0.25142361111111111</v>
      </c>
      <c r="D959">
        <v>279.92</v>
      </c>
      <c r="E959" t="s">
        <v>44</v>
      </c>
      <c r="F959" t="s">
        <v>4486</v>
      </c>
      <c r="G959" t="s">
        <v>124</v>
      </c>
      <c r="H959" t="s">
        <v>248</v>
      </c>
      <c r="I959" t="s">
        <v>4487</v>
      </c>
      <c r="J959">
        <v>34</v>
      </c>
      <c r="K959" t="s">
        <v>25</v>
      </c>
      <c r="L959" t="s">
        <v>50</v>
      </c>
      <c r="M959" t="s">
        <v>39</v>
      </c>
      <c r="P959" t="s">
        <v>28</v>
      </c>
      <c r="Q959" t="s">
        <v>4488</v>
      </c>
      <c r="R959" t="s">
        <v>4489</v>
      </c>
      <c r="S959" t="s">
        <v>101</v>
      </c>
      <c r="T959">
        <v>1</v>
      </c>
    </row>
    <row r="960" spans="1:20" x14ac:dyDescent="0.25">
      <c r="A960" t="s">
        <v>4490</v>
      </c>
      <c r="B960" s="1">
        <v>45856</v>
      </c>
      <c r="C960" s="5">
        <v>3.7939814814814815E-2</v>
      </c>
      <c r="D960">
        <v>829.93</v>
      </c>
      <c r="E960" t="s">
        <v>44</v>
      </c>
      <c r="F960" t="s">
        <v>4491</v>
      </c>
      <c r="G960" t="s">
        <v>124</v>
      </c>
      <c r="H960" t="s">
        <v>146</v>
      </c>
      <c r="I960" t="s">
        <v>4492</v>
      </c>
      <c r="J960">
        <v>59</v>
      </c>
      <c r="K960" t="s">
        <v>37</v>
      </c>
      <c r="L960" t="s">
        <v>248</v>
      </c>
      <c r="M960" t="s">
        <v>39</v>
      </c>
      <c r="P960" t="s">
        <v>28</v>
      </c>
      <c r="Q960" t="s">
        <v>4493</v>
      </c>
      <c r="R960" t="s">
        <v>4494</v>
      </c>
      <c r="S960" t="s">
        <v>31</v>
      </c>
      <c r="T960">
        <v>0</v>
      </c>
    </row>
    <row r="961" spans="1:20" x14ac:dyDescent="0.25">
      <c r="A961" t="s">
        <v>4495</v>
      </c>
      <c r="B961" s="1">
        <v>45821</v>
      </c>
      <c r="C961" s="5">
        <v>0.34278935185185183</v>
      </c>
      <c r="D961">
        <v>16.86</v>
      </c>
      <c r="E961" t="s">
        <v>44</v>
      </c>
      <c r="F961" t="s">
        <v>863</v>
      </c>
      <c r="G961" t="s">
        <v>124</v>
      </c>
      <c r="H961" t="s">
        <v>97</v>
      </c>
      <c r="I961" t="s">
        <v>4496</v>
      </c>
      <c r="J961">
        <v>34</v>
      </c>
      <c r="K961" t="s">
        <v>49</v>
      </c>
      <c r="L961" t="s">
        <v>97</v>
      </c>
      <c r="M961" t="s">
        <v>39</v>
      </c>
      <c r="P961" t="s">
        <v>113</v>
      </c>
      <c r="Q961" t="s">
        <v>4497</v>
      </c>
      <c r="R961" t="s">
        <v>4498</v>
      </c>
      <c r="S961" t="s">
        <v>31</v>
      </c>
      <c r="T961">
        <v>0</v>
      </c>
    </row>
    <row r="962" spans="1:20" x14ac:dyDescent="0.25">
      <c r="A962" t="s">
        <v>4499</v>
      </c>
      <c r="B962" s="1">
        <v>45844</v>
      </c>
      <c r="C962" s="5">
        <v>0.64784722222222224</v>
      </c>
      <c r="D962">
        <v>91.15</v>
      </c>
      <c r="E962" t="s">
        <v>44</v>
      </c>
      <c r="F962" t="s">
        <v>1543</v>
      </c>
      <c r="G962" t="s">
        <v>57</v>
      </c>
      <c r="H962" t="s">
        <v>38</v>
      </c>
      <c r="I962" t="s">
        <v>4500</v>
      </c>
      <c r="J962">
        <v>67</v>
      </c>
      <c r="K962" t="s">
        <v>37</v>
      </c>
      <c r="L962" t="s">
        <v>47</v>
      </c>
      <c r="M962" t="s">
        <v>27</v>
      </c>
      <c r="P962" t="s">
        <v>28</v>
      </c>
      <c r="Q962" t="s">
        <v>4501</v>
      </c>
      <c r="R962" t="s">
        <v>4502</v>
      </c>
      <c r="S962" t="s">
        <v>31</v>
      </c>
      <c r="T962">
        <v>0</v>
      </c>
    </row>
    <row r="963" spans="1:20" x14ac:dyDescent="0.25">
      <c r="A963" t="s">
        <v>4503</v>
      </c>
      <c r="B963" s="1">
        <v>45838</v>
      </c>
      <c r="C963" s="5">
        <v>0.26960648148148147</v>
      </c>
      <c r="D963">
        <v>150.6</v>
      </c>
      <c r="E963" t="s">
        <v>44</v>
      </c>
      <c r="F963" t="s">
        <v>4504</v>
      </c>
      <c r="G963" t="s">
        <v>71</v>
      </c>
      <c r="H963" t="s">
        <v>97</v>
      </c>
      <c r="I963" t="s">
        <v>4505</v>
      </c>
      <c r="J963">
        <v>44</v>
      </c>
      <c r="K963" t="s">
        <v>49</v>
      </c>
      <c r="L963" t="s">
        <v>248</v>
      </c>
      <c r="M963" t="s">
        <v>84</v>
      </c>
      <c r="P963" t="s">
        <v>28</v>
      </c>
      <c r="Q963" t="s">
        <v>4506</v>
      </c>
      <c r="R963" t="s">
        <v>4507</v>
      </c>
      <c r="S963" t="s">
        <v>31</v>
      </c>
      <c r="T963">
        <v>0</v>
      </c>
    </row>
    <row r="964" spans="1:20" x14ac:dyDescent="0.25">
      <c r="A964" t="s">
        <v>4508</v>
      </c>
      <c r="B964" s="1">
        <v>45850</v>
      </c>
      <c r="C964" s="5">
        <v>0.78940972222222228</v>
      </c>
      <c r="D964">
        <v>189</v>
      </c>
      <c r="E964" t="s">
        <v>44</v>
      </c>
      <c r="F964" t="s">
        <v>4509</v>
      </c>
      <c r="G964" t="s">
        <v>71</v>
      </c>
      <c r="H964" t="s">
        <v>47</v>
      </c>
      <c r="I964" t="s">
        <v>4510</v>
      </c>
      <c r="J964">
        <v>33</v>
      </c>
      <c r="K964" t="s">
        <v>25</v>
      </c>
      <c r="L964" t="s">
        <v>66</v>
      </c>
      <c r="M964" t="s">
        <v>27</v>
      </c>
      <c r="P964" t="s">
        <v>28</v>
      </c>
      <c r="Q964" t="s">
        <v>4511</v>
      </c>
      <c r="R964" t="s">
        <v>4512</v>
      </c>
      <c r="S964" t="s">
        <v>31</v>
      </c>
      <c r="T964">
        <v>0</v>
      </c>
    </row>
    <row r="965" spans="1:20" x14ac:dyDescent="0.25">
      <c r="A965" t="s">
        <v>4513</v>
      </c>
      <c r="B965" s="1">
        <v>45822</v>
      </c>
      <c r="C965" s="5">
        <v>3.4965277777777776E-2</v>
      </c>
      <c r="D965">
        <v>96.59</v>
      </c>
      <c r="E965" t="s">
        <v>44</v>
      </c>
      <c r="F965" t="s">
        <v>2721</v>
      </c>
      <c r="G965" t="s">
        <v>34</v>
      </c>
      <c r="H965" t="s">
        <v>38</v>
      </c>
      <c r="I965" t="s">
        <v>4514</v>
      </c>
      <c r="J965">
        <v>59</v>
      </c>
      <c r="K965" t="s">
        <v>25</v>
      </c>
      <c r="L965" t="s">
        <v>130</v>
      </c>
      <c r="M965" t="s">
        <v>112</v>
      </c>
      <c r="P965" t="s">
        <v>28</v>
      </c>
      <c r="Q965" t="s">
        <v>4515</v>
      </c>
      <c r="R965" t="s">
        <v>4516</v>
      </c>
      <c r="S965" t="s">
        <v>31</v>
      </c>
      <c r="T965">
        <v>0</v>
      </c>
    </row>
    <row r="966" spans="1:20" x14ac:dyDescent="0.25">
      <c r="A966" t="s">
        <v>4517</v>
      </c>
      <c r="B966" s="1">
        <v>45959</v>
      </c>
      <c r="C966" s="5">
        <v>0.98231481481481486</v>
      </c>
      <c r="D966">
        <v>142.93</v>
      </c>
      <c r="E966" t="s">
        <v>44</v>
      </c>
      <c r="F966" t="s">
        <v>4518</v>
      </c>
      <c r="G966" t="s">
        <v>89</v>
      </c>
      <c r="H966" t="s">
        <v>146</v>
      </c>
      <c r="I966" t="s">
        <v>4519</v>
      </c>
      <c r="J966">
        <v>65</v>
      </c>
      <c r="K966" t="s">
        <v>25</v>
      </c>
      <c r="L966" t="s">
        <v>47</v>
      </c>
      <c r="M966" t="s">
        <v>27</v>
      </c>
      <c r="P966" t="s">
        <v>28</v>
      </c>
      <c r="Q966" t="s">
        <v>4520</v>
      </c>
      <c r="R966" t="s">
        <v>4521</v>
      </c>
      <c r="S966" t="s">
        <v>42</v>
      </c>
      <c r="T966">
        <v>0</v>
      </c>
    </row>
    <row r="967" spans="1:20" x14ac:dyDescent="0.25">
      <c r="A967" t="s">
        <v>4522</v>
      </c>
      <c r="B967" s="1">
        <v>45898</v>
      </c>
      <c r="C967" s="5">
        <v>0.64900462962962968</v>
      </c>
      <c r="D967">
        <v>53.25</v>
      </c>
      <c r="E967" t="s">
        <v>44</v>
      </c>
      <c r="F967" t="s">
        <v>4523</v>
      </c>
      <c r="G967" t="s">
        <v>34</v>
      </c>
      <c r="H967" t="s">
        <v>146</v>
      </c>
      <c r="I967" t="s">
        <v>4524</v>
      </c>
      <c r="J967">
        <v>41</v>
      </c>
      <c r="K967" t="s">
        <v>25</v>
      </c>
      <c r="L967" t="s">
        <v>23</v>
      </c>
      <c r="M967" t="s">
        <v>51</v>
      </c>
      <c r="N967" t="s">
        <v>507</v>
      </c>
      <c r="O967">
        <v>497262</v>
      </c>
      <c r="P967" t="s">
        <v>28</v>
      </c>
      <c r="Q967" t="s">
        <v>4525</v>
      </c>
      <c r="R967" t="s">
        <v>4526</v>
      </c>
      <c r="S967" t="s">
        <v>31</v>
      </c>
      <c r="T967">
        <v>0</v>
      </c>
    </row>
    <row r="968" spans="1:20" x14ac:dyDescent="0.25">
      <c r="A968" t="s">
        <v>4527</v>
      </c>
      <c r="B968" s="1">
        <v>45927</v>
      </c>
      <c r="C968" s="5">
        <v>0.18731481481481482</v>
      </c>
      <c r="D968">
        <v>111.4</v>
      </c>
      <c r="E968" t="s">
        <v>44</v>
      </c>
      <c r="F968" t="s">
        <v>2878</v>
      </c>
      <c r="G968" t="s">
        <v>77</v>
      </c>
      <c r="H968" t="s">
        <v>146</v>
      </c>
      <c r="I968" t="s">
        <v>4528</v>
      </c>
      <c r="J968">
        <v>72</v>
      </c>
      <c r="K968" t="s">
        <v>37</v>
      </c>
      <c r="L968" t="s">
        <v>47</v>
      </c>
      <c r="M968" t="s">
        <v>105</v>
      </c>
      <c r="P968" t="s">
        <v>28</v>
      </c>
      <c r="Q968" t="s">
        <v>4529</v>
      </c>
      <c r="R968" t="s">
        <v>4530</v>
      </c>
      <c r="S968" t="s">
        <v>31</v>
      </c>
      <c r="T968">
        <v>0</v>
      </c>
    </row>
    <row r="969" spans="1:20" x14ac:dyDescent="0.25">
      <c r="A969" t="s">
        <v>4531</v>
      </c>
      <c r="B969" s="1">
        <v>45928</v>
      </c>
      <c r="C969" s="5">
        <v>0.10488425925925926</v>
      </c>
      <c r="D969">
        <v>147.35</v>
      </c>
      <c r="E969" t="s">
        <v>44</v>
      </c>
      <c r="F969" t="s">
        <v>4532</v>
      </c>
      <c r="G969" t="s">
        <v>46</v>
      </c>
      <c r="H969" t="s">
        <v>58</v>
      </c>
      <c r="I969" t="s">
        <v>4533</v>
      </c>
      <c r="J969">
        <v>51</v>
      </c>
      <c r="K969" t="s">
        <v>25</v>
      </c>
      <c r="L969" t="s">
        <v>146</v>
      </c>
      <c r="M969" t="s">
        <v>105</v>
      </c>
      <c r="P969" t="s">
        <v>28</v>
      </c>
      <c r="Q969" t="s">
        <v>4534</v>
      </c>
      <c r="R969" t="s">
        <v>4535</v>
      </c>
      <c r="S969" t="s">
        <v>31</v>
      </c>
      <c r="T969">
        <v>0</v>
      </c>
    </row>
    <row r="970" spans="1:20" x14ac:dyDescent="0.25">
      <c r="A970" t="s">
        <v>4536</v>
      </c>
      <c r="B970" s="1">
        <v>45821</v>
      </c>
      <c r="C970" s="5">
        <v>0.50638888888888889</v>
      </c>
      <c r="D970">
        <v>3658.32</v>
      </c>
      <c r="E970" t="s">
        <v>44</v>
      </c>
      <c r="F970" t="s">
        <v>145</v>
      </c>
      <c r="G970" t="s">
        <v>64</v>
      </c>
      <c r="H970" t="s">
        <v>26</v>
      </c>
      <c r="I970" t="s">
        <v>4537</v>
      </c>
      <c r="J970">
        <v>53</v>
      </c>
      <c r="K970" t="s">
        <v>25</v>
      </c>
      <c r="L970" t="s">
        <v>58</v>
      </c>
      <c r="M970" t="s">
        <v>84</v>
      </c>
      <c r="P970" t="s">
        <v>28</v>
      </c>
      <c r="Q970" t="s">
        <v>4538</v>
      </c>
      <c r="R970" t="s">
        <v>4539</v>
      </c>
      <c r="S970" t="s">
        <v>31</v>
      </c>
      <c r="T970">
        <v>0</v>
      </c>
    </row>
    <row r="971" spans="1:20" x14ac:dyDescent="0.25">
      <c r="A971" t="s">
        <v>4540</v>
      </c>
      <c r="B971" s="1">
        <v>45846</v>
      </c>
      <c r="C971" s="5">
        <v>0.78988425925925931</v>
      </c>
      <c r="D971">
        <v>186.04</v>
      </c>
      <c r="E971" t="s">
        <v>44</v>
      </c>
      <c r="F971" t="s">
        <v>1776</v>
      </c>
      <c r="G971" t="s">
        <v>77</v>
      </c>
      <c r="H971" t="s">
        <v>50</v>
      </c>
      <c r="I971" t="s">
        <v>4541</v>
      </c>
      <c r="J971">
        <v>20</v>
      </c>
      <c r="K971" t="s">
        <v>25</v>
      </c>
      <c r="L971" t="s">
        <v>130</v>
      </c>
      <c r="M971" t="s">
        <v>27</v>
      </c>
      <c r="P971" t="s">
        <v>28</v>
      </c>
      <c r="Q971" t="s">
        <v>4542</v>
      </c>
      <c r="R971" t="s">
        <v>4543</v>
      </c>
      <c r="S971" t="s">
        <v>31</v>
      </c>
      <c r="T971">
        <v>0</v>
      </c>
    </row>
    <row r="972" spans="1:20" x14ac:dyDescent="0.25">
      <c r="A972" t="s">
        <v>4544</v>
      </c>
      <c r="B972" s="1">
        <v>45901</v>
      </c>
      <c r="C972" s="5">
        <v>0.99232638888888891</v>
      </c>
      <c r="D972">
        <v>162.05000000000001</v>
      </c>
      <c r="E972" t="s">
        <v>44</v>
      </c>
      <c r="F972" t="s">
        <v>1524</v>
      </c>
      <c r="G972" t="s">
        <v>96</v>
      </c>
      <c r="H972" t="s">
        <v>47</v>
      </c>
      <c r="I972" t="s">
        <v>4545</v>
      </c>
      <c r="J972">
        <v>64</v>
      </c>
      <c r="K972" t="s">
        <v>37</v>
      </c>
      <c r="L972" t="s">
        <v>110</v>
      </c>
      <c r="M972" t="s">
        <v>84</v>
      </c>
      <c r="P972" t="s">
        <v>28</v>
      </c>
      <c r="Q972" t="s">
        <v>4546</v>
      </c>
      <c r="R972" t="s">
        <v>4547</v>
      </c>
      <c r="S972" t="s">
        <v>31</v>
      </c>
      <c r="T972">
        <v>0</v>
      </c>
    </row>
    <row r="973" spans="1:20" x14ac:dyDescent="0.25">
      <c r="A973" t="s">
        <v>4548</v>
      </c>
      <c r="B973" s="1">
        <v>45883</v>
      </c>
      <c r="C973" s="5">
        <v>0.97063657407407411</v>
      </c>
      <c r="D973">
        <v>162.1</v>
      </c>
      <c r="E973" t="s">
        <v>44</v>
      </c>
      <c r="F973" t="s">
        <v>927</v>
      </c>
      <c r="G973" t="s">
        <v>46</v>
      </c>
      <c r="H973" t="s">
        <v>50</v>
      </c>
      <c r="I973" t="s">
        <v>2604</v>
      </c>
      <c r="J973">
        <v>37</v>
      </c>
      <c r="K973" t="s">
        <v>49</v>
      </c>
      <c r="L973" t="s">
        <v>97</v>
      </c>
      <c r="M973" t="s">
        <v>105</v>
      </c>
      <c r="P973" t="s">
        <v>28</v>
      </c>
      <c r="Q973" t="s">
        <v>4549</v>
      </c>
      <c r="R973" t="s">
        <v>4550</v>
      </c>
      <c r="S973" t="s">
        <v>31</v>
      </c>
      <c r="T973">
        <v>0</v>
      </c>
    </row>
    <row r="974" spans="1:20" x14ac:dyDescent="0.25">
      <c r="A974" t="s">
        <v>4551</v>
      </c>
      <c r="B974" s="1">
        <v>45902</v>
      </c>
      <c r="C974" s="5">
        <v>0.59909722222222217</v>
      </c>
      <c r="D974">
        <v>20.059999999999999</v>
      </c>
      <c r="E974" t="s">
        <v>44</v>
      </c>
      <c r="F974" t="s">
        <v>2373</v>
      </c>
      <c r="G974" t="s">
        <v>57</v>
      </c>
      <c r="H974" t="s">
        <v>91</v>
      </c>
      <c r="I974" t="s">
        <v>4552</v>
      </c>
      <c r="J974">
        <v>53</v>
      </c>
      <c r="K974" t="s">
        <v>25</v>
      </c>
      <c r="L974" t="s">
        <v>110</v>
      </c>
      <c r="M974" t="s">
        <v>51</v>
      </c>
      <c r="N974" t="s">
        <v>345</v>
      </c>
      <c r="O974">
        <v>490532</v>
      </c>
      <c r="P974" t="s">
        <v>28</v>
      </c>
      <c r="Q974" t="s">
        <v>4553</v>
      </c>
      <c r="R974" t="s">
        <v>4554</v>
      </c>
      <c r="S974" t="s">
        <v>31</v>
      </c>
      <c r="T974">
        <v>0</v>
      </c>
    </row>
    <row r="975" spans="1:20" x14ac:dyDescent="0.25">
      <c r="A975" t="s">
        <v>4555</v>
      </c>
      <c r="B975" s="1">
        <v>45812</v>
      </c>
      <c r="C975" s="5">
        <v>0.57787037037037037</v>
      </c>
      <c r="D975">
        <v>23.18</v>
      </c>
      <c r="E975" t="s">
        <v>44</v>
      </c>
      <c r="F975" t="s">
        <v>4556</v>
      </c>
      <c r="G975" t="s">
        <v>77</v>
      </c>
      <c r="H975" t="s">
        <v>248</v>
      </c>
      <c r="I975" t="s">
        <v>4557</v>
      </c>
      <c r="J975">
        <v>22</v>
      </c>
      <c r="K975" t="s">
        <v>25</v>
      </c>
      <c r="L975" t="s">
        <v>130</v>
      </c>
      <c r="M975" t="s">
        <v>51</v>
      </c>
      <c r="N975" t="s">
        <v>173</v>
      </c>
      <c r="O975">
        <v>556754</v>
      </c>
      <c r="P975" t="s">
        <v>28</v>
      </c>
      <c r="Q975" t="s">
        <v>4558</v>
      </c>
      <c r="R975" t="s">
        <v>4559</v>
      </c>
      <c r="S975" t="s">
        <v>31</v>
      </c>
      <c r="T975">
        <v>0</v>
      </c>
    </row>
    <row r="976" spans="1:20" x14ac:dyDescent="0.25">
      <c r="A976" t="s">
        <v>4560</v>
      </c>
      <c r="B976" s="1">
        <v>45860</v>
      </c>
      <c r="C976" s="5">
        <v>0.13930555555555554</v>
      </c>
      <c r="D976">
        <v>74.86</v>
      </c>
      <c r="E976" t="s">
        <v>44</v>
      </c>
      <c r="F976" t="s">
        <v>4561</v>
      </c>
      <c r="G976" t="s">
        <v>124</v>
      </c>
      <c r="H976" t="s">
        <v>97</v>
      </c>
      <c r="I976" t="s">
        <v>4562</v>
      </c>
      <c r="J976">
        <v>70</v>
      </c>
      <c r="K976" t="s">
        <v>49</v>
      </c>
      <c r="L976" t="s">
        <v>26</v>
      </c>
      <c r="M976" t="s">
        <v>112</v>
      </c>
      <c r="P976" t="s">
        <v>28</v>
      </c>
      <c r="Q976" t="s">
        <v>4563</v>
      </c>
      <c r="R976" t="s">
        <v>4564</v>
      </c>
      <c r="S976" t="s">
        <v>42</v>
      </c>
      <c r="T976">
        <v>0</v>
      </c>
    </row>
    <row r="977" spans="1:20" x14ac:dyDescent="0.25">
      <c r="A977" t="s">
        <v>4565</v>
      </c>
      <c r="B977" s="1">
        <v>45871</v>
      </c>
      <c r="C977" s="5">
        <v>0.47028935185185183</v>
      </c>
      <c r="D977">
        <v>87.38</v>
      </c>
      <c r="E977" t="s">
        <v>44</v>
      </c>
      <c r="F977" t="s">
        <v>4053</v>
      </c>
      <c r="G977" t="s">
        <v>96</v>
      </c>
      <c r="H977" t="s">
        <v>110</v>
      </c>
      <c r="I977" t="s">
        <v>4566</v>
      </c>
      <c r="J977">
        <v>72</v>
      </c>
      <c r="K977" t="s">
        <v>49</v>
      </c>
      <c r="L977" t="s">
        <v>248</v>
      </c>
      <c r="M977" t="s">
        <v>105</v>
      </c>
      <c r="P977" t="s">
        <v>28</v>
      </c>
      <c r="Q977" t="s">
        <v>4567</v>
      </c>
      <c r="R977" t="s">
        <v>4568</v>
      </c>
      <c r="S977" t="s">
        <v>31</v>
      </c>
      <c r="T977">
        <v>0</v>
      </c>
    </row>
    <row r="978" spans="1:20" x14ac:dyDescent="0.25">
      <c r="A978" t="s">
        <v>4569</v>
      </c>
      <c r="B978" s="1">
        <v>45922</v>
      </c>
      <c r="C978" s="5">
        <v>0.37942129629629628</v>
      </c>
      <c r="D978">
        <v>144.22</v>
      </c>
      <c r="E978" t="s">
        <v>44</v>
      </c>
      <c r="F978" t="s">
        <v>2918</v>
      </c>
      <c r="G978" t="s">
        <v>57</v>
      </c>
      <c r="H978" t="s">
        <v>26</v>
      </c>
      <c r="I978" t="s">
        <v>4570</v>
      </c>
      <c r="J978">
        <v>64</v>
      </c>
      <c r="K978" t="s">
        <v>49</v>
      </c>
      <c r="L978" t="s">
        <v>110</v>
      </c>
      <c r="M978" t="s">
        <v>51</v>
      </c>
      <c r="N978" t="s">
        <v>870</v>
      </c>
      <c r="O978">
        <v>491381</v>
      </c>
      <c r="P978" t="s">
        <v>28</v>
      </c>
      <c r="Q978" t="s">
        <v>4571</v>
      </c>
      <c r="R978" t="s">
        <v>4572</v>
      </c>
      <c r="S978" t="s">
        <v>31</v>
      </c>
      <c r="T978">
        <v>0</v>
      </c>
    </row>
    <row r="979" spans="1:20" x14ac:dyDescent="0.25">
      <c r="A979" t="s">
        <v>4573</v>
      </c>
      <c r="B979" s="1">
        <v>45872</v>
      </c>
      <c r="C979" s="5">
        <v>0.31296296296296294</v>
      </c>
      <c r="D979">
        <v>569.94000000000005</v>
      </c>
      <c r="E979" t="s">
        <v>44</v>
      </c>
      <c r="F979" t="s">
        <v>2635</v>
      </c>
      <c r="G979" t="s">
        <v>64</v>
      </c>
      <c r="H979" t="s">
        <v>130</v>
      </c>
      <c r="I979" t="s">
        <v>4574</v>
      </c>
      <c r="J979">
        <v>53</v>
      </c>
      <c r="K979" t="s">
        <v>37</v>
      </c>
      <c r="L979" t="s">
        <v>35</v>
      </c>
      <c r="M979" t="s">
        <v>84</v>
      </c>
      <c r="P979" t="s">
        <v>28</v>
      </c>
      <c r="Q979" t="s">
        <v>4575</v>
      </c>
      <c r="R979" t="s">
        <v>4576</v>
      </c>
      <c r="S979" t="s">
        <v>31</v>
      </c>
      <c r="T979">
        <v>0</v>
      </c>
    </row>
    <row r="980" spans="1:20" x14ac:dyDescent="0.25">
      <c r="A980" t="s">
        <v>4577</v>
      </c>
      <c r="B980" s="1">
        <v>45869</v>
      </c>
      <c r="C980" s="5">
        <v>0.7408217592592593</v>
      </c>
      <c r="D980">
        <v>4865.6499999999996</v>
      </c>
      <c r="E980" t="s">
        <v>44</v>
      </c>
      <c r="F980" t="s">
        <v>1588</v>
      </c>
      <c r="G980" t="s">
        <v>77</v>
      </c>
      <c r="H980" t="s">
        <v>119</v>
      </c>
      <c r="I980" t="s">
        <v>4578</v>
      </c>
      <c r="J980">
        <v>22</v>
      </c>
      <c r="K980" t="s">
        <v>25</v>
      </c>
      <c r="L980" t="s">
        <v>91</v>
      </c>
      <c r="M980" t="s">
        <v>105</v>
      </c>
      <c r="P980" t="s">
        <v>28</v>
      </c>
      <c r="Q980" t="s">
        <v>4579</v>
      </c>
      <c r="R980" t="s">
        <v>4580</v>
      </c>
      <c r="S980" t="s">
        <v>31</v>
      </c>
      <c r="T980">
        <v>0</v>
      </c>
    </row>
    <row r="981" spans="1:20" x14ac:dyDescent="0.25">
      <c r="A981" t="s">
        <v>4581</v>
      </c>
      <c r="B981" s="1">
        <v>45888</v>
      </c>
      <c r="C981" s="5">
        <v>9.0254629629629629E-2</v>
      </c>
      <c r="D981">
        <v>794.39</v>
      </c>
      <c r="E981" t="s">
        <v>44</v>
      </c>
      <c r="F981" t="s">
        <v>2094</v>
      </c>
      <c r="G981" t="s">
        <v>124</v>
      </c>
      <c r="H981" t="s">
        <v>35</v>
      </c>
      <c r="I981" t="s">
        <v>4582</v>
      </c>
      <c r="J981">
        <v>47</v>
      </c>
      <c r="K981" t="s">
        <v>37</v>
      </c>
      <c r="L981" t="s">
        <v>38</v>
      </c>
      <c r="M981" t="s">
        <v>51</v>
      </c>
      <c r="N981" t="s">
        <v>870</v>
      </c>
      <c r="O981">
        <v>510632</v>
      </c>
      <c r="P981" t="s">
        <v>28</v>
      </c>
      <c r="Q981" t="s">
        <v>4583</v>
      </c>
      <c r="R981" t="s">
        <v>4584</v>
      </c>
      <c r="S981" t="s">
        <v>31</v>
      </c>
      <c r="T981">
        <v>0</v>
      </c>
    </row>
    <row r="982" spans="1:20" x14ac:dyDescent="0.25">
      <c r="A982" t="s">
        <v>4585</v>
      </c>
      <c r="B982" s="1">
        <v>45829</v>
      </c>
      <c r="C982" s="5">
        <v>0.99156250000000001</v>
      </c>
      <c r="D982">
        <v>113.54</v>
      </c>
      <c r="E982" t="s">
        <v>44</v>
      </c>
      <c r="F982" t="s">
        <v>1200</v>
      </c>
      <c r="G982" t="s">
        <v>46</v>
      </c>
      <c r="H982" t="s">
        <v>47</v>
      </c>
      <c r="I982" t="s">
        <v>4586</v>
      </c>
      <c r="J982">
        <v>55</v>
      </c>
      <c r="K982" t="s">
        <v>49</v>
      </c>
      <c r="L982" t="s">
        <v>58</v>
      </c>
      <c r="M982" t="s">
        <v>27</v>
      </c>
      <c r="P982" t="s">
        <v>28</v>
      </c>
      <c r="Q982" t="s">
        <v>4587</v>
      </c>
      <c r="R982" t="s">
        <v>4588</v>
      </c>
      <c r="S982" t="s">
        <v>31</v>
      </c>
      <c r="T982">
        <v>0</v>
      </c>
    </row>
    <row r="983" spans="1:20" x14ac:dyDescent="0.25">
      <c r="A983" t="s">
        <v>4589</v>
      </c>
      <c r="B983" s="1">
        <v>45829</v>
      </c>
      <c r="C983" s="5">
        <v>9.3611111111111117E-2</v>
      </c>
      <c r="D983">
        <v>406.25</v>
      </c>
      <c r="E983" t="s">
        <v>44</v>
      </c>
      <c r="F983" t="s">
        <v>4590</v>
      </c>
      <c r="G983" t="s">
        <v>77</v>
      </c>
      <c r="H983" t="s">
        <v>38</v>
      </c>
      <c r="I983" t="s">
        <v>4591</v>
      </c>
      <c r="J983">
        <v>75</v>
      </c>
      <c r="K983" t="s">
        <v>49</v>
      </c>
      <c r="L983" t="s">
        <v>47</v>
      </c>
      <c r="M983" t="s">
        <v>27</v>
      </c>
      <c r="P983" t="s">
        <v>28</v>
      </c>
      <c r="Q983" t="s">
        <v>4592</v>
      </c>
      <c r="R983" t="s">
        <v>4593</v>
      </c>
      <c r="S983" t="s">
        <v>31</v>
      </c>
      <c r="T983">
        <v>0</v>
      </c>
    </row>
    <row r="984" spans="1:20" x14ac:dyDescent="0.25">
      <c r="A984" t="s">
        <v>4594</v>
      </c>
      <c r="B984" s="1">
        <v>45941</v>
      </c>
      <c r="C984" s="5">
        <v>0.80989583333333337</v>
      </c>
      <c r="D984">
        <v>189.32</v>
      </c>
      <c r="E984" t="s">
        <v>44</v>
      </c>
      <c r="F984" t="s">
        <v>3238</v>
      </c>
      <c r="G984" t="s">
        <v>77</v>
      </c>
      <c r="H984" t="s">
        <v>47</v>
      </c>
      <c r="I984" t="s">
        <v>4595</v>
      </c>
      <c r="J984">
        <v>13</v>
      </c>
      <c r="K984" t="s">
        <v>49</v>
      </c>
      <c r="L984" t="s">
        <v>130</v>
      </c>
      <c r="M984" t="s">
        <v>39</v>
      </c>
      <c r="P984" t="s">
        <v>28</v>
      </c>
      <c r="Q984" t="s">
        <v>4596</v>
      </c>
      <c r="R984" t="s">
        <v>4597</v>
      </c>
      <c r="S984" t="s">
        <v>31</v>
      </c>
      <c r="T984">
        <v>0</v>
      </c>
    </row>
    <row r="985" spans="1:20" x14ac:dyDescent="0.25">
      <c r="A985" t="s">
        <v>4598</v>
      </c>
      <c r="B985" s="1">
        <v>45903</v>
      </c>
      <c r="C985" s="5">
        <v>0.82990740740740743</v>
      </c>
      <c r="D985">
        <v>187.77</v>
      </c>
      <c r="E985" t="s">
        <v>44</v>
      </c>
      <c r="F985" t="s">
        <v>1509</v>
      </c>
      <c r="G985" t="s">
        <v>34</v>
      </c>
      <c r="H985" t="s">
        <v>50</v>
      </c>
      <c r="I985" t="s">
        <v>4599</v>
      </c>
      <c r="J985">
        <v>62</v>
      </c>
      <c r="K985" t="s">
        <v>25</v>
      </c>
      <c r="L985" t="s">
        <v>38</v>
      </c>
      <c r="M985" t="s">
        <v>27</v>
      </c>
      <c r="P985" t="s">
        <v>28</v>
      </c>
      <c r="Q985" t="s">
        <v>4600</v>
      </c>
      <c r="R985" t="s">
        <v>4601</v>
      </c>
      <c r="S985" t="s">
        <v>31</v>
      </c>
      <c r="T985">
        <v>0</v>
      </c>
    </row>
    <row r="986" spans="1:20" x14ac:dyDescent="0.25">
      <c r="A986" t="s">
        <v>4602</v>
      </c>
      <c r="B986" s="1">
        <v>45829</v>
      </c>
      <c r="C986" s="5">
        <v>0.19208333333333333</v>
      </c>
      <c r="D986">
        <v>183.09</v>
      </c>
      <c r="E986" t="s">
        <v>44</v>
      </c>
      <c r="F986" t="s">
        <v>3256</v>
      </c>
      <c r="G986" t="s">
        <v>71</v>
      </c>
      <c r="H986" t="s">
        <v>35</v>
      </c>
      <c r="I986" t="s">
        <v>4603</v>
      </c>
      <c r="J986">
        <v>46</v>
      </c>
      <c r="K986" t="s">
        <v>37</v>
      </c>
      <c r="L986" t="s">
        <v>26</v>
      </c>
      <c r="M986" t="s">
        <v>112</v>
      </c>
      <c r="P986" t="s">
        <v>28</v>
      </c>
      <c r="Q986" t="s">
        <v>4604</v>
      </c>
      <c r="R986" t="s">
        <v>4605</v>
      </c>
      <c r="S986" t="s">
        <v>31</v>
      </c>
      <c r="T986">
        <v>0</v>
      </c>
    </row>
    <row r="987" spans="1:20" x14ac:dyDescent="0.25">
      <c r="A987" t="s">
        <v>4606</v>
      </c>
      <c r="B987" s="1">
        <v>45872</v>
      </c>
      <c r="C987" s="5">
        <v>0.82004629629629633</v>
      </c>
      <c r="D987">
        <v>115.46</v>
      </c>
      <c r="E987" t="s">
        <v>44</v>
      </c>
      <c r="F987" t="s">
        <v>2094</v>
      </c>
      <c r="G987" t="s">
        <v>64</v>
      </c>
      <c r="H987" t="s">
        <v>47</v>
      </c>
      <c r="I987" t="s">
        <v>3952</v>
      </c>
      <c r="J987">
        <v>31</v>
      </c>
      <c r="K987" t="s">
        <v>25</v>
      </c>
      <c r="L987" t="s">
        <v>26</v>
      </c>
      <c r="M987" t="s">
        <v>27</v>
      </c>
      <c r="P987" t="s">
        <v>28</v>
      </c>
      <c r="Q987" t="s">
        <v>4607</v>
      </c>
      <c r="R987" t="s">
        <v>4608</v>
      </c>
      <c r="S987" t="s">
        <v>31</v>
      </c>
      <c r="T987">
        <v>0</v>
      </c>
    </row>
    <row r="988" spans="1:20" x14ac:dyDescent="0.25">
      <c r="A988" t="s">
        <v>4609</v>
      </c>
      <c r="B988" s="1">
        <v>45855</v>
      </c>
      <c r="C988" s="5">
        <v>0.229375</v>
      </c>
      <c r="D988">
        <v>95.6</v>
      </c>
      <c r="E988" t="s">
        <v>44</v>
      </c>
      <c r="F988" t="s">
        <v>978</v>
      </c>
      <c r="G988" t="s">
        <v>57</v>
      </c>
      <c r="H988" t="s">
        <v>97</v>
      </c>
      <c r="I988" t="s">
        <v>4610</v>
      </c>
      <c r="J988">
        <v>37</v>
      </c>
      <c r="K988" t="s">
        <v>37</v>
      </c>
      <c r="L988" t="s">
        <v>58</v>
      </c>
      <c r="M988" t="s">
        <v>84</v>
      </c>
      <c r="P988" t="s">
        <v>28</v>
      </c>
      <c r="Q988" t="s">
        <v>4611</v>
      </c>
      <c r="R988" t="s">
        <v>4612</v>
      </c>
      <c r="S988" t="s">
        <v>31</v>
      </c>
      <c r="T988">
        <v>0</v>
      </c>
    </row>
    <row r="989" spans="1:20" x14ac:dyDescent="0.25">
      <c r="A989" t="s">
        <v>4613</v>
      </c>
      <c r="B989" s="1">
        <v>45902</v>
      </c>
      <c r="C989" s="5">
        <v>0.2416898148148148</v>
      </c>
      <c r="D989">
        <v>197.68</v>
      </c>
      <c r="E989" t="s">
        <v>44</v>
      </c>
      <c r="F989" t="s">
        <v>1529</v>
      </c>
      <c r="G989" t="s">
        <v>34</v>
      </c>
      <c r="H989" t="s">
        <v>110</v>
      </c>
      <c r="I989" t="s">
        <v>4614</v>
      </c>
      <c r="J989">
        <v>37</v>
      </c>
      <c r="K989" t="s">
        <v>25</v>
      </c>
      <c r="L989" t="s">
        <v>130</v>
      </c>
      <c r="M989" t="s">
        <v>27</v>
      </c>
      <c r="P989" t="s">
        <v>28</v>
      </c>
      <c r="Q989" t="s">
        <v>4615</v>
      </c>
      <c r="R989" t="s">
        <v>4616</v>
      </c>
      <c r="S989" t="s">
        <v>31</v>
      </c>
      <c r="T989">
        <v>0</v>
      </c>
    </row>
    <row r="990" spans="1:20" x14ac:dyDescent="0.25">
      <c r="A990" t="s">
        <v>4617</v>
      </c>
      <c r="B990" s="1">
        <v>45825</v>
      </c>
      <c r="C990" s="5">
        <v>0.29540509259259257</v>
      </c>
      <c r="D990">
        <v>151.1</v>
      </c>
      <c r="E990" t="s">
        <v>44</v>
      </c>
      <c r="F990" t="s">
        <v>2904</v>
      </c>
      <c r="G990" t="s">
        <v>57</v>
      </c>
      <c r="H990" t="s">
        <v>97</v>
      </c>
      <c r="I990" t="s">
        <v>4618</v>
      </c>
      <c r="J990">
        <v>75</v>
      </c>
      <c r="K990" t="s">
        <v>37</v>
      </c>
      <c r="L990" t="s">
        <v>248</v>
      </c>
      <c r="M990" t="s">
        <v>105</v>
      </c>
      <c r="P990" t="s">
        <v>28</v>
      </c>
      <c r="Q990" t="s">
        <v>4619</v>
      </c>
      <c r="R990" t="s">
        <v>4620</v>
      </c>
      <c r="S990" t="s">
        <v>31</v>
      </c>
      <c r="T990">
        <v>0</v>
      </c>
    </row>
    <row r="991" spans="1:20" x14ac:dyDescent="0.25">
      <c r="A991" t="s">
        <v>4621</v>
      </c>
      <c r="B991" s="1">
        <v>45830</v>
      </c>
      <c r="C991" s="5">
        <v>0.10888888888888888</v>
      </c>
      <c r="D991">
        <v>95.88</v>
      </c>
      <c r="E991" t="s">
        <v>44</v>
      </c>
      <c r="F991" t="s">
        <v>4622</v>
      </c>
      <c r="G991" t="s">
        <v>77</v>
      </c>
      <c r="H991" t="s">
        <v>47</v>
      </c>
      <c r="I991" t="s">
        <v>4623</v>
      </c>
      <c r="J991">
        <v>32</v>
      </c>
      <c r="K991" t="s">
        <v>25</v>
      </c>
      <c r="L991" t="s">
        <v>38</v>
      </c>
      <c r="M991" t="s">
        <v>84</v>
      </c>
      <c r="P991" t="s">
        <v>28</v>
      </c>
      <c r="Q991" t="s">
        <v>4624</v>
      </c>
      <c r="R991" t="s">
        <v>4625</v>
      </c>
      <c r="S991" t="s">
        <v>31</v>
      </c>
      <c r="T991">
        <v>0</v>
      </c>
    </row>
    <row r="992" spans="1:20" x14ac:dyDescent="0.25">
      <c r="A992" t="s">
        <v>4626</v>
      </c>
      <c r="B992" s="1">
        <v>45931</v>
      </c>
      <c r="C992" s="5">
        <v>0.12516203703703704</v>
      </c>
      <c r="D992">
        <v>164</v>
      </c>
      <c r="E992" t="s">
        <v>44</v>
      </c>
      <c r="F992" t="s">
        <v>4627</v>
      </c>
      <c r="G992" t="s">
        <v>46</v>
      </c>
      <c r="H992" t="s">
        <v>66</v>
      </c>
      <c r="I992" t="s">
        <v>4628</v>
      </c>
      <c r="J992">
        <v>47</v>
      </c>
      <c r="K992" t="s">
        <v>25</v>
      </c>
      <c r="L992" t="s">
        <v>97</v>
      </c>
      <c r="M992" t="s">
        <v>51</v>
      </c>
      <c r="N992" t="s">
        <v>304</v>
      </c>
      <c r="O992">
        <v>457109</v>
      </c>
      <c r="P992" t="s">
        <v>28</v>
      </c>
      <c r="Q992" t="s">
        <v>4629</v>
      </c>
      <c r="R992" t="s">
        <v>4630</v>
      </c>
      <c r="S992" t="s">
        <v>31</v>
      </c>
      <c r="T992">
        <v>0</v>
      </c>
    </row>
    <row r="993" spans="1:20" x14ac:dyDescent="0.25">
      <c r="A993" t="s">
        <v>4631</v>
      </c>
      <c r="B993" s="1">
        <v>45872</v>
      </c>
      <c r="C993" s="5">
        <v>0.4129976851851852</v>
      </c>
      <c r="D993">
        <v>133.13</v>
      </c>
      <c r="E993" t="s">
        <v>44</v>
      </c>
      <c r="F993" t="s">
        <v>937</v>
      </c>
      <c r="G993" t="s">
        <v>96</v>
      </c>
      <c r="H993" t="s">
        <v>66</v>
      </c>
      <c r="I993" t="s">
        <v>4632</v>
      </c>
      <c r="J993">
        <v>52</v>
      </c>
      <c r="K993" t="s">
        <v>37</v>
      </c>
      <c r="L993" t="s">
        <v>26</v>
      </c>
      <c r="M993" t="s">
        <v>39</v>
      </c>
      <c r="P993" t="s">
        <v>28</v>
      </c>
      <c r="Q993" t="s">
        <v>4633</v>
      </c>
      <c r="R993" t="s">
        <v>4634</v>
      </c>
      <c r="S993" t="s">
        <v>31</v>
      </c>
      <c r="T993">
        <v>0</v>
      </c>
    </row>
    <row r="994" spans="1:20" x14ac:dyDescent="0.25">
      <c r="A994" t="s">
        <v>4635</v>
      </c>
      <c r="B994" s="1">
        <v>45789</v>
      </c>
      <c r="C994" s="5">
        <v>0.33483796296296298</v>
      </c>
      <c r="D994">
        <v>55.84</v>
      </c>
      <c r="E994" t="s">
        <v>44</v>
      </c>
      <c r="F994" t="s">
        <v>3986</v>
      </c>
      <c r="G994" t="s">
        <v>77</v>
      </c>
      <c r="H994" t="s">
        <v>146</v>
      </c>
      <c r="I994" t="s">
        <v>4636</v>
      </c>
      <c r="J994">
        <v>34</v>
      </c>
      <c r="K994" t="s">
        <v>49</v>
      </c>
      <c r="L994" t="s">
        <v>58</v>
      </c>
      <c r="M994" t="s">
        <v>112</v>
      </c>
      <c r="P994" t="s">
        <v>28</v>
      </c>
      <c r="Q994" t="s">
        <v>4637</v>
      </c>
      <c r="R994" t="s">
        <v>4638</v>
      </c>
      <c r="S994" t="s">
        <v>31</v>
      </c>
      <c r="T994">
        <v>0</v>
      </c>
    </row>
    <row r="995" spans="1:20" x14ac:dyDescent="0.25">
      <c r="A995" t="s">
        <v>4639</v>
      </c>
      <c r="B995" s="1">
        <v>45949</v>
      </c>
      <c r="C995" s="5">
        <v>0.38925925925925925</v>
      </c>
      <c r="D995">
        <v>59.36</v>
      </c>
      <c r="E995" t="s">
        <v>44</v>
      </c>
      <c r="F995" t="s">
        <v>212</v>
      </c>
      <c r="G995" t="s">
        <v>96</v>
      </c>
      <c r="H995" t="s">
        <v>26</v>
      </c>
      <c r="I995" t="s">
        <v>4640</v>
      </c>
      <c r="J995">
        <v>32</v>
      </c>
      <c r="K995" t="s">
        <v>49</v>
      </c>
      <c r="L995" t="s">
        <v>50</v>
      </c>
      <c r="M995" t="s">
        <v>27</v>
      </c>
      <c r="P995" t="s">
        <v>28</v>
      </c>
      <c r="Q995" t="s">
        <v>4641</v>
      </c>
      <c r="R995" t="s">
        <v>4642</v>
      </c>
      <c r="S995" t="s">
        <v>31</v>
      </c>
      <c r="T995">
        <v>0</v>
      </c>
    </row>
    <row r="996" spans="1:20" x14ac:dyDescent="0.25">
      <c r="A996" t="s">
        <v>4643</v>
      </c>
      <c r="B996" s="1">
        <v>45890</v>
      </c>
      <c r="C996" s="5">
        <v>0.677337962962963</v>
      </c>
      <c r="D996">
        <v>128.91999999999999</v>
      </c>
      <c r="E996" t="s">
        <v>44</v>
      </c>
      <c r="F996" t="s">
        <v>3696</v>
      </c>
      <c r="G996" t="s">
        <v>89</v>
      </c>
      <c r="H996" t="s">
        <v>38</v>
      </c>
      <c r="I996" t="s">
        <v>4644</v>
      </c>
      <c r="J996">
        <v>20</v>
      </c>
      <c r="K996" t="s">
        <v>25</v>
      </c>
      <c r="L996" t="s">
        <v>119</v>
      </c>
      <c r="M996" t="s">
        <v>51</v>
      </c>
      <c r="N996" t="s">
        <v>345</v>
      </c>
      <c r="O996">
        <v>493576</v>
      </c>
      <c r="P996" t="s">
        <v>28</v>
      </c>
      <c r="Q996" t="s">
        <v>4645</v>
      </c>
      <c r="R996" t="s">
        <v>4646</v>
      </c>
      <c r="S996" t="s">
        <v>31</v>
      </c>
      <c r="T996">
        <v>0</v>
      </c>
    </row>
    <row r="997" spans="1:20" x14ac:dyDescent="0.25">
      <c r="A997" t="s">
        <v>4647</v>
      </c>
      <c r="B997" s="1">
        <v>45867</v>
      </c>
      <c r="C997" s="5">
        <v>0.11761574074074074</v>
      </c>
      <c r="D997">
        <v>84.77</v>
      </c>
      <c r="E997" t="s">
        <v>44</v>
      </c>
      <c r="F997" t="s">
        <v>4648</v>
      </c>
      <c r="G997" t="s">
        <v>46</v>
      </c>
      <c r="H997" t="s">
        <v>248</v>
      </c>
      <c r="I997" t="s">
        <v>4649</v>
      </c>
      <c r="J997">
        <v>71</v>
      </c>
      <c r="K997" t="s">
        <v>37</v>
      </c>
      <c r="L997" t="s">
        <v>97</v>
      </c>
      <c r="M997" t="s">
        <v>51</v>
      </c>
      <c r="N997" t="s">
        <v>345</v>
      </c>
      <c r="O997">
        <v>528310</v>
      </c>
      <c r="P997" t="s">
        <v>28</v>
      </c>
      <c r="Q997" t="s">
        <v>4650</v>
      </c>
      <c r="R997" t="s">
        <v>4651</v>
      </c>
      <c r="S997" t="s">
        <v>31</v>
      </c>
      <c r="T997">
        <v>0</v>
      </c>
    </row>
    <row r="998" spans="1:20" x14ac:dyDescent="0.25">
      <c r="A998" t="s">
        <v>4652</v>
      </c>
      <c r="B998" s="1">
        <v>45818</v>
      </c>
      <c r="C998" s="5">
        <v>0.94203703703703701</v>
      </c>
      <c r="D998">
        <v>129.44999999999999</v>
      </c>
      <c r="E998" t="s">
        <v>44</v>
      </c>
      <c r="F998" t="s">
        <v>2181</v>
      </c>
      <c r="G998" t="s">
        <v>64</v>
      </c>
      <c r="H998" t="s">
        <v>50</v>
      </c>
      <c r="I998" t="s">
        <v>4653</v>
      </c>
      <c r="J998">
        <v>64</v>
      </c>
      <c r="K998" t="s">
        <v>49</v>
      </c>
      <c r="L998" t="s">
        <v>91</v>
      </c>
      <c r="M998" t="s">
        <v>39</v>
      </c>
      <c r="P998" t="s">
        <v>28</v>
      </c>
      <c r="Q998" t="s">
        <v>4654</v>
      </c>
      <c r="R998" t="s">
        <v>4655</v>
      </c>
      <c r="S998" t="s">
        <v>31</v>
      </c>
      <c r="T998">
        <v>0</v>
      </c>
    </row>
    <row r="999" spans="1:20" x14ac:dyDescent="0.25">
      <c r="A999" t="s">
        <v>4656</v>
      </c>
      <c r="B999" s="1">
        <v>45805</v>
      </c>
      <c r="C999" s="5">
        <v>4.0798611111111112E-2</v>
      </c>
      <c r="D999">
        <v>154.76</v>
      </c>
      <c r="E999" t="s">
        <v>44</v>
      </c>
      <c r="F999" t="s">
        <v>1045</v>
      </c>
      <c r="G999" t="s">
        <v>22</v>
      </c>
      <c r="H999" t="s">
        <v>119</v>
      </c>
      <c r="I999" t="s">
        <v>4657</v>
      </c>
      <c r="J999">
        <v>59</v>
      </c>
      <c r="K999" t="s">
        <v>37</v>
      </c>
      <c r="L999" t="s">
        <v>35</v>
      </c>
      <c r="M999" t="s">
        <v>84</v>
      </c>
      <c r="P999" t="s">
        <v>28</v>
      </c>
      <c r="Q999" t="s">
        <v>4658</v>
      </c>
      <c r="R999" t="s">
        <v>4659</v>
      </c>
      <c r="S999" t="s">
        <v>31</v>
      </c>
      <c r="T999">
        <v>1</v>
      </c>
    </row>
    <row r="1000" spans="1:20" x14ac:dyDescent="0.25">
      <c r="A1000" t="s">
        <v>4660</v>
      </c>
      <c r="B1000" s="1">
        <v>45851</v>
      </c>
      <c r="C1000" s="5">
        <v>0.19133101851851853</v>
      </c>
      <c r="D1000">
        <v>121.95</v>
      </c>
      <c r="E1000" t="s">
        <v>44</v>
      </c>
      <c r="F1000" t="s">
        <v>4661</v>
      </c>
      <c r="G1000" t="s">
        <v>96</v>
      </c>
      <c r="H1000" t="s">
        <v>66</v>
      </c>
      <c r="I1000" t="s">
        <v>4662</v>
      </c>
      <c r="J1000">
        <v>24</v>
      </c>
      <c r="K1000" t="s">
        <v>25</v>
      </c>
      <c r="L1000" t="s">
        <v>248</v>
      </c>
      <c r="M1000" t="s">
        <v>84</v>
      </c>
      <c r="P1000" t="s">
        <v>28</v>
      </c>
      <c r="Q1000" t="s">
        <v>4663</v>
      </c>
      <c r="R1000" t="s">
        <v>4664</v>
      </c>
      <c r="S1000" t="s">
        <v>31</v>
      </c>
      <c r="T1000">
        <v>0</v>
      </c>
    </row>
    <row r="1001" spans="1:20" x14ac:dyDescent="0.25">
      <c r="A1001" t="s">
        <v>4665</v>
      </c>
      <c r="B1001" s="1">
        <v>45881</v>
      </c>
      <c r="C1001" s="5">
        <v>0.8425231481481481</v>
      </c>
      <c r="D1001">
        <v>145.35</v>
      </c>
      <c r="E1001" t="s">
        <v>44</v>
      </c>
      <c r="F1001" t="s">
        <v>868</v>
      </c>
      <c r="G1001" t="s">
        <v>46</v>
      </c>
      <c r="H1001" t="s">
        <v>47</v>
      </c>
      <c r="I1001" t="s">
        <v>4666</v>
      </c>
      <c r="J1001">
        <v>69</v>
      </c>
      <c r="K1001" t="s">
        <v>25</v>
      </c>
      <c r="L1001" t="s">
        <v>146</v>
      </c>
      <c r="M1001" t="s">
        <v>51</v>
      </c>
      <c r="N1001" t="s">
        <v>507</v>
      </c>
      <c r="O1001">
        <v>528734</v>
      </c>
      <c r="P1001" t="s">
        <v>28</v>
      </c>
      <c r="Q1001" t="s">
        <v>4667</v>
      </c>
      <c r="R1001" t="s">
        <v>4668</v>
      </c>
      <c r="S1001" t="s">
        <v>31</v>
      </c>
      <c r="T1001">
        <v>0</v>
      </c>
    </row>
    <row r="1002" spans="1:20" x14ac:dyDescent="0.25">
      <c r="A1002" t="s">
        <v>4669</v>
      </c>
      <c r="B1002" s="1">
        <v>45849</v>
      </c>
      <c r="C1002" s="5">
        <v>0.84686342592592589</v>
      </c>
      <c r="D1002">
        <v>40.43</v>
      </c>
      <c r="E1002" t="s">
        <v>44</v>
      </c>
      <c r="F1002" t="s">
        <v>4670</v>
      </c>
      <c r="G1002" t="s">
        <v>46</v>
      </c>
      <c r="H1002" t="s">
        <v>35</v>
      </c>
      <c r="I1002" t="s">
        <v>4671</v>
      </c>
      <c r="J1002">
        <v>71</v>
      </c>
      <c r="K1002" t="s">
        <v>25</v>
      </c>
      <c r="L1002" t="s">
        <v>146</v>
      </c>
      <c r="M1002" t="s">
        <v>51</v>
      </c>
      <c r="N1002" t="s">
        <v>52</v>
      </c>
      <c r="O1002">
        <v>415260</v>
      </c>
      <c r="P1002" t="s">
        <v>28</v>
      </c>
      <c r="Q1002" t="s">
        <v>4672</v>
      </c>
      <c r="R1002" t="s">
        <v>4673</v>
      </c>
      <c r="S1002" t="s">
        <v>31</v>
      </c>
      <c r="T1002">
        <v>0</v>
      </c>
    </row>
    <row r="1003" spans="1:20" x14ac:dyDescent="0.25">
      <c r="A1003" t="s">
        <v>4674</v>
      </c>
      <c r="B1003" s="1">
        <v>45879</v>
      </c>
      <c r="C1003" s="5">
        <v>0.44613425925925926</v>
      </c>
      <c r="D1003">
        <v>32.01</v>
      </c>
      <c r="E1003" t="s">
        <v>44</v>
      </c>
      <c r="F1003" t="s">
        <v>302</v>
      </c>
      <c r="G1003" t="s">
        <v>46</v>
      </c>
      <c r="H1003" t="s">
        <v>50</v>
      </c>
      <c r="I1003" t="s">
        <v>1144</v>
      </c>
      <c r="J1003">
        <v>61</v>
      </c>
      <c r="K1003" t="s">
        <v>25</v>
      </c>
      <c r="L1003" t="s">
        <v>38</v>
      </c>
      <c r="M1003" t="s">
        <v>105</v>
      </c>
      <c r="P1003" t="s">
        <v>28</v>
      </c>
      <c r="Q1003" t="s">
        <v>4675</v>
      </c>
      <c r="R1003" t="s">
        <v>4676</v>
      </c>
      <c r="S1003" t="s">
        <v>31</v>
      </c>
      <c r="T1003">
        <v>0</v>
      </c>
    </row>
    <row r="1004" spans="1:20" x14ac:dyDescent="0.25">
      <c r="A1004" t="s">
        <v>4677</v>
      </c>
      <c r="B1004" s="1">
        <v>45810</v>
      </c>
      <c r="C1004" s="5">
        <v>0.47091435185185188</v>
      </c>
      <c r="D1004">
        <v>27.4</v>
      </c>
      <c r="E1004" t="s">
        <v>44</v>
      </c>
      <c r="F1004" t="s">
        <v>4678</v>
      </c>
      <c r="G1004" t="s">
        <v>34</v>
      </c>
      <c r="H1004" t="s">
        <v>58</v>
      </c>
      <c r="I1004" t="s">
        <v>4679</v>
      </c>
      <c r="J1004">
        <v>33</v>
      </c>
      <c r="K1004" t="s">
        <v>25</v>
      </c>
      <c r="L1004" t="s">
        <v>23</v>
      </c>
      <c r="M1004" t="s">
        <v>105</v>
      </c>
      <c r="P1004" t="s">
        <v>28</v>
      </c>
      <c r="Q1004" t="s">
        <v>4680</v>
      </c>
      <c r="R1004" t="s">
        <v>4681</v>
      </c>
      <c r="S1004" t="s">
        <v>31</v>
      </c>
      <c r="T1004">
        <v>0</v>
      </c>
    </row>
    <row r="1005" spans="1:20" x14ac:dyDescent="0.25">
      <c r="A1005" t="s">
        <v>4682</v>
      </c>
      <c r="B1005" s="1">
        <v>45893</v>
      </c>
      <c r="C1005" s="5">
        <v>0.64149305555555558</v>
      </c>
      <c r="D1005">
        <v>163.34</v>
      </c>
      <c r="E1005" t="s">
        <v>44</v>
      </c>
      <c r="F1005" t="s">
        <v>4683</v>
      </c>
      <c r="G1005" t="s">
        <v>64</v>
      </c>
      <c r="H1005" t="s">
        <v>110</v>
      </c>
      <c r="I1005" t="s">
        <v>4684</v>
      </c>
      <c r="J1005">
        <v>22</v>
      </c>
      <c r="K1005" t="s">
        <v>49</v>
      </c>
      <c r="L1005" t="s">
        <v>130</v>
      </c>
      <c r="M1005" t="s">
        <v>105</v>
      </c>
      <c r="P1005" t="s">
        <v>28</v>
      </c>
      <c r="Q1005" t="s">
        <v>4685</v>
      </c>
      <c r="R1005" t="s">
        <v>4686</v>
      </c>
      <c r="S1005" t="s">
        <v>31</v>
      </c>
      <c r="T1005">
        <v>0</v>
      </c>
    </row>
    <row r="1006" spans="1:20" x14ac:dyDescent="0.25">
      <c r="A1006" t="s">
        <v>4687</v>
      </c>
      <c r="B1006" s="1">
        <v>45800</v>
      </c>
      <c r="C1006" s="5">
        <v>0.4503125</v>
      </c>
      <c r="D1006">
        <v>183.46</v>
      </c>
      <c r="E1006" t="s">
        <v>44</v>
      </c>
      <c r="F1006" t="s">
        <v>2512</v>
      </c>
      <c r="G1006" t="s">
        <v>124</v>
      </c>
      <c r="H1006" t="s">
        <v>110</v>
      </c>
      <c r="I1006" t="s">
        <v>4688</v>
      </c>
      <c r="J1006">
        <v>62</v>
      </c>
      <c r="K1006" t="s">
        <v>49</v>
      </c>
      <c r="L1006" t="s">
        <v>110</v>
      </c>
      <c r="M1006" t="s">
        <v>105</v>
      </c>
      <c r="P1006" t="s">
        <v>113</v>
      </c>
      <c r="Q1006" t="s">
        <v>4689</v>
      </c>
      <c r="R1006" t="s">
        <v>4690</v>
      </c>
      <c r="S1006" t="s">
        <v>31</v>
      </c>
      <c r="T1006">
        <v>0</v>
      </c>
    </row>
    <row r="1007" spans="1:20" x14ac:dyDescent="0.25">
      <c r="A1007" t="s">
        <v>4691</v>
      </c>
      <c r="B1007" s="1">
        <v>45801</v>
      </c>
      <c r="C1007" s="5">
        <v>0.52005787037037032</v>
      </c>
      <c r="D1007">
        <v>159.25</v>
      </c>
      <c r="E1007" t="s">
        <v>44</v>
      </c>
      <c r="F1007" t="s">
        <v>1983</v>
      </c>
      <c r="G1007" t="s">
        <v>64</v>
      </c>
      <c r="H1007" t="s">
        <v>50</v>
      </c>
      <c r="I1007" t="s">
        <v>4692</v>
      </c>
      <c r="J1007">
        <v>22</v>
      </c>
      <c r="K1007" t="s">
        <v>37</v>
      </c>
      <c r="L1007" t="s">
        <v>35</v>
      </c>
      <c r="M1007" t="s">
        <v>105</v>
      </c>
      <c r="P1007" t="s">
        <v>28</v>
      </c>
      <c r="Q1007" t="s">
        <v>4693</v>
      </c>
      <c r="R1007" t="s">
        <v>4694</v>
      </c>
      <c r="S1007" t="s">
        <v>101</v>
      </c>
      <c r="T1007">
        <v>0</v>
      </c>
    </row>
    <row r="1008" spans="1:20" x14ac:dyDescent="0.25">
      <c r="A1008" t="s">
        <v>4695</v>
      </c>
      <c r="B1008" s="1">
        <v>45937</v>
      </c>
      <c r="C1008" s="5">
        <v>0.46607638888888892</v>
      </c>
      <c r="D1008">
        <v>34.799999999999997</v>
      </c>
      <c r="E1008" t="s">
        <v>44</v>
      </c>
      <c r="F1008" t="s">
        <v>4696</v>
      </c>
      <c r="G1008" t="s">
        <v>22</v>
      </c>
      <c r="H1008" t="s">
        <v>110</v>
      </c>
      <c r="I1008" t="s">
        <v>4697</v>
      </c>
      <c r="J1008">
        <v>67</v>
      </c>
      <c r="K1008" t="s">
        <v>49</v>
      </c>
      <c r="L1008" t="s">
        <v>248</v>
      </c>
      <c r="M1008" t="s">
        <v>112</v>
      </c>
      <c r="P1008" t="s">
        <v>28</v>
      </c>
      <c r="Q1008" t="s">
        <v>4698</v>
      </c>
      <c r="R1008" t="s">
        <v>4699</v>
      </c>
      <c r="S1008" t="s">
        <v>31</v>
      </c>
      <c r="T1008">
        <v>0</v>
      </c>
    </row>
    <row r="1009" spans="1:20" x14ac:dyDescent="0.25">
      <c r="A1009" t="s">
        <v>4700</v>
      </c>
      <c r="B1009" s="1">
        <v>45915</v>
      </c>
      <c r="C1009" s="5">
        <v>0.58652777777777776</v>
      </c>
      <c r="D1009">
        <v>35.29</v>
      </c>
      <c r="E1009" t="s">
        <v>44</v>
      </c>
      <c r="F1009" t="s">
        <v>4509</v>
      </c>
      <c r="G1009" t="s">
        <v>71</v>
      </c>
      <c r="H1009" t="s">
        <v>26</v>
      </c>
      <c r="I1009" t="s">
        <v>4701</v>
      </c>
      <c r="J1009">
        <v>47</v>
      </c>
      <c r="K1009" t="s">
        <v>25</v>
      </c>
      <c r="L1009" t="s">
        <v>38</v>
      </c>
      <c r="M1009" t="s">
        <v>51</v>
      </c>
      <c r="N1009" t="s">
        <v>870</v>
      </c>
      <c r="O1009">
        <v>559186</v>
      </c>
      <c r="P1009" t="s">
        <v>28</v>
      </c>
      <c r="Q1009" t="s">
        <v>4702</v>
      </c>
      <c r="R1009" t="s">
        <v>4703</v>
      </c>
      <c r="S1009" t="s">
        <v>31</v>
      </c>
      <c r="T1009">
        <v>0</v>
      </c>
    </row>
    <row r="1010" spans="1:20" x14ac:dyDescent="0.25">
      <c r="A1010" t="s">
        <v>4704</v>
      </c>
      <c r="B1010" s="1">
        <v>45828</v>
      </c>
      <c r="C1010" s="5">
        <v>0.98322916666666671</v>
      </c>
      <c r="D1010">
        <v>12.62</v>
      </c>
      <c r="E1010" t="s">
        <v>44</v>
      </c>
      <c r="F1010" t="s">
        <v>4705</v>
      </c>
      <c r="G1010" t="s">
        <v>77</v>
      </c>
      <c r="H1010" t="s">
        <v>97</v>
      </c>
      <c r="I1010" t="s">
        <v>4706</v>
      </c>
      <c r="J1010">
        <v>26</v>
      </c>
      <c r="K1010" t="s">
        <v>49</v>
      </c>
      <c r="L1010" t="s">
        <v>130</v>
      </c>
      <c r="M1010" t="s">
        <v>39</v>
      </c>
      <c r="P1010" t="s">
        <v>28</v>
      </c>
      <c r="Q1010" t="s">
        <v>4707</v>
      </c>
      <c r="R1010" t="s">
        <v>4708</v>
      </c>
      <c r="S1010" t="s">
        <v>31</v>
      </c>
      <c r="T1010">
        <v>0</v>
      </c>
    </row>
    <row r="1011" spans="1:20" x14ac:dyDescent="0.25">
      <c r="A1011" t="s">
        <v>4709</v>
      </c>
      <c r="B1011" s="1">
        <v>45921</v>
      </c>
      <c r="C1011" s="5">
        <v>0.7723726851851852</v>
      </c>
      <c r="D1011">
        <v>16.98</v>
      </c>
      <c r="E1011" t="s">
        <v>44</v>
      </c>
      <c r="F1011" t="s">
        <v>4710</v>
      </c>
      <c r="G1011" t="s">
        <v>96</v>
      </c>
      <c r="H1011" t="s">
        <v>130</v>
      </c>
      <c r="I1011" t="s">
        <v>4711</v>
      </c>
      <c r="J1011">
        <v>40</v>
      </c>
      <c r="K1011" t="s">
        <v>49</v>
      </c>
      <c r="L1011" t="s">
        <v>66</v>
      </c>
      <c r="M1011" t="s">
        <v>39</v>
      </c>
      <c r="P1011" t="s">
        <v>28</v>
      </c>
      <c r="Q1011" t="s">
        <v>4712</v>
      </c>
      <c r="R1011" t="s">
        <v>4713</v>
      </c>
      <c r="S1011" t="s">
        <v>31</v>
      </c>
      <c r="T1011">
        <v>0</v>
      </c>
    </row>
    <row r="1012" spans="1:20" x14ac:dyDescent="0.25">
      <c r="A1012" t="s">
        <v>4714</v>
      </c>
      <c r="B1012" s="1">
        <v>45798</v>
      </c>
      <c r="C1012" s="5">
        <v>0.88059027777777776</v>
      </c>
      <c r="D1012">
        <v>292.14999999999998</v>
      </c>
      <c r="E1012" t="s">
        <v>44</v>
      </c>
      <c r="F1012" t="s">
        <v>2530</v>
      </c>
      <c r="G1012" t="s">
        <v>89</v>
      </c>
      <c r="H1012" t="s">
        <v>91</v>
      </c>
      <c r="I1012" t="s">
        <v>4715</v>
      </c>
      <c r="J1012">
        <v>29</v>
      </c>
      <c r="K1012" t="s">
        <v>25</v>
      </c>
      <c r="L1012" t="s">
        <v>91</v>
      </c>
      <c r="M1012" t="s">
        <v>112</v>
      </c>
      <c r="P1012" t="s">
        <v>113</v>
      </c>
      <c r="Q1012" t="s">
        <v>4716</v>
      </c>
      <c r="R1012" t="s">
        <v>4717</v>
      </c>
      <c r="S1012" t="s">
        <v>31</v>
      </c>
      <c r="T1012">
        <v>0</v>
      </c>
    </row>
    <row r="1013" spans="1:20" x14ac:dyDescent="0.25">
      <c r="A1013" t="s">
        <v>4718</v>
      </c>
      <c r="B1013" s="1">
        <v>45871</v>
      </c>
      <c r="C1013" s="5">
        <v>0.79631944444444447</v>
      </c>
      <c r="D1013">
        <v>167.88</v>
      </c>
      <c r="E1013" t="s">
        <v>44</v>
      </c>
      <c r="F1013" t="s">
        <v>2259</v>
      </c>
      <c r="G1013" t="s">
        <v>46</v>
      </c>
      <c r="H1013" t="s">
        <v>26</v>
      </c>
      <c r="I1013" t="s">
        <v>4719</v>
      </c>
      <c r="J1013">
        <v>19</v>
      </c>
      <c r="K1013" t="s">
        <v>37</v>
      </c>
      <c r="L1013" t="s">
        <v>97</v>
      </c>
      <c r="M1013" t="s">
        <v>112</v>
      </c>
      <c r="P1013" t="s">
        <v>28</v>
      </c>
      <c r="Q1013" t="s">
        <v>4720</v>
      </c>
      <c r="R1013" t="s">
        <v>4721</v>
      </c>
      <c r="S1013" t="s">
        <v>31</v>
      </c>
      <c r="T1013">
        <v>0</v>
      </c>
    </row>
    <row r="1014" spans="1:20" x14ac:dyDescent="0.25">
      <c r="A1014" t="s">
        <v>4722</v>
      </c>
      <c r="B1014" s="1">
        <v>45909</v>
      </c>
      <c r="C1014" s="5">
        <v>0.34642361111111108</v>
      </c>
      <c r="D1014">
        <v>170.21</v>
      </c>
      <c r="E1014" t="s">
        <v>44</v>
      </c>
      <c r="F1014" t="s">
        <v>56</v>
      </c>
      <c r="G1014" t="s">
        <v>34</v>
      </c>
      <c r="H1014" t="s">
        <v>146</v>
      </c>
      <c r="I1014" t="s">
        <v>4723</v>
      </c>
      <c r="J1014">
        <v>60</v>
      </c>
      <c r="K1014" t="s">
        <v>37</v>
      </c>
      <c r="L1014" t="s">
        <v>23</v>
      </c>
      <c r="M1014" t="s">
        <v>112</v>
      </c>
      <c r="P1014" t="s">
        <v>28</v>
      </c>
      <c r="Q1014" t="s">
        <v>4724</v>
      </c>
      <c r="R1014" t="s">
        <v>4725</v>
      </c>
      <c r="S1014" t="s">
        <v>31</v>
      </c>
      <c r="T1014">
        <v>0</v>
      </c>
    </row>
    <row r="1015" spans="1:20" x14ac:dyDescent="0.25">
      <c r="A1015" t="s">
        <v>4726</v>
      </c>
      <c r="B1015" s="1">
        <v>45799</v>
      </c>
      <c r="C1015" s="5">
        <v>0.35145833333333332</v>
      </c>
      <c r="D1015">
        <v>32.28</v>
      </c>
      <c r="E1015" t="s">
        <v>44</v>
      </c>
      <c r="F1015" t="s">
        <v>4727</v>
      </c>
      <c r="G1015" t="s">
        <v>57</v>
      </c>
      <c r="H1015" t="s">
        <v>146</v>
      </c>
      <c r="I1015" t="s">
        <v>4728</v>
      </c>
      <c r="J1015">
        <v>20</v>
      </c>
      <c r="K1015" t="s">
        <v>49</v>
      </c>
      <c r="L1015" t="s">
        <v>110</v>
      </c>
      <c r="M1015" t="s">
        <v>105</v>
      </c>
      <c r="P1015" t="s">
        <v>28</v>
      </c>
      <c r="Q1015" t="s">
        <v>4729</v>
      </c>
      <c r="R1015" t="s">
        <v>4730</v>
      </c>
      <c r="S1015" t="s">
        <v>31</v>
      </c>
      <c r="T1015">
        <v>0</v>
      </c>
    </row>
    <row r="1016" spans="1:20" x14ac:dyDescent="0.25">
      <c r="A1016" t="s">
        <v>4731</v>
      </c>
      <c r="B1016" s="1">
        <v>45855</v>
      </c>
      <c r="C1016" s="5">
        <v>0.67484953703703698</v>
      </c>
      <c r="D1016">
        <v>3329.05</v>
      </c>
      <c r="E1016" t="s">
        <v>44</v>
      </c>
      <c r="F1016" t="s">
        <v>4732</v>
      </c>
      <c r="G1016" t="s">
        <v>71</v>
      </c>
      <c r="H1016" t="s">
        <v>50</v>
      </c>
      <c r="I1016" t="s">
        <v>4733</v>
      </c>
      <c r="J1016">
        <v>41</v>
      </c>
      <c r="K1016" t="s">
        <v>37</v>
      </c>
      <c r="L1016" t="s">
        <v>23</v>
      </c>
      <c r="M1016" t="s">
        <v>39</v>
      </c>
      <c r="P1016" t="s">
        <v>28</v>
      </c>
      <c r="Q1016" t="s">
        <v>4734</v>
      </c>
      <c r="R1016" t="s">
        <v>4735</v>
      </c>
      <c r="S1016" t="s">
        <v>101</v>
      </c>
      <c r="T1016">
        <v>0</v>
      </c>
    </row>
    <row r="1017" spans="1:20" x14ac:dyDescent="0.25">
      <c r="A1017" t="s">
        <v>4736</v>
      </c>
      <c r="B1017" s="1">
        <v>45877</v>
      </c>
      <c r="C1017" s="5">
        <v>0.23876157407407408</v>
      </c>
      <c r="D1017">
        <v>179.13</v>
      </c>
      <c r="E1017" t="s">
        <v>44</v>
      </c>
      <c r="F1017" t="s">
        <v>4737</v>
      </c>
      <c r="G1017" t="s">
        <v>46</v>
      </c>
      <c r="H1017" t="s">
        <v>110</v>
      </c>
      <c r="I1017" t="s">
        <v>4738</v>
      </c>
      <c r="K1017" t="s">
        <v>37</v>
      </c>
      <c r="L1017" t="s">
        <v>66</v>
      </c>
      <c r="M1017" t="s">
        <v>39</v>
      </c>
      <c r="P1017" t="s">
        <v>28</v>
      </c>
      <c r="Q1017" t="s">
        <v>4739</v>
      </c>
      <c r="R1017" t="s">
        <v>4740</v>
      </c>
      <c r="S1017" t="s">
        <v>31</v>
      </c>
      <c r="T1017">
        <v>0</v>
      </c>
    </row>
    <row r="1018" spans="1:20" x14ac:dyDescent="0.25">
      <c r="A1018" t="s">
        <v>4741</v>
      </c>
      <c r="B1018" s="1">
        <v>45904</v>
      </c>
      <c r="C1018" s="5">
        <v>0.70656249999999998</v>
      </c>
      <c r="D1018">
        <v>173.94</v>
      </c>
      <c r="E1018" t="s">
        <v>44</v>
      </c>
      <c r="F1018" t="s">
        <v>782</v>
      </c>
      <c r="G1018" t="s">
        <v>34</v>
      </c>
      <c r="H1018" t="s">
        <v>66</v>
      </c>
      <c r="I1018" t="s">
        <v>4742</v>
      </c>
      <c r="J1018">
        <v>70</v>
      </c>
      <c r="K1018" t="s">
        <v>49</v>
      </c>
      <c r="L1018" t="s">
        <v>38</v>
      </c>
      <c r="M1018" t="s">
        <v>27</v>
      </c>
      <c r="P1018" t="s">
        <v>28</v>
      </c>
      <c r="Q1018" t="s">
        <v>4743</v>
      </c>
      <c r="R1018" t="s">
        <v>4744</v>
      </c>
      <c r="S1018" t="s">
        <v>31</v>
      </c>
      <c r="T1018">
        <v>1</v>
      </c>
    </row>
    <row r="1019" spans="1:20" x14ac:dyDescent="0.25">
      <c r="A1019" t="s">
        <v>4745</v>
      </c>
      <c r="B1019" s="1">
        <v>45822</v>
      </c>
      <c r="C1019" s="5">
        <v>0.33914351851851854</v>
      </c>
      <c r="D1019">
        <v>7.27</v>
      </c>
      <c r="E1019" t="s">
        <v>44</v>
      </c>
      <c r="F1019" t="s">
        <v>4746</v>
      </c>
      <c r="G1019" t="s">
        <v>22</v>
      </c>
      <c r="H1019" t="s">
        <v>35</v>
      </c>
      <c r="I1019" t="s">
        <v>4747</v>
      </c>
      <c r="J1019">
        <v>28</v>
      </c>
      <c r="K1019" t="s">
        <v>49</v>
      </c>
      <c r="L1019" t="s">
        <v>50</v>
      </c>
      <c r="M1019" t="s">
        <v>51</v>
      </c>
      <c r="N1019" t="s">
        <v>304</v>
      </c>
      <c r="O1019">
        <v>498182</v>
      </c>
      <c r="P1019" t="s">
        <v>28</v>
      </c>
      <c r="Q1019" t="s">
        <v>4748</v>
      </c>
      <c r="R1019" t="s">
        <v>4749</v>
      </c>
      <c r="S1019" t="s">
        <v>31</v>
      </c>
      <c r="T1019">
        <v>0</v>
      </c>
    </row>
    <row r="1020" spans="1:20" x14ac:dyDescent="0.25">
      <c r="A1020" t="s">
        <v>4750</v>
      </c>
      <c r="B1020" s="1">
        <v>45930</v>
      </c>
      <c r="C1020" s="5">
        <v>0.56798611111111108</v>
      </c>
      <c r="D1020">
        <v>145.22999999999999</v>
      </c>
      <c r="E1020" t="s">
        <v>44</v>
      </c>
      <c r="F1020" t="s">
        <v>4751</v>
      </c>
      <c r="G1020" t="s">
        <v>71</v>
      </c>
      <c r="H1020" t="s">
        <v>110</v>
      </c>
      <c r="I1020" t="s">
        <v>4752</v>
      </c>
      <c r="J1020">
        <v>58</v>
      </c>
      <c r="K1020" t="s">
        <v>25</v>
      </c>
      <c r="L1020" t="s">
        <v>97</v>
      </c>
      <c r="M1020" t="s">
        <v>105</v>
      </c>
      <c r="P1020" t="s">
        <v>28</v>
      </c>
      <c r="Q1020" t="s">
        <v>4753</v>
      </c>
      <c r="R1020" t="s">
        <v>4754</v>
      </c>
      <c r="S1020" t="s">
        <v>31</v>
      </c>
      <c r="T1020">
        <v>0</v>
      </c>
    </row>
    <row r="1021" spans="1:20" x14ac:dyDescent="0.25">
      <c r="A1021" t="s">
        <v>4755</v>
      </c>
      <c r="B1021" s="1">
        <v>45794</v>
      </c>
      <c r="C1021" s="5">
        <v>0.90884259259259259</v>
      </c>
      <c r="D1021">
        <v>184.54</v>
      </c>
      <c r="E1021" t="s">
        <v>44</v>
      </c>
      <c r="F1021" t="s">
        <v>4756</v>
      </c>
      <c r="G1021" t="s">
        <v>71</v>
      </c>
      <c r="H1021" t="s">
        <v>91</v>
      </c>
      <c r="I1021" t="s">
        <v>4757</v>
      </c>
      <c r="J1021">
        <v>43</v>
      </c>
      <c r="K1021" t="s">
        <v>37</v>
      </c>
      <c r="L1021" t="s">
        <v>35</v>
      </c>
      <c r="M1021" t="s">
        <v>84</v>
      </c>
      <c r="P1021" t="s">
        <v>28</v>
      </c>
      <c r="Q1021" t="s">
        <v>4758</v>
      </c>
      <c r="R1021" t="s">
        <v>4759</v>
      </c>
      <c r="S1021" t="s">
        <v>31</v>
      </c>
      <c r="T1021">
        <v>0</v>
      </c>
    </row>
    <row r="1022" spans="1:20" x14ac:dyDescent="0.25">
      <c r="A1022" t="s">
        <v>4760</v>
      </c>
      <c r="B1022" s="1">
        <v>45879</v>
      </c>
      <c r="C1022" s="5">
        <v>2.7777777777777779E-3</v>
      </c>
      <c r="D1022">
        <v>57.48</v>
      </c>
      <c r="E1022" t="s">
        <v>44</v>
      </c>
      <c r="F1022" t="s">
        <v>4761</v>
      </c>
      <c r="G1022" t="s">
        <v>57</v>
      </c>
      <c r="H1022" t="s">
        <v>91</v>
      </c>
      <c r="I1022" t="s">
        <v>4762</v>
      </c>
      <c r="J1022">
        <v>21</v>
      </c>
      <c r="K1022" t="s">
        <v>49</v>
      </c>
      <c r="L1022" t="s">
        <v>248</v>
      </c>
      <c r="M1022" t="s">
        <v>112</v>
      </c>
      <c r="P1022" t="s">
        <v>28</v>
      </c>
      <c r="Q1022" t="s">
        <v>4763</v>
      </c>
      <c r="R1022" t="s">
        <v>4764</v>
      </c>
      <c r="S1022" t="s">
        <v>31</v>
      </c>
      <c r="T1022">
        <v>0</v>
      </c>
    </row>
    <row r="1023" spans="1:20" x14ac:dyDescent="0.25">
      <c r="A1023" t="s">
        <v>4765</v>
      </c>
      <c r="B1023" s="1">
        <v>45852</v>
      </c>
      <c r="C1023" s="5">
        <v>0.89019675925925923</v>
      </c>
      <c r="D1023">
        <v>1.44</v>
      </c>
      <c r="E1023" t="s">
        <v>44</v>
      </c>
      <c r="F1023" t="s">
        <v>1710</v>
      </c>
      <c r="G1023" t="s">
        <v>34</v>
      </c>
      <c r="H1023" t="s">
        <v>248</v>
      </c>
      <c r="I1023" t="s">
        <v>4766</v>
      </c>
      <c r="J1023">
        <v>52</v>
      </c>
      <c r="K1023" t="s">
        <v>37</v>
      </c>
      <c r="L1023" t="s">
        <v>47</v>
      </c>
      <c r="M1023" t="s">
        <v>84</v>
      </c>
      <c r="P1023" t="s">
        <v>28</v>
      </c>
      <c r="Q1023" t="s">
        <v>4767</v>
      </c>
      <c r="R1023" t="s">
        <v>4768</v>
      </c>
      <c r="S1023" t="s">
        <v>101</v>
      </c>
      <c r="T1023">
        <v>0</v>
      </c>
    </row>
    <row r="1024" spans="1:20" x14ac:dyDescent="0.25">
      <c r="A1024" t="s">
        <v>4769</v>
      </c>
      <c r="B1024" s="1">
        <v>45868</v>
      </c>
      <c r="C1024" s="5">
        <v>0.21262731481481481</v>
      </c>
      <c r="D1024">
        <v>2.17</v>
      </c>
      <c r="E1024" t="s">
        <v>44</v>
      </c>
      <c r="F1024" t="s">
        <v>4770</v>
      </c>
      <c r="G1024" t="s">
        <v>22</v>
      </c>
      <c r="H1024" t="s">
        <v>146</v>
      </c>
      <c r="I1024" t="s">
        <v>4771</v>
      </c>
      <c r="J1024">
        <v>34</v>
      </c>
      <c r="K1024" t="s">
        <v>49</v>
      </c>
      <c r="L1024" t="s">
        <v>119</v>
      </c>
      <c r="M1024" t="s">
        <v>39</v>
      </c>
      <c r="P1024" t="s">
        <v>28</v>
      </c>
      <c r="Q1024" t="s">
        <v>4772</v>
      </c>
      <c r="R1024" t="s">
        <v>4773</v>
      </c>
      <c r="S1024" t="s">
        <v>31</v>
      </c>
      <c r="T1024">
        <v>0</v>
      </c>
    </row>
    <row r="1025" spans="1:20" x14ac:dyDescent="0.25">
      <c r="A1025" t="s">
        <v>4774</v>
      </c>
      <c r="B1025" s="1">
        <v>45807</v>
      </c>
      <c r="C1025" s="5">
        <v>0.49657407407407406</v>
      </c>
      <c r="D1025">
        <v>87.7</v>
      </c>
      <c r="E1025" t="s">
        <v>44</v>
      </c>
      <c r="F1025" t="s">
        <v>4775</v>
      </c>
      <c r="G1025" t="s">
        <v>57</v>
      </c>
      <c r="H1025" t="s">
        <v>119</v>
      </c>
      <c r="I1025" t="s">
        <v>4776</v>
      </c>
      <c r="J1025">
        <v>75</v>
      </c>
      <c r="K1025" t="s">
        <v>25</v>
      </c>
      <c r="L1025" t="s">
        <v>58</v>
      </c>
      <c r="M1025" t="s">
        <v>105</v>
      </c>
      <c r="P1025" t="s">
        <v>28</v>
      </c>
      <c r="Q1025" t="s">
        <v>4777</v>
      </c>
      <c r="R1025" t="s">
        <v>4778</v>
      </c>
      <c r="S1025" t="s">
        <v>31</v>
      </c>
      <c r="T1025">
        <v>0</v>
      </c>
    </row>
    <row r="1026" spans="1:20" x14ac:dyDescent="0.25">
      <c r="A1026" t="s">
        <v>4779</v>
      </c>
      <c r="B1026" s="1">
        <v>45901</v>
      </c>
      <c r="C1026" s="5">
        <v>0.84192129629629631</v>
      </c>
      <c r="D1026">
        <v>31.02</v>
      </c>
      <c r="E1026" t="s">
        <v>44</v>
      </c>
      <c r="F1026" t="s">
        <v>369</v>
      </c>
      <c r="G1026" t="s">
        <v>71</v>
      </c>
      <c r="H1026" t="s">
        <v>248</v>
      </c>
      <c r="I1026" t="s">
        <v>4780</v>
      </c>
      <c r="J1026">
        <v>29</v>
      </c>
      <c r="K1026" t="s">
        <v>49</v>
      </c>
      <c r="L1026" t="s">
        <v>97</v>
      </c>
      <c r="M1026" t="s">
        <v>112</v>
      </c>
      <c r="P1026" t="s">
        <v>28</v>
      </c>
      <c r="Q1026" t="s">
        <v>4781</v>
      </c>
      <c r="R1026" t="s">
        <v>4782</v>
      </c>
      <c r="S1026" t="s">
        <v>31</v>
      </c>
      <c r="T1026">
        <v>0</v>
      </c>
    </row>
    <row r="1027" spans="1:20" x14ac:dyDescent="0.25">
      <c r="A1027" t="s">
        <v>4783</v>
      </c>
      <c r="B1027" s="1">
        <v>45868</v>
      </c>
      <c r="C1027" s="5">
        <v>0.57290509259259259</v>
      </c>
      <c r="D1027">
        <v>972.87</v>
      </c>
      <c r="E1027" t="s">
        <v>44</v>
      </c>
      <c r="F1027" t="s">
        <v>3526</v>
      </c>
      <c r="G1027" t="s">
        <v>71</v>
      </c>
      <c r="H1027" t="s">
        <v>50</v>
      </c>
      <c r="I1027" t="s">
        <v>4784</v>
      </c>
      <c r="J1027">
        <v>64</v>
      </c>
      <c r="K1027" t="s">
        <v>37</v>
      </c>
      <c r="L1027" t="s">
        <v>50</v>
      </c>
      <c r="M1027" t="s">
        <v>39</v>
      </c>
      <c r="P1027" t="s">
        <v>113</v>
      </c>
      <c r="Q1027" t="s">
        <v>4785</v>
      </c>
      <c r="R1027" t="s">
        <v>4786</v>
      </c>
      <c r="S1027" t="s">
        <v>31</v>
      </c>
      <c r="T1027">
        <v>0</v>
      </c>
    </row>
    <row r="1028" spans="1:20" x14ac:dyDescent="0.25">
      <c r="A1028" t="s">
        <v>4787</v>
      </c>
      <c r="B1028" s="1">
        <v>45786</v>
      </c>
      <c r="C1028" s="5">
        <v>0.86738425925925922</v>
      </c>
      <c r="D1028">
        <v>136.26</v>
      </c>
      <c r="E1028" t="s">
        <v>44</v>
      </c>
      <c r="F1028" t="s">
        <v>4788</v>
      </c>
      <c r="G1028" t="s">
        <v>34</v>
      </c>
      <c r="H1028" t="s">
        <v>26</v>
      </c>
      <c r="I1028" t="s">
        <v>4789</v>
      </c>
      <c r="J1028">
        <v>39</v>
      </c>
      <c r="K1028" t="s">
        <v>49</v>
      </c>
      <c r="L1028" t="s">
        <v>248</v>
      </c>
      <c r="M1028" t="s">
        <v>105</v>
      </c>
      <c r="P1028" t="s">
        <v>28</v>
      </c>
      <c r="Q1028" t="s">
        <v>4790</v>
      </c>
      <c r="R1028" t="s">
        <v>4791</v>
      </c>
      <c r="S1028" t="s">
        <v>31</v>
      </c>
      <c r="T1028">
        <v>0</v>
      </c>
    </row>
    <row r="1029" spans="1:20" x14ac:dyDescent="0.25">
      <c r="A1029" t="s">
        <v>4792</v>
      </c>
      <c r="B1029" s="1">
        <v>45912</v>
      </c>
      <c r="C1029" s="5">
        <v>0.27832175925925928</v>
      </c>
      <c r="D1029">
        <v>447</v>
      </c>
      <c r="E1029" t="s">
        <v>44</v>
      </c>
      <c r="F1029" t="s">
        <v>2190</v>
      </c>
      <c r="G1029" t="s">
        <v>64</v>
      </c>
      <c r="H1029" t="s">
        <v>66</v>
      </c>
      <c r="I1029" t="s">
        <v>4793</v>
      </c>
      <c r="J1029">
        <v>24</v>
      </c>
      <c r="K1029" t="s">
        <v>25</v>
      </c>
      <c r="L1029" t="s">
        <v>23</v>
      </c>
      <c r="M1029" t="s">
        <v>84</v>
      </c>
      <c r="P1029" t="s">
        <v>28</v>
      </c>
      <c r="Q1029" t="s">
        <v>4794</v>
      </c>
      <c r="R1029" t="s">
        <v>4795</v>
      </c>
      <c r="S1029" t="s">
        <v>31</v>
      </c>
      <c r="T1029">
        <v>0</v>
      </c>
    </row>
    <row r="1030" spans="1:20" x14ac:dyDescent="0.25">
      <c r="A1030" t="s">
        <v>4796</v>
      </c>
      <c r="B1030" s="1">
        <v>45837</v>
      </c>
      <c r="C1030" s="5">
        <v>0.98207175925925927</v>
      </c>
      <c r="D1030">
        <v>109.66</v>
      </c>
      <c r="E1030" t="s">
        <v>44</v>
      </c>
      <c r="F1030" t="s">
        <v>4797</v>
      </c>
      <c r="G1030" t="s">
        <v>71</v>
      </c>
      <c r="H1030" t="s">
        <v>26</v>
      </c>
      <c r="I1030" t="s">
        <v>4798</v>
      </c>
      <c r="J1030">
        <v>49</v>
      </c>
      <c r="K1030" t="s">
        <v>37</v>
      </c>
      <c r="L1030" t="s">
        <v>130</v>
      </c>
      <c r="M1030" t="s">
        <v>112</v>
      </c>
      <c r="P1030" t="s">
        <v>28</v>
      </c>
      <c r="Q1030" t="s">
        <v>4799</v>
      </c>
      <c r="R1030" t="s">
        <v>4800</v>
      </c>
      <c r="S1030" t="s">
        <v>31</v>
      </c>
      <c r="T1030">
        <v>0</v>
      </c>
    </row>
    <row r="1031" spans="1:20" x14ac:dyDescent="0.25">
      <c r="A1031" t="s">
        <v>4801</v>
      </c>
      <c r="B1031" s="1">
        <v>45839</v>
      </c>
      <c r="C1031" s="5">
        <v>0.22390046296296295</v>
      </c>
      <c r="D1031">
        <v>175.99</v>
      </c>
      <c r="E1031" t="s">
        <v>44</v>
      </c>
      <c r="F1031" t="s">
        <v>3726</v>
      </c>
      <c r="G1031" t="s">
        <v>22</v>
      </c>
      <c r="H1031" t="s">
        <v>66</v>
      </c>
      <c r="I1031" t="s">
        <v>4802</v>
      </c>
      <c r="J1031">
        <v>32</v>
      </c>
      <c r="K1031" t="s">
        <v>49</v>
      </c>
      <c r="L1031" t="s">
        <v>26</v>
      </c>
      <c r="M1031" t="s">
        <v>51</v>
      </c>
      <c r="N1031" t="s">
        <v>345</v>
      </c>
      <c r="O1031">
        <v>424664</v>
      </c>
      <c r="P1031" t="s">
        <v>28</v>
      </c>
      <c r="Q1031" t="s">
        <v>4803</v>
      </c>
      <c r="R1031" t="s">
        <v>4804</v>
      </c>
      <c r="S1031" t="s">
        <v>31</v>
      </c>
      <c r="T1031">
        <v>0</v>
      </c>
    </row>
    <row r="1032" spans="1:20" x14ac:dyDescent="0.25">
      <c r="A1032" t="s">
        <v>4805</v>
      </c>
      <c r="B1032" s="1">
        <v>45832</v>
      </c>
      <c r="C1032" s="5">
        <v>0.40914351851851855</v>
      </c>
      <c r="D1032">
        <v>78.930000000000007</v>
      </c>
      <c r="E1032" t="s">
        <v>44</v>
      </c>
      <c r="F1032" t="s">
        <v>4806</v>
      </c>
      <c r="G1032" t="s">
        <v>71</v>
      </c>
      <c r="H1032" t="s">
        <v>66</v>
      </c>
      <c r="I1032" t="s">
        <v>4807</v>
      </c>
      <c r="J1032">
        <v>54</v>
      </c>
      <c r="K1032" t="s">
        <v>37</v>
      </c>
      <c r="L1032" t="s">
        <v>47</v>
      </c>
      <c r="M1032" t="s">
        <v>51</v>
      </c>
      <c r="N1032" t="s">
        <v>345</v>
      </c>
      <c r="O1032">
        <v>494501</v>
      </c>
      <c r="P1032" t="s">
        <v>28</v>
      </c>
      <c r="Q1032" t="s">
        <v>4808</v>
      </c>
      <c r="R1032" t="s">
        <v>4809</v>
      </c>
      <c r="S1032" t="s">
        <v>31</v>
      </c>
      <c r="T1032">
        <v>0</v>
      </c>
    </row>
    <row r="1033" spans="1:20" x14ac:dyDescent="0.25">
      <c r="A1033" t="s">
        <v>4810</v>
      </c>
      <c r="B1033" s="1">
        <v>45896</v>
      </c>
      <c r="C1033" s="5">
        <v>0.2575115740740741</v>
      </c>
      <c r="D1033">
        <v>82.79</v>
      </c>
      <c r="E1033" t="s">
        <v>44</v>
      </c>
      <c r="F1033" t="s">
        <v>4811</v>
      </c>
      <c r="G1033" t="s">
        <v>57</v>
      </c>
      <c r="H1033" t="s">
        <v>35</v>
      </c>
      <c r="I1033" t="s">
        <v>4812</v>
      </c>
      <c r="J1033">
        <v>46</v>
      </c>
      <c r="K1033" t="s">
        <v>37</v>
      </c>
      <c r="L1033" t="s">
        <v>66</v>
      </c>
      <c r="M1033" t="s">
        <v>51</v>
      </c>
      <c r="N1033" t="s">
        <v>870</v>
      </c>
      <c r="O1033">
        <v>540214</v>
      </c>
      <c r="P1033" t="s">
        <v>28</v>
      </c>
      <c r="Q1033" t="s">
        <v>4813</v>
      </c>
      <c r="R1033" t="s">
        <v>4814</v>
      </c>
      <c r="S1033" t="s">
        <v>31</v>
      </c>
      <c r="T1033">
        <v>0</v>
      </c>
    </row>
    <row r="1034" spans="1:20" x14ac:dyDescent="0.25">
      <c r="A1034" t="s">
        <v>4815</v>
      </c>
      <c r="B1034" s="1">
        <v>45922</v>
      </c>
      <c r="C1034" s="5">
        <v>0.73952546296296295</v>
      </c>
      <c r="D1034">
        <v>196.68</v>
      </c>
      <c r="E1034" t="s">
        <v>44</v>
      </c>
      <c r="F1034" t="s">
        <v>4816</v>
      </c>
      <c r="G1034" t="s">
        <v>89</v>
      </c>
      <c r="H1034" t="s">
        <v>23</v>
      </c>
      <c r="I1034" t="s">
        <v>4817</v>
      </c>
      <c r="J1034">
        <v>75</v>
      </c>
      <c r="K1034" t="s">
        <v>37</v>
      </c>
      <c r="L1034" t="s">
        <v>47</v>
      </c>
      <c r="M1034" t="s">
        <v>84</v>
      </c>
      <c r="P1034" t="s">
        <v>28</v>
      </c>
      <c r="Q1034" t="s">
        <v>4818</v>
      </c>
      <c r="R1034" t="s">
        <v>4819</v>
      </c>
      <c r="S1034" t="s">
        <v>31</v>
      </c>
      <c r="T1034">
        <v>0</v>
      </c>
    </row>
    <row r="1035" spans="1:20" x14ac:dyDescent="0.25">
      <c r="A1035" t="s">
        <v>4820</v>
      </c>
      <c r="B1035" s="1">
        <v>45851</v>
      </c>
      <c r="C1035" s="5">
        <v>1.3229166666666667E-2</v>
      </c>
      <c r="D1035">
        <v>156.91999999999999</v>
      </c>
      <c r="E1035" t="s">
        <v>44</v>
      </c>
      <c r="F1035" t="s">
        <v>3758</v>
      </c>
      <c r="G1035" t="s">
        <v>89</v>
      </c>
      <c r="H1035" t="s">
        <v>91</v>
      </c>
      <c r="I1035" t="s">
        <v>4821</v>
      </c>
      <c r="J1035">
        <v>45</v>
      </c>
      <c r="K1035" t="s">
        <v>25</v>
      </c>
      <c r="L1035" t="s">
        <v>66</v>
      </c>
      <c r="M1035" t="s">
        <v>84</v>
      </c>
      <c r="P1035" t="s">
        <v>28</v>
      </c>
      <c r="Q1035" t="s">
        <v>4822</v>
      </c>
      <c r="R1035" t="s">
        <v>4823</v>
      </c>
      <c r="S1035" t="s">
        <v>31</v>
      </c>
      <c r="T1035">
        <v>1</v>
      </c>
    </row>
    <row r="1036" spans="1:20" x14ac:dyDescent="0.25">
      <c r="A1036" t="s">
        <v>4824</v>
      </c>
      <c r="B1036" s="1">
        <v>45923</v>
      </c>
      <c r="C1036" s="5">
        <v>0.64788194444444447</v>
      </c>
      <c r="D1036">
        <v>899.11</v>
      </c>
      <c r="E1036" t="s">
        <v>44</v>
      </c>
      <c r="F1036" t="s">
        <v>723</v>
      </c>
      <c r="G1036" t="s">
        <v>96</v>
      </c>
      <c r="H1036" t="s">
        <v>248</v>
      </c>
      <c r="I1036" t="s">
        <v>4825</v>
      </c>
      <c r="J1036">
        <v>59</v>
      </c>
      <c r="K1036" t="s">
        <v>25</v>
      </c>
      <c r="L1036" t="s">
        <v>38</v>
      </c>
      <c r="M1036" t="s">
        <v>112</v>
      </c>
      <c r="P1036" t="s">
        <v>28</v>
      </c>
      <c r="Q1036" t="s">
        <v>4826</v>
      </c>
      <c r="R1036" t="s">
        <v>4827</v>
      </c>
      <c r="S1036" t="s">
        <v>31</v>
      </c>
      <c r="T1036">
        <v>0</v>
      </c>
    </row>
    <row r="1037" spans="1:20" x14ac:dyDescent="0.25">
      <c r="A1037" t="s">
        <v>4828</v>
      </c>
      <c r="B1037" s="1">
        <v>45798</v>
      </c>
      <c r="C1037" s="5">
        <v>0.5985300925925926</v>
      </c>
      <c r="D1037">
        <v>8.32</v>
      </c>
      <c r="E1037" t="s">
        <v>44</v>
      </c>
      <c r="F1037" t="s">
        <v>2575</v>
      </c>
      <c r="G1037" t="s">
        <v>34</v>
      </c>
      <c r="H1037" t="s">
        <v>66</v>
      </c>
      <c r="I1037" t="s">
        <v>4829</v>
      </c>
      <c r="J1037">
        <v>35</v>
      </c>
      <c r="K1037" t="s">
        <v>37</v>
      </c>
      <c r="L1037" t="s">
        <v>110</v>
      </c>
      <c r="M1037" t="s">
        <v>39</v>
      </c>
      <c r="P1037" t="s">
        <v>28</v>
      </c>
      <c r="Q1037" t="s">
        <v>4830</v>
      </c>
      <c r="R1037" t="s">
        <v>4831</v>
      </c>
      <c r="S1037" t="s">
        <v>31</v>
      </c>
      <c r="T1037">
        <v>0</v>
      </c>
    </row>
    <row r="1038" spans="1:20" x14ac:dyDescent="0.25">
      <c r="A1038" t="s">
        <v>4832</v>
      </c>
      <c r="B1038" s="1">
        <v>45888</v>
      </c>
      <c r="C1038" s="5">
        <v>0.63749999999999996</v>
      </c>
      <c r="D1038">
        <v>34.89</v>
      </c>
      <c r="E1038" t="s">
        <v>44</v>
      </c>
      <c r="F1038" t="s">
        <v>4833</v>
      </c>
      <c r="G1038" t="s">
        <v>77</v>
      </c>
      <c r="H1038" t="s">
        <v>38</v>
      </c>
      <c r="I1038" t="s">
        <v>4834</v>
      </c>
      <c r="J1038">
        <v>40</v>
      </c>
      <c r="K1038" t="s">
        <v>25</v>
      </c>
      <c r="L1038" t="s">
        <v>50</v>
      </c>
      <c r="M1038" t="s">
        <v>105</v>
      </c>
      <c r="P1038" t="s">
        <v>28</v>
      </c>
      <c r="Q1038" t="s">
        <v>4835</v>
      </c>
      <c r="R1038" t="s">
        <v>4836</v>
      </c>
      <c r="S1038" t="s">
        <v>31</v>
      </c>
      <c r="T1038">
        <v>0</v>
      </c>
    </row>
    <row r="1039" spans="1:20" x14ac:dyDescent="0.25">
      <c r="A1039" t="s">
        <v>4837</v>
      </c>
      <c r="B1039" s="1">
        <v>45848</v>
      </c>
      <c r="C1039" s="5">
        <v>0.42628472222222225</v>
      </c>
      <c r="D1039">
        <v>150.38999999999999</v>
      </c>
      <c r="E1039" t="s">
        <v>44</v>
      </c>
      <c r="F1039" t="s">
        <v>4838</v>
      </c>
      <c r="G1039" t="s">
        <v>89</v>
      </c>
      <c r="H1039" t="s">
        <v>47</v>
      </c>
      <c r="I1039" t="s">
        <v>4839</v>
      </c>
      <c r="J1039">
        <v>67</v>
      </c>
      <c r="K1039" t="s">
        <v>25</v>
      </c>
      <c r="L1039" t="s">
        <v>248</v>
      </c>
      <c r="M1039" t="s">
        <v>27</v>
      </c>
      <c r="P1039" t="s">
        <v>28</v>
      </c>
      <c r="Q1039" t="s">
        <v>4840</v>
      </c>
      <c r="R1039" t="s">
        <v>4841</v>
      </c>
      <c r="S1039" t="s">
        <v>31</v>
      </c>
      <c r="T1039">
        <v>0</v>
      </c>
    </row>
    <row r="1040" spans="1:20" x14ac:dyDescent="0.25">
      <c r="A1040" t="s">
        <v>4842</v>
      </c>
      <c r="B1040" s="1">
        <v>45817</v>
      </c>
      <c r="C1040" s="5">
        <v>0.72292824074074069</v>
      </c>
      <c r="D1040">
        <v>13.97</v>
      </c>
      <c r="E1040" t="s">
        <v>44</v>
      </c>
      <c r="F1040" t="s">
        <v>263</v>
      </c>
      <c r="G1040" t="s">
        <v>96</v>
      </c>
      <c r="H1040" t="s">
        <v>23</v>
      </c>
      <c r="I1040" t="s">
        <v>4843</v>
      </c>
      <c r="J1040">
        <v>26</v>
      </c>
      <c r="K1040" t="s">
        <v>25</v>
      </c>
      <c r="L1040" t="s">
        <v>66</v>
      </c>
      <c r="M1040" t="s">
        <v>84</v>
      </c>
      <c r="P1040" t="s">
        <v>28</v>
      </c>
      <c r="Q1040" t="s">
        <v>4844</v>
      </c>
      <c r="R1040" t="s">
        <v>4845</v>
      </c>
      <c r="S1040" t="s">
        <v>42</v>
      </c>
      <c r="T1040">
        <v>0</v>
      </c>
    </row>
    <row r="1041" spans="1:20" x14ac:dyDescent="0.25">
      <c r="A1041" t="s">
        <v>4846</v>
      </c>
      <c r="B1041" s="1">
        <v>45941</v>
      </c>
      <c r="C1041" s="5">
        <v>0.57278935185185187</v>
      </c>
      <c r="D1041">
        <v>29.23</v>
      </c>
      <c r="E1041" t="s">
        <v>44</v>
      </c>
      <c r="F1041" t="s">
        <v>4847</v>
      </c>
      <c r="G1041" t="s">
        <v>124</v>
      </c>
      <c r="H1041" t="s">
        <v>97</v>
      </c>
      <c r="I1041" t="s">
        <v>4848</v>
      </c>
      <c r="J1041">
        <v>69</v>
      </c>
      <c r="K1041" t="s">
        <v>37</v>
      </c>
      <c r="L1041" t="s">
        <v>58</v>
      </c>
      <c r="M1041" t="s">
        <v>27</v>
      </c>
      <c r="P1041" t="s">
        <v>28</v>
      </c>
      <c r="Q1041" t="s">
        <v>4849</v>
      </c>
      <c r="R1041" t="s">
        <v>4850</v>
      </c>
      <c r="S1041" t="s">
        <v>31</v>
      </c>
      <c r="T1041">
        <v>0</v>
      </c>
    </row>
    <row r="1042" spans="1:20" x14ac:dyDescent="0.25">
      <c r="A1042" t="s">
        <v>4851</v>
      </c>
      <c r="B1042" s="1">
        <v>45836</v>
      </c>
      <c r="C1042" s="5">
        <v>0.47377314814814814</v>
      </c>
      <c r="D1042">
        <v>883.66</v>
      </c>
      <c r="E1042" t="s">
        <v>44</v>
      </c>
      <c r="F1042" t="s">
        <v>4852</v>
      </c>
      <c r="G1042" t="s">
        <v>46</v>
      </c>
      <c r="H1042" t="s">
        <v>47</v>
      </c>
      <c r="I1042" t="s">
        <v>4853</v>
      </c>
      <c r="J1042">
        <v>55</v>
      </c>
      <c r="K1042" t="s">
        <v>37</v>
      </c>
      <c r="L1042" t="s">
        <v>248</v>
      </c>
      <c r="M1042" t="s">
        <v>27</v>
      </c>
      <c r="P1042" t="s">
        <v>28</v>
      </c>
      <c r="Q1042" t="s">
        <v>4854</v>
      </c>
      <c r="R1042" t="s">
        <v>4855</v>
      </c>
      <c r="S1042" t="s">
        <v>31</v>
      </c>
      <c r="T1042">
        <v>0</v>
      </c>
    </row>
    <row r="1043" spans="1:20" x14ac:dyDescent="0.25">
      <c r="A1043" t="s">
        <v>4856</v>
      </c>
      <c r="B1043" s="1">
        <v>45882</v>
      </c>
      <c r="C1043" s="5">
        <v>0.77165509259259257</v>
      </c>
      <c r="D1043">
        <v>852.16</v>
      </c>
      <c r="E1043" t="s">
        <v>44</v>
      </c>
      <c r="F1043" t="s">
        <v>1092</v>
      </c>
      <c r="G1043" t="s">
        <v>77</v>
      </c>
      <c r="H1043" t="s">
        <v>38</v>
      </c>
      <c r="I1043" t="s">
        <v>4857</v>
      </c>
      <c r="J1043">
        <v>21</v>
      </c>
      <c r="K1043" t="s">
        <v>37</v>
      </c>
      <c r="L1043" t="s">
        <v>97</v>
      </c>
      <c r="M1043" t="s">
        <v>27</v>
      </c>
      <c r="P1043" t="s">
        <v>28</v>
      </c>
      <c r="Q1043" t="s">
        <v>4858</v>
      </c>
      <c r="R1043" t="s">
        <v>4859</v>
      </c>
      <c r="S1043" t="s">
        <v>101</v>
      </c>
      <c r="T1043">
        <v>0</v>
      </c>
    </row>
    <row r="1044" spans="1:20" x14ac:dyDescent="0.25">
      <c r="A1044" t="s">
        <v>4860</v>
      </c>
      <c r="B1044" s="1">
        <v>45928</v>
      </c>
      <c r="C1044" s="5">
        <v>0.53189814814814818</v>
      </c>
      <c r="D1044">
        <v>6.14</v>
      </c>
      <c r="E1044" t="s">
        <v>44</v>
      </c>
      <c r="F1044" t="s">
        <v>374</v>
      </c>
      <c r="G1044" t="s">
        <v>96</v>
      </c>
      <c r="H1044" t="s">
        <v>26</v>
      </c>
      <c r="I1044" t="s">
        <v>4861</v>
      </c>
      <c r="K1044" t="s">
        <v>25</v>
      </c>
      <c r="L1044" t="s">
        <v>146</v>
      </c>
      <c r="M1044" t="s">
        <v>112</v>
      </c>
      <c r="P1044" t="s">
        <v>28</v>
      </c>
      <c r="Q1044" t="s">
        <v>4862</v>
      </c>
      <c r="R1044" t="s">
        <v>4863</v>
      </c>
      <c r="S1044" t="s">
        <v>31</v>
      </c>
      <c r="T1044">
        <v>0</v>
      </c>
    </row>
    <row r="1045" spans="1:20" x14ac:dyDescent="0.25">
      <c r="A1045" t="s">
        <v>4864</v>
      </c>
      <c r="B1045" s="1">
        <v>45915</v>
      </c>
      <c r="C1045" s="5">
        <v>0.7731365740740741</v>
      </c>
      <c r="D1045">
        <v>499.24</v>
      </c>
      <c r="E1045" t="s">
        <v>44</v>
      </c>
      <c r="F1045" t="s">
        <v>3726</v>
      </c>
      <c r="G1045" t="s">
        <v>96</v>
      </c>
      <c r="H1045" t="s">
        <v>50</v>
      </c>
      <c r="I1045" t="s">
        <v>4865</v>
      </c>
      <c r="J1045">
        <v>34</v>
      </c>
      <c r="K1045" t="s">
        <v>49</v>
      </c>
      <c r="L1045" t="s">
        <v>58</v>
      </c>
      <c r="M1045" t="s">
        <v>39</v>
      </c>
      <c r="P1045" t="s">
        <v>28</v>
      </c>
      <c r="Q1045" t="s">
        <v>4866</v>
      </c>
      <c r="R1045" t="s">
        <v>4867</v>
      </c>
      <c r="S1045" t="s">
        <v>31</v>
      </c>
      <c r="T1045">
        <v>0</v>
      </c>
    </row>
    <row r="1046" spans="1:20" x14ac:dyDescent="0.25">
      <c r="A1046" t="s">
        <v>4868</v>
      </c>
      <c r="B1046" s="1">
        <v>45859</v>
      </c>
      <c r="C1046" s="5">
        <v>0.44002314814814814</v>
      </c>
      <c r="D1046">
        <v>178.5</v>
      </c>
      <c r="E1046" t="s">
        <v>44</v>
      </c>
      <c r="F1046" t="s">
        <v>4869</v>
      </c>
      <c r="G1046" t="s">
        <v>71</v>
      </c>
      <c r="H1046" t="s">
        <v>47</v>
      </c>
      <c r="I1046" t="s">
        <v>4870</v>
      </c>
      <c r="J1046">
        <v>31</v>
      </c>
      <c r="K1046" t="s">
        <v>25</v>
      </c>
      <c r="L1046" t="s">
        <v>97</v>
      </c>
      <c r="M1046" t="s">
        <v>84</v>
      </c>
      <c r="P1046" t="s">
        <v>28</v>
      </c>
      <c r="Q1046" t="s">
        <v>4871</v>
      </c>
      <c r="R1046" t="s">
        <v>4872</v>
      </c>
      <c r="S1046" t="s">
        <v>31</v>
      </c>
      <c r="T1046">
        <v>0</v>
      </c>
    </row>
    <row r="1047" spans="1:20" x14ac:dyDescent="0.25">
      <c r="A1047" t="s">
        <v>4873</v>
      </c>
      <c r="B1047" s="1">
        <v>45831</v>
      </c>
      <c r="C1047" s="5">
        <v>0.88211805555555556</v>
      </c>
      <c r="D1047">
        <v>155.34</v>
      </c>
      <c r="E1047" t="s">
        <v>44</v>
      </c>
      <c r="F1047" t="s">
        <v>2308</v>
      </c>
      <c r="G1047" t="s">
        <v>64</v>
      </c>
      <c r="H1047" t="s">
        <v>58</v>
      </c>
      <c r="I1047" t="s">
        <v>4874</v>
      </c>
      <c r="J1047">
        <v>68</v>
      </c>
      <c r="K1047" t="s">
        <v>25</v>
      </c>
      <c r="L1047" t="s">
        <v>26</v>
      </c>
      <c r="M1047" t="s">
        <v>84</v>
      </c>
      <c r="P1047" t="s">
        <v>28</v>
      </c>
      <c r="Q1047" t="s">
        <v>4875</v>
      </c>
      <c r="R1047" t="s">
        <v>4876</v>
      </c>
      <c r="S1047" t="s">
        <v>31</v>
      </c>
      <c r="T1047">
        <v>0</v>
      </c>
    </row>
    <row r="1048" spans="1:20" x14ac:dyDescent="0.25">
      <c r="A1048" t="s">
        <v>4877</v>
      </c>
      <c r="B1048" s="1">
        <v>45928</v>
      </c>
      <c r="C1048" s="5">
        <v>0.14853009259259259</v>
      </c>
      <c r="D1048">
        <v>109.29</v>
      </c>
      <c r="E1048" t="s">
        <v>44</v>
      </c>
      <c r="F1048" t="s">
        <v>1163</v>
      </c>
      <c r="G1048" t="s">
        <v>22</v>
      </c>
      <c r="H1048" t="s">
        <v>130</v>
      </c>
      <c r="I1048" t="s">
        <v>4878</v>
      </c>
      <c r="J1048">
        <v>46</v>
      </c>
      <c r="K1048" t="s">
        <v>49</v>
      </c>
      <c r="L1048" t="s">
        <v>66</v>
      </c>
      <c r="M1048" t="s">
        <v>112</v>
      </c>
      <c r="P1048" t="s">
        <v>28</v>
      </c>
      <c r="Q1048" t="s">
        <v>4879</v>
      </c>
      <c r="R1048" t="s">
        <v>4880</v>
      </c>
      <c r="S1048" t="s">
        <v>31</v>
      </c>
      <c r="T1048">
        <v>0</v>
      </c>
    </row>
    <row r="1049" spans="1:20" x14ac:dyDescent="0.25">
      <c r="A1049" t="s">
        <v>4881</v>
      </c>
      <c r="B1049" s="1">
        <v>45841</v>
      </c>
      <c r="C1049" s="5">
        <v>0.42537037037037034</v>
      </c>
      <c r="D1049">
        <v>398.33</v>
      </c>
      <c r="E1049" t="s">
        <v>44</v>
      </c>
      <c r="F1049" t="s">
        <v>4882</v>
      </c>
      <c r="G1049" t="s">
        <v>57</v>
      </c>
      <c r="H1049" t="s">
        <v>26</v>
      </c>
      <c r="I1049" t="s">
        <v>4883</v>
      </c>
      <c r="J1049">
        <v>57</v>
      </c>
      <c r="K1049" t="s">
        <v>49</v>
      </c>
      <c r="L1049" t="s">
        <v>35</v>
      </c>
      <c r="M1049" t="s">
        <v>39</v>
      </c>
      <c r="P1049" t="s">
        <v>28</v>
      </c>
      <c r="Q1049" t="s">
        <v>4884</v>
      </c>
      <c r="R1049" t="s">
        <v>4885</v>
      </c>
      <c r="S1049" t="s">
        <v>31</v>
      </c>
      <c r="T1049">
        <v>0</v>
      </c>
    </row>
    <row r="1050" spans="1:20" x14ac:dyDescent="0.25">
      <c r="A1050" t="s">
        <v>4886</v>
      </c>
      <c r="B1050" s="1">
        <v>45862</v>
      </c>
      <c r="C1050" s="5">
        <v>0.17193287037037036</v>
      </c>
      <c r="D1050">
        <v>561.44000000000005</v>
      </c>
      <c r="E1050" t="s">
        <v>44</v>
      </c>
      <c r="F1050" t="s">
        <v>1841</v>
      </c>
      <c r="G1050" t="s">
        <v>64</v>
      </c>
      <c r="H1050" t="s">
        <v>97</v>
      </c>
      <c r="I1050" t="s">
        <v>4887</v>
      </c>
      <c r="J1050">
        <v>30</v>
      </c>
      <c r="K1050" t="s">
        <v>37</v>
      </c>
      <c r="L1050" t="s">
        <v>248</v>
      </c>
      <c r="M1050" t="s">
        <v>27</v>
      </c>
      <c r="P1050" t="s">
        <v>28</v>
      </c>
      <c r="Q1050" t="s">
        <v>4888</v>
      </c>
      <c r="R1050" t="s">
        <v>4889</v>
      </c>
      <c r="S1050" t="s">
        <v>31</v>
      </c>
      <c r="T1050">
        <v>0</v>
      </c>
    </row>
    <row r="1051" spans="1:20" x14ac:dyDescent="0.25">
      <c r="A1051" t="s">
        <v>4890</v>
      </c>
      <c r="B1051" s="1">
        <v>45782</v>
      </c>
      <c r="C1051" s="5">
        <v>3.0358796296296297E-2</v>
      </c>
      <c r="D1051">
        <v>162.09</v>
      </c>
      <c r="E1051" t="s">
        <v>44</v>
      </c>
      <c r="F1051" t="s">
        <v>4072</v>
      </c>
      <c r="G1051" t="s">
        <v>64</v>
      </c>
      <c r="H1051" t="s">
        <v>47</v>
      </c>
      <c r="I1051" t="s">
        <v>4891</v>
      </c>
      <c r="J1051">
        <v>61</v>
      </c>
      <c r="K1051" t="s">
        <v>37</v>
      </c>
      <c r="L1051" t="s">
        <v>35</v>
      </c>
      <c r="M1051" t="s">
        <v>51</v>
      </c>
      <c r="N1051" t="s">
        <v>304</v>
      </c>
      <c r="O1051">
        <v>411596</v>
      </c>
      <c r="P1051" t="s">
        <v>28</v>
      </c>
      <c r="Q1051" t="s">
        <v>4892</v>
      </c>
      <c r="R1051" t="s">
        <v>4893</v>
      </c>
      <c r="S1051" t="s">
        <v>31</v>
      </c>
      <c r="T1051">
        <v>0</v>
      </c>
    </row>
    <row r="1052" spans="1:20" x14ac:dyDescent="0.25">
      <c r="A1052" t="s">
        <v>4894</v>
      </c>
      <c r="B1052" s="1">
        <v>45888</v>
      </c>
      <c r="C1052" s="5">
        <v>3.1481481481481482E-3</v>
      </c>
      <c r="D1052">
        <v>6.32</v>
      </c>
      <c r="E1052" t="s">
        <v>44</v>
      </c>
      <c r="F1052" t="s">
        <v>2942</v>
      </c>
      <c r="G1052" t="s">
        <v>96</v>
      </c>
      <c r="H1052" t="s">
        <v>35</v>
      </c>
      <c r="I1052" t="s">
        <v>4895</v>
      </c>
      <c r="J1052">
        <v>36</v>
      </c>
      <c r="K1052" t="s">
        <v>49</v>
      </c>
      <c r="L1052" t="s">
        <v>23</v>
      </c>
      <c r="M1052" t="s">
        <v>84</v>
      </c>
      <c r="P1052" t="s">
        <v>28</v>
      </c>
      <c r="Q1052" t="s">
        <v>4896</v>
      </c>
      <c r="R1052" t="s">
        <v>4897</v>
      </c>
      <c r="S1052" t="s">
        <v>42</v>
      </c>
      <c r="T1052">
        <v>0</v>
      </c>
    </row>
    <row r="1053" spans="1:20" x14ac:dyDescent="0.25">
      <c r="A1053" t="s">
        <v>4898</v>
      </c>
      <c r="B1053" s="1">
        <v>45854</v>
      </c>
      <c r="C1053" s="5">
        <v>0.21229166666666666</v>
      </c>
      <c r="D1053">
        <v>57.12</v>
      </c>
      <c r="E1053" t="s">
        <v>44</v>
      </c>
      <c r="F1053" t="s">
        <v>4899</v>
      </c>
      <c r="G1053" t="s">
        <v>57</v>
      </c>
      <c r="H1053" t="s">
        <v>91</v>
      </c>
      <c r="I1053" t="s">
        <v>4900</v>
      </c>
      <c r="J1053">
        <v>71</v>
      </c>
      <c r="K1053" t="s">
        <v>49</v>
      </c>
      <c r="L1053" t="s">
        <v>130</v>
      </c>
      <c r="M1053" t="s">
        <v>105</v>
      </c>
      <c r="P1053" t="s">
        <v>28</v>
      </c>
      <c r="Q1053" t="s">
        <v>4901</v>
      </c>
      <c r="R1053" t="s">
        <v>4902</v>
      </c>
      <c r="S1053" t="s">
        <v>31</v>
      </c>
      <c r="T1053">
        <v>0</v>
      </c>
    </row>
    <row r="1054" spans="1:20" x14ac:dyDescent="0.25">
      <c r="A1054" t="s">
        <v>4903</v>
      </c>
      <c r="B1054" s="1">
        <v>45879</v>
      </c>
      <c r="C1054" s="5">
        <v>0.34250000000000003</v>
      </c>
      <c r="D1054">
        <v>111.84</v>
      </c>
      <c r="E1054" t="s">
        <v>44</v>
      </c>
      <c r="F1054" t="s">
        <v>3008</v>
      </c>
      <c r="G1054" t="s">
        <v>46</v>
      </c>
      <c r="H1054" t="s">
        <v>38</v>
      </c>
      <c r="I1054" t="s">
        <v>4904</v>
      </c>
      <c r="J1054">
        <v>21</v>
      </c>
      <c r="K1054" t="s">
        <v>37</v>
      </c>
      <c r="L1054" t="s">
        <v>23</v>
      </c>
      <c r="M1054" t="s">
        <v>105</v>
      </c>
      <c r="P1054" t="s">
        <v>28</v>
      </c>
      <c r="Q1054" t="s">
        <v>4905</v>
      </c>
      <c r="R1054" t="s">
        <v>4906</v>
      </c>
      <c r="S1054" t="s">
        <v>31</v>
      </c>
      <c r="T1054">
        <v>0</v>
      </c>
    </row>
    <row r="1055" spans="1:20" x14ac:dyDescent="0.25">
      <c r="A1055" t="s">
        <v>4907</v>
      </c>
      <c r="B1055" s="1">
        <v>45877</v>
      </c>
      <c r="C1055" s="5">
        <v>0.96824074074074074</v>
      </c>
      <c r="D1055">
        <v>921.5</v>
      </c>
      <c r="E1055" t="s">
        <v>44</v>
      </c>
      <c r="F1055" t="s">
        <v>787</v>
      </c>
      <c r="G1055" t="s">
        <v>34</v>
      </c>
      <c r="H1055" t="s">
        <v>35</v>
      </c>
      <c r="I1055" t="s">
        <v>4908</v>
      </c>
      <c r="J1055">
        <v>50</v>
      </c>
      <c r="K1055" t="s">
        <v>49</v>
      </c>
      <c r="L1055" t="s">
        <v>50</v>
      </c>
      <c r="M1055" t="s">
        <v>27</v>
      </c>
      <c r="P1055" t="s">
        <v>28</v>
      </c>
      <c r="Q1055" t="s">
        <v>4909</v>
      </c>
      <c r="R1055" t="s">
        <v>4910</v>
      </c>
      <c r="S1055" t="s">
        <v>31</v>
      </c>
      <c r="T1055">
        <v>0</v>
      </c>
    </row>
    <row r="1056" spans="1:20" x14ac:dyDescent="0.25">
      <c r="A1056" t="s">
        <v>4911</v>
      </c>
      <c r="B1056" s="1">
        <v>45872</v>
      </c>
      <c r="C1056" s="5">
        <v>0.42743055555555554</v>
      </c>
      <c r="D1056">
        <v>126.68</v>
      </c>
      <c r="E1056" t="s">
        <v>44</v>
      </c>
      <c r="F1056" t="s">
        <v>4246</v>
      </c>
      <c r="G1056" t="s">
        <v>124</v>
      </c>
      <c r="H1056" t="s">
        <v>130</v>
      </c>
      <c r="I1056" t="s">
        <v>4912</v>
      </c>
      <c r="J1056">
        <v>25</v>
      </c>
      <c r="K1056" t="s">
        <v>25</v>
      </c>
      <c r="L1056" t="s">
        <v>58</v>
      </c>
      <c r="M1056" t="s">
        <v>84</v>
      </c>
      <c r="P1056" t="s">
        <v>28</v>
      </c>
      <c r="Q1056" t="s">
        <v>4913</v>
      </c>
      <c r="R1056" t="s">
        <v>4914</v>
      </c>
      <c r="S1056" t="s">
        <v>31</v>
      </c>
      <c r="T1056">
        <v>1</v>
      </c>
    </row>
    <row r="1057" spans="1:20" x14ac:dyDescent="0.25">
      <c r="A1057" t="s">
        <v>4915</v>
      </c>
      <c r="B1057" s="1">
        <v>45866</v>
      </c>
      <c r="C1057" s="5">
        <v>0.72781249999999997</v>
      </c>
      <c r="D1057">
        <v>102.46</v>
      </c>
      <c r="E1057" t="s">
        <v>44</v>
      </c>
      <c r="F1057" t="s">
        <v>4916</v>
      </c>
      <c r="G1057" t="s">
        <v>22</v>
      </c>
      <c r="H1057" t="s">
        <v>23</v>
      </c>
      <c r="I1057" t="s">
        <v>4917</v>
      </c>
      <c r="J1057">
        <v>10</v>
      </c>
      <c r="K1057" t="s">
        <v>25</v>
      </c>
      <c r="L1057" t="s">
        <v>248</v>
      </c>
      <c r="M1057" t="s">
        <v>112</v>
      </c>
      <c r="P1057" t="s">
        <v>28</v>
      </c>
      <c r="Q1057" t="s">
        <v>4918</v>
      </c>
      <c r="R1057" t="s">
        <v>4919</v>
      </c>
      <c r="S1057" t="s">
        <v>31</v>
      </c>
      <c r="T1057">
        <v>0</v>
      </c>
    </row>
    <row r="1058" spans="1:20" x14ac:dyDescent="0.25">
      <c r="A1058" t="s">
        <v>4920</v>
      </c>
      <c r="B1058" s="1">
        <v>45878</v>
      </c>
      <c r="C1058" s="5">
        <v>0.69763888888888892</v>
      </c>
      <c r="D1058">
        <v>138.81</v>
      </c>
      <c r="E1058" t="s">
        <v>44</v>
      </c>
      <c r="F1058" t="s">
        <v>338</v>
      </c>
      <c r="G1058" t="s">
        <v>46</v>
      </c>
      <c r="H1058" t="s">
        <v>97</v>
      </c>
      <c r="I1058" t="s">
        <v>4921</v>
      </c>
      <c r="J1058">
        <v>48</v>
      </c>
      <c r="K1058" t="s">
        <v>49</v>
      </c>
      <c r="L1058" t="s">
        <v>119</v>
      </c>
      <c r="M1058" t="s">
        <v>84</v>
      </c>
      <c r="P1058" t="s">
        <v>28</v>
      </c>
      <c r="Q1058" t="s">
        <v>4922</v>
      </c>
      <c r="R1058" t="s">
        <v>4923</v>
      </c>
      <c r="S1058" t="s">
        <v>101</v>
      </c>
      <c r="T1058">
        <v>0</v>
      </c>
    </row>
    <row r="1059" spans="1:20" x14ac:dyDescent="0.25">
      <c r="A1059" t="s">
        <v>4924</v>
      </c>
      <c r="B1059" s="1">
        <v>45899</v>
      </c>
      <c r="C1059" s="5">
        <v>0.9712615740740741</v>
      </c>
      <c r="D1059">
        <v>698.46</v>
      </c>
      <c r="E1059" t="s">
        <v>44</v>
      </c>
      <c r="F1059" t="s">
        <v>3758</v>
      </c>
      <c r="G1059" t="s">
        <v>96</v>
      </c>
      <c r="H1059" t="s">
        <v>119</v>
      </c>
      <c r="I1059" t="s">
        <v>4925</v>
      </c>
      <c r="J1059">
        <v>21</v>
      </c>
      <c r="K1059" t="s">
        <v>25</v>
      </c>
      <c r="L1059" t="s">
        <v>130</v>
      </c>
      <c r="M1059" t="s">
        <v>112</v>
      </c>
      <c r="P1059" t="s">
        <v>28</v>
      </c>
      <c r="Q1059" t="s">
        <v>4926</v>
      </c>
      <c r="R1059" t="s">
        <v>4927</v>
      </c>
      <c r="S1059" t="s">
        <v>31</v>
      </c>
      <c r="T1059">
        <v>0</v>
      </c>
    </row>
    <row r="1060" spans="1:20" x14ac:dyDescent="0.25">
      <c r="A1060" t="s">
        <v>4928</v>
      </c>
      <c r="B1060" s="1">
        <v>45863</v>
      </c>
      <c r="C1060" s="5">
        <v>0.3941898148148148</v>
      </c>
      <c r="D1060">
        <v>154.88</v>
      </c>
      <c r="E1060" t="s">
        <v>44</v>
      </c>
      <c r="F1060" t="s">
        <v>4929</v>
      </c>
      <c r="G1060" t="s">
        <v>71</v>
      </c>
      <c r="H1060" t="s">
        <v>66</v>
      </c>
      <c r="I1060" t="s">
        <v>4930</v>
      </c>
      <c r="J1060">
        <v>20</v>
      </c>
      <c r="K1060" t="s">
        <v>25</v>
      </c>
      <c r="L1060" t="s">
        <v>47</v>
      </c>
      <c r="M1060" t="s">
        <v>105</v>
      </c>
      <c r="P1060" t="s">
        <v>28</v>
      </c>
      <c r="Q1060" t="s">
        <v>4931</v>
      </c>
      <c r="R1060" t="s">
        <v>4932</v>
      </c>
      <c r="S1060" t="s">
        <v>31</v>
      </c>
      <c r="T1060">
        <v>0</v>
      </c>
    </row>
    <row r="1061" spans="1:20" x14ac:dyDescent="0.25">
      <c r="A1061" t="s">
        <v>4933</v>
      </c>
      <c r="B1061" s="1">
        <v>45928</v>
      </c>
      <c r="C1061" s="5">
        <v>0.70567129629629632</v>
      </c>
      <c r="D1061">
        <v>1269.26</v>
      </c>
      <c r="E1061" t="s">
        <v>44</v>
      </c>
      <c r="F1061" t="s">
        <v>922</v>
      </c>
      <c r="G1061" t="s">
        <v>57</v>
      </c>
      <c r="H1061" t="s">
        <v>23</v>
      </c>
      <c r="I1061" t="s">
        <v>4934</v>
      </c>
      <c r="J1061">
        <v>73</v>
      </c>
      <c r="K1061" t="s">
        <v>49</v>
      </c>
      <c r="L1061" t="s">
        <v>38</v>
      </c>
      <c r="M1061" t="s">
        <v>105</v>
      </c>
      <c r="P1061" t="s">
        <v>28</v>
      </c>
      <c r="Q1061" t="s">
        <v>4935</v>
      </c>
      <c r="R1061" t="s">
        <v>4936</v>
      </c>
      <c r="S1061" t="s">
        <v>31</v>
      </c>
      <c r="T1061">
        <v>0</v>
      </c>
    </row>
    <row r="1062" spans="1:20" x14ac:dyDescent="0.25">
      <c r="A1062" t="s">
        <v>4937</v>
      </c>
      <c r="B1062" s="1">
        <v>45802</v>
      </c>
      <c r="C1062" s="5">
        <v>0.63052083333333331</v>
      </c>
      <c r="D1062">
        <v>117.28</v>
      </c>
      <c r="E1062" t="s">
        <v>44</v>
      </c>
      <c r="F1062" t="s">
        <v>3279</v>
      </c>
      <c r="G1062" t="s">
        <v>57</v>
      </c>
      <c r="H1062" t="s">
        <v>38</v>
      </c>
      <c r="I1062" t="s">
        <v>4938</v>
      </c>
      <c r="J1062">
        <v>74</v>
      </c>
      <c r="K1062" t="s">
        <v>37</v>
      </c>
      <c r="L1062" t="s">
        <v>35</v>
      </c>
      <c r="M1062" t="s">
        <v>84</v>
      </c>
      <c r="P1062" t="s">
        <v>28</v>
      </c>
      <c r="Q1062" t="s">
        <v>4939</v>
      </c>
      <c r="R1062" t="s">
        <v>4940</v>
      </c>
      <c r="S1062" t="s">
        <v>31</v>
      </c>
      <c r="T1062">
        <v>0</v>
      </c>
    </row>
    <row r="1063" spans="1:20" x14ac:dyDescent="0.25">
      <c r="A1063" t="s">
        <v>4941</v>
      </c>
      <c r="B1063" s="1">
        <v>45847</v>
      </c>
      <c r="C1063" s="5">
        <v>0.55527777777777776</v>
      </c>
      <c r="D1063">
        <v>625.30999999999995</v>
      </c>
      <c r="E1063" t="s">
        <v>44</v>
      </c>
      <c r="F1063" t="s">
        <v>4150</v>
      </c>
      <c r="G1063" t="s">
        <v>57</v>
      </c>
      <c r="H1063" t="s">
        <v>66</v>
      </c>
      <c r="I1063" t="s">
        <v>4942</v>
      </c>
      <c r="J1063">
        <v>33</v>
      </c>
      <c r="K1063" t="s">
        <v>37</v>
      </c>
      <c r="L1063" t="s">
        <v>47</v>
      </c>
      <c r="M1063" t="s">
        <v>84</v>
      </c>
      <c r="P1063" t="s">
        <v>28</v>
      </c>
      <c r="Q1063" t="s">
        <v>4943</v>
      </c>
      <c r="R1063" t="s">
        <v>4944</v>
      </c>
      <c r="S1063" t="s">
        <v>31</v>
      </c>
      <c r="T1063">
        <v>0</v>
      </c>
    </row>
    <row r="1064" spans="1:20" x14ac:dyDescent="0.25">
      <c r="A1064" t="s">
        <v>4945</v>
      </c>
      <c r="B1064" s="1">
        <v>45949</v>
      </c>
      <c r="C1064" s="5">
        <v>0.56730324074074079</v>
      </c>
      <c r="D1064">
        <v>33.909999999999997</v>
      </c>
      <c r="E1064" t="s">
        <v>44</v>
      </c>
      <c r="F1064" t="s">
        <v>4123</v>
      </c>
      <c r="G1064" t="s">
        <v>22</v>
      </c>
      <c r="H1064" t="s">
        <v>23</v>
      </c>
      <c r="I1064" t="s">
        <v>4946</v>
      </c>
      <c r="J1064">
        <v>68</v>
      </c>
      <c r="K1064" t="s">
        <v>37</v>
      </c>
      <c r="L1064" t="s">
        <v>66</v>
      </c>
      <c r="M1064" t="s">
        <v>105</v>
      </c>
      <c r="P1064" t="s">
        <v>28</v>
      </c>
      <c r="Q1064" t="s">
        <v>4947</v>
      </c>
      <c r="R1064" t="s">
        <v>4948</v>
      </c>
      <c r="S1064" t="s">
        <v>31</v>
      </c>
      <c r="T1064">
        <v>0</v>
      </c>
    </row>
    <row r="1065" spans="1:20" x14ac:dyDescent="0.25">
      <c r="A1065" t="s">
        <v>4949</v>
      </c>
      <c r="B1065" s="1">
        <v>45874</v>
      </c>
      <c r="C1065" s="5">
        <v>0.83151620370370372</v>
      </c>
      <c r="D1065">
        <v>48.3</v>
      </c>
      <c r="E1065" t="s">
        <v>44</v>
      </c>
      <c r="F1065" t="s">
        <v>4950</v>
      </c>
      <c r="G1065" t="s">
        <v>89</v>
      </c>
      <c r="H1065" t="s">
        <v>26</v>
      </c>
      <c r="I1065" t="s">
        <v>4951</v>
      </c>
      <c r="J1065">
        <v>65</v>
      </c>
      <c r="K1065" t="s">
        <v>49</v>
      </c>
      <c r="L1065" t="s">
        <v>248</v>
      </c>
      <c r="M1065" t="s">
        <v>27</v>
      </c>
      <c r="P1065" t="s">
        <v>28</v>
      </c>
      <c r="Q1065" t="s">
        <v>4952</v>
      </c>
      <c r="R1065" t="s">
        <v>4953</v>
      </c>
      <c r="S1065" t="s">
        <v>31</v>
      </c>
      <c r="T1065">
        <v>0</v>
      </c>
    </row>
    <row r="1066" spans="1:20" x14ac:dyDescent="0.25">
      <c r="A1066" t="s">
        <v>4954</v>
      </c>
      <c r="B1066" s="1">
        <v>45801</v>
      </c>
      <c r="C1066" s="5">
        <v>0.56807870370370372</v>
      </c>
      <c r="D1066">
        <v>132.16999999999999</v>
      </c>
      <c r="E1066" t="s">
        <v>44</v>
      </c>
      <c r="F1066" t="s">
        <v>3035</v>
      </c>
      <c r="G1066" t="s">
        <v>96</v>
      </c>
      <c r="H1066" t="s">
        <v>110</v>
      </c>
      <c r="I1066" t="s">
        <v>4955</v>
      </c>
      <c r="J1066">
        <v>60</v>
      </c>
      <c r="K1066" t="s">
        <v>25</v>
      </c>
      <c r="L1066" t="s">
        <v>47</v>
      </c>
      <c r="M1066" t="s">
        <v>51</v>
      </c>
      <c r="N1066" t="s">
        <v>304</v>
      </c>
      <c r="O1066">
        <v>437137</v>
      </c>
      <c r="P1066" t="s">
        <v>28</v>
      </c>
      <c r="Q1066" t="s">
        <v>4956</v>
      </c>
      <c r="R1066" t="s">
        <v>4957</v>
      </c>
      <c r="S1066" t="s">
        <v>31</v>
      </c>
      <c r="T1066">
        <v>0</v>
      </c>
    </row>
    <row r="1067" spans="1:20" x14ac:dyDescent="0.25">
      <c r="A1067" t="s">
        <v>4958</v>
      </c>
      <c r="B1067" s="1">
        <v>45840</v>
      </c>
      <c r="C1067" s="5">
        <v>0.74012731481481486</v>
      </c>
      <c r="D1067">
        <v>32.06</v>
      </c>
      <c r="E1067" t="s">
        <v>44</v>
      </c>
      <c r="F1067" t="s">
        <v>4959</v>
      </c>
      <c r="G1067" t="s">
        <v>64</v>
      </c>
      <c r="H1067" t="s">
        <v>47</v>
      </c>
      <c r="I1067" t="s">
        <v>4960</v>
      </c>
      <c r="J1067">
        <v>75</v>
      </c>
      <c r="K1067" t="s">
        <v>25</v>
      </c>
      <c r="L1067" t="s">
        <v>23</v>
      </c>
      <c r="M1067" t="s">
        <v>84</v>
      </c>
      <c r="P1067" t="s">
        <v>28</v>
      </c>
      <c r="Q1067" t="s">
        <v>4961</v>
      </c>
      <c r="R1067" t="s">
        <v>4962</v>
      </c>
      <c r="S1067" t="s">
        <v>31</v>
      </c>
      <c r="T1067">
        <v>0</v>
      </c>
    </row>
    <row r="1068" spans="1:20" x14ac:dyDescent="0.25">
      <c r="A1068" t="s">
        <v>4963</v>
      </c>
      <c r="B1068" s="1">
        <v>45874</v>
      </c>
      <c r="C1068" s="5">
        <v>9.493055555555556E-2</v>
      </c>
      <c r="D1068">
        <v>79.959999999999994</v>
      </c>
      <c r="E1068" t="s">
        <v>44</v>
      </c>
      <c r="F1068" t="s">
        <v>4882</v>
      </c>
      <c r="G1068" t="s">
        <v>22</v>
      </c>
      <c r="H1068" t="s">
        <v>35</v>
      </c>
      <c r="I1068" t="s">
        <v>4964</v>
      </c>
      <c r="J1068">
        <v>71</v>
      </c>
      <c r="K1068" t="s">
        <v>25</v>
      </c>
      <c r="L1068" t="s">
        <v>35</v>
      </c>
      <c r="M1068" t="s">
        <v>27</v>
      </c>
      <c r="P1068" t="s">
        <v>113</v>
      </c>
      <c r="Q1068" t="s">
        <v>4965</v>
      </c>
      <c r="R1068" t="s">
        <v>4966</v>
      </c>
      <c r="S1068" t="s">
        <v>31</v>
      </c>
      <c r="T1068">
        <v>0</v>
      </c>
    </row>
    <row r="1069" spans="1:20" x14ac:dyDescent="0.25">
      <c r="A1069" t="s">
        <v>4967</v>
      </c>
      <c r="B1069" s="1">
        <v>45912</v>
      </c>
      <c r="C1069" s="5">
        <v>0.97357638888888887</v>
      </c>
      <c r="D1069">
        <v>18.239999999999998</v>
      </c>
      <c r="E1069" t="s">
        <v>44</v>
      </c>
      <c r="F1069" t="s">
        <v>237</v>
      </c>
      <c r="G1069" t="s">
        <v>57</v>
      </c>
      <c r="H1069" t="s">
        <v>38</v>
      </c>
      <c r="I1069" t="s">
        <v>4968</v>
      </c>
      <c r="J1069">
        <v>75</v>
      </c>
      <c r="K1069" t="s">
        <v>37</v>
      </c>
      <c r="L1069" t="s">
        <v>35</v>
      </c>
      <c r="M1069" t="s">
        <v>84</v>
      </c>
      <c r="P1069" t="s">
        <v>28</v>
      </c>
      <c r="Q1069" t="s">
        <v>4969</v>
      </c>
      <c r="R1069" t="s">
        <v>4970</v>
      </c>
      <c r="S1069" t="s">
        <v>31</v>
      </c>
      <c r="T1069">
        <v>0</v>
      </c>
    </row>
    <row r="1070" spans="1:20" x14ac:dyDescent="0.25">
      <c r="A1070" t="s">
        <v>4971</v>
      </c>
      <c r="B1070" s="1">
        <v>45861</v>
      </c>
      <c r="C1070" s="5">
        <v>0.21206018518518518</v>
      </c>
      <c r="D1070">
        <v>93.04</v>
      </c>
      <c r="E1070" t="s">
        <v>44</v>
      </c>
      <c r="F1070" t="s">
        <v>4972</v>
      </c>
      <c r="G1070" t="s">
        <v>124</v>
      </c>
      <c r="H1070" t="s">
        <v>50</v>
      </c>
      <c r="I1070" t="s">
        <v>4973</v>
      </c>
      <c r="J1070">
        <v>53</v>
      </c>
      <c r="K1070" t="s">
        <v>37</v>
      </c>
      <c r="L1070" t="s">
        <v>47</v>
      </c>
      <c r="M1070" t="s">
        <v>112</v>
      </c>
      <c r="P1070" t="s">
        <v>28</v>
      </c>
      <c r="Q1070" t="s">
        <v>4974</v>
      </c>
      <c r="R1070" t="s">
        <v>4975</v>
      </c>
      <c r="S1070" t="s">
        <v>31</v>
      </c>
      <c r="T1070">
        <v>0</v>
      </c>
    </row>
    <row r="1071" spans="1:20" x14ac:dyDescent="0.25">
      <c r="A1071" t="s">
        <v>4976</v>
      </c>
      <c r="B1071" s="1">
        <v>45895</v>
      </c>
      <c r="C1071" s="5">
        <v>0.1310300925925926</v>
      </c>
      <c r="D1071">
        <v>699.91</v>
      </c>
      <c r="E1071" t="s">
        <v>44</v>
      </c>
      <c r="F1071" t="s">
        <v>3256</v>
      </c>
      <c r="G1071" t="s">
        <v>71</v>
      </c>
      <c r="H1071" t="s">
        <v>38</v>
      </c>
      <c r="I1071" t="s">
        <v>4977</v>
      </c>
      <c r="K1071" t="s">
        <v>25</v>
      </c>
      <c r="L1071" t="s">
        <v>47</v>
      </c>
      <c r="M1071" t="s">
        <v>84</v>
      </c>
      <c r="P1071" t="s">
        <v>28</v>
      </c>
      <c r="Q1071" t="s">
        <v>4978</v>
      </c>
      <c r="R1071" t="s">
        <v>691</v>
      </c>
      <c r="S1071" t="s">
        <v>101</v>
      </c>
      <c r="T1071">
        <v>0</v>
      </c>
    </row>
    <row r="1072" spans="1:20" x14ac:dyDescent="0.25">
      <c r="A1072" t="s">
        <v>4979</v>
      </c>
      <c r="B1072" s="1">
        <v>45880</v>
      </c>
      <c r="C1072" s="5">
        <v>0.99070601851851847</v>
      </c>
      <c r="D1072">
        <v>14.16</v>
      </c>
      <c r="E1072" t="s">
        <v>44</v>
      </c>
      <c r="F1072" t="s">
        <v>4980</v>
      </c>
      <c r="G1072" t="s">
        <v>71</v>
      </c>
      <c r="H1072" t="s">
        <v>146</v>
      </c>
      <c r="I1072" t="s">
        <v>4981</v>
      </c>
      <c r="J1072">
        <v>35</v>
      </c>
      <c r="K1072" t="s">
        <v>37</v>
      </c>
      <c r="L1072" t="s">
        <v>26</v>
      </c>
      <c r="M1072" t="s">
        <v>39</v>
      </c>
      <c r="P1072" t="s">
        <v>28</v>
      </c>
      <c r="Q1072" t="s">
        <v>4982</v>
      </c>
      <c r="R1072" t="s">
        <v>4983</v>
      </c>
      <c r="S1072" t="s">
        <v>31</v>
      </c>
      <c r="T1072">
        <v>0</v>
      </c>
    </row>
    <row r="1073" spans="1:20" x14ac:dyDescent="0.25">
      <c r="A1073" t="s">
        <v>4984</v>
      </c>
      <c r="B1073" s="1">
        <v>45875</v>
      </c>
      <c r="C1073" s="5">
        <v>0.40177083333333335</v>
      </c>
      <c r="D1073">
        <v>194.92</v>
      </c>
      <c r="E1073" t="s">
        <v>44</v>
      </c>
      <c r="F1073" t="s">
        <v>1205</v>
      </c>
      <c r="G1073" t="s">
        <v>64</v>
      </c>
      <c r="H1073" t="s">
        <v>47</v>
      </c>
      <c r="I1073" t="s">
        <v>4985</v>
      </c>
      <c r="J1073">
        <v>69</v>
      </c>
      <c r="K1073" t="s">
        <v>49</v>
      </c>
      <c r="L1073" t="s">
        <v>110</v>
      </c>
      <c r="M1073" t="s">
        <v>112</v>
      </c>
      <c r="P1073" t="s">
        <v>28</v>
      </c>
      <c r="Q1073" t="s">
        <v>4986</v>
      </c>
      <c r="R1073" t="s">
        <v>4987</v>
      </c>
      <c r="S1073" t="s">
        <v>31</v>
      </c>
      <c r="T1073">
        <v>0</v>
      </c>
    </row>
    <row r="1074" spans="1:20" x14ac:dyDescent="0.25">
      <c r="A1074" t="s">
        <v>4988</v>
      </c>
      <c r="B1074" s="1">
        <v>45786</v>
      </c>
      <c r="C1074" s="5">
        <v>0.88223379629629628</v>
      </c>
      <c r="D1074">
        <v>100.59</v>
      </c>
      <c r="E1074" t="s">
        <v>44</v>
      </c>
      <c r="F1074" t="s">
        <v>177</v>
      </c>
      <c r="G1074" t="s">
        <v>46</v>
      </c>
      <c r="H1074" t="s">
        <v>66</v>
      </c>
      <c r="I1074" t="s">
        <v>4989</v>
      </c>
      <c r="J1074">
        <v>54</v>
      </c>
      <c r="K1074" t="s">
        <v>49</v>
      </c>
      <c r="L1074" t="s">
        <v>97</v>
      </c>
      <c r="M1074" t="s">
        <v>112</v>
      </c>
      <c r="P1074" t="s">
        <v>28</v>
      </c>
      <c r="Q1074" t="s">
        <v>4990</v>
      </c>
      <c r="R1074" t="s">
        <v>4991</v>
      </c>
      <c r="S1074" t="s">
        <v>31</v>
      </c>
      <c r="T1074">
        <v>0</v>
      </c>
    </row>
    <row r="1075" spans="1:20" x14ac:dyDescent="0.25">
      <c r="A1075" t="s">
        <v>4992</v>
      </c>
      <c r="B1075" s="1">
        <v>45938</v>
      </c>
      <c r="C1075" s="5">
        <v>0.78792824074074075</v>
      </c>
      <c r="D1075">
        <v>183.63</v>
      </c>
      <c r="E1075" t="s">
        <v>44</v>
      </c>
      <c r="F1075" t="s">
        <v>433</v>
      </c>
      <c r="G1075" t="s">
        <v>46</v>
      </c>
      <c r="H1075" t="s">
        <v>110</v>
      </c>
      <c r="I1075" t="s">
        <v>4993</v>
      </c>
      <c r="J1075">
        <v>75</v>
      </c>
      <c r="K1075" t="s">
        <v>25</v>
      </c>
      <c r="L1075" t="s">
        <v>110</v>
      </c>
      <c r="M1075" t="s">
        <v>112</v>
      </c>
      <c r="P1075" t="s">
        <v>113</v>
      </c>
      <c r="Q1075" t="s">
        <v>4994</v>
      </c>
      <c r="R1075" t="s">
        <v>4995</v>
      </c>
      <c r="S1075" t="s">
        <v>31</v>
      </c>
      <c r="T1075">
        <v>0</v>
      </c>
    </row>
    <row r="1076" spans="1:20" x14ac:dyDescent="0.25">
      <c r="A1076" t="s">
        <v>4996</v>
      </c>
      <c r="B1076" s="1">
        <v>45822</v>
      </c>
      <c r="C1076" s="5">
        <v>0.54708333333333337</v>
      </c>
      <c r="D1076">
        <v>18.79</v>
      </c>
      <c r="E1076" t="s">
        <v>44</v>
      </c>
      <c r="F1076" t="s">
        <v>1040</v>
      </c>
      <c r="G1076" t="s">
        <v>124</v>
      </c>
      <c r="H1076" t="s">
        <v>50</v>
      </c>
      <c r="I1076" t="s">
        <v>4997</v>
      </c>
      <c r="J1076">
        <v>47</v>
      </c>
      <c r="K1076" t="s">
        <v>25</v>
      </c>
      <c r="L1076" t="s">
        <v>38</v>
      </c>
      <c r="M1076" t="s">
        <v>112</v>
      </c>
      <c r="P1076" t="s">
        <v>28</v>
      </c>
      <c r="Q1076" t="s">
        <v>4998</v>
      </c>
      <c r="R1076" t="s">
        <v>4999</v>
      </c>
      <c r="S1076" t="s">
        <v>31</v>
      </c>
      <c r="T1076">
        <v>0</v>
      </c>
    </row>
    <row r="1077" spans="1:20" x14ac:dyDescent="0.25">
      <c r="A1077" t="s">
        <v>5000</v>
      </c>
      <c r="B1077" s="1">
        <v>45842</v>
      </c>
      <c r="C1077" s="5">
        <v>9.0023148148148144E-2</v>
      </c>
      <c r="D1077">
        <v>107.16</v>
      </c>
      <c r="E1077" t="s">
        <v>44</v>
      </c>
      <c r="F1077" t="s">
        <v>2904</v>
      </c>
      <c r="G1077" t="s">
        <v>71</v>
      </c>
      <c r="H1077" t="s">
        <v>26</v>
      </c>
      <c r="I1077" t="s">
        <v>5001</v>
      </c>
      <c r="J1077">
        <v>35</v>
      </c>
      <c r="K1077" t="s">
        <v>37</v>
      </c>
      <c r="L1077" t="s">
        <v>58</v>
      </c>
      <c r="M1077" t="s">
        <v>84</v>
      </c>
      <c r="P1077" t="s">
        <v>28</v>
      </c>
      <c r="Q1077" t="s">
        <v>5002</v>
      </c>
      <c r="R1077" t="s">
        <v>5003</v>
      </c>
      <c r="S1077" t="s">
        <v>42</v>
      </c>
      <c r="T1077">
        <v>0</v>
      </c>
    </row>
    <row r="1078" spans="1:20" x14ac:dyDescent="0.25">
      <c r="A1078" t="s">
        <v>5004</v>
      </c>
      <c r="B1078" s="1">
        <v>45789</v>
      </c>
      <c r="C1078" s="5">
        <v>0.45991898148148147</v>
      </c>
      <c r="D1078">
        <v>6.44</v>
      </c>
      <c r="E1078" t="s">
        <v>44</v>
      </c>
      <c r="F1078" t="s">
        <v>5005</v>
      </c>
      <c r="G1078" t="s">
        <v>46</v>
      </c>
      <c r="H1078" t="s">
        <v>38</v>
      </c>
      <c r="I1078" t="s">
        <v>5006</v>
      </c>
      <c r="J1078">
        <v>40</v>
      </c>
      <c r="K1078" t="s">
        <v>37</v>
      </c>
      <c r="L1078" t="s">
        <v>110</v>
      </c>
      <c r="M1078" t="s">
        <v>51</v>
      </c>
      <c r="N1078" t="s">
        <v>173</v>
      </c>
      <c r="O1078">
        <v>469035</v>
      </c>
      <c r="P1078" t="s">
        <v>28</v>
      </c>
      <c r="Q1078" t="s">
        <v>5007</v>
      </c>
      <c r="R1078" t="s">
        <v>5008</v>
      </c>
      <c r="S1078" t="s">
        <v>31</v>
      </c>
      <c r="T1078">
        <v>0</v>
      </c>
    </row>
    <row r="1079" spans="1:20" x14ac:dyDescent="0.25">
      <c r="A1079" t="s">
        <v>5009</v>
      </c>
      <c r="B1079" s="1">
        <v>45893</v>
      </c>
      <c r="C1079" s="5">
        <v>0.86728009259259264</v>
      </c>
      <c r="D1079">
        <v>189.5</v>
      </c>
      <c r="E1079" t="s">
        <v>44</v>
      </c>
      <c r="F1079" t="s">
        <v>2335</v>
      </c>
      <c r="G1079" t="s">
        <v>71</v>
      </c>
      <c r="H1079" t="s">
        <v>146</v>
      </c>
      <c r="I1079" t="s">
        <v>5010</v>
      </c>
      <c r="J1079">
        <v>21</v>
      </c>
      <c r="K1079" t="s">
        <v>37</v>
      </c>
      <c r="L1079" t="s">
        <v>91</v>
      </c>
      <c r="M1079" t="s">
        <v>27</v>
      </c>
      <c r="P1079" t="s">
        <v>28</v>
      </c>
      <c r="Q1079" t="s">
        <v>5011</v>
      </c>
      <c r="R1079" t="s">
        <v>5012</v>
      </c>
      <c r="S1079" t="s">
        <v>31</v>
      </c>
      <c r="T1079">
        <v>0</v>
      </c>
    </row>
    <row r="1080" spans="1:20" x14ac:dyDescent="0.25">
      <c r="A1080" t="s">
        <v>5013</v>
      </c>
      <c r="B1080" s="1">
        <v>45936</v>
      </c>
      <c r="C1080" s="5">
        <v>0.14902777777777779</v>
      </c>
      <c r="D1080">
        <v>67.260000000000005</v>
      </c>
      <c r="E1080" t="s">
        <v>44</v>
      </c>
      <c r="F1080" t="s">
        <v>4811</v>
      </c>
      <c r="G1080" t="s">
        <v>71</v>
      </c>
      <c r="H1080" t="s">
        <v>47</v>
      </c>
      <c r="I1080" t="s">
        <v>5014</v>
      </c>
      <c r="J1080">
        <v>37</v>
      </c>
      <c r="K1080" t="s">
        <v>49</v>
      </c>
      <c r="L1080" t="s">
        <v>248</v>
      </c>
      <c r="M1080" t="s">
        <v>27</v>
      </c>
      <c r="P1080" t="s">
        <v>28</v>
      </c>
      <c r="Q1080" t="s">
        <v>5015</v>
      </c>
      <c r="R1080" t="s">
        <v>5016</v>
      </c>
      <c r="S1080" t="s">
        <v>31</v>
      </c>
      <c r="T1080">
        <v>0</v>
      </c>
    </row>
    <row r="1081" spans="1:20" x14ac:dyDescent="0.25">
      <c r="A1081" t="s">
        <v>5017</v>
      </c>
      <c r="B1081" s="1">
        <v>45835</v>
      </c>
      <c r="C1081" s="5">
        <v>0.42782407407407408</v>
      </c>
      <c r="D1081">
        <v>134.99</v>
      </c>
      <c r="E1081" t="s">
        <v>44</v>
      </c>
      <c r="F1081" t="s">
        <v>1710</v>
      </c>
      <c r="G1081" t="s">
        <v>124</v>
      </c>
      <c r="H1081" t="s">
        <v>130</v>
      </c>
      <c r="I1081" t="s">
        <v>5018</v>
      </c>
      <c r="J1081">
        <v>72</v>
      </c>
      <c r="K1081" t="s">
        <v>37</v>
      </c>
      <c r="L1081" t="s">
        <v>97</v>
      </c>
      <c r="M1081" t="s">
        <v>105</v>
      </c>
      <c r="P1081" t="s">
        <v>28</v>
      </c>
      <c r="Q1081" t="s">
        <v>5019</v>
      </c>
      <c r="R1081" t="s">
        <v>5020</v>
      </c>
      <c r="S1081" t="s">
        <v>31</v>
      </c>
      <c r="T1081">
        <v>0</v>
      </c>
    </row>
    <row r="1082" spans="1:20" x14ac:dyDescent="0.25">
      <c r="A1082" t="s">
        <v>5021</v>
      </c>
      <c r="B1082" s="1">
        <v>45902</v>
      </c>
      <c r="C1082" s="5">
        <v>0.36729166666666668</v>
      </c>
      <c r="D1082">
        <v>83.4</v>
      </c>
      <c r="E1082" t="s">
        <v>44</v>
      </c>
      <c r="F1082" t="s">
        <v>1408</v>
      </c>
      <c r="G1082" t="s">
        <v>22</v>
      </c>
      <c r="H1082" t="s">
        <v>23</v>
      </c>
      <c r="I1082" t="s">
        <v>5022</v>
      </c>
      <c r="J1082">
        <v>34</v>
      </c>
      <c r="K1082" t="s">
        <v>49</v>
      </c>
      <c r="L1082" t="s">
        <v>110</v>
      </c>
      <c r="M1082" t="s">
        <v>39</v>
      </c>
      <c r="P1082" t="s">
        <v>28</v>
      </c>
      <c r="Q1082" t="s">
        <v>5023</v>
      </c>
      <c r="R1082" t="s">
        <v>5024</v>
      </c>
      <c r="S1082" t="s">
        <v>31</v>
      </c>
      <c r="T1082">
        <v>0</v>
      </c>
    </row>
    <row r="1083" spans="1:20" x14ac:dyDescent="0.25">
      <c r="A1083" t="s">
        <v>5025</v>
      </c>
      <c r="B1083" s="1">
        <v>45799</v>
      </c>
      <c r="C1083" s="5">
        <v>0.64020833333333338</v>
      </c>
      <c r="D1083">
        <v>100.46</v>
      </c>
      <c r="E1083" t="s">
        <v>44</v>
      </c>
      <c r="F1083" t="s">
        <v>5026</v>
      </c>
      <c r="G1083" t="s">
        <v>46</v>
      </c>
      <c r="H1083" t="s">
        <v>50</v>
      </c>
      <c r="I1083" t="s">
        <v>5027</v>
      </c>
      <c r="J1083">
        <v>37</v>
      </c>
      <c r="K1083" t="s">
        <v>49</v>
      </c>
      <c r="L1083" t="s">
        <v>58</v>
      </c>
      <c r="M1083" t="s">
        <v>51</v>
      </c>
      <c r="N1083" t="s">
        <v>507</v>
      </c>
      <c r="O1083">
        <v>408443</v>
      </c>
      <c r="P1083" t="s">
        <v>28</v>
      </c>
      <c r="Q1083" t="s">
        <v>5028</v>
      </c>
      <c r="R1083" t="s">
        <v>5029</v>
      </c>
      <c r="S1083" t="s">
        <v>31</v>
      </c>
      <c r="T1083">
        <v>0</v>
      </c>
    </row>
    <row r="1084" spans="1:20" x14ac:dyDescent="0.25">
      <c r="A1084" t="s">
        <v>5030</v>
      </c>
      <c r="B1084" s="1">
        <v>45803</v>
      </c>
      <c r="C1084" s="5">
        <v>0.95840277777777783</v>
      </c>
      <c r="D1084">
        <v>981.95</v>
      </c>
      <c r="E1084" t="s">
        <v>44</v>
      </c>
      <c r="F1084" t="s">
        <v>5031</v>
      </c>
      <c r="G1084" t="s">
        <v>34</v>
      </c>
      <c r="H1084" t="s">
        <v>119</v>
      </c>
      <c r="I1084" t="s">
        <v>5032</v>
      </c>
      <c r="K1084" t="s">
        <v>25</v>
      </c>
      <c r="L1084" t="s">
        <v>248</v>
      </c>
      <c r="M1084" t="s">
        <v>39</v>
      </c>
      <c r="P1084" t="s">
        <v>28</v>
      </c>
      <c r="Q1084" t="s">
        <v>5033</v>
      </c>
      <c r="R1084" t="s">
        <v>5034</v>
      </c>
      <c r="S1084" t="s">
        <v>31</v>
      </c>
      <c r="T1084">
        <v>0</v>
      </c>
    </row>
    <row r="1085" spans="1:20" x14ac:dyDescent="0.25">
      <c r="A1085" t="s">
        <v>5035</v>
      </c>
      <c r="B1085" s="1">
        <v>45913</v>
      </c>
      <c r="C1085" s="5">
        <v>0.90378472222222217</v>
      </c>
      <c r="D1085">
        <v>374.07</v>
      </c>
      <c r="E1085" t="s">
        <v>44</v>
      </c>
      <c r="F1085" t="s">
        <v>5036</v>
      </c>
      <c r="G1085" t="s">
        <v>22</v>
      </c>
      <c r="H1085" t="s">
        <v>47</v>
      </c>
      <c r="I1085" t="s">
        <v>5037</v>
      </c>
      <c r="J1085">
        <v>58</v>
      </c>
      <c r="K1085" t="s">
        <v>25</v>
      </c>
      <c r="L1085" t="s">
        <v>91</v>
      </c>
      <c r="M1085" t="s">
        <v>39</v>
      </c>
      <c r="P1085" t="s">
        <v>28</v>
      </c>
      <c r="Q1085" t="s">
        <v>5038</v>
      </c>
      <c r="R1085" t="s">
        <v>5039</v>
      </c>
      <c r="S1085" t="s">
        <v>31</v>
      </c>
      <c r="T1085">
        <v>0</v>
      </c>
    </row>
    <row r="1086" spans="1:20" x14ac:dyDescent="0.25">
      <c r="A1086" t="s">
        <v>5040</v>
      </c>
      <c r="B1086" s="1">
        <v>45902</v>
      </c>
      <c r="C1086" s="5">
        <v>0.52304398148148146</v>
      </c>
      <c r="D1086">
        <v>156.57</v>
      </c>
      <c r="E1086" t="s">
        <v>44</v>
      </c>
      <c r="F1086" t="s">
        <v>4491</v>
      </c>
      <c r="G1086" t="s">
        <v>46</v>
      </c>
      <c r="H1086" t="s">
        <v>66</v>
      </c>
      <c r="I1086" t="s">
        <v>5041</v>
      </c>
      <c r="J1086">
        <v>30</v>
      </c>
      <c r="K1086" t="s">
        <v>25</v>
      </c>
      <c r="L1086" t="s">
        <v>248</v>
      </c>
      <c r="M1086" t="s">
        <v>105</v>
      </c>
      <c r="P1086" t="s">
        <v>28</v>
      </c>
      <c r="Q1086" t="s">
        <v>5042</v>
      </c>
      <c r="R1086" t="s">
        <v>5043</v>
      </c>
      <c r="S1086" t="s">
        <v>101</v>
      </c>
      <c r="T1086">
        <v>0</v>
      </c>
    </row>
    <row r="1087" spans="1:20" x14ac:dyDescent="0.25">
      <c r="A1087" t="s">
        <v>5044</v>
      </c>
      <c r="B1087" s="1">
        <v>45805</v>
      </c>
      <c r="C1087" s="5">
        <v>0.9765625</v>
      </c>
      <c r="D1087">
        <v>192.55</v>
      </c>
      <c r="E1087" t="s">
        <v>44</v>
      </c>
      <c r="F1087" t="s">
        <v>5045</v>
      </c>
      <c r="G1087" t="s">
        <v>77</v>
      </c>
      <c r="H1087" t="s">
        <v>146</v>
      </c>
      <c r="I1087" t="s">
        <v>5046</v>
      </c>
      <c r="J1087">
        <v>55</v>
      </c>
      <c r="K1087" t="s">
        <v>49</v>
      </c>
      <c r="L1087" t="s">
        <v>58</v>
      </c>
      <c r="M1087" t="s">
        <v>105</v>
      </c>
      <c r="P1087" t="s">
        <v>28</v>
      </c>
      <c r="Q1087" t="s">
        <v>5047</v>
      </c>
      <c r="R1087" t="s">
        <v>5048</v>
      </c>
      <c r="S1087" t="s">
        <v>31</v>
      </c>
      <c r="T1087">
        <v>0</v>
      </c>
    </row>
    <row r="1088" spans="1:20" x14ac:dyDescent="0.25">
      <c r="A1088" t="s">
        <v>5049</v>
      </c>
      <c r="B1088" s="1">
        <v>45810</v>
      </c>
      <c r="C1088" s="5">
        <v>0.24201388888888889</v>
      </c>
      <c r="D1088">
        <v>44.33</v>
      </c>
      <c r="E1088" t="s">
        <v>44</v>
      </c>
      <c r="F1088" t="s">
        <v>5050</v>
      </c>
      <c r="G1088" t="s">
        <v>96</v>
      </c>
      <c r="H1088" t="s">
        <v>38</v>
      </c>
      <c r="I1088" t="s">
        <v>48</v>
      </c>
      <c r="J1088">
        <v>58</v>
      </c>
      <c r="K1088" t="s">
        <v>49</v>
      </c>
      <c r="L1088" t="s">
        <v>110</v>
      </c>
      <c r="M1088" t="s">
        <v>105</v>
      </c>
      <c r="P1088" t="s">
        <v>28</v>
      </c>
      <c r="Q1088" t="s">
        <v>5051</v>
      </c>
      <c r="R1088" t="s">
        <v>5052</v>
      </c>
      <c r="S1088" t="s">
        <v>31</v>
      </c>
      <c r="T1088">
        <v>0</v>
      </c>
    </row>
    <row r="1089" spans="1:20" x14ac:dyDescent="0.25">
      <c r="A1089" t="s">
        <v>5053</v>
      </c>
      <c r="B1089" s="1">
        <v>45874</v>
      </c>
      <c r="C1089" s="5">
        <v>0.8316782407407407</v>
      </c>
      <c r="D1089">
        <v>461.92</v>
      </c>
      <c r="E1089" t="s">
        <v>44</v>
      </c>
      <c r="F1089" t="s">
        <v>4811</v>
      </c>
      <c r="G1089" t="s">
        <v>124</v>
      </c>
      <c r="H1089" t="s">
        <v>58</v>
      </c>
      <c r="I1089" t="s">
        <v>5054</v>
      </c>
      <c r="J1089">
        <v>65</v>
      </c>
      <c r="K1089" t="s">
        <v>37</v>
      </c>
      <c r="L1089" t="s">
        <v>91</v>
      </c>
      <c r="M1089" t="s">
        <v>51</v>
      </c>
      <c r="N1089" t="s">
        <v>52</v>
      </c>
      <c r="O1089">
        <v>556408</v>
      </c>
      <c r="P1089" t="s">
        <v>28</v>
      </c>
      <c r="Q1089" t="s">
        <v>5055</v>
      </c>
      <c r="R1089" t="s">
        <v>5056</v>
      </c>
      <c r="S1089" t="s">
        <v>31</v>
      </c>
      <c r="T1089">
        <v>0</v>
      </c>
    </row>
    <row r="1090" spans="1:20" x14ac:dyDescent="0.25">
      <c r="A1090" t="s">
        <v>5057</v>
      </c>
      <c r="B1090" s="1">
        <v>45925</v>
      </c>
      <c r="C1090" s="5">
        <v>0.97298611111111111</v>
      </c>
      <c r="D1090">
        <v>173.49</v>
      </c>
      <c r="E1090" t="s">
        <v>44</v>
      </c>
      <c r="F1090" t="s">
        <v>5058</v>
      </c>
      <c r="G1090" t="s">
        <v>96</v>
      </c>
      <c r="H1090" t="s">
        <v>58</v>
      </c>
      <c r="I1090" t="s">
        <v>5059</v>
      </c>
      <c r="J1090">
        <v>25</v>
      </c>
      <c r="K1090" t="s">
        <v>49</v>
      </c>
      <c r="L1090" t="s">
        <v>66</v>
      </c>
      <c r="M1090" t="s">
        <v>84</v>
      </c>
      <c r="P1090" t="s">
        <v>28</v>
      </c>
      <c r="Q1090" t="s">
        <v>5060</v>
      </c>
      <c r="R1090" t="s">
        <v>5061</v>
      </c>
      <c r="S1090" t="s">
        <v>31</v>
      </c>
      <c r="T1090">
        <v>1</v>
      </c>
    </row>
    <row r="1091" spans="1:20" x14ac:dyDescent="0.25">
      <c r="A1091" t="s">
        <v>5062</v>
      </c>
      <c r="B1091" s="1">
        <v>45943</v>
      </c>
      <c r="C1091" s="5">
        <v>0.48122685185185188</v>
      </c>
      <c r="D1091">
        <v>560.07000000000005</v>
      </c>
      <c r="E1091" t="s">
        <v>44</v>
      </c>
      <c r="F1091" t="s">
        <v>472</v>
      </c>
      <c r="G1091" t="s">
        <v>57</v>
      </c>
      <c r="H1091" t="s">
        <v>146</v>
      </c>
      <c r="I1091" t="s">
        <v>5063</v>
      </c>
      <c r="J1091">
        <v>71</v>
      </c>
      <c r="K1091" t="s">
        <v>49</v>
      </c>
      <c r="L1091" t="s">
        <v>50</v>
      </c>
      <c r="M1091" t="s">
        <v>112</v>
      </c>
      <c r="P1091" t="s">
        <v>28</v>
      </c>
      <c r="Q1091" t="s">
        <v>5064</v>
      </c>
      <c r="R1091" t="s">
        <v>5065</v>
      </c>
      <c r="S1091" t="s">
        <v>31</v>
      </c>
      <c r="T1091">
        <v>1</v>
      </c>
    </row>
    <row r="1092" spans="1:20" x14ac:dyDescent="0.25">
      <c r="A1092" t="s">
        <v>5066</v>
      </c>
      <c r="B1092" s="1">
        <v>45857</v>
      </c>
      <c r="C1092" s="5">
        <v>0.3833449074074074</v>
      </c>
      <c r="D1092">
        <v>3.27</v>
      </c>
      <c r="E1092" t="s">
        <v>44</v>
      </c>
      <c r="F1092" t="s">
        <v>5067</v>
      </c>
      <c r="G1092" t="s">
        <v>46</v>
      </c>
      <c r="H1092" t="s">
        <v>91</v>
      </c>
      <c r="I1092" t="s">
        <v>5068</v>
      </c>
      <c r="J1092">
        <v>18</v>
      </c>
      <c r="K1092" t="s">
        <v>49</v>
      </c>
      <c r="L1092" t="s">
        <v>38</v>
      </c>
      <c r="M1092" t="s">
        <v>27</v>
      </c>
      <c r="P1092" t="s">
        <v>28</v>
      </c>
      <c r="Q1092" t="s">
        <v>5069</v>
      </c>
      <c r="R1092" t="s">
        <v>5070</v>
      </c>
      <c r="S1092" t="s">
        <v>31</v>
      </c>
      <c r="T1092">
        <v>0</v>
      </c>
    </row>
    <row r="1093" spans="1:20" x14ac:dyDescent="0.25">
      <c r="A1093" t="s">
        <v>5071</v>
      </c>
      <c r="B1093" s="1">
        <v>45874</v>
      </c>
      <c r="C1093" s="5">
        <v>0.89934027777777781</v>
      </c>
      <c r="D1093">
        <v>165.28</v>
      </c>
      <c r="E1093" t="s">
        <v>44</v>
      </c>
      <c r="F1093" t="s">
        <v>5072</v>
      </c>
      <c r="G1093" t="s">
        <v>124</v>
      </c>
      <c r="H1093" t="s">
        <v>23</v>
      </c>
      <c r="I1093" t="s">
        <v>5073</v>
      </c>
      <c r="J1093">
        <v>59</v>
      </c>
      <c r="K1093" t="s">
        <v>37</v>
      </c>
      <c r="L1093" t="s">
        <v>58</v>
      </c>
      <c r="M1093" t="s">
        <v>84</v>
      </c>
      <c r="P1093" t="s">
        <v>28</v>
      </c>
      <c r="Q1093" t="s">
        <v>5074</v>
      </c>
      <c r="R1093" t="s">
        <v>5075</v>
      </c>
      <c r="S1093" t="s">
        <v>31</v>
      </c>
      <c r="T1093">
        <v>0</v>
      </c>
    </row>
    <row r="1094" spans="1:20" x14ac:dyDescent="0.25">
      <c r="A1094" t="s">
        <v>5076</v>
      </c>
      <c r="B1094" s="1">
        <v>45797</v>
      </c>
      <c r="C1094" s="5">
        <v>0.62887731481481479</v>
      </c>
      <c r="D1094">
        <v>912.26</v>
      </c>
      <c r="E1094" t="s">
        <v>44</v>
      </c>
      <c r="F1094" t="s">
        <v>4509</v>
      </c>
      <c r="G1094" t="s">
        <v>22</v>
      </c>
      <c r="H1094" t="s">
        <v>119</v>
      </c>
      <c r="I1094" t="s">
        <v>5077</v>
      </c>
      <c r="J1094">
        <v>41</v>
      </c>
      <c r="K1094" t="s">
        <v>49</v>
      </c>
      <c r="L1094" t="s">
        <v>38</v>
      </c>
      <c r="M1094" t="s">
        <v>105</v>
      </c>
      <c r="P1094" t="s">
        <v>28</v>
      </c>
      <c r="Q1094" t="s">
        <v>5078</v>
      </c>
      <c r="R1094" t="s">
        <v>5079</v>
      </c>
      <c r="S1094" t="s">
        <v>101</v>
      </c>
      <c r="T1094">
        <v>0</v>
      </c>
    </row>
    <row r="1095" spans="1:20" x14ac:dyDescent="0.25">
      <c r="A1095" t="s">
        <v>5080</v>
      </c>
      <c r="B1095" s="1">
        <v>45810</v>
      </c>
      <c r="C1095" s="5">
        <v>0.20119212962962962</v>
      </c>
      <c r="D1095">
        <v>167.53</v>
      </c>
      <c r="E1095" t="s">
        <v>44</v>
      </c>
      <c r="F1095" t="s">
        <v>5081</v>
      </c>
      <c r="G1095" t="s">
        <v>89</v>
      </c>
      <c r="H1095" t="s">
        <v>248</v>
      </c>
      <c r="I1095" t="s">
        <v>5082</v>
      </c>
      <c r="J1095">
        <v>62</v>
      </c>
      <c r="K1095" t="s">
        <v>25</v>
      </c>
      <c r="L1095" t="s">
        <v>26</v>
      </c>
      <c r="M1095" t="s">
        <v>105</v>
      </c>
      <c r="P1095" t="s">
        <v>28</v>
      </c>
      <c r="Q1095" t="s">
        <v>5083</v>
      </c>
      <c r="R1095" t="s">
        <v>5084</v>
      </c>
      <c r="S1095" t="s">
        <v>31</v>
      </c>
      <c r="T1095">
        <v>0</v>
      </c>
    </row>
    <row r="1096" spans="1:20" x14ac:dyDescent="0.25">
      <c r="A1096" t="s">
        <v>5085</v>
      </c>
      <c r="B1096" s="1">
        <v>45854</v>
      </c>
      <c r="C1096" s="5">
        <v>0.14402777777777778</v>
      </c>
      <c r="D1096">
        <v>134.12</v>
      </c>
      <c r="E1096" t="s">
        <v>44</v>
      </c>
      <c r="F1096" t="s">
        <v>2244</v>
      </c>
      <c r="G1096" t="s">
        <v>89</v>
      </c>
      <c r="H1096" t="s">
        <v>50</v>
      </c>
      <c r="I1096" t="s">
        <v>5086</v>
      </c>
      <c r="J1096">
        <v>53</v>
      </c>
      <c r="K1096" t="s">
        <v>25</v>
      </c>
      <c r="L1096" t="s">
        <v>119</v>
      </c>
      <c r="M1096" t="s">
        <v>105</v>
      </c>
      <c r="P1096" t="s">
        <v>28</v>
      </c>
      <c r="Q1096" t="s">
        <v>5087</v>
      </c>
      <c r="R1096" t="s">
        <v>5088</v>
      </c>
      <c r="S1096" t="s">
        <v>31</v>
      </c>
      <c r="T1096">
        <v>0</v>
      </c>
    </row>
    <row r="1097" spans="1:20" x14ac:dyDescent="0.25">
      <c r="A1097" t="s">
        <v>5089</v>
      </c>
      <c r="B1097" s="1">
        <v>45824</v>
      </c>
      <c r="C1097" s="5">
        <v>6.8981481481481477E-2</v>
      </c>
      <c r="D1097">
        <v>139.33000000000001</v>
      </c>
      <c r="E1097" t="s">
        <v>44</v>
      </c>
      <c r="F1097" t="s">
        <v>4016</v>
      </c>
      <c r="G1097" t="s">
        <v>57</v>
      </c>
      <c r="H1097" t="s">
        <v>50</v>
      </c>
      <c r="I1097" t="s">
        <v>5090</v>
      </c>
      <c r="J1097">
        <v>60</v>
      </c>
      <c r="K1097" t="s">
        <v>49</v>
      </c>
      <c r="L1097" t="s">
        <v>130</v>
      </c>
      <c r="M1097" t="s">
        <v>105</v>
      </c>
      <c r="P1097" t="s">
        <v>28</v>
      </c>
      <c r="Q1097" t="s">
        <v>5091</v>
      </c>
      <c r="R1097" t="s">
        <v>5092</v>
      </c>
      <c r="S1097" t="s">
        <v>31</v>
      </c>
      <c r="T1097">
        <v>0</v>
      </c>
    </row>
    <row r="1098" spans="1:20" x14ac:dyDescent="0.25">
      <c r="A1098" t="s">
        <v>5093</v>
      </c>
      <c r="B1098" s="1">
        <v>45860</v>
      </c>
      <c r="C1098" s="5">
        <v>0.88398148148148148</v>
      </c>
      <c r="D1098">
        <v>199.78</v>
      </c>
      <c r="E1098" t="s">
        <v>44</v>
      </c>
      <c r="F1098" t="s">
        <v>5094</v>
      </c>
      <c r="G1098" t="s">
        <v>46</v>
      </c>
      <c r="H1098" t="s">
        <v>248</v>
      </c>
      <c r="I1098" t="s">
        <v>5095</v>
      </c>
      <c r="K1098" t="s">
        <v>49</v>
      </c>
      <c r="L1098" t="s">
        <v>66</v>
      </c>
      <c r="M1098" t="s">
        <v>84</v>
      </c>
      <c r="P1098" t="s">
        <v>28</v>
      </c>
      <c r="Q1098" t="s">
        <v>5096</v>
      </c>
      <c r="R1098" t="s">
        <v>5097</v>
      </c>
      <c r="S1098" t="s">
        <v>101</v>
      </c>
      <c r="T1098">
        <v>0</v>
      </c>
    </row>
    <row r="1099" spans="1:20" x14ac:dyDescent="0.25">
      <c r="A1099" t="s">
        <v>5098</v>
      </c>
      <c r="B1099" s="1">
        <v>45850</v>
      </c>
      <c r="C1099" s="5">
        <v>0.72417824074074078</v>
      </c>
      <c r="D1099">
        <v>825.97</v>
      </c>
      <c r="E1099" t="s">
        <v>44</v>
      </c>
      <c r="F1099" t="s">
        <v>753</v>
      </c>
      <c r="G1099" t="s">
        <v>57</v>
      </c>
      <c r="H1099" t="s">
        <v>146</v>
      </c>
      <c r="I1099" t="s">
        <v>5099</v>
      </c>
      <c r="J1099">
        <v>45</v>
      </c>
      <c r="K1099" t="s">
        <v>25</v>
      </c>
      <c r="L1099" t="s">
        <v>248</v>
      </c>
      <c r="M1099" t="s">
        <v>27</v>
      </c>
      <c r="P1099" t="s">
        <v>28</v>
      </c>
      <c r="Q1099" t="s">
        <v>5100</v>
      </c>
      <c r="R1099" t="s">
        <v>5101</v>
      </c>
      <c r="S1099" t="s">
        <v>101</v>
      </c>
      <c r="T1099">
        <v>0</v>
      </c>
    </row>
    <row r="1100" spans="1:20" x14ac:dyDescent="0.25">
      <c r="A1100" t="s">
        <v>5102</v>
      </c>
      <c r="B1100" s="1">
        <v>45948</v>
      </c>
      <c r="C1100" s="5">
        <v>0.6507060185185185</v>
      </c>
      <c r="D1100">
        <v>107.84</v>
      </c>
      <c r="E1100" t="s">
        <v>44</v>
      </c>
      <c r="F1100" t="s">
        <v>1715</v>
      </c>
      <c r="G1100" t="s">
        <v>77</v>
      </c>
      <c r="H1100" t="s">
        <v>130</v>
      </c>
      <c r="I1100" t="s">
        <v>5103</v>
      </c>
      <c r="J1100">
        <v>25</v>
      </c>
      <c r="K1100" t="s">
        <v>49</v>
      </c>
      <c r="L1100" t="s">
        <v>97</v>
      </c>
      <c r="M1100" t="s">
        <v>51</v>
      </c>
      <c r="N1100" t="s">
        <v>507</v>
      </c>
      <c r="O1100">
        <v>536370</v>
      </c>
      <c r="P1100" t="s">
        <v>28</v>
      </c>
      <c r="Q1100" t="s">
        <v>5104</v>
      </c>
      <c r="R1100" t="s">
        <v>5105</v>
      </c>
      <c r="S1100" t="s">
        <v>31</v>
      </c>
      <c r="T1100">
        <v>0</v>
      </c>
    </row>
    <row r="1101" spans="1:20" x14ac:dyDescent="0.25">
      <c r="A1101" t="s">
        <v>5106</v>
      </c>
      <c r="B1101" s="1">
        <v>45931</v>
      </c>
      <c r="C1101" s="5">
        <v>0.25057870370370372</v>
      </c>
      <c r="D1101">
        <v>160.62</v>
      </c>
      <c r="E1101" t="s">
        <v>44</v>
      </c>
      <c r="F1101" t="s">
        <v>408</v>
      </c>
      <c r="G1101" t="s">
        <v>64</v>
      </c>
      <c r="H1101" t="s">
        <v>23</v>
      </c>
      <c r="I1101" t="s">
        <v>5107</v>
      </c>
      <c r="J1101">
        <v>60</v>
      </c>
      <c r="K1101" t="s">
        <v>25</v>
      </c>
      <c r="L1101" t="s">
        <v>97</v>
      </c>
      <c r="M1101" t="s">
        <v>84</v>
      </c>
      <c r="P1101" t="s">
        <v>28</v>
      </c>
      <c r="Q1101" t="s">
        <v>5108</v>
      </c>
      <c r="R1101" t="s">
        <v>5109</v>
      </c>
      <c r="S1101" t="s">
        <v>31</v>
      </c>
      <c r="T1101">
        <v>1</v>
      </c>
    </row>
    <row r="1102" spans="1:20" x14ac:dyDescent="0.25">
      <c r="A1102" t="s">
        <v>5110</v>
      </c>
      <c r="B1102" s="1">
        <v>45910</v>
      </c>
      <c r="C1102" s="5">
        <v>0.75249999999999995</v>
      </c>
      <c r="D1102">
        <v>13.12</v>
      </c>
      <c r="E1102" t="s">
        <v>44</v>
      </c>
      <c r="F1102" t="s">
        <v>3318</v>
      </c>
      <c r="G1102" t="s">
        <v>34</v>
      </c>
      <c r="H1102" t="s">
        <v>66</v>
      </c>
      <c r="I1102" t="s">
        <v>5111</v>
      </c>
      <c r="J1102">
        <v>100</v>
      </c>
      <c r="K1102" t="s">
        <v>37</v>
      </c>
      <c r="L1102" t="s">
        <v>119</v>
      </c>
      <c r="M1102" t="s">
        <v>112</v>
      </c>
      <c r="P1102" t="s">
        <v>28</v>
      </c>
      <c r="Q1102" t="s">
        <v>5112</v>
      </c>
      <c r="R1102" t="s">
        <v>5113</v>
      </c>
      <c r="S1102" t="s">
        <v>31</v>
      </c>
      <c r="T1102">
        <v>0</v>
      </c>
    </row>
    <row r="1103" spans="1:20" x14ac:dyDescent="0.25">
      <c r="A1103" t="s">
        <v>5114</v>
      </c>
      <c r="B1103" s="1">
        <v>45844</v>
      </c>
      <c r="C1103" s="5">
        <v>0.98274305555555552</v>
      </c>
      <c r="D1103">
        <v>198</v>
      </c>
      <c r="E1103" t="s">
        <v>44</v>
      </c>
      <c r="F1103" t="s">
        <v>5115</v>
      </c>
      <c r="G1103" t="s">
        <v>57</v>
      </c>
      <c r="H1103" t="s">
        <v>26</v>
      </c>
      <c r="I1103" t="s">
        <v>5116</v>
      </c>
      <c r="J1103">
        <v>20</v>
      </c>
      <c r="K1103" t="s">
        <v>25</v>
      </c>
      <c r="L1103" t="s">
        <v>146</v>
      </c>
      <c r="M1103" t="s">
        <v>84</v>
      </c>
      <c r="P1103" t="s">
        <v>28</v>
      </c>
      <c r="Q1103" t="s">
        <v>5117</v>
      </c>
      <c r="R1103" t="s">
        <v>5118</v>
      </c>
      <c r="S1103" t="s">
        <v>31</v>
      </c>
      <c r="T1103">
        <v>0</v>
      </c>
    </row>
    <row r="1104" spans="1:20" x14ac:dyDescent="0.25">
      <c r="A1104" t="s">
        <v>5119</v>
      </c>
      <c r="B1104" s="1">
        <v>45789</v>
      </c>
      <c r="C1104" s="5">
        <v>1.3587962962962963E-2</v>
      </c>
      <c r="D1104">
        <v>66.709999999999994</v>
      </c>
      <c r="E1104" t="s">
        <v>44</v>
      </c>
      <c r="F1104" t="s">
        <v>3375</v>
      </c>
      <c r="G1104" t="s">
        <v>71</v>
      </c>
      <c r="H1104" t="s">
        <v>23</v>
      </c>
      <c r="I1104" t="s">
        <v>5120</v>
      </c>
      <c r="J1104">
        <v>33</v>
      </c>
      <c r="K1104" t="s">
        <v>25</v>
      </c>
      <c r="L1104" t="s">
        <v>97</v>
      </c>
      <c r="M1104" t="s">
        <v>105</v>
      </c>
      <c r="P1104" t="s">
        <v>28</v>
      </c>
      <c r="Q1104" t="s">
        <v>5121</v>
      </c>
      <c r="R1104" t="s">
        <v>5122</v>
      </c>
      <c r="S1104" t="s">
        <v>31</v>
      </c>
      <c r="T1104">
        <v>0</v>
      </c>
    </row>
    <row r="1105" spans="1:20" x14ac:dyDescent="0.25">
      <c r="A1105" t="s">
        <v>5123</v>
      </c>
      <c r="B1105" s="1">
        <v>45948</v>
      </c>
      <c r="C1105" s="5">
        <v>0.41913194444444446</v>
      </c>
      <c r="D1105">
        <v>18.239999999999998</v>
      </c>
      <c r="E1105" t="s">
        <v>44</v>
      </c>
      <c r="F1105" t="s">
        <v>5124</v>
      </c>
      <c r="G1105" t="s">
        <v>89</v>
      </c>
      <c r="H1105" t="s">
        <v>47</v>
      </c>
      <c r="I1105" t="s">
        <v>5125</v>
      </c>
      <c r="J1105">
        <v>68</v>
      </c>
      <c r="K1105" t="s">
        <v>49</v>
      </c>
      <c r="L1105" t="s">
        <v>146</v>
      </c>
      <c r="M1105" t="s">
        <v>84</v>
      </c>
      <c r="P1105" t="s">
        <v>28</v>
      </c>
      <c r="Q1105" t="s">
        <v>5126</v>
      </c>
      <c r="R1105" t="s">
        <v>5127</v>
      </c>
      <c r="S1105" t="s">
        <v>31</v>
      </c>
      <c r="T1105">
        <v>0</v>
      </c>
    </row>
    <row r="1106" spans="1:20" x14ac:dyDescent="0.25">
      <c r="A1106" t="s">
        <v>5128</v>
      </c>
      <c r="B1106" s="1">
        <v>45959</v>
      </c>
      <c r="C1106" s="5">
        <v>0.62135416666666665</v>
      </c>
      <c r="D1106">
        <v>88.22</v>
      </c>
      <c r="E1106" t="s">
        <v>44</v>
      </c>
      <c r="F1106" t="s">
        <v>5129</v>
      </c>
      <c r="G1106" t="s">
        <v>46</v>
      </c>
      <c r="H1106" t="s">
        <v>119</v>
      </c>
      <c r="I1106" t="s">
        <v>5130</v>
      </c>
      <c r="K1106" t="s">
        <v>49</v>
      </c>
      <c r="L1106" t="s">
        <v>58</v>
      </c>
      <c r="M1106" t="s">
        <v>112</v>
      </c>
      <c r="P1106" t="s">
        <v>28</v>
      </c>
      <c r="Q1106" t="s">
        <v>5131</v>
      </c>
      <c r="R1106" t="s">
        <v>5132</v>
      </c>
      <c r="S1106" t="s">
        <v>42</v>
      </c>
      <c r="T1106">
        <v>0</v>
      </c>
    </row>
    <row r="1107" spans="1:20" x14ac:dyDescent="0.25">
      <c r="A1107" t="s">
        <v>5133</v>
      </c>
      <c r="B1107" s="1">
        <v>45798</v>
      </c>
      <c r="C1107" s="5">
        <v>0.18221064814814814</v>
      </c>
      <c r="D1107">
        <v>78.06</v>
      </c>
      <c r="E1107" t="s">
        <v>44</v>
      </c>
      <c r="F1107" t="s">
        <v>3065</v>
      </c>
      <c r="G1107" t="s">
        <v>71</v>
      </c>
      <c r="H1107" t="s">
        <v>119</v>
      </c>
      <c r="I1107" t="s">
        <v>5134</v>
      </c>
      <c r="J1107">
        <v>54</v>
      </c>
      <c r="K1107" t="s">
        <v>37</v>
      </c>
      <c r="L1107" t="s">
        <v>146</v>
      </c>
      <c r="M1107" t="s">
        <v>27</v>
      </c>
      <c r="P1107" t="s">
        <v>28</v>
      </c>
      <c r="Q1107" t="s">
        <v>5135</v>
      </c>
      <c r="R1107" t="s">
        <v>5136</v>
      </c>
      <c r="S1107" t="s">
        <v>31</v>
      </c>
      <c r="T1107">
        <v>0</v>
      </c>
    </row>
    <row r="1108" spans="1:20" x14ac:dyDescent="0.25">
      <c r="A1108" t="s">
        <v>5137</v>
      </c>
      <c r="B1108" s="1">
        <v>45870</v>
      </c>
      <c r="C1108" s="5">
        <v>0.23626157407407408</v>
      </c>
      <c r="D1108">
        <v>842.12</v>
      </c>
      <c r="E1108" t="s">
        <v>44</v>
      </c>
      <c r="F1108" t="s">
        <v>5138</v>
      </c>
      <c r="G1108" t="s">
        <v>64</v>
      </c>
      <c r="H1108" t="s">
        <v>35</v>
      </c>
      <c r="I1108" t="s">
        <v>5139</v>
      </c>
      <c r="J1108">
        <v>51</v>
      </c>
      <c r="K1108" t="s">
        <v>25</v>
      </c>
      <c r="L1108" t="s">
        <v>146</v>
      </c>
      <c r="M1108" t="s">
        <v>105</v>
      </c>
      <c r="P1108" t="s">
        <v>28</v>
      </c>
      <c r="Q1108" t="s">
        <v>5140</v>
      </c>
      <c r="R1108" t="s">
        <v>5141</v>
      </c>
      <c r="S1108" t="s">
        <v>31</v>
      </c>
      <c r="T1108">
        <v>0</v>
      </c>
    </row>
    <row r="1109" spans="1:20" x14ac:dyDescent="0.25">
      <c r="A1109" t="s">
        <v>5142</v>
      </c>
      <c r="B1109" s="1">
        <v>45920</v>
      </c>
      <c r="C1109" s="5">
        <v>2.0497685185185185E-2</v>
      </c>
      <c r="D1109">
        <v>113.61</v>
      </c>
      <c r="E1109" t="s">
        <v>44</v>
      </c>
      <c r="F1109" t="s">
        <v>2104</v>
      </c>
      <c r="G1109" t="s">
        <v>71</v>
      </c>
      <c r="H1109" t="s">
        <v>119</v>
      </c>
      <c r="I1109" t="s">
        <v>5143</v>
      </c>
      <c r="J1109">
        <v>65</v>
      </c>
      <c r="K1109" t="s">
        <v>49</v>
      </c>
      <c r="L1109" t="s">
        <v>58</v>
      </c>
      <c r="M1109" t="s">
        <v>84</v>
      </c>
      <c r="P1109" t="s">
        <v>28</v>
      </c>
      <c r="Q1109" t="s">
        <v>5144</v>
      </c>
      <c r="R1109" t="s">
        <v>5145</v>
      </c>
      <c r="S1109" t="s">
        <v>31</v>
      </c>
      <c r="T1109">
        <v>0</v>
      </c>
    </row>
    <row r="1110" spans="1:20" x14ac:dyDescent="0.25">
      <c r="A1110" t="s">
        <v>5146</v>
      </c>
      <c r="B1110" s="1">
        <v>45916</v>
      </c>
      <c r="C1110" s="5">
        <v>0.11606481481481482</v>
      </c>
      <c r="D1110">
        <v>166.8</v>
      </c>
      <c r="E1110" t="s">
        <v>44</v>
      </c>
      <c r="F1110" t="s">
        <v>5147</v>
      </c>
      <c r="G1110" t="s">
        <v>64</v>
      </c>
      <c r="H1110" t="s">
        <v>119</v>
      </c>
      <c r="I1110" t="s">
        <v>5148</v>
      </c>
      <c r="J1110">
        <v>56</v>
      </c>
      <c r="K1110" t="s">
        <v>25</v>
      </c>
      <c r="L1110" t="s">
        <v>58</v>
      </c>
      <c r="M1110" t="s">
        <v>84</v>
      </c>
      <c r="P1110" t="s">
        <v>28</v>
      </c>
      <c r="Q1110" t="s">
        <v>5149</v>
      </c>
      <c r="R1110" t="s">
        <v>5150</v>
      </c>
      <c r="S1110" t="s">
        <v>42</v>
      </c>
      <c r="T1110">
        <v>0</v>
      </c>
    </row>
    <row r="1111" spans="1:20" x14ac:dyDescent="0.25">
      <c r="A1111" t="s">
        <v>5151</v>
      </c>
      <c r="B1111" s="1">
        <v>45924</v>
      </c>
      <c r="C1111" s="5">
        <v>0.78255787037037039</v>
      </c>
      <c r="D1111">
        <v>95.56</v>
      </c>
      <c r="E1111" t="s">
        <v>44</v>
      </c>
      <c r="F1111" t="s">
        <v>5152</v>
      </c>
      <c r="G1111" t="s">
        <v>89</v>
      </c>
      <c r="H1111" t="s">
        <v>130</v>
      </c>
      <c r="I1111" t="s">
        <v>5153</v>
      </c>
      <c r="J1111">
        <v>18</v>
      </c>
      <c r="K1111" t="s">
        <v>37</v>
      </c>
      <c r="L1111" t="s">
        <v>66</v>
      </c>
      <c r="M1111" t="s">
        <v>39</v>
      </c>
      <c r="P1111" t="s">
        <v>28</v>
      </c>
      <c r="Q1111" t="s">
        <v>5154</v>
      </c>
      <c r="R1111" t="s">
        <v>5155</v>
      </c>
      <c r="S1111" t="s">
        <v>31</v>
      </c>
      <c r="T1111">
        <v>0</v>
      </c>
    </row>
    <row r="1112" spans="1:20" x14ac:dyDescent="0.25">
      <c r="A1112" t="s">
        <v>5156</v>
      </c>
      <c r="B1112" s="1">
        <v>45888</v>
      </c>
      <c r="C1112" s="5">
        <v>0.8963888888888889</v>
      </c>
      <c r="D1112">
        <v>8.35</v>
      </c>
      <c r="E1112" t="s">
        <v>44</v>
      </c>
      <c r="F1112" t="s">
        <v>5157</v>
      </c>
      <c r="G1112" t="s">
        <v>89</v>
      </c>
      <c r="H1112" t="s">
        <v>91</v>
      </c>
      <c r="I1112" t="s">
        <v>5158</v>
      </c>
      <c r="J1112">
        <v>38</v>
      </c>
      <c r="K1112" t="s">
        <v>49</v>
      </c>
      <c r="L1112" t="s">
        <v>119</v>
      </c>
      <c r="M1112" t="s">
        <v>105</v>
      </c>
      <c r="P1112" t="s">
        <v>28</v>
      </c>
      <c r="Q1112" t="s">
        <v>5159</v>
      </c>
      <c r="R1112" t="s">
        <v>5160</v>
      </c>
      <c r="S1112" t="s">
        <v>31</v>
      </c>
      <c r="T1112">
        <v>0</v>
      </c>
    </row>
    <row r="1113" spans="1:20" x14ac:dyDescent="0.25">
      <c r="A1113" t="s">
        <v>5161</v>
      </c>
      <c r="B1113" s="1">
        <v>45907</v>
      </c>
      <c r="C1113" s="5">
        <v>0.41782407407407407</v>
      </c>
      <c r="D1113">
        <v>47.25</v>
      </c>
      <c r="E1113" t="s">
        <v>44</v>
      </c>
      <c r="F1113" t="s">
        <v>551</v>
      </c>
      <c r="G1113" t="s">
        <v>34</v>
      </c>
      <c r="H1113" t="s">
        <v>248</v>
      </c>
      <c r="I1113" t="s">
        <v>5162</v>
      </c>
      <c r="J1113">
        <v>74</v>
      </c>
      <c r="K1113" t="s">
        <v>37</v>
      </c>
      <c r="L1113" t="s">
        <v>50</v>
      </c>
      <c r="M1113" t="s">
        <v>84</v>
      </c>
      <c r="P1113" t="s">
        <v>28</v>
      </c>
      <c r="Q1113" t="s">
        <v>5163</v>
      </c>
      <c r="R1113" t="s">
        <v>5164</v>
      </c>
      <c r="S1113" t="s">
        <v>31</v>
      </c>
      <c r="T1113">
        <v>0</v>
      </c>
    </row>
    <row r="1114" spans="1:20" x14ac:dyDescent="0.25">
      <c r="A1114" t="s">
        <v>5165</v>
      </c>
      <c r="B1114" s="1">
        <v>45937</v>
      </c>
      <c r="C1114" s="5">
        <v>0.13824074074074075</v>
      </c>
      <c r="D1114">
        <v>196.57</v>
      </c>
      <c r="E1114" t="s">
        <v>44</v>
      </c>
      <c r="F1114" t="s">
        <v>2418</v>
      </c>
      <c r="G1114" t="s">
        <v>57</v>
      </c>
      <c r="H1114" t="s">
        <v>91</v>
      </c>
      <c r="I1114" t="s">
        <v>5166</v>
      </c>
      <c r="J1114">
        <v>68</v>
      </c>
      <c r="K1114" t="s">
        <v>37</v>
      </c>
      <c r="L1114" t="s">
        <v>130</v>
      </c>
      <c r="M1114" t="s">
        <v>112</v>
      </c>
      <c r="P1114" t="s">
        <v>28</v>
      </c>
      <c r="Q1114" t="s">
        <v>5167</v>
      </c>
      <c r="R1114" t="s">
        <v>5168</v>
      </c>
      <c r="S1114" t="s">
        <v>42</v>
      </c>
      <c r="T1114">
        <v>0</v>
      </c>
    </row>
    <row r="1115" spans="1:20" x14ac:dyDescent="0.25">
      <c r="A1115" t="s">
        <v>5169</v>
      </c>
      <c r="B1115" s="1">
        <v>45799</v>
      </c>
      <c r="C1115" s="5">
        <v>0.39672453703703703</v>
      </c>
      <c r="D1115">
        <v>47.52</v>
      </c>
      <c r="E1115" t="s">
        <v>44</v>
      </c>
      <c r="F1115" t="s">
        <v>2418</v>
      </c>
      <c r="G1115" t="s">
        <v>22</v>
      </c>
      <c r="H1115" t="s">
        <v>35</v>
      </c>
      <c r="I1115" t="s">
        <v>5170</v>
      </c>
      <c r="J1115">
        <v>32</v>
      </c>
      <c r="K1115" t="s">
        <v>25</v>
      </c>
      <c r="L1115" t="s">
        <v>130</v>
      </c>
      <c r="M1115" t="s">
        <v>51</v>
      </c>
      <c r="N1115" t="s">
        <v>345</v>
      </c>
      <c r="O1115">
        <v>410035</v>
      </c>
      <c r="P1115" t="s">
        <v>28</v>
      </c>
      <c r="Q1115" t="s">
        <v>5171</v>
      </c>
      <c r="R1115" t="s">
        <v>5172</v>
      </c>
      <c r="S1115" t="s">
        <v>31</v>
      </c>
      <c r="T1115">
        <v>0</v>
      </c>
    </row>
    <row r="1116" spans="1:20" x14ac:dyDescent="0.25">
      <c r="A1116" t="s">
        <v>5173</v>
      </c>
      <c r="B1116" s="1">
        <v>45892</v>
      </c>
      <c r="C1116" s="5">
        <v>0.1925</v>
      </c>
      <c r="D1116">
        <v>3966.74</v>
      </c>
      <c r="E1116" t="s">
        <v>44</v>
      </c>
      <c r="F1116" t="s">
        <v>1504</v>
      </c>
      <c r="G1116" t="s">
        <v>89</v>
      </c>
      <c r="H1116" t="s">
        <v>66</v>
      </c>
      <c r="I1116" t="s">
        <v>5174</v>
      </c>
      <c r="J1116">
        <v>58</v>
      </c>
      <c r="K1116" t="s">
        <v>25</v>
      </c>
      <c r="L1116" t="s">
        <v>146</v>
      </c>
      <c r="M1116" t="s">
        <v>84</v>
      </c>
      <c r="P1116" t="s">
        <v>28</v>
      </c>
      <c r="Q1116" t="s">
        <v>5175</v>
      </c>
      <c r="R1116" t="s">
        <v>5176</v>
      </c>
      <c r="S1116" t="s">
        <v>31</v>
      </c>
      <c r="T1116">
        <v>0</v>
      </c>
    </row>
    <row r="1117" spans="1:20" x14ac:dyDescent="0.25">
      <c r="A1117" t="s">
        <v>5177</v>
      </c>
      <c r="B1117" s="1">
        <v>45916</v>
      </c>
      <c r="C1117" s="5">
        <v>0.49844907407407407</v>
      </c>
      <c r="D1117">
        <v>42.48</v>
      </c>
      <c r="E1117" t="s">
        <v>44</v>
      </c>
      <c r="F1117" t="s">
        <v>5178</v>
      </c>
      <c r="G1117" t="s">
        <v>57</v>
      </c>
      <c r="H1117" t="s">
        <v>248</v>
      </c>
      <c r="I1117" t="s">
        <v>5179</v>
      </c>
      <c r="J1117">
        <v>74</v>
      </c>
      <c r="K1117" t="s">
        <v>25</v>
      </c>
      <c r="L1117" t="s">
        <v>97</v>
      </c>
      <c r="M1117" t="s">
        <v>39</v>
      </c>
      <c r="P1117" t="s">
        <v>28</v>
      </c>
      <c r="Q1117" t="s">
        <v>5180</v>
      </c>
      <c r="R1117" t="s">
        <v>5181</v>
      </c>
      <c r="S1117" t="s">
        <v>31</v>
      </c>
      <c r="T1117">
        <v>0</v>
      </c>
    </row>
    <row r="1118" spans="1:20" x14ac:dyDescent="0.25">
      <c r="A1118" t="s">
        <v>5182</v>
      </c>
      <c r="B1118" s="1">
        <v>45953</v>
      </c>
      <c r="C1118" s="5">
        <v>0.66896990740740736</v>
      </c>
      <c r="D1118">
        <v>68.11</v>
      </c>
      <c r="E1118" t="s">
        <v>44</v>
      </c>
      <c r="F1118" t="s">
        <v>5183</v>
      </c>
      <c r="G1118" t="s">
        <v>89</v>
      </c>
      <c r="H1118" t="s">
        <v>146</v>
      </c>
      <c r="I1118" t="s">
        <v>5184</v>
      </c>
      <c r="J1118">
        <v>32</v>
      </c>
      <c r="K1118" t="s">
        <v>49</v>
      </c>
      <c r="L1118" t="s">
        <v>146</v>
      </c>
      <c r="M1118" t="s">
        <v>51</v>
      </c>
      <c r="N1118" t="s">
        <v>870</v>
      </c>
      <c r="O1118">
        <v>543209</v>
      </c>
      <c r="P1118" t="s">
        <v>113</v>
      </c>
      <c r="Q1118" t="s">
        <v>5185</v>
      </c>
      <c r="R1118" t="s">
        <v>5186</v>
      </c>
      <c r="S1118" t="s">
        <v>31</v>
      </c>
      <c r="T1118">
        <v>0</v>
      </c>
    </row>
    <row r="1119" spans="1:20" x14ac:dyDescent="0.25">
      <c r="A1119" t="s">
        <v>5187</v>
      </c>
      <c r="B1119" s="1">
        <v>45815</v>
      </c>
      <c r="C1119" s="5">
        <v>0.53293981481481478</v>
      </c>
      <c r="D1119">
        <v>149.25</v>
      </c>
      <c r="E1119" t="s">
        <v>44</v>
      </c>
      <c r="F1119" t="s">
        <v>323</v>
      </c>
      <c r="G1119" t="s">
        <v>64</v>
      </c>
      <c r="H1119" t="s">
        <v>119</v>
      </c>
      <c r="I1119" t="s">
        <v>5188</v>
      </c>
      <c r="J1119">
        <v>68</v>
      </c>
      <c r="K1119" t="s">
        <v>49</v>
      </c>
      <c r="L1119" t="s">
        <v>23</v>
      </c>
      <c r="M1119" t="s">
        <v>39</v>
      </c>
      <c r="P1119" t="s">
        <v>28</v>
      </c>
      <c r="Q1119" t="s">
        <v>5189</v>
      </c>
      <c r="R1119" t="s">
        <v>5190</v>
      </c>
      <c r="S1119" t="s">
        <v>31</v>
      </c>
      <c r="T1119">
        <v>0</v>
      </c>
    </row>
    <row r="1120" spans="1:20" x14ac:dyDescent="0.25">
      <c r="A1120" t="s">
        <v>5191</v>
      </c>
      <c r="B1120" s="1">
        <v>45893</v>
      </c>
      <c r="C1120" s="5">
        <v>0.76724537037037033</v>
      </c>
      <c r="D1120">
        <v>98.17</v>
      </c>
      <c r="E1120" t="s">
        <v>44</v>
      </c>
      <c r="F1120" t="s">
        <v>5192</v>
      </c>
      <c r="G1120" t="s">
        <v>34</v>
      </c>
      <c r="H1120" t="s">
        <v>91</v>
      </c>
      <c r="I1120" t="s">
        <v>5193</v>
      </c>
      <c r="J1120">
        <v>72</v>
      </c>
      <c r="K1120" t="s">
        <v>25</v>
      </c>
      <c r="L1120" t="s">
        <v>91</v>
      </c>
      <c r="M1120" t="s">
        <v>112</v>
      </c>
      <c r="P1120" t="s">
        <v>113</v>
      </c>
      <c r="Q1120" t="s">
        <v>5194</v>
      </c>
      <c r="R1120" t="s">
        <v>5195</v>
      </c>
      <c r="S1120" t="s">
        <v>31</v>
      </c>
      <c r="T1120">
        <v>0</v>
      </c>
    </row>
    <row r="1121" spans="1:20" x14ac:dyDescent="0.25">
      <c r="A1121" t="s">
        <v>5196</v>
      </c>
      <c r="B1121" s="1">
        <v>45933</v>
      </c>
      <c r="C1121" s="5">
        <v>0.93334490740740739</v>
      </c>
      <c r="D1121">
        <v>144.5</v>
      </c>
      <c r="E1121" t="s">
        <v>44</v>
      </c>
      <c r="F1121" t="s">
        <v>4473</v>
      </c>
      <c r="G1121" t="s">
        <v>64</v>
      </c>
      <c r="H1121" t="s">
        <v>91</v>
      </c>
      <c r="I1121" t="s">
        <v>5197</v>
      </c>
      <c r="J1121">
        <v>46</v>
      </c>
      <c r="K1121" t="s">
        <v>25</v>
      </c>
      <c r="L1121" t="s">
        <v>50</v>
      </c>
      <c r="M1121" t="s">
        <v>39</v>
      </c>
      <c r="P1121" t="s">
        <v>28</v>
      </c>
      <c r="Q1121" t="s">
        <v>5198</v>
      </c>
      <c r="R1121" t="s">
        <v>5199</v>
      </c>
      <c r="S1121" t="s">
        <v>31</v>
      </c>
      <c r="T1121">
        <v>0</v>
      </c>
    </row>
    <row r="1122" spans="1:20" x14ac:dyDescent="0.25">
      <c r="A1122" t="s">
        <v>5200</v>
      </c>
      <c r="B1122" s="1">
        <v>45950</v>
      </c>
      <c r="C1122" s="5">
        <v>4.9513888888888892E-2</v>
      </c>
      <c r="D1122">
        <v>173.51</v>
      </c>
      <c r="E1122" t="s">
        <v>44</v>
      </c>
      <c r="F1122" t="s">
        <v>5201</v>
      </c>
      <c r="G1122" t="s">
        <v>124</v>
      </c>
      <c r="H1122" t="s">
        <v>50</v>
      </c>
      <c r="I1122" t="s">
        <v>5202</v>
      </c>
      <c r="J1122">
        <v>46</v>
      </c>
      <c r="K1122" t="s">
        <v>25</v>
      </c>
      <c r="L1122" t="s">
        <v>35</v>
      </c>
      <c r="M1122" t="s">
        <v>27</v>
      </c>
      <c r="P1122" t="s">
        <v>28</v>
      </c>
      <c r="Q1122" t="s">
        <v>5203</v>
      </c>
      <c r="R1122" t="s">
        <v>5204</v>
      </c>
      <c r="S1122" t="s">
        <v>31</v>
      </c>
      <c r="T1122">
        <v>0</v>
      </c>
    </row>
    <row r="1123" spans="1:20" x14ac:dyDescent="0.25">
      <c r="A1123" t="s">
        <v>5205</v>
      </c>
      <c r="B1123" s="1">
        <v>45866</v>
      </c>
      <c r="C1123" s="5">
        <v>0.38827546296296295</v>
      </c>
      <c r="D1123">
        <v>163.41</v>
      </c>
      <c r="E1123" t="s">
        <v>44</v>
      </c>
      <c r="F1123" t="s">
        <v>1911</v>
      </c>
      <c r="G1123" t="s">
        <v>57</v>
      </c>
      <c r="H1123" t="s">
        <v>50</v>
      </c>
      <c r="I1123" t="s">
        <v>5206</v>
      </c>
      <c r="J1123">
        <v>23</v>
      </c>
      <c r="K1123" t="s">
        <v>37</v>
      </c>
      <c r="L1123" t="s">
        <v>38</v>
      </c>
      <c r="M1123" t="s">
        <v>51</v>
      </c>
      <c r="N1123" t="s">
        <v>52</v>
      </c>
      <c r="O1123">
        <v>423723</v>
      </c>
      <c r="P1123" t="s">
        <v>28</v>
      </c>
      <c r="Q1123" t="s">
        <v>5207</v>
      </c>
      <c r="R1123" t="s">
        <v>5208</v>
      </c>
      <c r="S1123" t="s">
        <v>31</v>
      </c>
      <c r="T1123">
        <v>0</v>
      </c>
    </row>
    <row r="1124" spans="1:20" x14ac:dyDescent="0.25">
      <c r="A1124" t="s">
        <v>5209</v>
      </c>
      <c r="B1124" s="1">
        <v>45944</v>
      </c>
      <c r="C1124" s="5">
        <v>0.13245370370370371</v>
      </c>
      <c r="D1124">
        <v>56.12</v>
      </c>
      <c r="E1124" t="s">
        <v>44</v>
      </c>
      <c r="F1124" t="s">
        <v>5210</v>
      </c>
      <c r="G1124" t="s">
        <v>71</v>
      </c>
      <c r="H1124" t="s">
        <v>23</v>
      </c>
      <c r="I1124" t="s">
        <v>5211</v>
      </c>
      <c r="J1124">
        <v>75</v>
      </c>
      <c r="K1124" t="s">
        <v>25</v>
      </c>
      <c r="L1124" t="s">
        <v>23</v>
      </c>
      <c r="M1124" t="s">
        <v>27</v>
      </c>
      <c r="P1124" t="s">
        <v>113</v>
      </c>
      <c r="Q1124" t="s">
        <v>5212</v>
      </c>
      <c r="R1124" t="s">
        <v>5213</v>
      </c>
      <c r="S1124" t="s">
        <v>31</v>
      </c>
      <c r="T1124">
        <v>0</v>
      </c>
    </row>
    <row r="1125" spans="1:20" x14ac:dyDescent="0.25">
      <c r="A1125" t="s">
        <v>5214</v>
      </c>
      <c r="B1125" s="1">
        <v>45832</v>
      </c>
      <c r="C1125" s="5">
        <v>0.51947916666666671</v>
      </c>
      <c r="D1125">
        <v>83.72</v>
      </c>
      <c r="E1125" t="s">
        <v>44</v>
      </c>
      <c r="F1125" t="s">
        <v>1637</v>
      </c>
      <c r="G1125" t="s">
        <v>46</v>
      </c>
      <c r="H1125" t="s">
        <v>146</v>
      </c>
      <c r="I1125" t="s">
        <v>5215</v>
      </c>
      <c r="J1125">
        <v>59</v>
      </c>
      <c r="K1125" t="s">
        <v>49</v>
      </c>
      <c r="L1125" t="s">
        <v>119</v>
      </c>
      <c r="M1125" t="s">
        <v>27</v>
      </c>
      <c r="P1125" t="s">
        <v>28</v>
      </c>
      <c r="Q1125" t="s">
        <v>5216</v>
      </c>
      <c r="R1125" t="s">
        <v>5217</v>
      </c>
      <c r="S1125" t="s">
        <v>31</v>
      </c>
      <c r="T1125">
        <v>0</v>
      </c>
    </row>
    <row r="1126" spans="1:20" x14ac:dyDescent="0.25">
      <c r="A1126" t="s">
        <v>5218</v>
      </c>
      <c r="B1126" s="1">
        <v>45859</v>
      </c>
      <c r="C1126" s="5">
        <v>0.40755787037037039</v>
      </c>
      <c r="D1126">
        <v>40.090000000000003</v>
      </c>
      <c r="E1126" t="s">
        <v>44</v>
      </c>
      <c r="F1126" t="s">
        <v>556</v>
      </c>
      <c r="G1126" t="s">
        <v>89</v>
      </c>
      <c r="H1126" t="s">
        <v>66</v>
      </c>
      <c r="I1126" t="s">
        <v>5219</v>
      </c>
      <c r="J1126">
        <v>55</v>
      </c>
      <c r="K1126" t="s">
        <v>25</v>
      </c>
      <c r="L1126" t="s">
        <v>146</v>
      </c>
      <c r="M1126" t="s">
        <v>27</v>
      </c>
      <c r="P1126" t="s">
        <v>28</v>
      </c>
      <c r="Q1126" t="s">
        <v>5220</v>
      </c>
      <c r="R1126" t="s">
        <v>5221</v>
      </c>
      <c r="S1126" t="s">
        <v>31</v>
      </c>
      <c r="T1126">
        <v>0</v>
      </c>
    </row>
    <row r="1127" spans="1:20" x14ac:dyDescent="0.25">
      <c r="A1127" t="s">
        <v>5222</v>
      </c>
      <c r="B1127" s="1">
        <v>45797</v>
      </c>
      <c r="C1127" s="5">
        <v>0.15393518518518517</v>
      </c>
      <c r="D1127">
        <v>199.85</v>
      </c>
      <c r="E1127" t="s">
        <v>44</v>
      </c>
      <c r="F1127" t="s">
        <v>5223</v>
      </c>
      <c r="G1127" t="s">
        <v>57</v>
      </c>
      <c r="H1127" t="s">
        <v>97</v>
      </c>
      <c r="I1127" t="s">
        <v>5224</v>
      </c>
      <c r="J1127">
        <v>57</v>
      </c>
      <c r="K1127" t="s">
        <v>25</v>
      </c>
      <c r="L1127" t="s">
        <v>130</v>
      </c>
      <c r="M1127" t="s">
        <v>105</v>
      </c>
      <c r="P1127" t="s">
        <v>28</v>
      </c>
      <c r="Q1127" t="s">
        <v>5225</v>
      </c>
      <c r="R1127" t="s">
        <v>5226</v>
      </c>
      <c r="S1127" t="s">
        <v>31</v>
      </c>
      <c r="T1127">
        <v>0</v>
      </c>
    </row>
    <row r="1128" spans="1:20" x14ac:dyDescent="0.25">
      <c r="A1128" t="s">
        <v>5227</v>
      </c>
      <c r="B1128" s="1">
        <v>45819</v>
      </c>
      <c r="C1128" s="5">
        <v>0.51983796296296292</v>
      </c>
      <c r="D1128">
        <v>183.11</v>
      </c>
      <c r="E1128" t="s">
        <v>44</v>
      </c>
      <c r="F1128" t="s">
        <v>5036</v>
      </c>
      <c r="G1128" t="s">
        <v>71</v>
      </c>
      <c r="H1128" t="s">
        <v>130</v>
      </c>
      <c r="I1128" t="s">
        <v>5228</v>
      </c>
      <c r="J1128">
        <v>64</v>
      </c>
      <c r="K1128" t="s">
        <v>49</v>
      </c>
      <c r="L1128" t="s">
        <v>35</v>
      </c>
      <c r="M1128" t="s">
        <v>39</v>
      </c>
      <c r="P1128" t="s">
        <v>28</v>
      </c>
      <c r="Q1128" t="s">
        <v>5229</v>
      </c>
      <c r="R1128" t="s">
        <v>5230</v>
      </c>
      <c r="S1128" t="s">
        <v>31</v>
      </c>
      <c r="T1128">
        <v>0</v>
      </c>
    </row>
    <row r="1129" spans="1:20" x14ac:dyDescent="0.25">
      <c r="A1129" t="s">
        <v>5231</v>
      </c>
      <c r="B1129" s="1">
        <v>45843</v>
      </c>
      <c r="C1129" s="5">
        <v>0.49881944444444443</v>
      </c>
      <c r="D1129">
        <v>3483.58</v>
      </c>
      <c r="E1129" t="s">
        <v>44</v>
      </c>
      <c r="F1129" t="s">
        <v>5232</v>
      </c>
      <c r="G1129" t="s">
        <v>124</v>
      </c>
      <c r="H1129" t="s">
        <v>66</v>
      </c>
      <c r="I1129" t="s">
        <v>5233</v>
      </c>
      <c r="J1129">
        <v>42</v>
      </c>
      <c r="K1129" t="s">
        <v>49</v>
      </c>
      <c r="L1129" t="s">
        <v>97</v>
      </c>
      <c r="M1129" t="s">
        <v>51</v>
      </c>
      <c r="N1129" t="s">
        <v>52</v>
      </c>
      <c r="O1129">
        <v>509758</v>
      </c>
      <c r="P1129" t="s">
        <v>28</v>
      </c>
      <c r="Q1129" t="s">
        <v>5234</v>
      </c>
      <c r="R1129" t="s">
        <v>5235</v>
      </c>
      <c r="S1129" t="s">
        <v>31</v>
      </c>
      <c r="T1129">
        <v>0</v>
      </c>
    </row>
    <row r="1130" spans="1:20" x14ac:dyDescent="0.25">
      <c r="A1130" t="s">
        <v>5236</v>
      </c>
      <c r="B1130" s="1">
        <v>45798</v>
      </c>
      <c r="C1130" s="5">
        <v>0.33836805555555555</v>
      </c>
      <c r="D1130">
        <v>124.53</v>
      </c>
      <c r="E1130" t="s">
        <v>44</v>
      </c>
      <c r="F1130" t="s">
        <v>5237</v>
      </c>
      <c r="G1130" t="s">
        <v>71</v>
      </c>
      <c r="H1130" t="s">
        <v>248</v>
      </c>
      <c r="I1130" t="s">
        <v>5238</v>
      </c>
      <c r="J1130">
        <v>71</v>
      </c>
      <c r="K1130" t="s">
        <v>37</v>
      </c>
      <c r="L1130" t="s">
        <v>47</v>
      </c>
      <c r="M1130" t="s">
        <v>105</v>
      </c>
      <c r="P1130" t="s">
        <v>28</v>
      </c>
      <c r="Q1130" t="s">
        <v>5239</v>
      </c>
      <c r="R1130" t="s">
        <v>5240</v>
      </c>
      <c r="S1130" t="s">
        <v>31</v>
      </c>
      <c r="T1130">
        <v>0</v>
      </c>
    </row>
    <row r="1131" spans="1:20" x14ac:dyDescent="0.25">
      <c r="A1131" t="s">
        <v>5241</v>
      </c>
      <c r="B1131" s="1">
        <v>45912</v>
      </c>
      <c r="C1131" s="5">
        <v>0.2434837962962963</v>
      </c>
      <c r="D1131">
        <v>88.67</v>
      </c>
      <c r="E1131" t="s">
        <v>44</v>
      </c>
      <c r="F1131" t="s">
        <v>1911</v>
      </c>
      <c r="G1131" t="s">
        <v>71</v>
      </c>
      <c r="H1131" t="s">
        <v>23</v>
      </c>
      <c r="I1131" t="s">
        <v>5242</v>
      </c>
      <c r="J1131">
        <v>36</v>
      </c>
      <c r="K1131" t="s">
        <v>49</v>
      </c>
      <c r="L1131" t="s">
        <v>119</v>
      </c>
      <c r="M1131" t="s">
        <v>84</v>
      </c>
      <c r="P1131" t="s">
        <v>28</v>
      </c>
      <c r="Q1131" t="s">
        <v>5243</v>
      </c>
      <c r="R1131" t="s">
        <v>5244</v>
      </c>
      <c r="S1131" t="s">
        <v>31</v>
      </c>
      <c r="T1131">
        <v>0</v>
      </c>
    </row>
    <row r="1132" spans="1:20" x14ac:dyDescent="0.25">
      <c r="A1132" t="s">
        <v>5245</v>
      </c>
      <c r="B1132" s="1">
        <v>45798</v>
      </c>
      <c r="C1132" s="5">
        <v>0.99319444444444449</v>
      </c>
      <c r="D1132">
        <v>166.46</v>
      </c>
      <c r="E1132" t="s">
        <v>44</v>
      </c>
      <c r="F1132" t="s">
        <v>5246</v>
      </c>
      <c r="G1132" t="s">
        <v>124</v>
      </c>
      <c r="H1132" t="s">
        <v>26</v>
      </c>
      <c r="I1132" t="s">
        <v>5247</v>
      </c>
      <c r="J1132">
        <v>60</v>
      </c>
      <c r="K1132" t="s">
        <v>25</v>
      </c>
      <c r="L1132" t="s">
        <v>110</v>
      </c>
      <c r="M1132" t="s">
        <v>105</v>
      </c>
      <c r="P1132" t="s">
        <v>28</v>
      </c>
      <c r="Q1132" t="s">
        <v>5248</v>
      </c>
      <c r="R1132" t="s">
        <v>5249</v>
      </c>
      <c r="S1132" t="s">
        <v>101</v>
      </c>
      <c r="T1132">
        <v>0</v>
      </c>
    </row>
    <row r="1133" spans="1:20" x14ac:dyDescent="0.25">
      <c r="A1133" t="s">
        <v>5250</v>
      </c>
      <c r="B1133" s="1">
        <v>45862</v>
      </c>
      <c r="C1133" s="5">
        <v>0.86486111111111108</v>
      </c>
      <c r="D1133">
        <v>101.97</v>
      </c>
      <c r="E1133" t="s">
        <v>44</v>
      </c>
      <c r="F1133" t="s">
        <v>5036</v>
      </c>
      <c r="G1133" t="s">
        <v>71</v>
      </c>
      <c r="H1133" t="s">
        <v>26</v>
      </c>
      <c r="I1133" t="s">
        <v>5251</v>
      </c>
      <c r="J1133">
        <v>48</v>
      </c>
      <c r="K1133" t="s">
        <v>37</v>
      </c>
      <c r="L1133" t="s">
        <v>248</v>
      </c>
      <c r="M1133" t="s">
        <v>84</v>
      </c>
      <c r="P1133" t="s">
        <v>28</v>
      </c>
      <c r="Q1133" t="s">
        <v>5252</v>
      </c>
      <c r="R1133" t="s">
        <v>5253</v>
      </c>
      <c r="S1133" t="s">
        <v>31</v>
      </c>
      <c r="T1133">
        <v>0</v>
      </c>
    </row>
    <row r="1134" spans="1:20" x14ac:dyDescent="0.25">
      <c r="A1134" t="s">
        <v>5254</v>
      </c>
      <c r="B1134" s="1">
        <v>45889</v>
      </c>
      <c r="C1134" s="5">
        <v>0.99592592592592588</v>
      </c>
      <c r="D1134">
        <v>146.13999999999999</v>
      </c>
      <c r="E1134" t="s">
        <v>44</v>
      </c>
      <c r="F1134" t="s">
        <v>5255</v>
      </c>
      <c r="G1134" t="s">
        <v>124</v>
      </c>
      <c r="H1134" t="s">
        <v>66</v>
      </c>
      <c r="I1134" t="s">
        <v>5256</v>
      </c>
      <c r="J1134">
        <v>27</v>
      </c>
      <c r="K1134" t="s">
        <v>49</v>
      </c>
      <c r="L1134" t="s">
        <v>26</v>
      </c>
      <c r="M1134" t="s">
        <v>84</v>
      </c>
      <c r="P1134" t="s">
        <v>28</v>
      </c>
      <c r="Q1134" t="s">
        <v>5257</v>
      </c>
      <c r="R1134" t="s">
        <v>5258</v>
      </c>
      <c r="S1134" t="s">
        <v>31</v>
      </c>
      <c r="T1134">
        <v>0</v>
      </c>
    </row>
    <row r="1135" spans="1:20" x14ac:dyDescent="0.25">
      <c r="A1135" t="s">
        <v>5259</v>
      </c>
      <c r="B1135" s="1">
        <v>45785</v>
      </c>
      <c r="C1135" s="5">
        <v>0.79204861111111113</v>
      </c>
      <c r="D1135">
        <v>189.61</v>
      </c>
      <c r="E1135" t="s">
        <v>44</v>
      </c>
      <c r="F1135" t="s">
        <v>5260</v>
      </c>
      <c r="G1135" t="s">
        <v>96</v>
      </c>
      <c r="H1135" t="s">
        <v>91</v>
      </c>
      <c r="I1135" t="s">
        <v>5261</v>
      </c>
      <c r="J1135">
        <v>62</v>
      </c>
      <c r="K1135" t="s">
        <v>49</v>
      </c>
      <c r="L1135" t="s">
        <v>91</v>
      </c>
      <c r="M1135" t="s">
        <v>105</v>
      </c>
      <c r="P1135" t="s">
        <v>113</v>
      </c>
      <c r="Q1135" t="s">
        <v>5262</v>
      </c>
      <c r="R1135" t="s">
        <v>5263</v>
      </c>
      <c r="S1135" t="s">
        <v>31</v>
      </c>
      <c r="T1135">
        <v>0</v>
      </c>
    </row>
    <row r="1136" spans="1:20" x14ac:dyDescent="0.25">
      <c r="A1136" t="s">
        <v>5264</v>
      </c>
      <c r="B1136" s="1">
        <v>45912</v>
      </c>
      <c r="C1136" s="5">
        <v>0.62729166666666669</v>
      </c>
      <c r="D1136">
        <v>80.64</v>
      </c>
      <c r="E1136" t="s">
        <v>44</v>
      </c>
      <c r="F1136" t="s">
        <v>1205</v>
      </c>
      <c r="G1136" t="s">
        <v>46</v>
      </c>
      <c r="H1136" t="s">
        <v>66</v>
      </c>
      <c r="I1136" t="s">
        <v>5265</v>
      </c>
      <c r="J1136">
        <v>59</v>
      </c>
      <c r="K1136" t="s">
        <v>49</v>
      </c>
      <c r="L1136" t="s">
        <v>38</v>
      </c>
      <c r="M1136" t="s">
        <v>105</v>
      </c>
      <c r="P1136" t="s">
        <v>28</v>
      </c>
      <c r="Q1136" t="s">
        <v>5266</v>
      </c>
      <c r="R1136" t="s">
        <v>5267</v>
      </c>
      <c r="S1136" t="s">
        <v>31</v>
      </c>
      <c r="T1136">
        <v>0</v>
      </c>
    </row>
    <row r="1137" spans="1:20" x14ac:dyDescent="0.25">
      <c r="A1137" t="s">
        <v>5268</v>
      </c>
      <c r="B1137" s="1">
        <v>45835</v>
      </c>
      <c r="C1137" s="5">
        <v>0.24400462962962963</v>
      </c>
      <c r="D1137">
        <v>166.85</v>
      </c>
      <c r="E1137" t="s">
        <v>44</v>
      </c>
      <c r="F1137" t="s">
        <v>5269</v>
      </c>
      <c r="G1137" t="s">
        <v>96</v>
      </c>
      <c r="H1137" t="s">
        <v>97</v>
      </c>
      <c r="I1137" t="s">
        <v>5270</v>
      </c>
      <c r="J1137">
        <v>32</v>
      </c>
      <c r="K1137" t="s">
        <v>49</v>
      </c>
      <c r="L1137" t="s">
        <v>130</v>
      </c>
      <c r="M1137" t="s">
        <v>27</v>
      </c>
      <c r="P1137" t="s">
        <v>28</v>
      </c>
      <c r="Q1137" t="s">
        <v>5271</v>
      </c>
      <c r="R1137" t="s">
        <v>5272</v>
      </c>
      <c r="S1137" t="s">
        <v>31</v>
      </c>
      <c r="T1137">
        <v>0</v>
      </c>
    </row>
    <row r="1138" spans="1:20" x14ac:dyDescent="0.25">
      <c r="A1138" t="s">
        <v>5273</v>
      </c>
      <c r="B1138" s="1">
        <v>45887</v>
      </c>
      <c r="C1138" s="5">
        <v>0.64856481481481476</v>
      </c>
      <c r="D1138">
        <v>55.22</v>
      </c>
      <c r="E1138" t="s">
        <v>44</v>
      </c>
      <c r="F1138" t="s">
        <v>4959</v>
      </c>
      <c r="G1138" t="s">
        <v>22</v>
      </c>
      <c r="H1138" t="s">
        <v>47</v>
      </c>
      <c r="I1138" t="s">
        <v>5274</v>
      </c>
      <c r="J1138">
        <v>66</v>
      </c>
      <c r="K1138" t="s">
        <v>37</v>
      </c>
      <c r="L1138" t="s">
        <v>119</v>
      </c>
      <c r="M1138" t="s">
        <v>27</v>
      </c>
      <c r="P1138" t="s">
        <v>28</v>
      </c>
      <c r="Q1138" t="s">
        <v>5275</v>
      </c>
      <c r="R1138" t="s">
        <v>5276</v>
      </c>
      <c r="S1138" t="s">
        <v>31</v>
      </c>
      <c r="T1138">
        <v>0</v>
      </c>
    </row>
    <row r="1139" spans="1:20" x14ac:dyDescent="0.25">
      <c r="A1139" t="s">
        <v>5277</v>
      </c>
      <c r="B1139" s="1">
        <v>45910</v>
      </c>
      <c r="C1139" s="5">
        <v>0.4319560185185185</v>
      </c>
      <c r="D1139">
        <v>24.36</v>
      </c>
      <c r="E1139" t="s">
        <v>44</v>
      </c>
      <c r="F1139" t="s">
        <v>768</v>
      </c>
      <c r="G1139" t="s">
        <v>124</v>
      </c>
      <c r="H1139" t="s">
        <v>50</v>
      </c>
      <c r="I1139" t="s">
        <v>5278</v>
      </c>
      <c r="J1139">
        <v>64</v>
      </c>
      <c r="K1139" t="s">
        <v>37</v>
      </c>
      <c r="L1139" t="s">
        <v>110</v>
      </c>
      <c r="M1139" t="s">
        <v>27</v>
      </c>
      <c r="P1139" t="s">
        <v>28</v>
      </c>
      <c r="Q1139" t="s">
        <v>5279</v>
      </c>
      <c r="R1139" t="s">
        <v>5280</v>
      </c>
      <c r="S1139" t="s">
        <v>31</v>
      </c>
      <c r="T1139">
        <v>0</v>
      </c>
    </row>
    <row r="1140" spans="1:20" x14ac:dyDescent="0.25">
      <c r="A1140" t="s">
        <v>5281</v>
      </c>
      <c r="B1140" s="1">
        <v>45854</v>
      </c>
      <c r="C1140" s="5">
        <v>0.63247685185185187</v>
      </c>
      <c r="D1140">
        <v>3.55</v>
      </c>
      <c r="E1140" t="s">
        <v>44</v>
      </c>
      <c r="F1140" t="s">
        <v>5282</v>
      </c>
      <c r="G1140" t="s">
        <v>71</v>
      </c>
      <c r="H1140" t="s">
        <v>248</v>
      </c>
      <c r="I1140" t="s">
        <v>5283</v>
      </c>
      <c r="J1140">
        <v>39</v>
      </c>
      <c r="K1140" t="s">
        <v>25</v>
      </c>
      <c r="L1140" t="s">
        <v>119</v>
      </c>
      <c r="M1140" t="s">
        <v>105</v>
      </c>
      <c r="P1140" t="s">
        <v>28</v>
      </c>
      <c r="Q1140" t="s">
        <v>5284</v>
      </c>
      <c r="R1140" t="s">
        <v>5285</v>
      </c>
      <c r="S1140" t="s">
        <v>42</v>
      </c>
      <c r="T1140">
        <v>0</v>
      </c>
    </row>
    <row r="1141" spans="1:20" x14ac:dyDescent="0.25">
      <c r="A1141" t="s">
        <v>5286</v>
      </c>
      <c r="B1141" s="1">
        <v>45795</v>
      </c>
      <c r="C1141" s="5">
        <v>0.16765046296296296</v>
      </c>
      <c r="D1141">
        <v>171.17</v>
      </c>
      <c r="E1141" t="s">
        <v>44</v>
      </c>
      <c r="F1141" t="s">
        <v>3717</v>
      </c>
      <c r="G1141" t="s">
        <v>89</v>
      </c>
      <c r="H1141" t="s">
        <v>130</v>
      </c>
      <c r="I1141" t="s">
        <v>5287</v>
      </c>
      <c r="J1141">
        <v>63</v>
      </c>
      <c r="K1141" t="s">
        <v>25</v>
      </c>
      <c r="L1141" t="s">
        <v>248</v>
      </c>
      <c r="M1141" t="s">
        <v>84</v>
      </c>
      <c r="P1141" t="s">
        <v>28</v>
      </c>
      <c r="Q1141" t="s">
        <v>5288</v>
      </c>
      <c r="R1141" t="s">
        <v>5289</v>
      </c>
      <c r="S1141" t="s">
        <v>101</v>
      </c>
      <c r="T1141">
        <v>0</v>
      </c>
    </row>
    <row r="1142" spans="1:20" x14ac:dyDescent="0.25">
      <c r="A1142" t="s">
        <v>5290</v>
      </c>
      <c r="B1142" s="1">
        <v>45810</v>
      </c>
      <c r="C1142" s="5">
        <v>0.58791666666666664</v>
      </c>
      <c r="D1142">
        <v>158.07</v>
      </c>
      <c r="E1142" t="s">
        <v>44</v>
      </c>
      <c r="F1142" t="s">
        <v>819</v>
      </c>
      <c r="G1142" t="s">
        <v>89</v>
      </c>
      <c r="H1142" t="s">
        <v>91</v>
      </c>
      <c r="I1142" t="s">
        <v>5291</v>
      </c>
      <c r="J1142">
        <v>68</v>
      </c>
      <c r="K1142" t="s">
        <v>37</v>
      </c>
      <c r="L1142" t="s">
        <v>91</v>
      </c>
      <c r="M1142" t="s">
        <v>84</v>
      </c>
      <c r="P1142" t="s">
        <v>113</v>
      </c>
      <c r="Q1142" t="s">
        <v>5292</v>
      </c>
      <c r="R1142" t="s">
        <v>5293</v>
      </c>
      <c r="S1142" t="s">
        <v>31</v>
      </c>
      <c r="T1142">
        <v>0</v>
      </c>
    </row>
    <row r="1143" spans="1:20" x14ac:dyDescent="0.25">
      <c r="A1143" t="s">
        <v>5294</v>
      </c>
      <c r="B1143" s="1">
        <v>45854</v>
      </c>
      <c r="C1143" s="5">
        <v>0.3039236111111111</v>
      </c>
      <c r="D1143">
        <v>101.59</v>
      </c>
      <c r="E1143" t="s">
        <v>44</v>
      </c>
      <c r="F1143" t="s">
        <v>5295</v>
      </c>
      <c r="G1143" t="s">
        <v>96</v>
      </c>
      <c r="H1143" t="s">
        <v>110</v>
      </c>
      <c r="I1143" t="s">
        <v>5296</v>
      </c>
      <c r="J1143">
        <v>67</v>
      </c>
      <c r="K1143" t="s">
        <v>49</v>
      </c>
      <c r="L1143" t="s">
        <v>110</v>
      </c>
      <c r="M1143" t="s">
        <v>51</v>
      </c>
      <c r="N1143" t="s">
        <v>345</v>
      </c>
      <c r="O1143">
        <v>455060</v>
      </c>
      <c r="P1143" t="s">
        <v>113</v>
      </c>
      <c r="Q1143" t="s">
        <v>5297</v>
      </c>
      <c r="R1143" t="s">
        <v>5298</v>
      </c>
      <c r="S1143" t="s">
        <v>31</v>
      </c>
      <c r="T1143">
        <v>0</v>
      </c>
    </row>
    <row r="1144" spans="1:20" x14ac:dyDescent="0.25">
      <c r="A1144" t="s">
        <v>5299</v>
      </c>
      <c r="B1144" s="1">
        <v>45862</v>
      </c>
      <c r="C1144" s="5">
        <v>0.92197916666666668</v>
      </c>
      <c r="D1144">
        <v>93.73</v>
      </c>
      <c r="E1144" t="s">
        <v>44</v>
      </c>
      <c r="F1144" t="s">
        <v>5300</v>
      </c>
      <c r="G1144" t="s">
        <v>34</v>
      </c>
      <c r="H1144" t="s">
        <v>26</v>
      </c>
      <c r="I1144" t="s">
        <v>5301</v>
      </c>
      <c r="K1144" t="s">
        <v>37</v>
      </c>
      <c r="L1144" t="s">
        <v>66</v>
      </c>
      <c r="M1144" t="s">
        <v>39</v>
      </c>
      <c r="P1144" t="s">
        <v>28</v>
      </c>
      <c r="Q1144" t="s">
        <v>5302</v>
      </c>
      <c r="R1144" t="s">
        <v>5303</v>
      </c>
      <c r="S1144" t="s">
        <v>31</v>
      </c>
      <c r="T1144">
        <v>0</v>
      </c>
    </row>
    <row r="1145" spans="1:20" x14ac:dyDescent="0.25">
      <c r="A1145" t="s">
        <v>5304</v>
      </c>
      <c r="B1145" s="1">
        <v>45867</v>
      </c>
      <c r="C1145" s="5">
        <v>0.77849537037037042</v>
      </c>
      <c r="D1145">
        <v>114.56</v>
      </c>
      <c r="E1145" t="s">
        <v>44</v>
      </c>
      <c r="F1145" t="s">
        <v>978</v>
      </c>
      <c r="G1145" t="s">
        <v>46</v>
      </c>
      <c r="H1145" t="s">
        <v>146</v>
      </c>
      <c r="I1145" t="s">
        <v>5305</v>
      </c>
      <c r="J1145">
        <v>37</v>
      </c>
      <c r="K1145" t="s">
        <v>25</v>
      </c>
      <c r="L1145" t="s">
        <v>26</v>
      </c>
      <c r="M1145" t="s">
        <v>112</v>
      </c>
      <c r="P1145" t="s">
        <v>28</v>
      </c>
      <c r="Q1145" t="s">
        <v>5306</v>
      </c>
      <c r="R1145" t="s">
        <v>5307</v>
      </c>
      <c r="S1145" t="s">
        <v>31</v>
      </c>
      <c r="T1145">
        <v>0</v>
      </c>
    </row>
    <row r="1146" spans="1:20" x14ac:dyDescent="0.25">
      <c r="A1146" t="s">
        <v>5308</v>
      </c>
      <c r="B1146" s="1">
        <v>45855</v>
      </c>
      <c r="C1146" s="5">
        <v>9.0578703703703703E-2</v>
      </c>
      <c r="D1146">
        <v>58.94</v>
      </c>
      <c r="E1146" t="s">
        <v>44</v>
      </c>
      <c r="F1146" t="s">
        <v>33</v>
      </c>
      <c r="G1146" t="s">
        <v>57</v>
      </c>
      <c r="H1146" t="s">
        <v>50</v>
      </c>
      <c r="I1146" t="s">
        <v>5309</v>
      </c>
      <c r="J1146">
        <v>25</v>
      </c>
      <c r="K1146" t="s">
        <v>37</v>
      </c>
      <c r="L1146" t="s">
        <v>58</v>
      </c>
      <c r="M1146" t="s">
        <v>39</v>
      </c>
      <c r="P1146" t="s">
        <v>28</v>
      </c>
      <c r="Q1146" t="s">
        <v>5310</v>
      </c>
      <c r="R1146" t="s">
        <v>5311</v>
      </c>
      <c r="S1146" t="s">
        <v>31</v>
      </c>
      <c r="T1146">
        <v>0</v>
      </c>
    </row>
    <row r="1147" spans="1:20" x14ac:dyDescent="0.25">
      <c r="A1147" t="s">
        <v>5312</v>
      </c>
      <c r="B1147" s="1">
        <v>45841</v>
      </c>
      <c r="C1147" s="5">
        <v>0.57695601851851852</v>
      </c>
      <c r="D1147">
        <v>916.16</v>
      </c>
      <c r="E1147" t="s">
        <v>44</v>
      </c>
      <c r="F1147" t="s">
        <v>1101</v>
      </c>
      <c r="G1147" t="s">
        <v>89</v>
      </c>
      <c r="H1147" t="s">
        <v>50</v>
      </c>
      <c r="I1147" t="s">
        <v>5313</v>
      </c>
      <c r="J1147">
        <v>43</v>
      </c>
      <c r="K1147" t="s">
        <v>25</v>
      </c>
      <c r="L1147" t="s">
        <v>38</v>
      </c>
      <c r="M1147" t="s">
        <v>39</v>
      </c>
      <c r="P1147" t="s">
        <v>28</v>
      </c>
      <c r="Q1147" t="s">
        <v>5314</v>
      </c>
      <c r="R1147" t="s">
        <v>5315</v>
      </c>
      <c r="S1147" t="s">
        <v>31</v>
      </c>
      <c r="T1147">
        <v>0</v>
      </c>
    </row>
    <row r="1148" spans="1:20" x14ac:dyDescent="0.25">
      <c r="A1148" t="s">
        <v>5316</v>
      </c>
      <c r="B1148" s="1">
        <v>45832</v>
      </c>
      <c r="C1148" s="5">
        <v>0.3213773148148148</v>
      </c>
      <c r="D1148">
        <v>33.06</v>
      </c>
      <c r="E1148" t="s">
        <v>44</v>
      </c>
      <c r="F1148" t="s">
        <v>5317</v>
      </c>
      <c r="G1148" t="s">
        <v>34</v>
      </c>
      <c r="H1148" t="s">
        <v>130</v>
      </c>
      <c r="I1148" t="s">
        <v>5318</v>
      </c>
      <c r="J1148">
        <v>53</v>
      </c>
      <c r="K1148" t="s">
        <v>37</v>
      </c>
      <c r="L1148" t="s">
        <v>146</v>
      </c>
      <c r="M1148" t="s">
        <v>112</v>
      </c>
      <c r="P1148" t="s">
        <v>28</v>
      </c>
      <c r="Q1148" t="s">
        <v>5319</v>
      </c>
      <c r="R1148" t="s">
        <v>5320</v>
      </c>
      <c r="S1148" t="s">
        <v>31</v>
      </c>
      <c r="T1148">
        <v>0</v>
      </c>
    </row>
    <row r="1149" spans="1:20" x14ac:dyDescent="0.25">
      <c r="A1149" t="s">
        <v>5321</v>
      </c>
      <c r="B1149" s="1">
        <v>45910</v>
      </c>
      <c r="C1149" s="5">
        <v>0.71900462962962963</v>
      </c>
      <c r="D1149">
        <v>122.36</v>
      </c>
      <c r="E1149" t="s">
        <v>44</v>
      </c>
      <c r="F1149" t="s">
        <v>5322</v>
      </c>
      <c r="G1149" t="s">
        <v>124</v>
      </c>
      <c r="H1149" t="s">
        <v>58</v>
      </c>
      <c r="I1149" t="s">
        <v>5323</v>
      </c>
      <c r="J1149">
        <v>66</v>
      </c>
      <c r="K1149" t="s">
        <v>37</v>
      </c>
      <c r="L1149" t="s">
        <v>26</v>
      </c>
      <c r="M1149" t="s">
        <v>51</v>
      </c>
      <c r="N1149" t="s">
        <v>870</v>
      </c>
      <c r="O1149">
        <v>557824</v>
      </c>
      <c r="P1149" t="s">
        <v>28</v>
      </c>
      <c r="Q1149" t="s">
        <v>5324</v>
      </c>
      <c r="R1149" t="s">
        <v>5325</v>
      </c>
      <c r="S1149" t="s">
        <v>31</v>
      </c>
      <c r="T1149">
        <v>0</v>
      </c>
    </row>
    <row r="1150" spans="1:20" x14ac:dyDescent="0.25">
      <c r="A1150" t="s">
        <v>5326</v>
      </c>
      <c r="B1150" s="1">
        <v>45803</v>
      </c>
      <c r="C1150" s="5">
        <v>3.9097222222222221E-2</v>
      </c>
      <c r="D1150">
        <v>310.24</v>
      </c>
      <c r="E1150" t="s">
        <v>44</v>
      </c>
      <c r="F1150" t="s">
        <v>4284</v>
      </c>
      <c r="G1150" t="s">
        <v>64</v>
      </c>
      <c r="H1150" t="s">
        <v>119</v>
      </c>
      <c r="I1150" t="s">
        <v>5327</v>
      </c>
      <c r="J1150">
        <v>22</v>
      </c>
      <c r="K1150" t="s">
        <v>49</v>
      </c>
      <c r="L1150" t="s">
        <v>35</v>
      </c>
      <c r="M1150" t="s">
        <v>105</v>
      </c>
      <c r="P1150" t="s">
        <v>28</v>
      </c>
      <c r="Q1150" t="s">
        <v>5328</v>
      </c>
      <c r="R1150" t="s">
        <v>5329</v>
      </c>
      <c r="S1150" t="s">
        <v>31</v>
      </c>
      <c r="T1150">
        <v>0</v>
      </c>
    </row>
    <row r="1151" spans="1:20" x14ac:dyDescent="0.25">
      <c r="A1151" t="s">
        <v>5330</v>
      </c>
      <c r="B1151" s="1">
        <v>45882</v>
      </c>
      <c r="C1151" s="5">
        <v>0.17997685185185186</v>
      </c>
      <c r="D1151">
        <v>153.21</v>
      </c>
      <c r="E1151" t="s">
        <v>44</v>
      </c>
      <c r="F1151" t="s">
        <v>3079</v>
      </c>
      <c r="G1151" t="s">
        <v>96</v>
      </c>
      <c r="H1151" t="s">
        <v>26</v>
      </c>
      <c r="I1151" t="s">
        <v>5331</v>
      </c>
      <c r="J1151">
        <v>59</v>
      </c>
      <c r="K1151" t="s">
        <v>37</v>
      </c>
      <c r="L1151" t="s">
        <v>35</v>
      </c>
      <c r="M1151" t="s">
        <v>84</v>
      </c>
      <c r="P1151" t="s">
        <v>28</v>
      </c>
      <c r="Q1151" t="s">
        <v>5332</v>
      </c>
      <c r="R1151" t="s">
        <v>5333</v>
      </c>
      <c r="S1151" t="s">
        <v>31</v>
      </c>
      <c r="T1151">
        <v>0</v>
      </c>
    </row>
    <row r="1152" spans="1:20" x14ac:dyDescent="0.25">
      <c r="A1152" t="s">
        <v>5334</v>
      </c>
      <c r="B1152" s="1">
        <v>45907</v>
      </c>
      <c r="C1152" s="5">
        <v>0.10363425925925926</v>
      </c>
      <c r="D1152">
        <v>108.01</v>
      </c>
      <c r="E1152" t="s">
        <v>44</v>
      </c>
      <c r="F1152" t="s">
        <v>5335</v>
      </c>
      <c r="G1152" t="s">
        <v>96</v>
      </c>
      <c r="H1152" t="s">
        <v>26</v>
      </c>
      <c r="I1152" t="s">
        <v>5336</v>
      </c>
      <c r="J1152">
        <v>51</v>
      </c>
      <c r="K1152" t="s">
        <v>25</v>
      </c>
      <c r="L1152" t="s">
        <v>47</v>
      </c>
      <c r="M1152" t="s">
        <v>51</v>
      </c>
      <c r="N1152" t="s">
        <v>870</v>
      </c>
      <c r="O1152">
        <v>535903</v>
      </c>
      <c r="P1152" t="s">
        <v>28</v>
      </c>
      <c r="Q1152" t="s">
        <v>5337</v>
      </c>
      <c r="R1152" t="s">
        <v>5338</v>
      </c>
      <c r="S1152" t="s">
        <v>31</v>
      </c>
      <c r="T1152">
        <v>0</v>
      </c>
    </row>
    <row r="1153" spans="1:20" x14ac:dyDescent="0.25">
      <c r="A1153" t="s">
        <v>5339</v>
      </c>
      <c r="B1153" s="1">
        <v>45888</v>
      </c>
      <c r="C1153" s="5">
        <v>0.44886574074074076</v>
      </c>
      <c r="D1153">
        <v>3045.01</v>
      </c>
      <c r="E1153" t="s">
        <v>44</v>
      </c>
      <c r="F1153" t="s">
        <v>5210</v>
      </c>
      <c r="G1153" t="s">
        <v>96</v>
      </c>
      <c r="H1153" t="s">
        <v>110</v>
      </c>
      <c r="I1153" t="s">
        <v>5340</v>
      </c>
      <c r="J1153">
        <v>29</v>
      </c>
      <c r="K1153" t="s">
        <v>49</v>
      </c>
      <c r="L1153" t="s">
        <v>35</v>
      </c>
      <c r="M1153" t="s">
        <v>27</v>
      </c>
      <c r="P1153" t="s">
        <v>28</v>
      </c>
      <c r="Q1153" t="s">
        <v>5341</v>
      </c>
      <c r="R1153" t="s">
        <v>5342</v>
      </c>
      <c r="S1153" t="s">
        <v>31</v>
      </c>
      <c r="T1153">
        <v>0</v>
      </c>
    </row>
    <row r="1154" spans="1:20" x14ac:dyDescent="0.25">
      <c r="A1154" t="s">
        <v>5343</v>
      </c>
      <c r="B1154" s="1">
        <v>45958</v>
      </c>
      <c r="C1154" s="5">
        <v>0.41305555555555556</v>
      </c>
      <c r="D1154">
        <v>147.38999999999999</v>
      </c>
      <c r="E1154" t="s">
        <v>44</v>
      </c>
      <c r="F1154" t="s">
        <v>1612</v>
      </c>
      <c r="G1154" t="s">
        <v>34</v>
      </c>
      <c r="H1154" t="s">
        <v>38</v>
      </c>
      <c r="I1154" t="s">
        <v>5344</v>
      </c>
      <c r="J1154">
        <v>29</v>
      </c>
      <c r="K1154" t="s">
        <v>37</v>
      </c>
      <c r="L1154" t="s">
        <v>248</v>
      </c>
      <c r="M1154" t="s">
        <v>84</v>
      </c>
      <c r="P1154" t="s">
        <v>28</v>
      </c>
      <c r="Q1154" t="s">
        <v>5345</v>
      </c>
      <c r="R1154" t="s">
        <v>5346</v>
      </c>
      <c r="S1154" t="s">
        <v>31</v>
      </c>
      <c r="T1154">
        <v>0</v>
      </c>
    </row>
    <row r="1155" spans="1:20" x14ac:dyDescent="0.25">
      <c r="A1155" t="s">
        <v>5347</v>
      </c>
      <c r="B1155" s="1">
        <v>45905</v>
      </c>
      <c r="C1155" s="5">
        <v>0.13600694444444444</v>
      </c>
      <c r="D1155">
        <v>64.72</v>
      </c>
      <c r="E1155" t="s">
        <v>44</v>
      </c>
      <c r="F1155" t="s">
        <v>1790</v>
      </c>
      <c r="G1155" t="s">
        <v>71</v>
      </c>
      <c r="H1155" t="s">
        <v>91</v>
      </c>
      <c r="I1155" t="s">
        <v>5348</v>
      </c>
      <c r="J1155">
        <v>55</v>
      </c>
      <c r="K1155" t="s">
        <v>37</v>
      </c>
      <c r="L1155" t="s">
        <v>119</v>
      </c>
      <c r="M1155" t="s">
        <v>105</v>
      </c>
      <c r="P1155" t="s">
        <v>28</v>
      </c>
      <c r="Q1155" t="s">
        <v>5349</v>
      </c>
      <c r="R1155" t="s">
        <v>5350</v>
      </c>
      <c r="S1155" t="s">
        <v>31</v>
      </c>
      <c r="T1155">
        <v>0</v>
      </c>
    </row>
    <row r="1156" spans="1:20" x14ac:dyDescent="0.25">
      <c r="A1156" t="s">
        <v>5351</v>
      </c>
      <c r="B1156" s="1">
        <v>45827</v>
      </c>
      <c r="C1156" s="5">
        <v>0.19563657407407409</v>
      </c>
      <c r="D1156">
        <v>151.34</v>
      </c>
      <c r="E1156" t="s">
        <v>44</v>
      </c>
      <c r="F1156" t="s">
        <v>787</v>
      </c>
      <c r="G1156" t="s">
        <v>34</v>
      </c>
      <c r="H1156" t="s">
        <v>119</v>
      </c>
      <c r="I1156" t="s">
        <v>5352</v>
      </c>
      <c r="J1156">
        <v>75</v>
      </c>
      <c r="K1156" t="s">
        <v>25</v>
      </c>
      <c r="L1156" t="s">
        <v>26</v>
      </c>
      <c r="M1156" t="s">
        <v>84</v>
      </c>
      <c r="P1156" t="s">
        <v>28</v>
      </c>
      <c r="Q1156" t="s">
        <v>5353</v>
      </c>
      <c r="R1156" t="s">
        <v>5354</v>
      </c>
      <c r="S1156" t="s">
        <v>31</v>
      </c>
      <c r="T1156">
        <v>0</v>
      </c>
    </row>
    <row r="1157" spans="1:20" x14ac:dyDescent="0.25">
      <c r="A1157" t="s">
        <v>5355</v>
      </c>
      <c r="B1157" s="1">
        <v>45788</v>
      </c>
      <c r="C1157" s="5">
        <v>4.8935185185185186E-2</v>
      </c>
      <c r="D1157">
        <v>118.17</v>
      </c>
      <c r="E1157" t="s">
        <v>44</v>
      </c>
      <c r="F1157" t="s">
        <v>129</v>
      </c>
      <c r="G1157" t="s">
        <v>89</v>
      </c>
      <c r="H1157" t="s">
        <v>110</v>
      </c>
      <c r="I1157" t="s">
        <v>5356</v>
      </c>
      <c r="J1157">
        <v>10</v>
      </c>
      <c r="K1157" t="s">
        <v>37</v>
      </c>
      <c r="L1157" t="s">
        <v>91</v>
      </c>
      <c r="M1157" t="s">
        <v>39</v>
      </c>
      <c r="P1157" t="s">
        <v>28</v>
      </c>
      <c r="Q1157" t="s">
        <v>5357</v>
      </c>
      <c r="R1157" t="s">
        <v>5358</v>
      </c>
      <c r="S1157" t="s">
        <v>31</v>
      </c>
      <c r="T1157">
        <v>0</v>
      </c>
    </row>
    <row r="1158" spans="1:20" x14ac:dyDescent="0.25">
      <c r="A1158" t="s">
        <v>5359</v>
      </c>
      <c r="B1158" s="1">
        <v>45885</v>
      </c>
      <c r="C1158" s="5">
        <v>0.25026620370370373</v>
      </c>
      <c r="D1158">
        <v>261.7</v>
      </c>
      <c r="E1158" t="s">
        <v>44</v>
      </c>
      <c r="F1158" t="s">
        <v>3110</v>
      </c>
      <c r="G1158" t="s">
        <v>71</v>
      </c>
      <c r="H1158" t="s">
        <v>35</v>
      </c>
      <c r="I1158" t="s">
        <v>5360</v>
      </c>
      <c r="J1158">
        <v>52</v>
      </c>
      <c r="K1158" t="s">
        <v>37</v>
      </c>
      <c r="L1158" t="s">
        <v>66</v>
      </c>
      <c r="M1158" t="s">
        <v>27</v>
      </c>
      <c r="P1158" t="s">
        <v>28</v>
      </c>
      <c r="Q1158" t="s">
        <v>5361</v>
      </c>
      <c r="R1158" t="s">
        <v>5362</v>
      </c>
      <c r="S1158" t="s">
        <v>31</v>
      </c>
      <c r="T1158">
        <v>0</v>
      </c>
    </row>
    <row r="1159" spans="1:20" x14ac:dyDescent="0.25">
      <c r="A1159" t="s">
        <v>5363</v>
      </c>
      <c r="B1159" s="1">
        <v>45833</v>
      </c>
      <c r="C1159" s="5">
        <v>0.93216435185185187</v>
      </c>
      <c r="D1159">
        <v>45.54</v>
      </c>
      <c r="E1159" t="s">
        <v>44</v>
      </c>
      <c r="F1159" t="s">
        <v>5129</v>
      </c>
      <c r="G1159" t="s">
        <v>124</v>
      </c>
      <c r="H1159" t="s">
        <v>110</v>
      </c>
      <c r="I1159" t="s">
        <v>5364</v>
      </c>
      <c r="J1159">
        <v>62</v>
      </c>
      <c r="K1159" t="s">
        <v>25</v>
      </c>
      <c r="L1159" t="s">
        <v>50</v>
      </c>
      <c r="M1159" t="s">
        <v>39</v>
      </c>
      <c r="P1159" t="s">
        <v>28</v>
      </c>
      <c r="Q1159" t="s">
        <v>5365</v>
      </c>
      <c r="R1159" t="s">
        <v>5366</v>
      </c>
      <c r="S1159" t="s">
        <v>31</v>
      </c>
      <c r="T1159">
        <v>0</v>
      </c>
    </row>
    <row r="1160" spans="1:20" x14ac:dyDescent="0.25">
      <c r="A1160" t="s">
        <v>5367</v>
      </c>
      <c r="B1160" s="1">
        <v>45836</v>
      </c>
      <c r="C1160" s="5">
        <v>0.2741898148148148</v>
      </c>
      <c r="D1160">
        <v>284.61</v>
      </c>
      <c r="E1160" t="s">
        <v>44</v>
      </c>
      <c r="F1160" t="s">
        <v>5368</v>
      </c>
      <c r="G1160" t="s">
        <v>77</v>
      </c>
      <c r="H1160" t="s">
        <v>58</v>
      </c>
      <c r="I1160" t="s">
        <v>5369</v>
      </c>
      <c r="J1160">
        <v>66</v>
      </c>
      <c r="K1160" t="s">
        <v>37</v>
      </c>
      <c r="L1160" t="s">
        <v>248</v>
      </c>
      <c r="M1160" t="s">
        <v>27</v>
      </c>
      <c r="P1160" t="s">
        <v>28</v>
      </c>
      <c r="Q1160" t="s">
        <v>5370</v>
      </c>
      <c r="R1160" t="s">
        <v>5371</v>
      </c>
      <c r="S1160" t="s">
        <v>31</v>
      </c>
      <c r="T1160">
        <v>0</v>
      </c>
    </row>
    <row r="1161" spans="1:20" x14ac:dyDescent="0.25">
      <c r="A1161" t="s">
        <v>5372</v>
      </c>
      <c r="B1161" s="1">
        <v>45861</v>
      </c>
      <c r="C1161" s="5">
        <v>0.26471064814814815</v>
      </c>
      <c r="D1161">
        <v>59.9</v>
      </c>
      <c r="E1161" t="s">
        <v>44</v>
      </c>
      <c r="F1161" t="s">
        <v>810</v>
      </c>
      <c r="G1161" t="s">
        <v>71</v>
      </c>
      <c r="H1161" t="s">
        <v>66</v>
      </c>
      <c r="I1161" t="s">
        <v>5373</v>
      </c>
      <c r="J1161">
        <v>48</v>
      </c>
      <c r="K1161" t="s">
        <v>37</v>
      </c>
      <c r="L1161" t="s">
        <v>35</v>
      </c>
      <c r="M1161" t="s">
        <v>51</v>
      </c>
      <c r="N1161" t="s">
        <v>173</v>
      </c>
      <c r="O1161">
        <v>541821</v>
      </c>
      <c r="P1161" t="s">
        <v>28</v>
      </c>
      <c r="Q1161" t="s">
        <v>5374</v>
      </c>
      <c r="R1161" t="s">
        <v>5375</v>
      </c>
      <c r="S1161" t="s">
        <v>31</v>
      </c>
      <c r="T1161">
        <v>0</v>
      </c>
    </row>
    <row r="1162" spans="1:20" x14ac:dyDescent="0.25">
      <c r="A1162" t="s">
        <v>5376</v>
      </c>
      <c r="B1162" s="1">
        <v>45811</v>
      </c>
      <c r="C1162" s="5">
        <v>0.99792824074074071</v>
      </c>
      <c r="D1162">
        <v>0</v>
      </c>
      <c r="E1162" t="s">
        <v>44</v>
      </c>
      <c r="F1162" t="s">
        <v>1832</v>
      </c>
      <c r="G1162" t="s">
        <v>57</v>
      </c>
      <c r="H1162" t="s">
        <v>110</v>
      </c>
      <c r="I1162" t="s">
        <v>5377</v>
      </c>
      <c r="J1162">
        <v>43</v>
      </c>
      <c r="K1162" t="s">
        <v>49</v>
      </c>
      <c r="L1162" t="s">
        <v>50</v>
      </c>
      <c r="M1162" t="s">
        <v>105</v>
      </c>
      <c r="P1162" t="s">
        <v>28</v>
      </c>
      <c r="Q1162" t="s">
        <v>5378</v>
      </c>
      <c r="R1162" t="s">
        <v>5379</v>
      </c>
      <c r="S1162" t="s">
        <v>31</v>
      </c>
      <c r="T1162">
        <v>0</v>
      </c>
    </row>
    <row r="1163" spans="1:20" x14ac:dyDescent="0.25">
      <c r="A1163" t="s">
        <v>5380</v>
      </c>
      <c r="B1163" s="1">
        <v>45820</v>
      </c>
      <c r="C1163" s="5">
        <v>0.22438657407407409</v>
      </c>
      <c r="D1163">
        <v>140.94</v>
      </c>
      <c r="E1163" t="s">
        <v>44</v>
      </c>
      <c r="F1163" t="s">
        <v>728</v>
      </c>
      <c r="G1163" t="s">
        <v>89</v>
      </c>
      <c r="H1163" t="s">
        <v>91</v>
      </c>
      <c r="I1163" t="s">
        <v>5381</v>
      </c>
      <c r="J1163">
        <v>64</v>
      </c>
      <c r="K1163" t="s">
        <v>25</v>
      </c>
      <c r="L1163" t="s">
        <v>248</v>
      </c>
      <c r="M1163" t="s">
        <v>112</v>
      </c>
      <c r="P1163" t="s">
        <v>28</v>
      </c>
      <c r="Q1163" t="s">
        <v>5382</v>
      </c>
      <c r="R1163" t="s">
        <v>5383</v>
      </c>
      <c r="S1163" t="s">
        <v>31</v>
      </c>
      <c r="T1163">
        <v>0</v>
      </c>
    </row>
    <row r="1164" spans="1:20" x14ac:dyDescent="0.25">
      <c r="A1164" t="s">
        <v>5384</v>
      </c>
      <c r="B1164" s="1">
        <v>45793</v>
      </c>
      <c r="C1164" s="5">
        <v>0.28358796296296296</v>
      </c>
      <c r="D1164">
        <v>14.85</v>
      </c>
      <c r="E1164" t="s">
        <v>44</v>
      </c>
      <c r="F1164" t="s">
        <v>2707</v>
      </c>
      <c r="G1164" t="s">
        <v>89</v>
      </c>
      <c r="H1164" t="s">
        <v>146</v>
      </c>
      <c r="I1164" t="s">
        <v>5385</v>
      </c>
      <c r="J1164">
        <v>31</v>
      </c>
      <c r="K1164" t="s">
        <v>25</v>
      </c>
      <c r="L1164" t="s">
        <v>91</v>
      </c>
      <c r="M1164" t="s">
        <v>105</v>
      </c>
      <c r="P1164" t="s">
        <v>28</v>
      </c>
      <c r="Q1164" t="s">
        <v>5386</v>
      </c>
      <c r="R1164" t="s">
        <v>5387</v>
      </c>
      <c r="S1164" t="s">
        <v>31</v>
      </c>
      <c r="T1164">
        <v>0</v>
      </c>
    </row>
    <row r="1165" spans="1:20" x14ac:dyDescent="0.25">
      <c r="A1165" t="s">
        <v>5388</v>
      </c>
      <c r="B1165" s="1">
        <v>45856</v>
      </c>
      <c r="C1165" s="5">
        <v>0.25725694444444447</v>
      </c>
      <c r="D1165">
        <v>16.489999999999998</v>
      </c>
      <c r="E1165" t="s">
        <v>44</v>
      </c>
      <c r="F1165" t="s">
        <v>232</v>
      </c>
      <c r="G1165" t="s">
        <v>64</v>
      </c>
      <c r="H1165" t="s">
        <v>38</v>
      </c>
      <c r="I1165" t="s">
        <v>5389</v>
      </c>
      <c r="J1165">
        <v>42</v>
      </c>
      <c r="K1165" t="s">
        <v>49</v>
      </c>
      <c r="L1165" t="s">
        <v>58</v>
      </c>
      <c r="M1165" t="s">
        <v>27</v>
      </c>
      <c r="P1165" t="s">
        <v>28</v>
      </c>
      <c r="Q1165" t="s">
        <v>5390</v>
      </c>
      <c r="R1165" t="s">
        <v>5391</v>
      </c>
      <c r="S1165" t="s">
        <v>31</v>
      </c>
      <c r="T1165">
        <v>0</v>
      </c>
    </row>
    <row r="1166" spans="1:20" x14ac:dyDescent="0.25">
      <c r="A1166" t="s">
        <v>5392</v>
      </c>
      <c r="B1166" s="1">
        <v>45865</v>
      </c>
      <c r="C1166" s="5">
        <v>0.85660879629629627</v>
      </c>
      <c r="D1166">
        <v>195.33</v>
      </c>
      <c r="E1166" t="s">
        <v>44</v>
      </c>
      <c r="F1166" t="s">
        <v>5393</v>
      </c>
      <c r="G1166" t="s">
        <v>89</v>
      </c>
      <c r="H1166" t="s">
        <v>58</v>
      </c>
      <c r="I1166" t="s">
        <v>5394</v>
      </c>
      <c r="J1166">
        <v>73</v>
      </c>
      <c r="K1166" t="s">
        <v>49</v>
      </c>
      <c r="L1166" t="s">
        <v>66</v>
      </c>
      <c r="M1166" t="s">
        <v>51</v>
      </c>
      <c r="N1166" t="s">
        <v>345</v>
      </c>
      <c r="O1166">
        <v>555663</v>
      </c>
      <c r="P1166" t="s">
        <v>28</v>
      </c>
      <c r="Q1166" t="s">
        <v>5395</v>
      </c>
      <c r="R1166" t="s">
        <v>5396</v>
      </c>
      <c r="S1166" t="s">
        <v>31</v>
      </c>
      <c r="T1166">
        <v>0</v>
      </c>
    </row>
    <row r="1167" spans="1:20" x14ac:dyDescent="0.25">
      <c r="A1167" t="s">
        <v>5397</v>
      </c>
      <c r="B1167" s="1">
        <v>45837</v>
      </c>
      <c r="C1167" s="5">
        <v>0.52143518518518517</v>
      </c>
      <c r="D1167">
        <v>124.96</v>
      </c>
      <c r="E1167" t="s">
        <v>44</v>
      </c>
      <c r="F1167" t="s">
        <v>4788</v>
      </c>
      <c r="G1167" t="s">
        <v>22</v>
      </c>
      <c r="H1167" t="s">
        <v>66</v>
      </c>
      <c r="I1167" t="s">
        <v>5398</v>
      </c>
      <c r="J1167">
        <v>25</v>
      </c>
      <c r="K1167" t="s">
        <v>25</v>
      </c>
      <c r="L1167" t="s">
        <v>130</v>
      </c>
      <c r="M1167" t="s">
        <v>27</v>
      </c>
      <c r="P1167" t="s">
        <v>28</v>
      </c>
      <c r="Q1167" t="s">
        <v>5399</v>
      </c>
      <c r="R1167" t="s">
        <v>5400</v>
      </c>
      <c r="S1167" t="s">
        <v>31</v>
      </c>
      <c r="T1167">
        <v>1</v>
      </c>
    </row>
    <row r="1168" spans="1:20" x14ac:dyDescent="0.25">
      <c r="A1168" t="s">
        <v>5401</v>
      </c>
      <c r="B1168" s="1">
        <v>45931</v>
      </c>
      <c r="C1168" s="5">
        <v>0.1633101851851852</v>
      </c>
      <c r="D1168">
        <v>120.64</v>
      </c>
      <c r="E1168" t="s">
        <v>44</v>
      </c>
      <c r="F1168" t="s">
        <v>5402</v>
      </c>
      <c r="G1168" t="s">
        <v>124</v>
      </c>
      <c r="H1168" t="s">
        <v>26</v>
      </c>
      <c r="I1168" t="s">
        <v>5403</v>
      </c>
      <c r="J1168">
        <v>23</v>
      </c>
      <c r="K1168" t="s">
        <v>37</v>
      </c>
      <c r="L1168" t="s">
        <v>35</v>
      </c>
      <c r="M1168" t="s">
        <v>39</v>
      </c>
      <c r="P1168" t="s">
        <v>28</v>
      </c>
      <c r="Q1168" t="s">
        <v>5404</v>
      </c>
      <c r="R1168" t="s">
        <v>5405</v>
      </c>
      <c r="S1168" t="s">
        <v>42</v>
      </c>
      <c r="T1168">
        <v>0</v>
      </c>
    </row>
    <row r="1169" spans="1:20" x14ac:dyDescent="0.25">
      <c r="A1169" t="s">
        <v>5406</v>
      </c>
      <c r="B1169" s="1">
        <v>45917</v>
      </c>
      <c r="C1169" s="5">
        <v>0.21140046296296297</v>
      </c>
      <c r="D1169">
        <v>145.72</v>
      </c>
      <c r="E1169" t="s">
        <v>44</v>
      </c>
      <c r="F1169" t="s">
        <v>5407</v>
      </c>
      <c r="G1169" t="s">
        <v>89</v>
      </c>
      <c r="H1169" t="s">
        <v>119</v>
      </c>
      <c r="I1169" t="s">
        <v>5408</v>
      </c>
      <c r="J1169">
        <v>51</v>
      </c>
      <c r="K1169" t="s">
        <v>25</v>
      </c>
      <c r="L1169" t="s">
        <v>91</v>
      </c>
      <c r="M1169" t="s">
        <v>51</v>
      </c>
      <c r="N1169" t="s">
        <v>507</v>
      </c>
      <c r="O1169">
        <v>0</v>
      </c>
      <c r="P1169" t="s">
        <v>28</v>
      </c>
      <c r="Q1169" t="s">
        <v>5409</v>
      </c>
      <c r="R1169" t="s">
        <v>5410</v>
      </c>
      <c r="S1169" t="s">
        <v>31</v>
      </c>
      <c r="T1169">
        <v>0</v>
      </c>
    </row>
    <row r="1170" spans="1:20" x14ac:dyDescent="0.25">
      <c r="A1170" t="s">
        <v>5411</v>
      </c>
      <c r="B1170" s="1">
        <v>45865</v>
      </c>
      <c r="C1170" s="5">
        <v>0.51710648148148153</v>
      </c>
      <c r="D1170">
        <v>19.22</v>
      </c>
      <c r="E1170" t="s">
        <v>44</v>
      </c>
      <c r="F1170" t="s">
        <v>5412</v>
      </c>
      <c r="G1170" t="s">
        <v>22</v>
      </c>
      <c r="H1170" t="s">
        <v>66</v>
      </c>
      <c r="I1170" t="s">
        <v>5413</v>
      </c>
      <c r="J1170">
        <v>45</v>
      </c>
      <c r="K1170" t="s">
        <v>25</v>
      </c>
      <c r="L1170" t="s">
        <v>248</v>
      </c>
      <c r="M1170" t="s">
        <v>27</v>
      </c>
      <c r="P1170" t="s">
        <v>28</v>
      </c>
      <c r="Q1170" t="s">
        <v>5414</v>
      </c>
      <c r="R1170" t="s">
        <v>5415</v>
      </c>
      <c r="S1170" t="s">
        <v>31</v>
      </c>
      <c r="T1170">
        <v>0</v>
      </c>
    </row>
    <row r="1171" spans="1:20" x14ac:dyDescent="0.25">
      <c r="A1171" t="s">
        <v>5416</v>
      </c>
      <c r="B1171" s="1">
        <v>45924</v>
      </c>
      <c r="C1171" s="5">
        <v>0.55672453703703706</v>
      </c>
      <c r="D1171">
        <v>40.200000000000003</v>
      </c>
      <c r="E1171" t="s">
        <v>44</v>
      </c>
      <c r="F1171" t="s">
        <v>5417</v>
      </c>
      <c r="G1171" t="s">
        <v>71</v>
      </c>
      <c r="H1171" t="s">
        <v>91</v>
      </c>
      <c r="I1171" t="s">
        <v>5418</v>
      </c>
      <c r="J1171">
        <v>37</v>
      </c>
      <c r="K1171" t="s">
        <v>49</v>
      </c>
      <c r="L1171" t="s">
        <v>23</v>
      </c>
      <c r="M1171" t="s">
        <v>105</v>
      </c>
      <c r="P1171" t="s">
        <v>28</v>
      </c>
      <c r="Q1171" t="s">
        <v>5419</v>
      </c>
      <c r="R1171" t="s">
        <v>5420</v>
      </c>
      <c r="S1171" t="s">
        <v>31</v>
      </c>
      <c r="T1171">
        <v>0</v>
      </c>
    </row>
    <row r="1172" spans="1:20" x14ac:dyDescent="0.25">
      <c r="A1172" t="s">
        <v>5421</v>
      </c>
      <c r="B1172" s="1">
        <v>45901</v>
      </c>
      <c r="C1172" s="5">
        <v>0.43285879629629631</v>
      </c>
      <c r="D1172">
        <v>21.13</v>
      </c>
      <c r="E1172" t="s">
        <v>44</v>
      </c>
      <c r="F1172" t="s">
        <v>3504</v>
      </c>
      <c r="G1172" t="s">
        <v>64</v>
      </c>
      <c r="H1172" t="s">
        <v>119</v>
      </c>
      <c r="I1172" t="s">
        <v>5422</v>
      </c>
      <c r="K1172" t="s">
        <v>37</v>
      </c>
      <c r="L1172" t="s">
        <v>248</v>
      </c>
      <c r="M1172" t="s">
        <v>51</v>
      </c>
      <c r="N1172" t="s">
        <v>870</v>
      </c>
      <c r="O1172">
        <v>437122</v>
      </c>
      <c r="P1172" t="s">
        <v>28</v>
      </c>
      <c r="Q1172" t="s">
        <v>5423</v>
      </c>
      <c r="R1172" t="s">
        <v>5424</v>
      </c>
      <c r="S1172" t="s">
        <v>31</v>
      </c>
      <c r="T1172">
        <v>0</v>
      </c>
    </row>
    <row r="1173" spans="1:20" x14ac:dyDescent="0.25">
      <c r="A1173" t="s">
        <v>5425</v>
      </c>
      <c r="B1173" s="1">
        <v>45817</v>
      </c>
      <c r="C1173" s="5">
        <v>0.81307870370370372</v>
      </c>
      <c r="D1173">
        <v>12.87</v>
      </c>
      <c r="E1173" t="s">
        <v>44</v>
      </c>
      <c r="F1173" t="s">
        <v>2721</v>
      </c>
      <c r="G1173" t="s">
        <v>46</v>
      </c>
      <c r="H1173" t="s">
        <v>66</v>
      </c>
      <c r="I1173" t="s">
        <v>5426</v>
      </c>
      <c r="J1173">
        <v>56</v>
      </c>
      <c r="K1173" t="s">
        <v>25</v>
      </c>
      <c r="L1173" t="s">
        <v>119</v>
      </c>
      <c r="M1173" t="s">
        <v>84</v>
      </c>
      <c r="P1173" t="s">
        <v>28</v>
      </c>
      <c r="Q1173" t="s">
        <v>5427</v>
      </c>
      <c r="R1173" t="s">
        <v>5428</v>
      </c>
      <c r="S1173" t="s">
        <v>31</v>
      </c>
      <c r="T1173">
        <v>0</v>
      </c>
    </row>
    <row r="1174" spans="1:20" x14ac:dyDescent="0.25">
      <c r="A1174" t="s">
        <v>5429</v>
      </c>
      <c r="B1174" s="1">
        <v>45862</v>
      </c>
      <c r="C1174" s="5">
        <v>0.65554398148148152</v>
      </c>
      <c r="D1174">
        <v>140.80000000000001</v>
      </c>
      <c r="E1174" t="s">
        <v>44</v>
      </c>
      <c r="F1174" t="s">
        <v>5430</v>
      </c>
      <c r="G1174" t="s">
        <v>96</v>
      </c>
      <c r="H1174" t="s">
        <v>58</v>
      </c>
      <c r="I1174" t="s">
        <v>5431</v>
      </c>
      <c r="J1174">
        <v>44</v>
      </c>
      <c r="K1174" t="s">
        <v>49</v>
      </c>
      <c r="L1174" t="s">
        <v>26</v>
      </c>
      <c r="M1174" t="s">
        <v>39</v>
      </c>
      <c r="P1174" t="s">
        <v>28</v>
      </c>
      <c r="Q1174" t="s">
        <v>5432</v>
      </c>
      <c r="R1174" t="s">
        <v>5433</v>
      </c>
      <c r="S1174" t="s">
        <v>31</v>
      </c>
      <c r="T1174">
        <v>0</v>
      </c>
    </row>
    <row r="1175" spans="1:20" x14ac:dyDescent="0.25">
      <c r="A1175" t="s">
        <v>5434</v>
      </c>
      <c r="B1175" s="1">
        <v>45791</v>
      </c>
      <c r="C1175" s="5">
        <v>4.8356481481481479E-2</v>
      </c>
      <c r="D1175">
        <v>199.37</v>
      </c>
      <c r="E1175" t="s">
        <v>44</v>
      </c>
      <c r="F1175" t="s">
        <v>3128</v>
      </c>
      <c r="G1175" t="s">
        <v>46</v>
      </c>
      <c r="H1175" t="s">
        <v>35</v>
      </c>
      <c r="I1175" t="s">
        <v>5435</v>
      </c>
      <c r="J1175">
        <v>42</v>
      </c>
      <c r="K1175" t="s">
        <v>37</v>
      </c>
      <c r="L1175" t="s">
        <v>91</v>
      </c>
      <c r="M1175" t="s">
        <v>27</v>
      </c>
      <c r="P1175" t="s">
        <v>28</v>
      </c>
      <c r="Q1175" t="s">
        <v>5436</v>
      </c>
      <c r="R1175" t="s">
        <v>5437</v>
      </c>
      <c r="S1175" t="s">
        <v>31</v>
      </c>
      <c r="T1175">
        <v>1</v>
      </c>
    </row>
    <row r="1176" spans="1:20" x14ac:dyDescent="0.25">
      <c r="A1176" t="s">
        <v>5438</v>
      </c>
      <c r="B1176" s="1">
        <v>45944</v>
      </c>
      <c r="C1176" s="5">
        <v>0.82640046296296299</v>
      </c>
      <c r="D1176">
        <v>58.06</v>
      </c>
      <c r="E1176" t="s">
        <v>44</v>
      </c>
      <c r="F1176" t="s">
        <v>1380</v>
      </c>
      <c r="G1176" t="s">
        <v>46</v>
      </c>
      <c r="H1176" t="s">
        <v>130</v>
      </c>
      <c r="I1176" t="s">
        <v>5439</v>
      </c>
      <c r="J1176">
        <v>41</v>
      </c>
      <c r="K1176" t="s">
        <v>37</v>
      </c>
      <c r="L1176" t="s">
        <v>58</v>
      </c>
      <c r="M1176" t="s">
        <v>105</v>
      </c>
      <c r="P1176" t="s">
        <v>28</v>
      </c>
      <c r="Q1176" t="s">
        <v>5440</v>
      </c>
      <c r="R1176" t="s">
        <v>5441</v>
      </c>
      <c r="S1176" t="s">
        <v>31</v>
      </c>
      <c r="T1176">
        <v>0</v>
      </c>
    </row>
    <row r="1177" spans="1:20" x14ac:dyDescent="0.25">
      <c r="A1177" t="s">
        <v>5442</v>
      </c>
      <c r="B1177" s="1">
        <v>45908</v>
      </c>
      <c r="C1177" s="5">
        <v>0.89401620370370372</v>
      </c>
      <c r="D1177">
        <v>184.63</v>
      </c>
      <c r="E1177" t="s">
        <v>44</v>
      </c>
      <c r="F1177" t="s">
        <v>5443</v>
      </c>
      <c r="G1177" t="s">
        <v>34</v>
      </c>
      <c r="H1177" t="s">
        <v>146</v>
      </c>
      <c r="I1177" t="s">
        <v>5444</v>
      </c>
      <c r="J1177">
        <v>67</v>
      </c>
      <c r="K1177" t="s">
        <v>37</v>
      </c>
      <c r="L1177" t="s">
        <v>35</v>
      </c>
      <c r="M1177" t="s">
        <v>112</v>
      </c>
      <c r="P1177" t="s">
        <v>28</v>
      </c>
      <c r="Q1177" t="s">
        <v>5445</v>
      </c>
      <c r="R1177" t="s">
        <v>5446</v>
      </c>
      <c r="S1177" t="s">
        <v>31</v>
      </c>
      <c r="T1177">
        <v>0</v>
      </c>
    </row>
    <row r="1178" spans="1:20" x14ac:dyDescent="0.25">
      <c r="A1178" t="s">
        <v>5447</v>
      </c>
      <c r="B1178" s="1">
        <v>45826</v>
      </c>
      <c r="C1178" s="5">
        <v>0.35511574074074076</v>
      </c>
      <c r="D1178">
        <v>4.41</v>
      </c>
      <c r="E1178" t="s">
        <v>44</v>
      </c>
      <c r="F1178" t="s">
        <v>389</v>
      </c>
      <c r="G1178" t="s">
        <v>96</v>
      </c>
      <c r="H1178" t="s">
        <v>26</v>
      </c>
      <c r="I1178" t="s">
        <v>5448</v>
      </c>
      <c r="J1178">
        <v>65</v>
      </c>
      <c r="K1178" t="s">
        <v>37</v>
      </c>
      <c r="L1178" t="s">
        <v>66</v>
      </c>
      <c r="M1178" t="s">
        <v>84</v>
      </c>
      <c r="P1178" t="s">
        <v>28</v>
      </c>
      <c r="Q1178" t="s">
        <v>5449</v>
      </c>
      <c r="R1178" t="s">
        <v>5450</v>
      </c>
      <c r="S1178" t="s">
        <v>31</v>
      </c>
      <c r="T1178">
        <v>0</v>
      </c>
    </row>
    <row r="1179" spans="1:20" x14ac:dyDescent="0.25">
      <c r="A1179" t="s">
        <v>5451</v>
      </c>
      <c r="B1179" s="1">
        <v>45868</v>
      </c>
      <c r="C1179" s="5">
        <v>0.12972222222222221</v>
      </c>
      <c r="D1179">
        <v>108.87</v>
      </c>
      <c r="E1179" t="s">
        <v>44</v>
      </c>
      <c r="F1179" t="s">
        <v>586</v>
      </c>
      <c r="G1179" t="s">
        <v>34</v>
      </c>
      <c r="H1179" t="s">
        <v>35</v>
      </c>
      <c r="I1179" t="s">
        <v>5452</v>
      </c>
      <c r="J1179">
        <v>21</v>
      </c>
      <c r="K1179" t="s">
        <v>25</v>
      </c>
      <c r="L1179" t="s">
        <v>26</v>
      </c>
      <c r="M1179" t="s">
        <v>112</v>
      </c>
      <c r="P1179" t="s">
        <v>28</v>
      </c>
      <c r="Q1179" t="s">
        <v>5453</v>
      </c>
      <c r="R1179" t="s">
        <v>5454</v>
      </c>
      <c r="S1179" t="s">
        <v>31</v>
      </c>
      <c r="T1179">
        <v>0</v>
      </c>
    </row>
    <row r="1180" spans="1:20" x14ac:dyDescent="0.25">
      <c r="A1180" t="s">
        <v>5455</v>
      </c>
      <c r="B1180" s="1">
        <v>45877</v>
      </c>
      <c r="C1180" s="5">
        <v>0.13881944444444444</v>
      </c>
      <c r="D1180">
        <v>199.34</v>
      </c>
      <c r="E1180" t="s">
        <v>44</v>
      </c>
      <c r="F1180" t="s">
        <v>3763</v>
      </c>
      <c r="G1180" t="s">
        <v>46</v>
      </c>
      <c r="H1180" t="s">
        <v>146</v>
      </c>
      <c r="I1180" t="s">
        <v>5456</v>
      </c>
      <c r="J1180">
        <v>40</v>
      </c>
      <c r="K1180" t="s">
        <v>49</v>
      </c>
      <c r="L1180" t="s">
        <v>47</v>
      </c>
      <c r="M1180" t="s">
        <v>51</v>
      </c>
      <c r="N1180" t="s">
        <v>52</v>
      </c>
      <c r="O1180">
        <v>493348</v>
      </c>
      <c r="P1180" t="s">
        <v>28</v>
      </c>
      <c r="Q1180" t="s">
        <v>5457</v>
      </c>
      <c r="R1180" t="s">
        <v>5458</v>
      </c>
      <c r="S1180" t="s">
        <v>31</v>
      </c>
      <c r="T1180">
        <v>1</v>
      </c>
    </row>
    <row r="1181" spans="1:20" x14ac:dyDescent="0.25">
      <c r="A1181" t="s">
        <v>5459</v>
      </c>
      <c r="B1181" s="1">
        <v>45957</v>
      </c>
      <c r="C1181" s="5">
        <v>0.91093749999999996</v>
      </c>
      <c r="D1181">
        <v>130.46</v>
      </c>
      <c r="E1181" t="s">
        <v>44</v>
      </c>
      <c r="F1181" t="s">
        <v>3748</v>
      </c>
      <c r="G1181" t="s">
        <v>57</v>
      </c>
      <c r="H1181" t="s">
        <v>47</v>
      </c>
      <c r="I1181" t="s">
        <v>5460</v>
      </c>
      <c r="J1181">
        <v>64</v>
      </c>
      <c r="K1181" t="s">
        <v>25</v>
      </c>
      <c r="L1181" t="s">
        <v>26</v>
      </c>
      <c r="M1181" t="s">
        <v>112</v>
      </c>
      <c r="P1181" t="s">
        <v>28</v>
      </c>
      <c r="Q1181" t="s">
        <v>5461</v>
      </c>
      <c r="R1181" t="s">
        <v>5462</v>
      </c>
      <c r="S1181" t="s">
        <v>31</v>
      </c>
      <c r="T1181">
        <v>0</v>
      </c>
    </row>
    <row r="1182" spans="1:20" x14ac:dyDescent="0.25">
      <c r="A1182" t="s">
        <v>5463</v>
      </c>
      <c r="B1182" s="1">
        <v>45782</v>
      </c>
      <c r="C1182" s="5">
        <v>0.40702546296296294</v>
      </c>
      <c r="D1182">
        <v>112.94</v>
      </c>
      <c r="E1182" t="s">
        <v>44</v>
      </c>
      <c r="F1182" t="s">
        <v>3483</v>
      </c>
      <c r="G1182" t="s">
        <v>64</v>
      </c>
      <c r="H1182" t="s">
        <v>248</v>
      </c>
      <c r="I1182" t="s">
        <v>5464</v>
      </c>
      <c r="J1182">
        <v>27</v>
      </c>
      <c r="K1182" t="s">
        <v>25</v>
      </c>
      <c r="L1182" t="s">
        <v>26</v>
      </c>
      <c r="M1182" t="s">
        <v>84</v>
      </c>
      <c r="P1182" t="s">
        <v>28</v>
      </c>
      <c r="Q1182" t="s">
        <v>5465</v>
      </c>
      <c r="R1182" t="s">
        <v>5466</v>
      </c>
      <c r="S1182" t="s">
        <v>101</v>
      </c>
      <c r="T1182">
        <v>0</v>
      </c>
    </row>
    <row r="1183" spans="1:20" x14ac:dyDescent="0.25">
      <c r="A1183" t="s">
        <v>5467</v>
      </c>
      <c r="B1183" s="1">
        <v>45945</v>
      </c>
      <c r="C1183" s="5">
        <v>0.32972222222222225</v>
      </c>
      <c r="D1183">
        <v>2.11</v>
      </c>
      <c r="E1183" t="s">
        <v>44</v>
      </c>
      <c r="F1183" t="s">
        <v>2282</v>
      </c>
      <c r="G1183" t="s">
        <v>96</v>
      </c>
      <c r="H1183" t="s">
        <v>91</v>
      </c>
      <c r="I1183" t="s">
        <v>5468</v>
      </c>
      <c r="J1183">
        <v>55</v>
      </c>
      <c r="K1183" t="s">
        <v>25</v>
      </c>
      <c r="L1183" t="s">
        <v>97</v>
      </c>
      <c r="M1183" t="s">
        <v>105</v>
      </c>
      <c r="P1183" t="s">
        <v>28</v>
      </c>
      <c r="Q1183" t="s">
        <v>5469</v>
      </c>
      <c r="R1183" t="s">
        <v>5470</v>
      </c>
      <c r="S1183" t="s">
        <v>31</v>
      </c>
      <c r="T1183">
        <v>0</v>
      </c>
    </row>
    <row r="1184" spans="1:20" x14ac:dyDescent="0.25">
      <c r="A1184" t="s">
        <v>5471</v>
      </c>
      <c r="B1184" s="1">
        <v>45791</v>
      </c>
      <c r="C1184" s="5">
        <v>0.43689814814814815</v>
      </c>
      <c r="D1184">
        <v>367.21</v>
      </c>
      <c r="E1184" t="s">
        <v>44</v>
      </c>
      <c r="F1184" t="s">
        <v>5472</v>
      </c>
      <c r="G1184" t="s">
        <v>22</v>
      </c>
      <c r="H1184" t="s">
        <v>110</v>
      </c>
      <c r="I1184" t="s">
        <v>5473</v>
      </c>
      <c r="J1184">
        <v>60</v>
      </c>
      <c r="K1184" t="s">
        <v>25</v>
      </c>
      <c r="L1184" t="s">
        <v>50</v>
      </c>
      <c r="M1184" t="s">
        <v>105</v>
      </c>
      <c r="P1184" t="s">
        <v>28</v>
      </c>
      <c r="Q1184" t="s">
        <v>5474</v>
      </c>
      <c r="R1184" t="s">
        <v>5475</v>
      </c>
      <c r="S1184" t="s">
        <v>31</v>
      </c>
      <c r="T1184">
        <v>0</v>
      </c>
    </row>
    <row r="1185" spans="1:20" x14ac:dyDescent="0.25">
      <c r="A1185" t="s">
        <v>5476</v>
      </c>
      <c r="B1185" s="1">
        <v>45833</v>
      </c>
      <c r="C1185" s="5">
        <v>0.82246527777777778</v>
      </c>
      <c r="D1185">
        <v>51.33</v>
      </c>
      <c r="E1185" t="s">
        <v>44</v>
      </c>
      <c r="F1185" t="s">
        <v>703</v>
      </c>
      <c r="G1185" t="s">
        <v>124</v>
      </c>
      <c r="H1185" t="s">
        <v>248</v>
      </c>
      <c r="I1185" t="s">
        <v>5477</v>
      </c>
      <c r="J1185">
        <v>67</v>
      </c>
      <c r="K1185" t="s">
        <v>37</v>
      </c>
      <c r="L1185" t="s">
        <v>35</v>
      </c>
      <c r="M1185" t="s">
        <v>51</v>
      </c>
      <c r="N1185" t="s">
        <v>52</v>
      </c>
      <c r="O1185">
        <v>523485</v>
      </c>
      <c r="P1185" t="s">
        <v>28</v>
      </c>
      <c r="Q1185" t="s">
        <v>5478</v>
      </c>
      <c r="R1185" t="s">
        <v>5479</v>
      </c>
      <c r="S1185" t="s">
        <v>31</v>
      </c>
      <c r="T1185">
        <v>0</v>
      </c>
    </row>
    <row r="1186" spans="1:20" x14ac:dyDescent="0.25">
      <c r="A1186" t="s">
        <v>5480</v>
      </c>
      <c r="B1186" s="1">
        <v>45835</v>
      </c>
      <c r="C1186" s="5">
        <v>0.88310185185185186</v>
      </c>
      <c r="D1186">
        <v>4031.85</v>
      </c>
      <c r="E1186" t="s">
        <v>44</v>
      </c>
      <c r="F1186" t="s">
        <v>5481</v>
      </c>
      <c r="G1186" t="s">
        <v>71</v>
      </c>
      <c r="H1186" t="s">
        <v>119</v>
      </c>
      <c r="I1186" t="s">
        <v>5482</v>
      </c>
      <c r="J1186">
        <v>28</v>
      </c>
      <c r="K1186" t="s">
        <v>49</v>
      </c>
      <c r="L1186" t="s">
        <v>26</v>
      </c>
      <c r="M1186" t="s">
        <v>84</v>
      </c>
      <c r="P1186" t="s">
        <v>28</v>
      </c>
      <c r="Q1186" t="s">
        <v>5483</v>
      </c>
      <c r="R1186" t="s">
        <v>5484</v>
      </c>
      <c r="S1186" t="s">
        <v>31</v>
      </c>
      <c r="T1186">
        <v>0</v>
      </c>
    </row>
    <row r="1187" spans="1:20" x14ac:dyDescent="0.25">
      <c r="A1187" t="s">
        <v>5485</v>
      </c>
      <c r="B1187" s="1">
        <v>45866</v>
      </c>
      <c r="C1187" s="5">
        <v>0.88072916666666667</v>
      </c>
      <c r="D1187">
        <v>186.21</v>
      </c>
      <c r="E1187" t="s">
        <v>44</v>
      </c>
      <c r="F1187" t="s">
        <v>5486</v>
      </c>
      <c r="G1187" t="s">
        <v>46</v>
      </c>
      <c r="H1187" t="s">
        <v>47</v>
      </c>
      <c r="I1187" t="s">
        <v>5487</v>
      </c>
      <c r="J1187">
        <v>40</v>
      </c>
      <c r="K1187" t="s">
        <v>37</v>
      </c>
      <c r="L1187" t="s">
        <v>50</v>
      </c>
      <c r="M1187" t="s">
        <v>84</v>
      </c>
      <c r="P1187" t="s">
        <v>28</v>
      </c>
      <c r="Q1187" t="s">
        <v>5488</v>
      </c>
      <c r="R1187" t="s">
        <v>5489</v>
      </c>
      <c r="S1187" t="s">
        <v>31</v>
      </c>
      <c r="T1187">
        <v>0</v>
      </c>
    </row>
    <row r="1188" spans="1:20" x14ac:dyDescent="0.25">
      <c r="A1188" t="s">
        <v>5490</v>
      </c>
      <c r="B1188" s="1">
        <v>45943</v>
      </c>
      <c r="C1188" s="5">
        <v>0.739375</v>
      </c>
      <c r="D1188">
        <v>53.58</v>
      </c>
      <c r="E1188" t="s">
        <v>44</v>
      </c>
      <c r="F1188" t="s">
        <v>2927</v>
      </c>
      <c r="G1188" t="s">
        <v>46</v>
      </c>
      <c r="H1188" t="s">
        <v>50</v>
      </c>
      <c r="I1188" t="s">
        <v>5491</v>
      </c>
      <c r="J1188">
        <v>19</v>
      </c>
      <c r="K1188" t="s">
        <v>37</v>
      </c>
      <c r="L1188" t="s">
        <v>47</v>
      </c>
      <c r="M1188" t="s">
        <v>112</v>
      </c>
      <c r="P1188" t="s">
        <v>28</v>
      </c>
      <c r="Q1188" t="s">
        <v>5492</v>
      </c>
      <c r="R1188" t="s">
        <v>5493</v>
      </c>
      <c r="S1188" t="s">
        <v>31</v>
      </c>
      <c r="T1188">
        <v>0</v>
      </c>
    </row>
    <row r="1189" spans="1:20" x14ac:dyDescent="0.25">
      <c r="A1189" t="s">
        <v>5494</v>
      </c>
      <c r="B1189" s="1">
        <v>45807</v>
      </c>
      <c r="C1189" s="5">
        <v>0.26709490740740743</v>
      </c>
      <c r="D1189">
        <v>161.80000000000001</v>
      </c>
      <c r="E1189" t="s">
        <v>44</v>
      </c>
      <c r="F1189" t="s">
        <v>1588</v>
      </c>
      <c r="G1189" t="s">
        <v>89</v>
      </c>
      <c r="H1189" t="s">
        <v>119</v>
      </c>
      <c r="I1189" t="s">
        <v>5495</v>
      </c>
      <c r="J1189">
        <v>60</v>
      </c>
      <c r="K1189" t="s">
        <v>37</v>
      </c>
      <c r="L1189" t="s">
        <v>97</v>
      </c>
      <c r="M1189" t="s">
        <v>39</v>
      </c>
      <c r="P1189" t="s">
        <v>28</v>
      </c>
      <c r="Q1189" t="s">
        <v>5496</v>
      </c>
      <c r="R1189" t="s">
        <v>5497</v>
      </c>
      <c r="S1189" t="s">
        <v>31</v>
      </c>
      <c r="T1189">
        <v>0</v>
      </c>
    </row>
    <row r="1190" spans="1:20" x14ac:dyDescent="0.25">
      <c r="A1190" t="s">
        <v>5498</v>
      </c>
      <c r="B1190" s="1">
        <v>45956</v>
      </c>
      <c r="C1190" s="5">
        <v>0.62307870370370366</v>
      </c>
      <c r="D1190">
        <v>1307.4000000000001</v>
      </c>
      <c r="E1190" t="s">
        <v>44</v>
      </c>
      <c r="F1190" t="s">
        <v>5499</v>
      </c>
      <c r="G1190" t="s">
        <v>77</v>
      </c>
      <c r="H1190" t="s">
        <v>26</v>
      </c>
      <c r="I1190" t="s">
        <v>5500</v>
      </c>
      <c r="J1190">
        <v>63</v>
      </c>
      <c r="K1190" t="s">
        <v>25</v>
      </c>
      <c r="L1190" t="s">
        <v>50</v>
      </c>
      <c r="M1190" t="s">
        <v>27</v>
      </c>
      <c r="P1190" t="s">
        <v>28</v>
      </c>
      <c r="Q1190" t="s">
        <v>5501</v>
      </c>
      <c r="R1190" t="s">
        <v>5502</v>
      </c>
      <c r="S1190" t="s">
        <v>31</v>
      </c>
      <c r="T1190">
        <v>0</v>
      </c>
    </row>
    <row r="1191" spans="1:20" x14ac:dyDescent="0.25">
      <c r="A1191" t="s">
        <v>5503</v>
      </c>
      <c r="B1191" s="1">
        <v>45827</v>
      </c>
      <c r="C1191" s="5">
        <v>0.30197916666666669</v>
      </c>
      <c r="D1191">
        <v>21.81</v>
      </c>
      <c r="E1191" t="s">
        <v>44</v>
      </c>
      <c r="F1191" t="s">
        <v>1916</v>
      </c>
      <c r="G1191" t="s">
        <v>89</v>
      </c>
      <c r="H1191" t="s">
        <v>97</v>
      </c>
      <c r="I1191" t="s">
        <v>5504</v>
      </c>
      <c r="J1191">
        <v>57</v>
      </c>
      <c r="K1191" t="s">
        <v>37</v>
      </c>
      <c r="L1191" t="s">
        <v>110</v>
      </c>
      <c r="M1191" t="s">
        <v>105</v>
      </c>
      <c r="P1191" t="s">
        <v>28</v>
      </c>
      <c r="Q1191" t="s">
        <v>5505</v>
      </c>
      <c r="R1191" t="s">
        <v>5506</v>
      </c>
      <c r="S1191" t="s">
        <v>31</v>
      </c>
      <c r="T1191">
        <v>0</v>
      </c>
    </row>
    <row r="1192" spans="1:20" x14ac:dyDescent="0.25">
      <c r="A1192" t="s">
        <v>5507</v>
      </c>
      <c r="B1192" s="1">
        <v>45836</v>
      </c>
      <c r="C1192" s="5">
        <v>0.91211805555555558</v>
      </c>
      <c r="D1192">
        <v>194.74</v>
      </c>
      <c r="E1192" t="s">
        <v>44</v>
      </c>
      <c r="F1192" t="s">
        <v>3447</v>
      </c>
      <c r="G1192" t="s">
        <v>64</v>
      </c>
      <c r="H1192" t="s">
        <v>91</v>
      </c>
      <c r="I1192" t="s">
        <v>5508</v>
      </c>
      <c r="J1192">
        <v>44</v>
      </c>
      <c r="K1192" t="s">
        <v>25</v>
      </c>
      <c r="L1192" t="s">
        <v>35</v>
      </c>
      <c r="M1192" t="s">
        <v>27</v>
      </c>
      <c r="P1192" t="s">
        <v>28</v>
      </c>
      <c r="Q1192" t="s">
        <v>5509</v>
      </c>
      <c r="R1192" t="s">
        <v>5510</v>
      </c>
      <c r="S1192" t="s">
        <v>31</v>
      </c>
      <c r="T1192">
        <v>0</v>
      </c>
    </row>
    <row r="1193" spans="1:20" x14ac:dyDescent="0.25">
      <c r="A1193" t="s">
        <v>5511</v>
      </c>
      <c r="B1193" s="1">
        <v>45958</v>
      </c>
      <c r="C1193" s="5">
        <v>0.77500000000000002</v>
      </c>
      <c r="D1193">
        <v>146.91999999999999</v>
      </c>
      <c r="E1193" t="s">
        <v>44</v>
      </c>
      <c r="F1193" t="s">
        <v>5512</v>
      </c>
      <c r="G1193" t="s">
        <v>34</v>
      </c>
      <c r="H1193" t="s">
        <v>97</v>
      </c>
      <c r="I1193" t="s">
        <v>5513</v>
      </c>
      <c r="J1193">
        <v>69</v>
      </c>
      <c r="K1193" t="s">
        <v>25</v>
      </c>
      <c r="L1193" t="s">
        <v>47</v>
      </c>
      <c r="M1193" t="s">
        <v>105</v>
      </c>
      <c r="P1193" t="s">
        <v>28</v>
      </c>
      <c r="Q1193" t="s">
        <v>5514</v>
      </c>
      <c r="R1193" t="s">
        <v>5515</v>
      </c>
      <c r="S1193" t="s">
        <v>101</v>
      </c>
      <c r="T1193">
        <v>0</v>
      </c>
    </row>
    <row r="1194" spans="1:20" x14ac:dyDescent="0.25">
      <c r="A1194" t="s">
        <v>5516</v>
      </c>
      <c r="B1194" s="1">
        <v>45906</v>
      </c>
      <c r="C1194" s="5">
        <v>0.72439814814814818</v>
      </c>
      <c r="D1194">
        <v>135.29</v>
      </c>
      <c r="E1194" t="s">
        <v>44</v>
      </c>
      <c r="F1194" t="s">
        <v>1846</v>
      </c>
      <c r="G1194" t="s">
        <v>57</v>
      </c>
      <c r="H1194" t="s">
        <v>66</v>
      </c>
      <c r="I1194" t="s">
        <v>5517</v>
      </c>
      <c r="J1194">
        <v>73</v>
      </c>
      <c r="K1194" t="s">
        <v>37</v>
      </c>
      <c r="L1194" t="s">
        <v>23</v>
      </c>
      <c r="M1194" t="s">
        <v>112</v>
      </c>
      <c r="P1194" t="s">
        <v>28</v>
      </c>
      <c r="Q1194" t="s">
        <v>5518</v>
      </c>
      <c r="R1194" t="s">
        <v>5519</v>
      </c>
      <c r="S1194" t="s">
        <v>42</v>
      </c>
      <c r="T1194">
        <v>0</v>
      </c>
    </row>
    <row r="1195" spans="1:20" x14ac:dyDescent="0.25">
      <c r="A1195" t="s">
        <v>5520</v>
      </c>
      <c r="B1195" s="1">
        <v>45799</v>
      </c>
      <c r="C1195" s="5">
        <v>0.78790509259259256</v>
      </c>
      <c r="D1195">
        <v>122.99</v>
      </c>
      <c r="E1195" t="s">
        <v>44</v>
      </c>
      <c r="F1195" t="s">
        <v>3934</v>
      </c>
      <c r="G1195" t="s">
        <v>57</v>
      </c>
      <c r="H1195" t="s">
        <v>91</v>
      </c>
      <c r="I1195" t="s">
        <v>5521</v>
      </c>
      <c r="J1195">
        <v>29</v>
      </c>
      <c r="K1195" t="s">
        <v>37</v>
      </c>
      <c r="L1195" t="s">
        <v>58</v>
      </c>
      <c r="M1195" t="s">
        <v>51</v>
      </c>
      <c r="N1195" t="s">
        <v>870</v>
      </c>
      <c r="O1195">
        <v>411446</v>
      </c>
      <c r="P1195" t="s">
        <v>28</v>
      </c>
      <c r="Q1195" t="s">
        <v>5522</v>
      </c>
      <c r="R1195" t="s">
        <v>5523</v>
      </c>
      <c r="S1195" t="s">
        <v>31</v>
      </c>
      <c r="T1195">
        <v>0</v>
      </c>
    </row>
    <row r="1196" spans="1:20" x14ac:dyDescent="0.25">
      <c r="A1196" t="s">
        <v>5524</v>
      </c>
      <c r="B1196" s="1">
        <v>45813</v>
      </c>
      <c r="C1196" s="5">
        <v>0.48016203703703703</v>
      </c>
      <c r="D1196">
        <v>354.53</v>
      </c>
      <c r="E1196" t="s">
        <v>44</v>
      </c>
      <c r="F1196" t="s">
        <v>688</v>
      </c>
      <c r="G1196" t="s">
        <v>96</v>
      </c>
      <c r="H1196" t="s">
        <v>23</v>
      </c>
      <c r="I1196" t="s">
        <v>5525</v>
      </c>
      <c r="J1196">
        <v>25</v>
      </c>
      <c r="K1196" t="s">
        <v>37</v>
      </c>
      <c r="L1196" t="s">
        <v>110</v>
      </c>
      <c r="M1196" t="s">
        <v>51</v>
      </c>
      <c r="N1196" t="s">
        <v>345</v>
      </c>
      <c r="O1196">
        <v>464545</v>
      </c>
      <c r="P1196" t="s">
        <v>28</v>
      </c>
      <c r="Q1196" t="s">
        <v>5526</v>
      </c>
      <c r="R1196" t="s">
        <v>5527</v>
      </c>
      <c r="S1196" t="s">
        <v>31</v>
      </c>
      <c r="T1196">
        <v>0</v>
      </c>
    </row>
    <row r="1197" spans="1:20" x14ac:dyDescent="0.25">
      <c r="A1197" t="s">
        <v>5528</v>
      </c>
      <c r="B1197" s="1">
        <v>45898</v>
      </c>
      <c r="C1197" s="5">
        <v>0.2434375</v>
      </c>
      <c r="D1197">
        <v>137.62</v>
      </c>
      <c r="E1197" t="s">
        <v>44</v>
      </c>
      <c r="F1197" t="s">
        <v>318</v>
      </c>
      <c r="G1197" t="s">
        <v>34</v>
      </c>
      <c r="H1197" t="s">
        <v>97</v>
      </c>
      <c r="I1197" t="s">
        <v>5529</v>
      </c>
      <c r="J1197">
        <v>75</v>
      </c>
      <c r="K1197" t="s">
        <v>49</v>
      </c>
      <c r="L1197" t="s">
        <v>58</v>
      </c>
      <c r="M1197" t="s">
        <v>51</v>
      </c>
      <c r="N1197" t="s">
        <v>52</v>
      </c>
      <c r="O1197">
        <v>517292</v>
      </c>
      <c r="P1197" t="s">
        <v>28</v>
      </c>
      <c r="Q1197" t="s">
        <v>5530</v>
      </c>
      <c r="R1197" t="s">
        <v>5531</v>
      </c>
      <c r="S1197" t="s">
        <v>31</v>
      </c>
      <c r="T1197">
        <v>0</v>
      </c>
    </row>
    <row r="1198" spans="1:20" x14ac:dyDescent="0.25">
      <c r="A1198" t="s">
        <v>5532</v>
      </c>
      <c r="B1198" s="1">
        <v>45882</v>
      </c>
      <c r="C1198" s="5">
        <v>2.8819444444444444E-3</v>
      </c>
      <c r="D1198">
        <v>180.18</v>
      </c>
      <c r="E1198" t="s">
        <v>44</v>
      </c>
      <c r="F1198" t="s">
        <v>3617</v>
      </c>
      <c r="G1198" t="s">
        <v>34</v>
      </c>
      <c r="H1198" t="s">
        <v>130</v>
      </c>
      <c r="I1198" t="s">
        <v>5533</v>
      </c>
      <c r="J1198">
        <v>29</v>
      </c>
      <c r="K1198" t="s">
        <v>49</v>
      </c>
      <c r="L1198" t="s">
        <v>97</v>
      </c>
      <c r="M1198" t="s">
        <v>105</v>
      </c>
      <c r="P1198" t="s">
        <v>28</v>
      </c>
      <c r="Q1198" t="s">
        <v>5534</v>
      </c>
      <c r="R1198" t="s">
        <v>5535</v>
      </c>
      <c r="S1198" t="s">
        <v>31</v>
      </c>
      <c r="T1198">
        <v>0</v>
      </c>
    </row>
    <row r="1199" spans="1:20" x14ac:dyDescent="0.25">
      <c r="A1199" t="s">
        <v>5536</v>
      </c>
      <c r="B1199" s="1">
        <v>45799</v>
      </c>
      <c r="C1199" s="5">
        <v>0.54134259259259254</v>
      </c>
      <c r="D1199">
        <v>173.23</v>
      </c>
      <c r="E1199" t="s">
        <v>44</v>
      </c>
      <c r="F1199" t="s">
        <v>5537</v>
      </c>
      <c r="G1199" t="s">
        <v>34</v>
      </c>
      <c r="H1199" t="s">
        <v>23</v>
      </c>
      <c r="I1199" t="s">
        <v>5538</v>
      </c>
      <c r="J1199">
        <v>64</v>
      </c>
      <c r="K1199" t="s">
        <v>49</v>
      </c>
      <c r="L1199" t="s">
        <v>26</v>
      </c>
      <c r="M1199" t="s">
        <v>51</v>
      </c>
      <c r="N1199" t="s">
        <v>345</v>
      </c>
      <c r="O1199">
        <v>449242</v>
      </c>
      <c r="P1199" t="s">
        <v>28</v>
      </c>
      <c r="Q1199" t="s">
        <v>5539</v>
      </c>
      <c r="R1199" t="s">
        <v>5540</v>
      </c>
      <c r="S1199" t="s">
        <v>31</v>
      </c>
      <c r="T1199">
        <v>1</v>
      </c>
    </row>
    <row r="1200" spans="1:20" x14ac:dyDescent="0.25">
      <c r="A1200" t="s">
        <v>5541</v>
      </c>
      <c r="B1200" s="1">
        <v>45798</v>
      </c>
      <c r="C1200" s="5">
        <v>0.34693287037037035</v>
      </c>
      <c r="D1200">
        <v>145.29</v>
      </c>
      <c r="E1200" t="s">
        <v>44</v>
      </c>
      <c r="F1200" t="s">
        <v>2190</v>
      </c>
      <c r="G1200" t="s">
        <v>89</v>
      </c>
      <c r="H1200" t="s">
        <v>110</v>
      </c>
      <c r="I1200" t="s">
        <v>5542</v>
      </c>
      <c r="J1200">
        <v>66</v>
      </c>
      <c r="K1200" t="s">
        <v>37</v>
      </c>
      <c r="L1200" t="s">
        <v>23</v>
      </c>
      <c r="M1200" t="s">
        <v>112</v>
      </c>
      <c r="P1200" t="s">
        <v>28</v>
      </c>
      <c r="Q1200" t="s">
        <v>5543</v>
      </c>
      <c r="R1200" t="s">
        <v>5544</v>
      </c>
      <c r="S1200" t="s">
        <v>42</v>
      </c>
      <c r="T1200">
        <v>0</v>
      </c>
    </row>
    <row r="1201" spans="1:20" x14ac:dyDescent="0.25">
      <c r="A1201" t="s">
        <v>5545</v>
      </c>
      <c r="B1201" s="1">
        <v>45824</v>
      </c>
      <c r="C1201" s="5">
        <v>0.15024305555555556</v>
      </c>
      <c r="D1201">
        <v>179.25</v>
      </c>
      <c r="E1201" t="s">
        <v>44</v>
      </c>
      <c r="F1201" t="s">
        <v>927</v>
      </c>
      <c r="G1201" t="s">
        <v>57</v>
      </c>
      <c r="H1201" t="s">
        <v>66</v>
      </c>
      <c r="I1201" t="s">
        <v>5546</v>
      </c>
      <c r="J1201">
        <v>66</v>
      </c>
      <c r="K1201" t="s">
        <v>49</v>
      </c>
      <c r="L1201" t="s">
        <v>38</v>
      </c>
      <c r="M1201" t="s">
        <v>84</v>
      </c>
      <c r="P1201" t="s">
        <v>28</v>
      </c>
      <c r="Q1201" t="s">
        <v>5547</v>
      </c>
      <c r="R1201" t="s">
        <v>5548</v>
      </c>
      <c r="S1201" t="s">
        <v>31</v>
      </c>
      <c r="T1201">
        <v>0</v>
      </c>
    </row>
    <row r="1202" spans="1:20" x14ac:dyDescent="0.25">
      <c r="A1202" t="s">
        <v>5549</v>
      </c>
      <c r="B1202" s="1">
        <v>45799</v>
      </c>
      <c r="C1202" s="5">
        <v>0.64511574074074074</v>
      </c>
      <c r="D1202">
        <v>189.79</v>
      </c>
      <c r="E1202" t="s">
        <v>44</v>
      </c>
      <c r="F1202" t="s">
        <v>3960</v>
      </c>
      <c r="G1202" t="s">
        <v>34</v>
      </c>
      <c r="H1202" t="s">
        <v>23</v>
      </c>
      <c r="I1202" t="s">
        <v>5550</v>
      </c>
      <c r="J1202">
        <v>37</v>
      </c>
      <c r="K1202" t="s">
        <v>25</v>
      </c>
      <c r="L1202" t="s">
        <v>97</v>
      </c>
      <c r="M1202" t="s">
        <v>51</v>
      </c>
      <c r="N1202" t="s">
        <v>173</v>
      </c>
      <c r="O1202">
        <v>544941</v>
      </c>
      <c r="P1202" t="s">
        <v>28</v>
      </c>
      <c r="Q1202" t="s">
        <v>5551</v>
      </c>
      <c r="R1202" t="s">
        <v>5552</v>
      </c>
      <c r="S1202" t="s">
        <v>31</v>
      </c>
      <c r="T1202">
        <v>0</v>
      </c>
    </row>
    <row r="1203" spans="1:20" x14ac:dyDescent="0.25">
      <c r="A1203" t="s">
        <v>5553</v>
      </c>
      <c r="B1203" s="1">
        <v>45918</v>
      </c>
      <c r="C1203" s="5">
        <v>0.97031250000000002</v>
      </c>
      <c r="D1203">
        <v>194.21</v>
      </c>
      <c r="E1203" t="s">
        <v>44</v>
      </c>
      <c r="F1203" t="s">
        <v>4972</v>
      </c>
      <c r="G1203" t="s">
        <v>57</v>
      </c>
      <c r="H1203" t="s">
        <v>248</v>
      </c>
      <c r="I1203" t="s">
        <v>5554</v>
      </c>
      <c r="J1203">
        <v>31</v>
      </c>
      <c r="K1203" t="s">
        <v>25</v>
      </c>
      <c r="L1203" t="s">
        <v>26</v>
      </c>
      <c r="M1203" t="s">
        <v>84</v>
      </c>
      <c r="P1203" t="s">
        <v>28</v>
      </c>
      <c r="Q1203" t="s">
        <v>5555</v>
      </c>
      <c r="R1203" t="s">
        <v>5556</v>
      </c>
      <c r="S1203" t="s">
        <v>31</v>
      </c>
      <c r="T1203">
        <v>0</v>
      </c>
    </row>
    <row r="1204" spans="1:20" x14ac:dyDescent="0.25">
      <c r="A1204" t="s">
        <v>5557</v>
      </c>
      <c r="B1204" s="1">
        <v>45827</v>
      </c>
      <c r="C1204" s="5">
        <v>2.6388888888888889E-2</v>
      </c>
      <c r="D1204">
        <v>89.35</v>
      </c>
      <c r="E1204" t="s">
        <v>44</v>
      </c>
      <c r="F1204" t="s">
        <v>546</v>
      </c>
      <c r="G1204" t="s">
        <v>124</v>
      </c>
      <c r="H1204" t="s">
        <v>50</v>
      </c>
      <c r="I1204" t="s">
        <v>5558</v>
      </c>
      <c r="J1204">
        <v>33</v>
      </c>
      <c r="K1204" t="s">
        <v>37</v>
      </c>
      <c r="L1204" t="s">
        <v>50</v>
      </c>
      <c r="M1204" t="s">
        <v>112</v>
      </c>
      <c r="P1204" t="s">
        <v>113</v>
      </c>
      <c r="Q1204" t="s">
        <v>5559</v>
      </c>
      <c r="R1204" t="s">
        <v>5560</v>
      </c>
      <c r="S1204" t="s">
        <v>42</v>
      </c>
      <c r="T1204">
        <v>0</v>
      </c>
    </row>
    <row r="1205" spans="1:20" x14ac:dyDescent="0.25">
      <c r="A1205" t="s">
        <v>5561</v>
      </c>
      <c r="B1205" s="1">
        <v>45867</v>
      </c>
      <c r="C1205" s="5">
        <v>0.1870023148148148</v>
      </c>
      <c r="D1205">
        <v>129.88999999999999</v>
      </c>
      <c r="E1205" t="s">
        <v>44</v>
      </c>
      <c r="F1205" t="s">
        <v>2062</v>
      </c>
      <c r="G1205" t="s">
        <v>77</v>
      </c>
      <c r="H1205" t="s">
        <v>26</v>
      </c>
      <c r="I1205" t="s">
        <v>5562</v>
      </c>
      <c r="J1205">
        <v>53</v>
      </c>
      <c r="K1205" t="s">
        <v>25</v>
      </c>
      <c r="L1205" t="s">
        <v>38</v>
      </c>
      <c r="M1205" t="s">
        <v>105</v>
      </c>
      <c r="P1205" t="s">
        <v>28</v>
      </c>
      <c r="Q1205" t="s">
        <v>5563</v>
      </c>
      <c r="R1205" t="s">
        <v>5564</v>
      </c>
      <c r="S1205" t="s">
        <v>31</v>
      </c>
      <c r="T1205">
        <v>0</v>
      </c>
    </row>
    <row r="1206" spans="1:20" x14ac:dyDescent="0.25">
      <c r="A1206" t="s">
        <v>5565</v>
      </c>
      <c r="B1206" s="1">
        <v>45855</v>
      </c>
      <c r="C1206" s="5">
        <v>0.99689814814814814</v>
      </c>
      <c r="D1206">
        <v>627.16999999999996</v>
      </c>
      <c r="E1206" t="s">
        <v>44</v>
      </c>
      <c r="F1206" t="s">
        <v>5566</v>
      </c>
      <c r="G1206" t="s">
        <v>89</v>
      </c>
      <c r="H1206" t="s">
        <v>38</v>
      </c>
      <c r="I1206" t="s">
        <v>5567</v>
      </c>
      <c r="J1206">
        <v>41</v>
      </c>
      <c r="K1206" t="s">
        <v>49</v>
      </c>
      <c r="L1206" t="s">
        <v>110</v>
      </c>
      <c r="M1206" t="s">
        <v>51</v>
      </c>
      <c r="N1206" t="s">
        <v>173</v>
      </c>
      <c r="O1206">
        <v>552586</v>
      </c>
      <c r="P1206" t="s">
        <v>28</v>
      </c>
      <c r="Q1206" t="s">
        <v>5568</v>
      </c>
      <c r="R1206" t="s">
        <v>5569</v>
      </c>
      <c r="S1206" t="s">
        <v>31</v>
      </c>
      <c r="T1206">
        <v>0</v>
      </c>
    </row>
    <row r="1207" spans="1:20" x14ac:dyDescent="0.25">
      <c r="A1207" t="s">
        <v>5570</v>
      </c>
      <c r="B1207" s="1">
        <v>45836</v>
      </c>
      <c r="C1207" s="5">
        <v>0.23581018518518518</v>
      </c>
      <c r="D1207">
        <v>37.549999999999997</v>
      </c>
      <c r="E1207" t="s">
        <v>44</v>
      </c>
      <c r="F1207" t="s">
        <v>2810</v>
      </c>
      <c r="G1207" t="s">
        <v>46</v>
      </c>
      <c r="H1207" t="s">
        <v>66</v>
      </c>
      <c r="I1207" t="s">
        <v>5571</v>
      </c>
      <c r="J1207">
        <v>66</v>
      </c>
      <c r="K1207" t="s">
        <v>25</v>
      </c>
      <c r="L1207" t="s">
        <v>97</v>
      </c>
      <c r="M1207" t="s">
        <v>27</v>
      </c>
      <c r="P1207" t="s">
        <v>28</v>
      </c>
      <c r="Q1207" t="s">
        <v>5572</v>
      </c>
      <c r="R1207" t="s">
        <v>736</v>
      </c>
      <c r="S1207" t="s">
        <v>31</v>
      </c>
      <c r="T1207">
        <v>0</v>
      </c>
    </row>
    <row r="1208" spans="1:20" x14ac:dyDescent="0.25">
      <c r="A1208" t="s">
        <v>5573</v>
      </c>
      <c r="B1208" s="1">
        <v>45894</v>
      </c>
      <c r="C1208" s="5">
        <v>0.3936574074074074</v>
      </c>
      <c r="D1208">
        <v>72.510000000000005</v>
      </c>
      <c r="E1208" t="s">
        <v>44</v>
      </c>
      <c r="F1208" t="s">
        <v>758</v>
      </c>
      <c r="G1208" t="s">
        <v>64</v>
      </c>
      <c r="H1208" t="s">
        <v>66</v>
      </c>
      <c r="I1208" t="s">
        <v>5574</v>
      </c>
      <c r="J1208">
        <v>72</v>
      </c>
      <c r="K1208" t="s">
        <v>49</v>
      </c>
      <c r="L1208" t="s">
        <v>248</v>
      </c>
      <c r="M1208" t="s">
        <v>105</v>
      </c>
      <c r="P1208" t="s">
        <v>28</v>
      </c>
      <c r="Q1208" t="s">
        <v>5575</v>
      </c>
      <c r="R1208" t="s">
        <v>5576</v>
      </c>
      <c r="S1208" t="s">
        <v>42</v>
      </c>
      <c r="T1208">
        <v>0</v>
      </c>
    </row>
    <row r="1209" spans="1:20" x14ac:dyDescent="0.25">
      <c r="A1209" t="s">
        <v>5577</v>
      </c>
      <c r="B1209" s="1">
        <v>45923</v>
      </c>
      <c r="C1209" s="5">
        <v>1.8275462962962962E-2</v>
      </c>
      <c r="D1209">
        <v>37.31</v>
      </c>
      <c r="E1209" t="s">
        <v>44</v>
      </c>
      <c r="F1209" t="s">
        <v>849</v>
      </c>
      <c r="G1209" t="s">
        <v>77</v>
      </c>
      <c r="H1209" t="s">
        <v>26</v>
      </c>
      <c r="I1209" t="s">
        <v>5578</v>
      </c>
      <c r="J1209">
        <v>51</v>
      </c>
      <c r="K1209" t="s">
        <v>49</v>
      </c>
      <c r="L1209" t="s">
        <v>66</v>
      </c>
      <c r="M1209" t="s">
        <v>51</v>
      </c>
      <c r="N1209" t="s">
        <v>870</v>
      </c>
      <c r="O1209">
        <v>436666</v>
      </c>
      <c r="P1209" t="s">
        <v>28</v>
      </c>
      <c r="Q1209" t="s">
        <v>5579</v>
      </c>
      <c r="R1209" t="s">
        <v>5580</v>
      </c>
      <c r="S1209" t="s">
        <v>31</v>
      </c>
      <c r="T1209">
        <v>0</v>
      </c>
    </row>
    <row r="1210" spans="1:20" x14ac:dyDescent="0.25">
      <c r="A1210" t="s">
        <v>5581</v>
      </c>
      <c r="B1210" s="1">
        <v>45859</v>
      </c>
      <c r="C1210" s="5">
        <v>3.9872685185185185E-2</v>
      </c>
      <c r="D1210">
        <v>166.82</v>
      </c>
      <c r="E1210" t="s">
        <v>44</v>
      </c>
      <c r="F1210" t="s">
        <v>5582</v>
      </c>
      <c r="G1210" t="s">
        <v>89</v>
      </c>
      <c r="H1210" t="s">
        <v>97</v>
      </c>
      <c r="I1210" t="s">
        <v>5583</v>
      </c>
      <c r="J1210">
        <v>56</v>
      </c>
      <c r="K1210" t="s">
        <v>25</v>
      </c>
      <c r="L1210" t="s">
        <v>119</v>
      </c>
      <c r="M1210" t="s">
        <v>112</v>
      </c>
      <c r="P1210" t="s">
        <v>28</v>
      </c>
      <c r="Q1210" t="s">
        <v>5584</v>
      </c>
      <c r="R1210" t="s">
        <v>5585</v>
      </c>
      <c r="S1210" t="s">
        <v>31</v>
      </c>
      <c r="T1210">
        <v>0</v>
      </c>
    </row>
    <row r="1211" spans="1:20" x14ac:dyDescent="0.25">
      <c r="A1211" t="s">
        <v>5586</v>
      </c>
      <c r="B1211" s="1">
        <v>45929</v>
      </c>
      <c r="C1211" s="5">
        <v>0.44620370370370371</v>
      </c>
      <c r="D1211">
        <v>30.56</v>
      </c>
      <c r="E1211" t="s">
        <v>44</v>
      </c>
      <c r="F1211" t="s">
        <v>3469</v>
      </c>
      <c r="G1211" t="s">
        <v>57</v>
      </c>
      <c r="H1211" t="s">
        <v>38</v>
      </c>
      <c r="I1211" t="s">
        <v>5587</v>
      </c>
      <c r="J1211">
        <v>41</v>
      </c>
      <c r="K1211" t="s">
        <v>37</v>
      </c>
      <c r="L1211" t="s">
        <v>110</v>
      </c>
      <c r="M1211" t="s">
        <v>105</v>
      </c>
      <c r="P1211" t="s">
        <v>28</v>
      </c>
      <c r="Q1211" t="s">
        <v>5588</v>
      </c>
      <c r="R1211" t="s">
        <v>5589</v>
      </c>
      <c r="S1211" t="s">
        <v>31</v>
      </c>
      <c r="T1211">
        <v>0</v>
      </c>
    </row>
    <row r="1212" spans="1:20" x14ac:dyDescent="0.25">
      <c r="A1212" t="s">
        <v>5590</v>
      </c>
      <c r="B1212" s="1">
        <v>45839</v>
      </c>
      <c r="C1212" s="5">
        <v>0.79155092592592591</v>
      </c>
      <c r="D1212">
        <v>134.99</v>
      </c>
      <c r="E1212" t="s">
        <v>44</v>
      </c>
      <c r="F1212" t="s">
        <v>3216</v>
      </c>
      <c r="G1212" t="s">
        <v>34</v>
      </c>
      <c r="H1212" t="s">
        <v>146</v>
      </c>
      <c r="I1212" t="s">
        <v>5591</v>
      </c>
      <c r="J1212">
        <v>34</v>
      </c>
      <c r="K1212" t="s">
        <v>49</v>
      </c>
      <c r="L1212" t="s">
        <v>119</v>
      </c>
      <c r="M1212" t="s">
        <v>51</v>
      </c>
      <c r="N1212" t="s">
        <v>870</v>
      </c>
      <c r="O1212">
        <v>478556</v>
      </c>
      <c r="P1212" t="s">
        <v>28</v>
      </c>
      <c r="Q1212" t="s">
        <v>5592</v>
      </c>
      <c r="R1212" t="s">
        <v>5593</v>
      </c>
      <c r="S1212" t="s">
        <v>31</v>
      </c>
      <c r="T1212">
        <v>0</v>
      </c>
    </row>
    <row r="1213" spans="1:20" x14ac:dyDescent="0.25">
      <c r="A1213" t="s">
        <v>5594</v>
      </c>
      <c r="B1213" s="1">
        <v>45781</v>
      </c>
      <c r="C1213" s="5">
        <v>0.67425925925925922</v>
      </c>
      <c r="D1213">
        <v>3.28</v>
      </c>
      <c r="E1213" t="s">
        <v>44</v>
      </c>
      <c r="F1213" t="s">
        <v>4025</v>
      </c>
      <c r="G1213" t="s">
        <v>124</v>
      </c>
      <c r="H1213" t="s">
        <v>23</v>
      </c>
      <c r="I1213" t="s">
        <v>5595</v>
      </c>
      <c r="J1213">
        <v>74</v>
      </c>
      <c r="K1213" t="s">
        <v>37</v>
      </c>
      <c r="L1213" t="s">
        <v>146</v>
      </c>
      <c r="M1213" t="s">
        <v>112</v>
      </c>
      <c r="P1213" t="s">
        <v>28</v>
      </c>
      <c r="Q1213" t="s">
        <v>5596</v>
      </c>
      <c r="R1213" t="s">
        <v>5597</v>
      </c>
      <c r="S1213" t="s">
        <v>31</v>
      </c>
      <c r="T1213">
        <v>0</v>
      </c>
    </row>
    <row r="1214" spans="1:20" x14ac:dyDescent="0.25">
      <c r="A1214" t="s">
        <v>5598</v>
      </c>
      <c r="B1214" s="1">
        <v>45834</v>
      </c>
      <c r="C1214" s="5">
        <v>0.37078703703703703</v>
      </c>
      <c r="D1214">
        <v>161.1</v>
      </c>
      <c r="E1214" t="s">
        <v>44</v>
      </c>
      <c r="F1214" t="s">
        <v>3115</v>
      </c>
      <c r="G1214" t="s">
        <v>77</v>
      </c>
      <c r="H1214" t="s">
        <v>110</v>
      </c>
      <c r="I1214" t="s">
        <v>5599</v>
      </c>
      <c r="J1214">
        <v>72</v>
      </c>
      <c r="K1214" t="s">
        <v>37</v>
      </c>
      <c r="L1214" t="s">
        <v>130</v>
      </c>
      <c r="M1214" t="s">
        <v>105</v>
      </c>
      <c r="P1214" t="s">
        <v>28</v>
      </c>
      <c r="Q1214" t="s">
        <v>5600</v>
      </c>
      <c r="R1214" t="s">
        <v>5601</v>
      </c>
      <c r="S1214" t="s">
        <v>101</v>
      </c>
      <c r="T1214">
        <v>0</v>
      </c>
    </row>
    <row r="1215" spans="1:20" x14ac:dyDescent="0.25">
      <c r="A1215" t="s">
        <v>5602</v>
      </c>
      <c r="B1215" s="1">
        <v>45830</v>
      </c>
      <c r="C1215" s="5">
        <v>0.42799768518518516</v>
      </c>
      <c r="D1215">
        <v>168.45</v>
      </c>
      <c r="E1215" t="s">
        <v>44</v>
      </c>
      <c r="F1215" t="s">
        <v>5603</v>
      </c>
      <c r="G1215" t="s">
        <v>64</v>
      </c>
      <c r="H1215" t="s">
        <v>50</v>
      </c>
      <c r="I1215" t="s">
        <v>5604</v>
      </c>
      <c r="J1215">
        <v>50</v>
      </c>
      <c r="K1215" t="s">
        <v>49</v>
      </c>
      <c r="L1215" t="s">
        <v>26</v>
      </c>
      <c r="M1215" t="s">
        <v>112</v>
      </c>
      <c r="P1215" t="s">
        <v>28</v>
      </c>
      <c r="Q1215" t="s">
        <v>5605</v>
      </c>
      <c r="R1215" t="s">
        <v>5606</v>
      </c>
      <c r="S1215" t="s">
        <v>31</v>
      </c>
      <c r="T1215">
        <v>1</v>
      </c>
    </row>
    <row r="1216" spans="1:20" x14ac:dyDescent="0.25">
      <c r="A1216" t="s">
        <v>5607</v>
      </c>
      <c r="B1216" s="1">
        <v>45934</v>
      </c>
      <c r="C1216" s="5">
        <v>0.20023148148148148</v>
      </c>
      <c r="D1216">
        <v>159.51</v>
      </c>
      <c r="E1216" t="s">
        <v>44</v>
      </c>
      <c r="F1216" t="s">
        <v>4770</v>
      </c>
      <c r="G1216" t="s">
        <v>46</v>
      </c>
      <c r="H1216" t="s">
        <v>146</v>
      </c>
      <c r="I1216" t="s">
        <v>5608</v>
      </c>
      <c r="J1216">
        <v>39</v>
      </c>
      <c r="K1216" t="s">
        <v>25</v>
      </c>
      <c r="L1216" t="s">
        <v>119</v>
      </c>
      <c r="M1216" t="s">
        <v>112</v>
      </c>
      <c r="P1216" t="s">
        <v>28</v>
      </c>
      <c r="Q1216" t="s">
        <v>5609</v>
      </c>
      <c r="R1216" t="s">
        <v>5610</v>
      </c>
      <c r="S1216" t="s">
        <v>31</v>
      </c>
      <c r="T1216">
        <v>0</v>
      </c>
    </row>
    <row r="1217" spans="1:20" x14ac:dyDescent="0.25">
      <c r="A1217" t="s">
        <v>5611</v>
      </c>
      <c r="B1217" s="1">
        <v>45811</v>
      </c>
      <c r="C1217" s="5">
        <v>0.16075231481481481</v>
      </c>
      <c r="D1217">
        <v>186.6</v>
      </c>
      <c r="E1217" t="s">
        <v>44</v>
      </c>
      <c r="F1217" t="s">
        <v>1418</v>
      </c>
      <c r="G1217" t="s">
        <v>46</v>
      </c>
      <c r="H1217" t="s">
        <v>50</v>
      </c>
      <c r="I1217" t="s">
        <v>5612</v>
      </c>
      <c r="J1217">
        <v>21</v>
      </c>
      <c r="K1217" t="s">
        <v>37</v>
      </c>
      <c r="L1217" t="s">
        <v>26</v>
      </c>
      <c r="M1217" t="s">
        <v>51</v>
      </c>
      <c r="N1217" t="s">
        <v>507</v>
      </c>
      <c r="O1217">
        <v>514611</v>
      </c>
      <c r="P1217" t="s">
        <v>28</v>
      </c>
      <c r="Q1217" t="s">
        <v>5613</v>
      </c>
      <c r="R1217" t="s">
        <v>5614</v>
      </c>
      <c r="S1217" t="s">
        <v>31</v>
      </c>
      <c r="T1217">
        <v>0</v>
      </c>
    </row>
    <row r="1218" spans="1:20" x14ac:dyDescent="0.25">
      <c r="A1218" t="s">
        <v>5615</v>
      </c>
      <c r="B1218" s="1">
        <v>45925</v>
      </c>
      <c r="C1218" s="5">
        <v>0.19187499999999999</v>
      </c>
      <c r="D1218">
        <v>58.42</v>
      </c>
      <c r="E1218" t="s">
        <v>44</v>
      </c>
      <c r="F1218" t="s">
        <v>253</v>
      </c>
      <c r="G1218" t="s">
        <v>46</v>
      </c>
      <c r="H1218" t="s">
        <v>97</v>
      </c>
      <c r="I1218" t="s">
        <v>5616</v>
      </c>
      <c r="J1218">
        <v>30</v>
      </c>
      <c r="K1218" t="s">
        <v>37</v>
      </c>
      <c r="L1218" t="s">
        <v>248</v>
      </c>
      <c r="M1218" t="s">
        <v>84</v>
      </c>
      <c r="P1218" t="s">
        <v>28</v>
      </c>
      <c r="Q1218" t="s">
        <v>5617</v>
      </c>
      <c r="R1218" t="s">
        <v>5618</v>
      </c>
      <c r="S1218" t="s">
        <v>31</v>
      </c>
      <c r="T1218">
        <v>0</v>
      </c>
    </row>
    <row r="1219" spans="1:20" x14ac:dyDescent="0.25">
      <c r="A1219" t="s">
        <v>5619</v>
      </c>
      <c r="B1219" s="1">
        <v>45805</v>
      </c>
      <c r="C1219" s="5">
        <v>0.10932870370370371</v>
      </c>
      <c r="D1219">
        <v>43.2</v>
      </c>
      <c r="E1219" t="s">
        <v>44</v>
      </c>
      <c r="F1219" t="s">
        <v>481</v>
      </c>
      <c r="G1219" t="s">
        <v>64</v>
      </c>
      <c r="H1219" t="s">
        <v>23</v>
      </c>
      <c r="I1219" t="s">
        <v>5620</v>
      </c>
      <c r="J1219">
        <v>45</v>
      </c>
      <c r="K1219" t="s">
        <v>25</v>
      </c>
      <c r="L1219" t="s">
        <v>248</v>
      </c>
      <c r="M1219" t="s">
        <v>84</v>
      </c>
      <c r="P1219" t="s">
        <v>28</v>
      </c>
      <c r="Q1219" t="s">
        <v>5621</v>
      </c>
      <c r="R1219" t="s">
        <v>5622</v>
      </c>
      <c r="S1219" t="s">
        <v>31</v>
      </c>
      <c r="T1219">
        <v>0</v>
      </c>
    </row>
    <row r="1220" spans="1:20" x14ac:dyDescent="0.25">
      <c r="A1220" t="s">
        <v>5623</v>
      </c>
      <c r="B1220" s="1">
        <v>45926</v>
      </c>
      <c r="C1220" s="5">
        <v>0.22010416666666666</v>
      </c>
      <c r="D1220">
        <v>942.23</v>
      </c>
      <c r="E1220" t="s">
        <v>44</v>
      </c>
      <c r="F1220" t="s">
        <v>5624</v>
      </c>
      <c r="G1220" t="s">
        <v>77</v>
      </c>
      <c r="H1220" t="s">
        <v>146</v>
      </c>
      <c r="I1220" t="s">
        <v>5625</v>
      </c>
      <c r="J1220">
        <v>31</v>
      </c>
      <c r="K1220" t="s">
        <v>49</v>
      </c>
      <c r="L1220" t="s">
        <v>110</v>
      </c>
      <c r="M1220" t="s">
        <v>27</v>
      </c>
      <c r="P1220" t="s">
        <v>28</v>
      </c>
      <c r="Q1220" t="s">
        <v>5626</v>
      </c>
      <c r="R1220" t="s">
        <v>5627</v>
      </c>
      <c r="S1220" t="s">
        <v>31</v>
      </c>
      <c r="T1220">
        <v>0</v>
      </c>
    </row>
    <row r="1221" spans="1:20" x14ac:dyDescent="0.25">
      <c r="A1221" t="s">
        <v>5628</v>
      </c>
      <c r="B1221" s="1">
        <v>45915</v>
      </c>
      <c r="C1221" s="5">
        <v>6.6631944444444438E-2</v>
      </c>
      <c r="D1221">
        <v>135.36000000000001</v>
      </c>
      <c r="E1221" t="s">
        <v>44</v>
      </c>
      <c r="F1221" t="s">
        <v>1823</v>
      </c>
      <c r="G1221" t="s">
        <v>64</v>
      </c>
      <c r="H1221" t="s">
        <v>97</v>
      </c>
      <c r="I1221" t="s">
        <v>5629</v>
      </c>
      <c r="J1221">
        <v>54</v>
      </c>
      <c r="K1221" t="s">
        <v>37</v>
      </c>
      <c r="L1221" t="s">
        <v>23</v>
      </c>
      <c r="M1221" t="s">
        <v>51</v>
      </c>
      <c r="N1221" t="s">
        <v>173</v>
      </c>
      <c r="O1221">
        <v>436814</v>
      </c>
      <c r="P1221" t="s">
        <v>28</v>
      </c>
      <c r="Q1221" t="s">
        <v>5630</v>
      </c>
      <c r="R1221" t="s">
        <v>5631</v>
      </c>
      <c r="S1221" t="s">
        <v>31</v>
      </c>
      <c r="T1221">
        <v>0</v>
      </c>
    </row>
    <row r="1222" spans="1:20" x14ac:dyDescent="0.25">
      <c r="A1222" t="s">
        <v>5632</v>
      </c>
      <c r="B1222" s="1">
        <v>45862</v>
      </c>
      <c r="C1222" s="5">
        <v>0.45064814814814813</v>
      </c>
      <c r="D1222">
        <v>166.2</v>
      </c>
      <c r="E1222" t="s">
        <v>44</v>
      </c>
      <c r="F1222" t="s">
        <v>1752</v>
      </c>
      <c r="G1222" t="s">
        <v>89</v>
      </c>
      <c r="H1222" t="s">
        <v>97</v>
      </c>
      <c r="I1222" t="s">
        <v>5633</v>
      </c>
      <c r="J1222">
        <v>19</v>
      </c>
      <c r="K1222" t="s">
        <v>37</v>
      </c>
      <c r="L1222" t="s">
        <v>58</v>
      </c>
      <c r="M1222" t="s">
        <v>39</v>
      </c>
      <c r="P1222" t="s">
        <v>28</v>
      </c>
      <c r="Q1222" t="s">
        <v>5634</v>
      </c>
      <c r="R1222" t="s">
        <v>5635</v>
      </c>
      <c r="S1222" t="s">
        <v>31</v>
      </c>
      <c r="T1222">
        <v>0</v>
      </c>
    </row>
    <row r="1223" spans="1:20" x14ac:dyDescent="0.25">
      <c r="A1223" t="s">
        <v>5636</v>
      </c>
      <c r="B1223" s="1">
        <v>45932</v>
      </c>
      <c r="C1223" s="5">
        <v>0.72828703703703701</v>
      </c>
      <c r="D1223">
        <v>18.57</v>
      </c>
      <c r="E1223" t="s">
        <v>44</v>
      </c>
      <c r="F1223" t="s">
        <v>5637</v>
      </c>
      <c r="G1223" t="s">
        <v>64</v>
      </c>
      <c r="H1223" t="s">
        <v>47</v>
      </c>
      <c r="I1223" t="s">
        <v>5638</v>
      </c>
      <c r="J1223">
        <v>40</v>
      </c>
      <c r="K1223" t="s">
        <v>37</v>
      </c>
      <c r="L1223" t="s">
        <v>97</v>
      </c>
      <c r="M1223" t="s">
        <v>51</v>
      </c>
      <c r="N1223" t="s">
        <v>173</v>
      </c>
      <c r="O1223">
        <v>523261</v>
      </c>
      <c r="P1223" t="s">
        <v>28</v>
      </c>
      <c r="Q1223" t="s">
        <v>5639</v>
      </c>
      <c r="R1223" t="s">
        <v>5145</v>
      </c>
      <c r="S1223" t="s">
        <v>31</v>
      </c>
      <c r="T1223">
        <v>0</v>
      </c>
    </row>
    <row r="1224" spans="1:20" x14ac:dyDescent="0.25">
      <c r="A1224" t="s">
        <v>5640</v>
      </c>
      <c r="B1224" s="1">
        <v>45862</v>
      </c>
      <c r="C1224" s="5">
        <v>0.59293981481481484</v>
      </c>
      <c r="D1224">
        <v>556.11</v>
      </c>
      <c r="E1224" t="s">
        <v>44</v>
      </c>
      <c r="F1224" t="s">
        <v>1427</v>
      </c>
      <c r="G1224" t="s">
        <v>64</v>
      </c>
      <c r="H1224" t="s">
        <v>248</v>
      </c>
      <c r="I1224" t="s">
        <v>5641</v>
      </c>
      <c r="J1224">
        <v>18</v>
      </c>
      <c r="K1224" t="s">
        <v>37</v>
      </c>
      <c r="L1224" t="s">
        <v>146</v>
      </c>
      <c r="M1224" t="s">
        <v>105</v>
      </c>
      <c r="P1224" t="s">
        <v>28</v>
      </c>
      <c r="Q1224" t="s">
        <v>5642</v>
      </c>
      <c r="R1224" t="s">
        <v>5643</v>
      </c>
      <c r="S1224" t="s">
        <v>31</v>
      </c>
      <c r="T1224">
        <v>0</v>
      </c>
    </row>
    <row r="1225" spans="1:20" x14ac:dyDescent="0.25">
      <c r="A1225" t="s">
        <v>5644</v>
      </c>
      <c r="B1225" s="1">
        <v>45876</v>
      </c>
      <c r="C1225" s="5">
        <v>1.3032407407407407E-2</v>
      </c>
      <c r="D1225">
        <v>63.73</v>
      </c>
      <c r="E1225" t="s">
        <v>44</v>
      </c>
      <c r="F1225" t="s">
        <v>4355</v>
      </c>
      <c r="G1225" t="s">
        <v>124</v>
      </c>
      <c r="H1225" t="s">
        <v>130</v>
      </c>
      <c r="I1225" t="s">
        <v>884</v>
      </c>
      <c r="J1225">
        <v>71</v>
      </c>
      <c r="K1225" t="s">
        <v>25</v>
      </c>
      <c r="L1225" t="s">
        <v>38</v>
      </c>
      <c r="M1225" t="s">
        <v>84</v>
      </c>
      <c r="P1225" t="s">
        <v>28</v>
      </c>
      <c r="Q1225" t="s">
        <v>5645</v>
      </c>
      <c r="R1225" t="s">
        <v>5646</v>
      </c>
      <c r="S1225" t="s">
        <v>31</v>
      </c>
      <c r="T1225">
        <v>0</v>
      </c>
    </row>
    <row r="1226" spans="1:20" x14ac:dyDescent="0.25">
      <c r="A1226" t="s">
        <v>5647</v>
      </c>
      <c r="B1226" s="1">
        <v>45803</v>
      </c>
      <c r="C1226" s="5">
        <v>0.82800925925925928</v>
      </c>
      <c r="D1226">
        <v>130.41</v>
      </c>
      <c r="E1226" t="s">
        <v>44</v>
      </c>
      <c r="F1226" t="s">
        <v>5648</v>
      </c>
      <c r="G1226" t="s">
        <v>89</v>
      </c>
      <c r="H1226" t="s">
        <v>23</v>
      </c>
      <c r="I1226" t="s">
        <v>5649</v>
      </c>
      <c r="J1226">
        <v>57</v>
      </c>
      <c r="K1226" t="s">
        <v>37</v>
      </c>
      <c r="L1226" t="s">
        <v>97</v>
      </c>
      <c r="M1226" t="s">
        <v>39</v>
      </c>
      <c r="P1226" t="s">
        <v>28</v>
      </c>
      <c r="Q1226" t="s">
        <v>5650</v>
      </c>
      <c r="R1226" t="s">
        <v>5651</v>
      </c>
      <c r="S1226" t="s">
        <v>31</v>
      </c>
      <c r="T1226">
        <v>0</v>
      </c>
    </row>
    <row r="1227" spans="1:20" x14ac:dyDescent="0.25">
      <c r="A1227" t="s">
        <v>5652</v>
      </c>
      <c r="B1227" s="1">
        <v>45875</v>
      </c>
      <c r="C1227" s="5">
        <v>3.1574074074074074E-2</v>
      </c>
      <c r="D1227">
        <v>53.1</v>
      </c>
      <c r="E1227" t="s">
        <v>44</v>
      </c>
      <c r="F1227" t="s">
        <v>5653</v>
      </c>
      <c r="G1227" t="s">
        <v>71</v>
      </c>
      <c r="H1227" t="s">
        <v>110</v>
      </c>
      <c r="I1227" t="s">
        <v>5654</v>
      </c>
      <c r="J1227">
        <v>22</v>
      </c>
      <c r="K1227" t="s">
        <v>49</v>
      </c>
      <c r="L1227" t="s">
        <v>58</v>
      </c>
      <c r="M1227" t="s">
        <v>105</v>
      </c>
      <c r="P1227" t="s">
        <v>28</v>
      </c>
      <c r="Q1227" t="s">
        <v>5655</v>
      </c>
      <c r="R1227" t="s">
        <v>5656</v>
      </c>
      <c r="S1227" t="s">
        <v>31</v>
      </c>
      <c r="T1227">
        <v>1</v>
      </c>
    </row>
    <row r="1228" spans="1:20" x14ac:dyDescent="0.25">
      <c r="A1228" t="s">
        <v>5657</v>
      </c>
      <c r="B1228" s="1">
        <v>45910</v>
      </c>
      <c r="C1228" s="5">
        <v>0.95803240740740736</v>
      </c>
      <c r="D1228">
        <v>177.15</v>
      </c>
      <c r="E1228" t="s">
        <v>44</v>
      </c>
      <c r="F1228" t="s">
        <v>937</v>
      </c>
      <c r="G1228" t="s">
        <v>124</v>
      </c>
      <c r="H1228" t="s">
        <v>47</v>
      </c>
      <c r="I1228" t="s">
        <v>5658</v>
      </c>
      <c r="J1228">
        <v>62</v>
      </c>
      <c r="K1228" t="s">
        <v>37</v>
      </c>
      <c r="L1228" t="s">
        <v>97</v>
      </c>
      <c r="M1228" t="s">
        <v>51</v>
      </c>
      <c r="N1228" t="s">
        <v>345</v>
      </c>
      <c r="O1228">
        <v>550456</v>
      </c>
      <c r="P1228" t="s">
        <v>28</v>
      </c>
      <c r="Q1228" t="s">
        <v>5659</v>
      </c>
      <c r="R1228" t="s">
        <v>5660</v>
      </c>
      <c r="S1228" t="s">
        <v>42</v>
      </c>
      <c r="T1228">
        <v>0</v>
      </c>
    </row>
    <row r="1229" spans="1:20" x14ac:dyDescent="0.25">
      <c r="A1229" t="s">
        <v>5661</v>
      </c>
      <c r="B1229" s="1">
        <v>45944</v>
      </c>
      <c r="C1229" s="5">
        <v>0.50108796296296299</v>
      </c>
      <c r="D1229">
        <v>82.97</v>
      </c>
      <c r="E1229" t="s">
        <v>44</v>
      </c>
      <c r="F1229" t="s">
        <v>5662</v>
      </c>
      <c r="G1229" t="s">
        <v>64</v>
      </c>
      <c r="H1229" t="s">
        <v>58</v>
      </c>
      <c r="I1229" t="s">
        <v>5663</v>
      </c>
      <c r="J1229">
        <v>60</v>
      </c>
      <c r="K1229" t="s">
        <v>37</v>
      </c>
      <c r="L1229" t="s">
        <v>97</v>
      </c>
      <c r="M1229" t="s">
        <v>105</v>
      </c>
      <c r="P1229" t="s">
        <v>28</v>
      </c>
      <c r="Q1229" t="s">
        <v>5664</v>
      </c>
      <c r="R1229" t="s">
        <v>5665</v>
      </c>
      <c r="S1229" t="s">
        <v>31</v>
      </c>
      <c r="T1229">
        <v>0</v>
      </c>
    </row>
    <row r="1230" spans="1:20" x14ac:dyDescent="0.25">
      <c r="A1230" t="s">
        <v>5666</v>
      </c>
      <c r="B1230" s="1">
        <v>45863</v>
      </c>
      <c r="C1230" s="5">
        <v>0.15400462962962963</v>
      </c>
      <c r="D1230">
        <v>30.35</v>
      </c>
      <c r="E1230" t="s">
        <v>44</v>
      </c>
      <c r="F1230" t="s">
        <v>1177</v>
      </c>
      <c r="G1230" t="s">
        <v>46</v>
      </c>
      <c r="H1230" t="s">
        <v>26</v>
      </c>
      <c r="I1230" t="s">
        <v>5667</v>
      </c>
      <c r="J1230">
        <v>28</v>
      </c>
      <c r="K1230" t="s">
        <v>25</v>
      </c>
      <c r="L1230" t="s">
        <v>91</v>
      </c>
      <c r="M1230" t="s">
        <v>105</v>
      </c>
      <c r="P1230" t="s">
        <v>28</v>
      </c>
      <c r="Q1230" t="s">
        <v>5668</v>
      </c>
      <c r="R1230" t="s">
        <v>5669</v>
      </c>
      <c r="S1230" t="s">
        <v>31</v>
      </c>
      <c r="T1230">
        <v>0</v>
      </c>
    </row>
    <row r="1231" spans="1:20" x14ac:dyDescent="0.25">
      <c r="A1231" t="s">
        <v>5670</v>
      </c>
      <c r="B1231" s="1">
        <v>45813</v>
      </c>
      <c r="C1231" s="5">
        <v>0.9038194444444444</v>
      </c>
      <c r="D1231">
        <v>64.739999999999995</v>
      </c>
      <c r="E1231" t="s">
        <v>44</v>
      </c>
      <c r="F1231" t="s">
        <v>5671</v>
      </c>
      <c r="G1231" t="s">
        <v>89</v>
      </c>
      <c r="H1231" t="s">
        <v>66</v>
      </c>
      <c r="I1231" t="s">
        <v>5672</v>
      </c>
      <c r="J1231">
        <v>36</v>
      </c>
      <c r="K1231" t="s">
        <v>25</v>
      </c>
      <c r="L1231" t="s">
        <v>91</v>
      </c>
      <c r="M1231" t="s">
        <v>84</v>
      </c>
      <c r="P1231" t="s">
        <v>28</v>
      </c>
      <c r="Q1231" t="s">
        <v>5673</v>
      </c>
      <c r="R1231" t="s">
        <v>5674</v>
      </c>
      <c r="S1231" t="s">
        <v>31</v>
      </c>
      <c r="T1231">
        <v>0</v>
      </c>
    </row>
    <row r="1232" spans="1:20" x14ac:dyDescent="0.25">
      <c r="A1232" t="s">
        <v>5675</v>
      </c>
      <c r="B1232" s="1">
        <v>45794</v>
      </c>
      <c r="C1232" s="5">
        <v>0.93077546296296299</v>
      </c>
      <c r="D1232">
        <v>2379.6799999999998</v>
      </c>
      <c r="E1232" t="s">
        <v>44</v>
      </c>
      <c r="F1232" t="s">
        <v>5676</v>
      </c>
      <c r="G1232" t="s">
        <v>77</v>
      </c>
      <c r="H1232" t="s">
        <v>130</v>
      </c>
      <c r="I1232" t="s">
        <v>5677</v>
      </c>
      <c r="J1232">
        <v>69</v>
      </c>
      <c r="K1232" t="s">
        <v>49</v>
      </c>
      <c r="L1232" t="s">
        <v>248</v>
      </c>
      <c r="M1232" t="s">
        <v>84</v>
      </c>
      <c r="P1232" t="s">
        <v>28</v>
      </c>
      <c r="Q1232" t="s">
        <v>5678</v>
      </c>
      <c r="R1232" t="s">
        <v>5679</v>
      </c>
      <c r="S1232" t="s">
        <v>31</v>
      </c>
      <c r="T1232">
        <v>0</v>
      </c>
    </row>
    <row r="1233" spans="1:20" x14ac:dyDescent="0.25">
      <c r="A1233" t="s">
        <v>5680</v>
      </c>
      <c r="B1233" s="1">
        <v>45847</v>
      </c>
      <c r="C1233" s="5">
        <v>0.11010416666666667</v>
      </c>
      <c r="D1233">
        <v>69.55</v>
      </c>
      <c r="E1233" t="s">
        <v>44</v>
      </c>
      <c r="F1233" t="s">
        <v>1087</v>
      </c>
      <c r="G1233" t="s">
        <v>22</v>
      </c>
      <c r="H1233" t="s">
        <v>119</v>
      </c>
      <c r="I1233" t="s">
        <v>5681</v>
      </c>
      <c r="J1233">
        <v>65</v>
      </c>
      <c r="K1233" t="s">
        <v>25</v>
      </c>
      <c r="L1233" t="s">
        <v>35</v>
      </c>
      <c r="M1233" t="s">
        <v>39</v>
      </c>
      <c r="P1233" t="s">
        <v>28</v>
      </c>
      <c r="Q1233" t="s">
        <v>5682</v>
      </c>
      <c r="R1233" t="s">
        <v>5683</v>
      </c>
      <c r="S1233" t="s">
        <v>31</v>
      </c>
      <c r="T1233">
        <v>0</v>
      </c>
    </row>
    <row r="1234" spans="1:20" x14ac:dyDescent="0.25">
      <c r="A1234" t="s">
        <v>5684</v>
      </c>
      <c r="B1234" s="1">
        <v>45935</v>
      </c>
      <c r="C1234" s="5">
        <v>0.34789351851851852</v>
      </c>
      <c r="D1234">
        <v>95.54</v>
      </c>
      <c r="E1234" t="s">
        <v>44</v>
      </c>
      <c r="F1234" t="s">
        <v>88</v>
      </c>
      <c r="G1234" t="s">
        <v>22</v>
      </c>
      <c r="H1234" t="s">
        <v>91</v>
      </c>
      <c r="I1234" t="s">
        <v>5685</v>
      </c>
      <c r="J1234">
        <v>22</v>
      </c>
      <c r="K1234" t="s">
        <v>25</v>
      </c>
      <c r="L1234" t="s">
        <v>248</v>
      </c>
      <c r="M1234" t="s">
        <v>112</v>
      </c>
      <c r="P1234" t="s">
        <v>28</v>
      </c>
      <c r="Q1234" t="s">
        <v>5686</v>
      </c>
      <c r="R1234" t="s">
        <v>5687</v>
      </c>
      <c r="S1234" t="s">
        <v>31</v>
      </c>
      <c r="T1234">
        <v>0</v>
      </c>
    </row>
    <row r="1235" spans="1:20" x14ac:dyDescent="0.25">
      <c r="A1235" t="s">
        <v>5688</v>
      </c>
      <c r="B1235" s="1">
        <v>45781</v>
      </c>
      <c r="C1235" s="5">
        <v>7.9965277777777774E-2</v>
      </c>
      <c r="D1235">
        <v>135.65</v>
      </c>
      <c r="E1235" t="s">
        <v>44</v>
      </c>
      <c r="F1235" t="s">
        <v>4421</v>
      </c>
      <c r="G1235" t="s">
        <v>96</v>
      </c>
      <c r="H1235" t="s">
        <v>146</v>
      </c>
      <c r="I1235" t="s">
        <v>5689</v>
      </c>
      <c r="J1235">
        <v>40</v>
      </c>
      <c r="K1235" t="s">
        <v>49</v>
      </c>
      <c r="L1235" t="s">
        <v>38</v>
      </c>
      <c r="M1235" t="s">
        <v>112</v>
      </c>
      <c r="P1235" t="s">
        <v>28</v>
      </c>
      <c r="Q1235" t="s">
        <v>5690</v>
      </c>
      <c r="R1235" t="s">
        <v>5691</v>
      </c>
      <c r="S1235" t="s">
        <v>31</v>
      </c>
      <c r="T1235">
        <v>0</v>
      </c>
    </row>
    <row r="1236" spans="1:20" x14ac:dyDescent="0.25">
      <c r="A1236" t="s">
        <v>5692</v>
      </c>
      <c r="B1236" s="1">
        <v>45956</v>
      </c>
      <c r="C1236" s="5">
        <v>0.87635416666666666</v>
      </c>
      <c r="D1236">
        <v>68.16</v>
      </c>
      <c r="E1236" t="s">
        <v>44</v>
      </c>
      <c r="F1236" t="s">
        <v>4532</v>
      </c>
      <c r="G1236" t="s">
        <v>71</v>
      </c>
      <c r="H1236" t="s">
        <v>50</v>
      </c>
      <c r="I1236" t="s">
        <v>5693</v>
      </c>
      <c r="J1236">
        <v>33</v>
      </c>
      <c r="K1236" t="s">
        <v>25</v>
      </c>
      <c r="L1236" t="s">
        <v>91</v>
      </c>
      <c r="M1236" t="s">
        <v>105</v>
      </c>
      <c r="P1236" t="s">
        <v>28</v>
      </c>
      <c r="Q1236" t="s">
        <v>5694</v>
      </c>
      <c r="R1236" t="s">
        <v>5695</v>
      </c>
      <c r="S1236" t="s">
        <v>31</v>
      </c>
      <c r="T1236">
        <v>0</v>
      </c>
    </row>
    <row r="1237" spans="1:20" x14ac:dyDescent="0.25">
      <c r="A1237" t="s">
        <v>5696</v>
      </c>
      <c r="B1237" s="1">
        <v>45800</v>
      </c>
      <c r="C1237" s="5">
        <v>1.8229166666666668E-2</v>
      </c>
      <c r="D1237">
        <v>187.85</v>
      </c>
      <c r="E1237" t="s">
        <v>44</v>
      </c>
      <c r="F1237" t="s">
        <v>3261</v>
      </c>
      <c r="G1237" t="s">
        <v>124</v>
      </c>
      <c r="H1237" t="s">
        <v>26</v>
      </c>
      <c r="I1237" t="s">
        <v>5697</v>
      </c>
      <c r="J1237">
        <v>42</v>
      </c>
      <c r="K1237" t="s">
        <v>25</v>
      </c>
      <c r="L1237" t="s">
        <v>23</v>
      </c>
      <c r="M1237" t="s">
        <v>84</v>
      </c>
      <c r="P1237" t="s">
        <v>28</v>
      </c>
      <c r="Q1237" t="s">
        <v>5698</v>
      </c>
      <c r="R1237" t="s">
        <v>5699</v>
      </c>
      <c r="S1237" t="s">
        <v>101</v>
      </c>
      <c r="T1237">
        <v>0</v>
      </c>
    </row>
    <row r="1238" spans="1:20" x14ac:dyDescent="0.25">
      <c r="A1238" t="s">
        <v>5700</v>
      </c>
      <c r="B1238" s="1">
        <v>45806</v>
      </c>
      <c r="C1238" s="5">
        <v>4.7002314814814816E-2</v>
      </c>
      <c r="D1238">
        <v>95.81</v>
      </c>
      <c r="E1238" t="s">
        <v>44</v>
      </c>
      <c r="F1238" t="s">
        <v>4067</v>
      </c>
      <c r="G1238" t="s">
        <v>34</v>
      </c>
      <c r="H1238" t="s">
        <v>130</v>
      </c>
      <c r="I1238" t="s">
        <v>5701</v>
      </c>
      <c r="J1238">
        <v>22</v>
      </c>
      <c r="K1238" t="s">
        <v>25</v>
      </c>
      <c r="L1238" t="s">
        <v>58</v>
      </c>
      <c r="M1238" t="s">
        <v>112</v>
      </c>
      <c r="P1238" t="s">
        <v>28</v>
      </c>
      <c r="Q1238" t="s">
        <v>5702</v>
      </c>
      <c r="R1238" t="s">
        <v>5703</v>
      </c>
      <c r="S1238" t="s">
        <v>31</v>
      </c>
      <c r="T1238">
        <v>0</v>
      </c>
    </row>
    <row r="1239" spans="1:20" x14ac:dyDescent="0.25">
      <c r="A1239" t="s">
        <v>5704</v>
      </c>
      <c r="B1239" s="1">
        <v>45862</v>
      </c>
      <c r="C1239" s="5">
        <v>5.2743055555555557E-2</v>
      </c>
      <c r="D1239">
        <v>28.72</v>
      </c>
      <c r="E1239" t="s">
        <v>44</v>
      </c>
      <c r="F1239" t="s">
        <v>5705</v>
      </c>
      <c r="G1239" t="s">
        <v>57</v>
      </c>
      <c r="H1239" t="s">
        <v>146</v>
      </c>
      <c r="I1239" t="s">
        <v>5706</v>
      </c>
      <c r="J1239">
        <v>51</v>
      </c>
      <c r="K1239" t="s">
        <v>25</v>
      </c>
      <c r="L1239" t="s">
        <v>130</v>
      </c>
      <c r="M1239" t="s">
        <v>84</v>
      </c>
      <c r="P1239" t="s">
        <v>28</v>
      </c>
      <c r="Q1239" t="s">
        <v>5707</v>
      </c>
      <c r="R1239" t="s">
        <v>5708</v>
      </c>
      <c r="S1239" t="s">
        <v>42</v>
      </c>
      <c r="T1239">
        <v>0</v>
      </c>
    </row>
    <row r="1240" spans="1:20" x14ac:dyDescent="0.25">
      <c r="A1240" t="s">
        <v>5709</v>
      </c>
      <c r="B1240" s="1">
        <v>45788</v>
      </c>
      <c r="C1240" s="5">
        <v>0.34157407407407409</v>
      </c>
      <c r="D1240">
        <v>110.48</v>
      </c>
      <c r="E1240" t="s">
        <v>44</v>
      </c>
      <c r="F1240" t="s">
        <v>2556</v>
      </c>
      <c r="G1240" t="s">
        <v>96</v>
      </c>
      <c r="H1240" t="s">
        <v>110</v>
      </c>
      <c r="I1240" t="s">
        <v>5710</v>
      </c>
      <c r="J1240">
        <v>28</v>
      </c>
      <c r="K1240" t="s">
        <v>49</v>
      </c>
      <c r="L1240" t="s">
        <v>110</v>
      </c>
      <c r="M1240" t="s">
        <v>105</v>
      </c>
      <c r="P1240" t="s">
        <v>113</v>
      </c>
      <c r="Q1240" t="s">
        <v>5711</v>
      </c>
      <c r="R1240" t="s">
        <v>5712</v>
      </c>
      <c r="S1240" t="s">
        <v>31</v>
      </c>
      <c r="T1240">
        <v>0</v>
      </c>
    </row>
    <row r="1241" spans="1:20" x14ac:dyDescent="0.25">
      <c r="A1241" t="s">
        <v>5713</v>
      </c>
      <c r="B1241" s="1">
        <v>45864</v>
      </c>
      <c r="C1241" s="5">
        <v>0.95239583333333333</v>
      </c>
      <c r="D1241">
        <v>940.26</v>
      </c>
      <c r="E1241" t="s">
        <v>44</v>
      </c>
      <c r="F1241" t="s">
        <v>4696</v>
      </c>
      <c r="G1241" t="s">
        <v>89</v>
      </c>
      <c r="H1241" t="s">
        <v>91</v>
      </c>
      <c r="I1241" t="s">
        <v>5714</v>
      </c>
      <c r="J1241">
        <v>50</v>
      </c>
      <c r="K1241" t="s">
        <v>25</v>
      </c>
      <c r="L1241" t="s">
        <v>119</v>
      </c>
      <c r="M1241" t="s">
        <v>105</v>
      </c>
      <c r="P1241" t="s">
        <v>28</v>
      </c>
      <c r="Q1241" t="s">
        <v>5715</v>
      </c>
      <c r="R1241" t="s">
        <v>5716</v>
      </c>
      <c r="S1241" t="s">
        <v>31</v>
      </c>
      <c r="T1241">
        <v>1</v>
      </c>
    </row>
    <row r="1242" spans="1:20" x14ac:dyDescent="0.25">
      <c r="A1242" t="s">
        <v>5717</v>
      </c>
      <c r="B1242" s="1">
        <v>45790</v>
      </c>
      <c r="C1242" s="5">
        <v>0.51918981481481485</v>
      </c>
      <c r="D1242">
        <v>158.49</v>
      </c>
      <c r="E1242" t="s">
        <v>44</v>
      </c>
      <c r="F1242" t="s">
        <v>5718</v>
      </c>
      <c r="G1242" t="s">
        <v>57</v>
      </c>
      <c r="H1242" t="s">
        <v>66</v>
      </c>
      <c r="I1242" t="s">
        <v>5719</v>
      </c>
      <c r="J1242">
        <v>30</v>
      </c>
      <c r="K1242" t="s">
        <v>49</v>
      </c>
      <c r="L1242" t="s">
        <v>35</v>
      </c>
      <c r="M1242" t="s">
        <v>39</v>
      </c>
      <c r="P1242" t="s">
        <v>28</v>
      </c>
      <c r="Q1242" t="s">
        <v>5720</v>
      </c>
      <c r="R1242" t="s">
        <v>5721</v>
      </c>
      <c r="S1242" t="s">
        <v>31</v>
      </c>
      <c r="T1242">
        <v>0</v>
      </c>
    </row>
    <row r="1243" spans="1:20" x14ac:dyDescent="0.25">
      <c r="A1243" t="s">
        <v>5722</v>
      </c>
      <c r="B1243" s="1">
        <v>45789</v>
      </c>
      <c r="C1243" s="5">
        <v>0.13849537037037038</v>
      </c>
      <c r="D1243">
        <v>4750.9399999999996</v>
      </c>
      <c r="E1243" t="s">
        <v>44</v>
      </c>
      <c r="F1243" t="s">
        <v>5723</v>
      </c>
      <c r="G1243" t="s">
        <v>96</v>
      </c>
      <c r="H1243" t="s">
        <v>35</v>
      </c>
      <c r="I1243" t="s">
        <v>5724</v>
      </c>
      <c r="J1243">
        <v>48</v>
      </c>
      <c r="K1243" t="s">
        <v>49</v>
      </c>
      <c r="L1243" t="s">
        <v>26</v>
      </c>
      <c r="M1243" t="s">
        <v>105</v>
      </c>
      <c r="P1243" t="s">
        <v>28</v>
      </c>
      <c r="Q1243" t="s">
        <v>5725</v>
      </c>
      <c r="R1243" t="s">
        <v>5726</v>
      </c>
      <c r="S1243" t="s">
        <v>31</v>
      </c>
      <c r="T1243">
        <v>0</v>
      </c>
    </row>
    <row r="1244" spans="1:20" x14ac:dyDescent="0.25">
      <c r="A1244" t="s">
        <v>5727</v>
      </c>
      <c r="B1244" s="1">
        <v>45922</v>
      </c>
      <c r="C1244" s="5">
        <v>0.11173611111111111</v>
      </c>
      <c r="D1244">
        <v>158.71</v>
      </c>
      <c r="E1244" t="s">
        <v>44</v>
      </c>
      <c r="F1244" t="s">
        <v>433</v>
      </c>
      <c r="G1244" t="s">
        <v>96</v>
      </c>
      <c r="H1244" t="s">
        <v>23</v>
      </c>
      <c r="I1244" t="s">
        <v>5728</v>
      </c>
      <c r="J1244">
        <v>18</v>
      </c>
      <c r="K1244" t="s">
        <v>37</v>
      </c>
      <c r="L1244" t="s">
        <v>97</v>
      </c>
      <c r="M1244" t="s">
        <v>112</v>
      </c>
      <c r="P1244" t="s">
        <v>28</v>
      </c>
      <c r="Q1244" t="s">
        <v>5729</v>
      </c>
      <c r="R1244" t="s">
        <v>5730</v>
      </c>
      <c r="S1244" t="s">
        <v>101</v>
      </c>
      <c r="T1244">
        <v>0</v>
      </c>
    </row>
    <row r="1245" spans="1:20" x14ac:dyDescent="0.25">
      <c r="A1245" t="s">
        <v>5731</v>
      </c>
      <c r="B1245" s="1">
        <v>45951</v>
      </c>
      <c r="C1245" s="5">
        <v>0.57280092592592591</v>
      </c>
      <c r="D1245">
        <v>193.16</v>
      </c>
      <c r="E1245" t="s">
        <v>44</v>
      </c>
      <c r="F1245" t="s">
        <v>5732</v>
      </c>
      <c r="G1245" t="s">
        <v>96</v>
      </c>
      <c r="H1245" t="s">
        <v>23</v>
      </c>
      <c r="I1245" t="s">
        <v>5733</v>
      </c>
      <c r="J1245">
        <v>40</v>
      </c>
      <c r="K1245" t="s">
        <v>25</v>
      </c>
      <c r="L1245" t="s">
        <v>38</v>
      </c>
      <c r="M1245" t="s">
        <v>84</v>
      </c>
      <c r="P1245" t="s">
        <v>28</v>
      </c>
      <c r="Q1245" t="s">
        <v>5734</v>
      </c>
      <c r="R1245" t="s">
        <v>5735</v>
      </c>
      <c r="S1245" t="s">
        <v>31</v>
      </c>
      <c r="T1245">
        <v>0</v>
      </c>
    </row>
    <row r="1246" spans="1:20" x14ac:dyDescent="0.25">
      <c r="A1246" t="s">
        <v>5736</v>
      </c>
      <c r="B1246" s="1">
        <v>45852</v>
      </c>
      <c r="C1246" s="5">
        <v>0.76718750000000002</v>
      </c>
      <c r="D1246">
        <v>142.51</v>
      </c>
      <c r="E1246" t="s">
        <v>44</v>
      </c>
      <c r="F1246" t="s">
        <v>4833</v>
      </c>
      <c r="G1246" t="s">
        <v>89</v>
      </c>
      <c r="H1246" t="s">
        <v>97</v>
      </c>
      <c r="I1246" t="s">
        <v>5737</v>
      </c>
      <c r="J1246">
        <v>23</v>
      </c>
      <c r="K1246" t="s">
        <v>37</v>
      </c>
      <c r="L1246" t="s">
        <v>248</v>
      </c>
      <c r="M1246" t="s">
        <v>51</v>
      </c>
      <c r="N1246" t="s">
        <v>52</v>
      </c>
      <c r="O1246">
        <v>542020</v>
      </c>
      <c r="P1246" t="s">
        <v>28</v>
      </c>
      <c r="Q1246" t="s">
        <v>5738</v>
      </c>
      <c r="R1246" t="s">
        <v>5739</v>
      </c>
      <c r="S1246" t="s">
        <v>31</v>
      </c>
      <c r="T1246">
        <v>0</v>
      </c>
    </row>
    <row r="1247" spans="1:20" x14ac:dyDescent="0.25">
      <c r="A1247" t="s">
        <v>5740</v>
      </c>
      <c r="B1247" s="1">
        <v>45895</v>
      </c>
      <c r="C1247" s="5">
        <v>0.46353009259259259</v>
      </c>
      <c r="D1247">
        <v>394.91</v>
      </c>
      <c r="E1247" t="s">
        <v>44</v>
      </c>
      <c r="F1247" t="s">
        <v>3026</v>
      </c>
      <c r="G1247" t="s">
        <v>71</v>
      </c>
      <c r="H1247" t="s">
        <v>23</v>
      </c>
      <c r="I1247" t="s">
        <v>5741</v>
      </c>
      <c r="J1247">
        <v>31</v>
      </c>
      <c r="K1247" t="s">
        <v>25</v>
      </c>
      <c r="L1247" t="s">
        <v>50</v>
      </c>
      <c r="M1247" t="s">
        <v>84</v>
      </c>
      <c r="P1247" t="s">
        <v>28</v>
      </c>
      <c r="Q1247" t="s">
        <v>5742</v>
      </c>
      <c r="R1247" t="s">
        <v>5743</v>
      </c>
      <c r="S1247" t="s">
        <v>31</v>
      </c>
      <c r="T1247">
        <v>0</v>
      </c>
    </row>
    <row r="1248" spans="1:20" x14ac:dyDescent="0.25">
      <c r="A1248" t="s">
        <v>5744</v>
      </c>
      <c r="B1248" s="1">
        <v>45935</v>
      </c>
      <c r="C1248" s="5">
        <v>0.51322916666666663</v>
      </c>
      <c r="D1248">
        <v>140.1</v>
      </c>
      <c r="E1248" t="s">
        <v>44</v>
      </c>
      <c r="F1248" t="s">
        <v>4448</v>
      </c>
      <c r="G1248" t="s">
        <v>34</v>
      </c>
      <c r="H1248" t="s">
        <v>119</v>
      </c>
      <c r="I1248" t="s">
        <v>5745</v>
      </c>
      <c r="J1248">
        <v>19</v>
      </c>
      <c r="K1248" t="s">
        <v>37</v>
      </c>
      <c r="L1248" t="s">
        <v>91</v>
      </c>
      <c r="M1248" t="s">
        <v>39</v>
      </c>
      <c r="P1248" t="s">
        <v>28</v>
      </c>
      <c r="Q1248" t="s">
        <v>5746</v>
      </c>
      <c r="R1248" t="s">
        <v>5747</v>
      </c>
      <c r="S1248" t="s">
        <v>31</v>
      </c>
      <c r="T1248">
        <v>0</v>
      </c>
    </row>
    <row r="1249" spans="1:20" x14ac:dyDescent="0.25">
      <c r="A1249" t="s">
        <v>5748</v>
      </c>
      <c r="B1249" s="1">
        <v>45901</v>
      </c>
      <c r="C1249" s="5">
        <v>0.53413194444444445</v>
      </c>
      <c r="D1249">
        <v>19.89</v>
      </c>
      <c r="E1249" t="s">
        <v>44</v>
      </c>
      <c r="F1249" t="s">
        <v>2062</v>
      </c>
      <c r="G1249" t="s">
        <v>77</v>
      </c>
      <c r="H1249" t="s">
        <v>91</v>
      </c>
      <c r="I1249" t="s">
        <v>5749</v>
      </c>
      <c r="K1249" t="s">
        <v>37</v>
      </c>
      <c r="L1249" t="s">
        <v>66</v>
      </c>
      <c r="M1249" t="s">
        <v>105</v>
      </c>
      <c r="P1249" t="s">
        <v>28</v>
      </c>
      <c r="Q1249" t="s">
        <v>5750</v>
      </c>
      <c r="R1249" t="s">
        <v>5751</v>
      </c>
      <c r="S1249" t="s">
        <v>42</v>
      </c>
      <c r="T1249">
        <v>0</v>
      </c>
    </row>
    <row r="1250" spans="1:20" x14ac:dyDescent="0.25">
      <c r="A1250" t="s">
        <v>5752</v>
      </c>
      <c r="B1250" s="1">
        <v>45788</v>
      </c>
      <c r="C1250" s="5">
        <v>0.96659722222222222</v>
      </c>
      <c r="D1250">
        <v>34</v>
      </c>
      <c r="E1250" t="s">
        <v>44</v>
      </c>
      <c r="F1250" t="s">
        <v>4838</v>
      </c>
      <c r="G1250" t="s">
        <v>89</v>
      </c>
      <c r="H1250" t="s">
        <v>58</v>
      </c>
      <c r="I1250" t="s">
        <v>5753</v>
      </c>
      <c r="J1250">
        <v>40</v>
      </c>
      <c r="K1250" t="s">
        <v>25</v>
      </c>
      <c r="L1250" t="s">
        <v>47</v>
      </c>
      <c r="M1250" t="s">
        <v>39</v>
      </c>
      <c r="P1250" t="s">
        <v>28</v>
      </c>
      <c r="Q1250" t="s">
        <v>5754</v>
      </c>
      <c r="R1250" t="s">
        <v>5755</v>
      </c>
      <c r="S1250" t="s">
        <v>31</v>
      </c>
      <c r="T1250">
        <v>0</v>
      </c>
    </row>
    <row r="1251" spans="1:20" x14ac:dyDescent="0.25">
      <c r="A1251" t="s">
        <v>5756</v>
      </c>
      <c r="B1251" s="1">
        <v>45865</v>
      </c>
      <c r="C1251" s="5">
        <v>0.91774305555555558</v>
      </c>
      <c r="D1251">
        <v>153.41</v>
      </c>
      <c r="E1251" t="s">
        <v>44</v>
      </c>
      <c r="F1251" t="s">
        <v>2244</v>
      </c>
      <c r="G1251" t="s">
        <v>64</v>
      </c>
      <c r="H1251" t="s">
        <v>66</v>
      </c>
      <c r="I1251" t="s">
        <v>5757</v>
      </c>
      <c r="J1251">
        <v>18</v>
      </c>
      <c r="K1251" t="s">
        <v>25</v>
      </c>
      <c r="L1251" t="s">
        <v>58</v>
      </c>
      <c r="M1251" t="s">
        <v>39</v>
      </c>
      <c r="P1251" t="s">
        <v>28</v>
      </c>
      <c r="Q1251" t="s">
        <v>5758</v>
      </c>
      <c r="R1251" t="s">
        <v>5759</v>
      </c>
      <c r="S1251" t="s">
        <v>31</v>
      </c>
      <c r="T1251">
        <v>0</v>
      </c>
    </row>
    <row r="1252" spans="1:20" x14ac:dyDescent="0.25">
      <c r="A1252" t="s">
        <v>5760</v>
      </c>
      <c r="B1252" s="1">
        <v>45858</v>
      </c>
      <c r="C1252" s="5">
        <v>0.13424768518518518</v>
      </c>
      <c r="D1252">
        <v>41.14</v>
      </c>
      <c r="E1252" t="s">
        <v>44</v>
      </c>
      <c r="F1252" t="s">
        <v>2598</v>
      </c>
      <c r="G1252" t="s">
        <v>34</v>
      </c>
      <c r="H1252" t="s">
        <v>66</v>
      </c>
      <c r="I1252" t="s">
        <v>5761</v>
      </c>
      <c r="J1252">
        <v>35</v>
      </c>
      <c r="K1252" t="s">
        <v>49</v>
      </c>
      <c r="L1252" t="s">
        <v>66</v>
      </c>
      <c r="M1252" t="s">
        <v>39</v>
      </c>
      <c r="P1252" t="s">
        <v>113</v>
      </c>
      <c r="Q1252" t="s">
        <v>5762</v>
      </c>
      <c r="R1252" t="s">
        <v>5763</v>
      </c>
      <c r="S1252" t="s">
        <v>31</v>
      </c>
      <c r="T1252">
        <v>0</v>
      </c>
    </row>
    <row r="1253" spans="1:20" x14ac:dyDescent="0.25">
      <c r="A1253" t="s">
        <v>5764</v>
      </c>
      <c r="B1253" s="1">
        <v>45916</v>
      </c>
      <c r="C1253" s="5">
        <v>0.97993055555555553</v>
      </c>
      <c r="D1253">
        <v>88.4</v>
      </c>
      <c r="E1253" t="s">
        <v>44</v>
      </c>
      <c r="F1253" t="s">
        <v>63</v>
      </c>
      <c r="G1253" t="s">
        <v>64</v>
      </c>
      <c r="H1253" t="s">
        <v>248</v>
      </c>
      <c r="I1253" t="s">
        <v>5765</v>
      </c>
      <c r="J1253">
        <v>61</v>
      </c>
      <c r="K1253" t="s">
        <v>25</v>
      </c>
      <c r="L1253" t="s">
        <v>23</v>
      </c>
      <c r="M1253" t="s">
        <v>112</v>
      </c>
      <c r="P1253" t="s">
        <v>28</v>
      </c>
      <c r="Q1253" t="s">
        <v>5766</v>
      </c>
      <c r="R1253" t="s">
        <v>5767</v>
      </c>
      <c r="S1253" t="s">
        <v>101</v>
      </c>
      <c r="T1253">
        <v>0</v>
      </c>
    </row>
    <row r="1254" spans="1:20" x14ac:dyDescent="0.25">
      <c r="A1254" t="s">
        <v>5768</v>
      </c>
      <c r="B1254" s="1">
        <v>45947</v>
      </c>
      <c r="C1254" s="5">
        <v>0.85936342592592596</v>
      </c>
      <c r="D1254">
        <v>53.78</v>
      </c>
      <c r="E1254" t="s">
        <v>44</v>
      </c>
      <c r="F1254" t="s">
        <v>5769</v>
      </c>
      <c r="G1254" t="s">
        <v>46</v>
      </c>
      <c r="H1254" t="s">
        <v>146</v>
      </c>
      <c r="I1254" t="s">
        <v>5770</v>
      </c>
      <c r="J1254">
        <v>61</v>
      </c>
      <c r="K1254" t="s">
        <v>37</v>
      </c>
      <c r="L1254" t="s">
        <v>119</v>
      </c>
      <c r="M1254" t="s">
        <v>51</v>
      </c>
      <c r="N1254" t="s">
        <v>870</v>
      </c>
      <c r="O1254">
        <v>508823</v>
      </c>
      <c r="P1254" t="s">
        <v>28</v>
      </c>
      <c r="Q1254" t="s">
        <v>5771</v>
      </c>
      <c r="R1254" t="s">
        <v>5772</v>
      </c>
      <c r="S1254" t="s">
        <v>31</v>
      </c>
      <c r="T1254">
        <v>0</v>
      </c>
    </row>
    <row r="1255" spans="1:20" x14ac:dyDescent="0.25">
      <c r="A1255" t="s">
        <v>5773</v>
      </c>
      <c r="B1255" s="1">
        <v>45957</v>
      </c>
      <c r="C1255" s="5">
        <v>0.31959490740740742</v>
      </c>
      <c r="D1255">
        <v>75.66</v>
      </c>
      <c r="E1255" t="s">
        <v>44</v>
      </c>
      <c r="F1255" t="s">
        <v>1607</v>
      </c>
      <c r="G1255" t="s">
        <v>22</v>
      </c>
      <c r="H1255" t="s">
        <v>66</v>
      </c>
      <c r="I1255" t="s">
        <v>5774</v>
      </c>
      <c r="J1255">
        <v>39</v>
      </c>
      <c r="K1255" t="s">
        <v>49</v>
      </c>
      <c r="L1255" t="s">
        <v>26</v>
      </c>
      <c r="M1255" t="s">
        <v>84</v>
      </c>
      <c r="P1255" t="s">
        <v>28</v>
      </c>
      <c r="Q1255" t="s">
        <v>5775</v>
      </c>
      <c r="R1255" t="s">
        <v>5776</v>
      </c>
      <c r="S1255" t="s">
        <v>31</v>
      </c>
      <c r="T1255">
        <v>0</v>
      </c>
    </row>
    <row r="1256" spans="1:20" x14ac:dyDescent="0.25">
      <c r="A1256" t="s">
        <v>5777</v>
      </c>
      <c r="B1256" s="1">
        <v>45876</v>
      </c>
      <c r="C1256" s="5">
        <v>0.98422453703703705</v>
      </c>
      <c r="D1256">
        <v>8.5299999999999994</v>
      </c>
      <c r="E1256" t="s">
        <v>44</v>
      </c>
      <c r="F1256" t="s">
        <v>1163</v>
      </c>
      <c r="G1256" t="s">
        <v>96</v>
      </c>
      <c r="H1256" t="s">
        <v>58</v>
      </c>
      <c r="I1256" t="s">
        <v>5778</v>
      </c>
      <c r="J1256">
        <v>63</v>
      </c>
      <c r="K1256" t="s">
        <v>25</v>
      </c>
      <c r="L1256" t="s">
        <v>23</v>
      </c>
      <c r="M1256" t="s">
        <v>39</v>
      </c>
      <c r="P1256" t="s">
        <v>28</v>
      </c>
      <c r="Q1256" t="s">
        <v>5779</v>
      </c>
      <c r="R1256" t="s">
        <v>5780</v>
      </c>
      <c r="S1256" t="s">
        <v>31</v>
      </c>
      <c r="T1256">
        <v>0</v>
      </c>
    </row>
    <row r="1257" spans="1:20" x14ac:dyDescent="0.25">
      <c r="A1257" t="s">
        <v>5781</v>
      </c>
      <c r="B1257" s="1">
        <v>45941</v>
      </c>
      <c r="C1257" s="5">
        <v>0.58377314814814818</v>
      </c>
      <c r="D1257">
        <v>18.38</v>
      </c>
      <c r="E1257" t="s">
        <v>44</v>
      </c>
      <c r="F1257" t="s">
        <v>5782</v>
      </c>
      <c r="G1257" t="s">
        <v>22</v>
      </c>
      <c r="H1257" t="s">
        <v>38</v>
      </c>
      <c r="I1257" t="s">
        <v>5783</v>
      </c>
      <c r="J1257">
        <v>66</v>
      </c>
      <c r="K1257" t="s">
        <v>25</v>
      </c>
      <c r="L1257" t="s">
        <v>91</v>
      </c>
      <c r="M1257" t="s">
        <v>84</v>
      </c>
      <c r="P1257" t="s">
        <v>28</v>
      </c>
      <c r="Q1257" t="s">
        <v>5784</v>
      </c>
      <c r="R1257" t="s">
        <v>5785</v>
      </c>
      <c r="S1257" t="s">
        <v>31</v>
      </c>
      <c r="T1257">
        <v>0</v>
      </c>
    </row>
    <row r="1258" spans="1:20" x14ac:dyDescent="0.25">
      <c r="A1258" t="s">
        <v>5786</v>
      </c>
      <c r="B1258" s="1">
        <v>45822</v>
      </c>
      <c r="C1258" s="5">
        <v>0.98464120370370367</v>
      </c>
      <c r="D1258">
        <v>115.79</v>
      </c>
      <c r="E1258" t="s">
        <v>44</v>
      </c>
      <c r="F1258" t="s">
        <v>3442</v>
      </c>
      <c r="G1258" t="s">
        <v>71</v>
      </c>
      <c r="H1258" t="s">
        <v>66</v>
      </c>
      <c r="I1258" t="s">
        <v>5787</v>
      </c>
      <c r="J1258">
        <v>53</v>
      </c>
      <c r="K1258" t="s">
        <v>49</v>
      </c>
      <c r="L1258" t="s">
        <v>58</v>
      </c>
      <c r="M1258" t="s">
        <v>112</v>
      </c>
      <c r="P1258" t="s">
        <v>28</v>
      </c>
      <c r="Q1258" t="s">
        <v>5788</v>
      </c>
      <c r="R1258" t="s">
        <v>5789</v>
      </c>
      <c r="S1258" t="s">
        <v>31</v>
      </c>
      <c r="T1258">
        <v>0</v>
      </c>
    </row>
    <row r="1259" spans="1:20" x14ac:dyDescent="0.25">
      <c r="A1259" t="s">
        <v>5790</v>
      </c>
      <c r="B1259" s="1">
        <v>45909</v>
      </c>
      <c r="C1259" s="5">
        <v>6.3263888888888883E-2</v>
      </c>
      <c r="D1259">
        <v>17.39</v>
      </c>
      <c r="E1259" t="s">
        <v>44</v>
      </c>
      <c r="F1259" t="s">
        <v>3758</v>
      </c>
      <c r="G1259" t="s">
        <v>96</v>
      </c>
      <c r="H1259" t="s">
        <v>119</v>
      </c>
      <c r="I1259" t="s">
        <v>5791</v>
      </c>
      <c r="J1259">
        <v>43</v>
      </c>
      <c r="K1259" t="s">
        <v>25</v>
      </c>
      <c r="L1259" t="s">
        <v>91</v>
      </c>
      <c r="M1259" t="s">
        <v>27</v>
      </c>
      <c r="P1259" t="s">
        <v>28</v>
      </c>
      <c r="Q1259" t="s">
        <v>5792</v>
      </c>
      <c r="R1259" t="s">
        <v>5793</v>
      </c>
      <c r="S1259" t="s">
        <v>42</v>
      </c>
      <c r="T1259">
        <v>0</v>
      </c>
    </row>
    <row r="1260" spans="1:20" x14ac:dyDescent="0.25">
      <c r="A1260" t="s">
        <v>5794</v>
      </c>
      <c r="B1260" s="1">
        <v>45892</v>
      </c>
      <c r="C1260" s="5">
        <v>0.99501157407407403</v>
      </c>
      <c r="D1260">
        <v>50.47</v>
      </c>
      <c r="E1260" t="s">
        <v>44</v>
      </c>
      <c r="F1260" t="s">
        <v>1436</v>
      </c>
      <c r="G1260" t="s">
        <v>46</v>
      </c>
      <c r="H1260" t="s">
        <v>110</v>
      </c>
      <c r="I1260" t="s">
        <v>5795</v>
      </c>
      <c r="J1260">
        <v>22</v>
      </c>
      <c r="K1260" t="s">
        <v>37</v>
      </c>
      <c r="L1260" t="s">
        <v>146</v>
      </c>
      <c r="M1260" t="s">
        <v>27</v>
      </c>
      <c r="P1260" t="s">
        <v>28</v>
      </c>
      <c r="Q1260" t="s">
        <v>5796</v>
      </c>
      <c r="R1260" t="s">
        <v>5797</v>
      </c>
      <c r="S1260" t="s">
        <v>31</v>
      </c>
      <c r="T1260">
        <v>0</v>
      </c>
    </row>
    <row r="1261" spans="1:20" x14ac:dyDescent="0.25">
      <c r="A1261" t="s">
        <v>5798</v>
      </c>
      <c r="B1261" s="1">
        <v>45816</v>
      </c>
      <c r="C1261" s="5">
        <v>0.90210648148148154</v>
      </c>
      <c r="D1261">
        <v>5.46</v>
      </c>
      <c r="E1261" t="s">
        <v>44</v>
      </c>
      <c r="F1261" t="s">
        <v>913</v>
      </c>
      <c r="G1261" t="s">
        <v>57</v>
      </c>
      <c r="H1261" t="s">
        <v>248</v>
      </c>
      <c r="I1261" t="s">
        <v>5799</v>
      </c>
      <c r="J1261">
        <v>31</v>
      </c>
      <c r="K1261" t="s">
        <v>25</v>
      </c>
      <c r="L1261" t="s">
        <v>91</v>
      </c>
      <c r="M1261" t="s">
        <v>27</v>
      </c>
      <c r="P1261" t="s">
        <v>28</v>
      </c>
      <c r="Q1261" t="s">
        <v>5800</v>
      </c>
      <c r="R1261" t="s">
        <v>5801</v>
      </c>
      <c r="S1261" t="s">
        <v>31</v>
      </c>
      <c r="T1261">
        <v>0</v>
      </c>
    </row>
    <row r="1262" spans="1:20" x14ac:dyDescent="0.25">
      <c r="A1262" t="s">
        <v>5802</v>
      </c>
      <c r="B1262" s="1">
        <v>45891</v>
      </c>
      <c r="C1262" s="5">
        <v>0.18318287037037037</v>
      </c>
      <c r="D1262">
        <v>54.78</v>
      </c>
      <c r="E1262" t="s">
        <v>44</v>
      </c>
      <c r="F1262" t="s">
        <v>5648</v>
      </c>
      <c r="G1262" t="s">
        <v>34</v>
      </c>
      <c r="H1262" t="s">
        <v>26</v>
      </c>
      <c r="I1262" t="s">
        <v>5803</v>
      </c>
      <c r="J1262">
        <v>23</v>
      </c>
      <c r="K1262" t="s">
        <v>37</v>
      </c>
      <c r="L1262" t="s">
        <v>47</v>
      </c>
      <c r="M1262" t="s">
        <v>84</v>
      </c>
      <c r="P1262" t="s">
        <v>28</v>
      </c>
      <c r="Q1262" t="s">
        <v>5804</v>
      </c>
      <c r="R1262" t="s">
        <v>5805</v>
      </c>
      <c r="S1262" t="s">
        <v>31</v>
      </c>
      <c r="T1262">
        <v>0</v>
      </c>
    </row>
    <row r="1263" spans="1:20" x14ac:dyDescent="0.25">
      <c r="A1263" t="s">
        <v>5806</v>
      </c>
      <c r="B1263" s="1">
        <v>45834</v>
      </c>
      <c r="C1263" s="5">
        <v>0.84950231481481486</v>
      </c>
      <c r="D1263">
        <v>211.51</v>
      </c>
      <c r="E1263" t="s">
        <v>44</v>
      </c>
      <c r="F1263" t="s">
        <v>2259</v>
      </c>
      <c r="G1263" t="s">
        <v>77</v>
      </c>
      <c r="H1263" t="s">
        <v>248</v>
      </c>
      <c r="I1263" t="s">
        <v>5807</v>
      </c>
      <c r="J1263">
        <v>68</v>
      </c>
      <c r="K1263" t="s">
        <v>25</v>
      </c>
      <c r="L1263" t="s">
        <v>50</v>
      </c>
      <c r="M1263" t="s">
        <v>39</v>
      </c>
      <c r="P1263" t="s">
        <v>28</v>
      </c>
      <c r="Q1263" t="s">
        <v>5808</v>
      </c>
      <c r="R1263" t="s">
        <v>5809</v>
      </c>
      <c r="S1263" t="s">
        <v>31</v>
      </c>
      <c r="T1263">
        <v>0</v>
      </c>
    </row>
    <row r="1264" spans="1:20" x14ac:dyDescent="0.25">
      <c r="A1264" t="s">
        <v>5810</v>
      </c>
      <c r="B1264" s="1">
        <v>45887</v>
      </c>
      <c r="C1264" s="5">
        <v>9.618055555555555E-3</v>
      </c>
      <c r="D1264">
        <v>184.86</v>
      </c>
      <c r="E1264" t="s">
        <v>44</v>
      </c>
      <c r="F1264" t="s">
        <v>1296</v>
      </c>
      <c r="G1264" t="s">
        <v>71</v>
      </c>
      <c r="H1264" t="s">
        <v>58</v>
      </c>
      <c r="I1264" t="s">
        <v>5811</v>
      </c>
      <c r="J1264">
        <v>69</v>
      </c>
      <c r="K1264" t="s">
        <v>37</v>
      </c>
      <c r="L1264" t="s">
        <v>91</v>
      </c>
      <c r="M1264" t="s">
        <v>105</v>
      </c>
      <c r="P1264" t="s">
        <v>28</v>
      </c>
      <c r="Q1264" t="s">
        <v>5812</v>
      </c>
      <c r="R1264" t="s">
        <v>5813</v>
      </c>
      <c r="S1264" t="s">
        <v>31</v>
      </c>
      <c r="T1264">
        <v>0</v>
      </c>
    </row>
    <row r="1265" spans="1:20" x14ac:dyDescent="0.25">
      <c r="A1265" t="s">
        <v>5814</v>
      </c>
      <c r="B1265" s="1">
        <v>45866</v>
      </c>
      <c r="C1265" s="5">
        <v>0.62581018518518516</v>
      </c>
      <c r="D1265">
        <v>129.66999999999999</v>
      </c>
      <c r="E1265" t="s">
        <v>44</v>
      </c>
      <c r="F1265" t="s">
        <v>5815</v>
      </c>
      <c r="G1265" t="s">
        <v>46</v>
      </c>
      <c r="H1265" t="s">
        <v>146</v>
      </c>
      <c r="I1265" t="s">
        <v>5816</v>
      </c>
      <c r="J1265">
        <v>18</v>
      </c>
      <c r="K1265" t="s">
        <v>25</v>
      </c>
      <c r="L1265" t="s">
        <v>47</v>
      </c>
      <c r="M1265" t="s">
        <v>27</v>
      </c>
      <c r="P1265" t="s">
        <v>28</v>
      </c>
      <c r="Q1265" t="s">
        <v>5817</v>
      </c>
      <c r="R1265" t="s">
        <v>5818</v>
      </c>
      <c r="S1265" t="s">
        <v>31</v>
      </c>
      <c r="T1265">
        <v>0</v>
      </c>
    </row>
    <row r="1266" spans="1:20" x14ac:dyDescent="0.25">
      <c r="A1266" t="s">
        <v>5819</v>
      </c>
      <c r="B1266" s="1">
        <v>45906</v>
      </c>
      <c r="C1266" s="5">
        <v>0.77481481481481485</v>
      </c>
      <c r="D1266">
        <v>9.9499999999999993</v>
      </c>
      <c r="E1266" t="s">
        <v>44</v>
      </c>
      <c r="F1266" t="s">
        <v>3193</v>
      </c>
      <c r="G1266" t="s">
        <v>96</v>
      </c>
      <c r="H1266" t="s">
        <v>248</v>
      </c>
      <c r="I1266" t="s">
        <v>5820</v>
      </c>
      <c r="J1266">
        <v>36</v>
      </c>
      <c r="K1266" t="s">
        <v>49</v>
      </c>
      <c r="L1266" t="s">
        <v>58</v>
      </c>
      <c r="M1266" t="s">
        <v>105</v>
      </c>
      <c r="P1266" t="s">
        <v>28</v>
      </c>
      <c r="Q1266" t="s">
        <v>5821</v>
      </c>
      <c r="R1266" t="s">
        <v>5822</v>
      </c>
      <c r="S1266" t="s">
        <v>42</v>
      </c>
      <c r="T1266">
        <v>0</v>
      </c>
    </row>
    <row r="1267" spans="1:20" x14ac:dyDescent="0.25">
      <c r="A1267" t="s">
        <v>5823</v>
      </c>
      <c r="B1267" s="1">
        <v>45794</v>
      </c>
      <c r="C1267" s="5">
        <v>0.52503472222222225</v>
      </c>
      <c r="D1267">
        <v>138.46</v>
      </c>
      <c r="E1267" t="s">
        <v>44</v>
      </c>
      <c r="F1267" t="s">
        <v>5824</v>
      </c>
      <c r="G1267" t="s">
        <v>22</v>
      </c>
      <c r="H1267" t="s">
        <v>119</v>
      </c>
      <c r="I1267" t="s">
        <v>5825</v>
      </c>
      <c r="J1267">
        <v>23</v>
      </c>
      <c r="K1267" t="s">
        <v>37</v>
      </c>
      <c r="L1267" t="s">
        <v>91</v>
      </c>
      <c r="M1267" t="s">
        <v>112</v>
      </c>
      <c r="P1267" t="s">
        <v>28</v>
      </c>
      <c r="Q1267" t="s">
        <v>5826</v>
      </c>
      <c r="R1267" t="s">
        <v>5827</v>
      </c>
      <c r="S1267" t="s">
        <v>31</v>
      </c>
      <c r="T1267">
        <v>0</v>
      </c>
    </row>
    <row r="1268" spans="1:20" x14ac:dyDescent="0.25">
      <c r="A1268" t="s">
        <v>5828</v>
      </c>
      <c r="B1268" s="1">
        <v>45901</v>
      </c>
      <c r="C1268" s="5">
        <v>0.89666666666666661</v>
      </c>
      <c r="D1268">
        <v>660.8</v>
      </c>
      <c r="E1268" t="s">
        <v>44</v>
      </c>
      <c r="F1268" t="s">
        <v>1371</v>
      </c>
      <c r="G1268" t="s">
        <v>71</v>
      </c>
      <c r="H1268" t="s">
        <v>26</v>
      </c>
      <c r="I1268" t="s">
        <v>5829</v>
      </c>
      <c r="J1268">
        <v>46</v>
      </c>
      <c r="K1268" t="s">
        <v>37</v>
      </c>
      <c r="L1268" t="s">
        <v>66</v>
      </c>
      <c r="M1268" t="s">
        <v>112</v>
      </c>
      <c r="P1268" t="s">
        <v>28</v>
      </c>
      <c r="Q1268" t="s">
        <v>5830</v>
      </c>
      <c r="R1268" t="s">
        <v>5831</v>
      </c>
      <c r="S1268" t="s">
        <v>31</v>
      </c>
      <c r="T1268">
        <v>0</v>
      </c>
    </row>
    <row r="1269" spans="1:20" x14ac:dyDescent="0.25">
      <c r="A1269" t="s">
        <v>5832</v>
      </c>
      <c r="B1269" s="1">
        <v>45881</v>
      </c>
      <c r="C1269" s="5">
        <v>0.78513888888888894</v>
      </c>
      <c r="D1269">
        <v>6.12</v>
      </c>
      <c r="E1269" t="s">
        <v>44</v>
      </c>
      <c r="F1269" t="s">
        <v>5833</v>
      </c>
      <c r="G1269" t="s">
        <v>22</v>
      </c>
      <c r="H1269" t="s">
        <v>91</v>
      </c>
      <c r="I1269" t="s">
        <v>2300</v>
      </c>
      <c r="J1269">
        <v>42</v>
      </c>
      <c r="K1269" t="s">
        <v>25</v>
      </c>
      <c r="L1269" t="s">
        <v>248</v>
      </c>
      <c r="M1269" t="s">
        <v>84</v>
      </c>
      <c r="P1269" t="s">
        <v>28</v>
      </c>
      <c r="Q1269" t="s">
        <v>5834</v>
      </c>
      <c r="R1269" t="s">
        <v>5835</v>
      </c>
      <c r="S1269" t="s">
        <v>31</v>
      </c>
      <c r="T1269">
        <v>1</v>
      </c>
    </row>
    <row r="1270" spans="1:20" x14ac:dyDescent="0.25">
      <c r="A1270" t="s">
        <v>5836</v>
      </c>
      <c r="B1270" s="1">
        <v>45829</v>
      </c>
      <c r="C1270" s="5">
        <v>0.84686342592592589</v>
      </c>
      <c r="D1270">
        <v>23.79</v>
      </c>
      <c r="E1270" t="s">
        <v>44</v>
      </c>
      <c r="F1270" t="s">
        <v>4176</v>
      </c>
      <c r="G1270" t="s">
        <v>77</v>
      </c>
      <c r="H1270" t="s">
        <v>66</v>
      </c>
      <c r="I1270" t="s">
        <v>5837</v>
      </c>
      <c r="J1270">
        <v>59</v>
      </c>
      <c r="K1270" t="s">
        <v>37</v>
      </c>
      <c r="L1270" t="s">
        <v>119</v>
      </c>
      <c r="M1270" t="s">
        <v>27</v>
      </c>
      <c r="P1270" t="s">
        <v>28</v>
      </c>
      <c r="Q1270" t="s">
        <v>5838</v>
      </c>
      <c r="R1270" t="s">
        <v>5839</v>
      </c>
      <c r="S1270" t="s">
        <v>31</v>
      </c>
      <c r="T1270">
        <v>0</v>
      </c>
    </row>
    <row r="1271" spans="1:20" x14ac:dyDescent="0.25">
      <c r="A1271" t="s">
        <v>5840</v>
      </c>
      <c r="B1271" s="1">
        <v>45928</v>
      </c>
      <c r="C1271" s="5">
        <v>0.66453703703703704</v>
      </c>
      <c r="D1271">
        <v>22.47</v>
      </c>
      <c r="E1271" t="s">
        <v>44</v>
      </c>
      <c r="F1271" t="s">
        <v>3238</v>
      </c>
      <c r="G1271" t="s">
        <v>34</v>
      </c>
      <c r="H1271" t="s">
        <v>248</v>
      </c>
      <c r="I1271" t="s">
        <v>5841</v>
      </c>
      <c r="J1271">
        <v>60</v>
      </c>
      <c r="K1271" t="s">
        <v>49</v>
      </c>
      <c r="L1271" t="s">
        <v>23</v>
      </c>
      <c r="M1271" t="s">
        <v>112</v>
      </c>
      <c r="P1271" t="s">
        <v>28</v>
      </c>
      <c r="Q1271" t="s">
        <v>5842</v>
      </c>
      <c r="R1271" t="s">
        <v>5843</v>
      </c>
      <c r="S1271" t="s">
        <v>31</v>
      </c>
      <c r="T1271">
        <v>0</v>
      </c>
    </row>
    <row r="1272" spans="1:20" x14ac:dyDescent="0.25">
      <c r="A1272" t="s">
        <v>5844</v>
      </c>
      <c r="B1272" s="1">
        <v>45878</v>
      </c>
      <c r="C1272" s="5">
        <v>0.67005787037037035</v>
      </c>
      <c r="D1272">
        <v>191.09</v>
      </c>
      <c r="E1272" t="s">
        <v>44</v>
      </c>
      <c r="F1272" t="s">
        <v>3643</v>
      </c>
      <c r="G1272" t="s">
        <v>34</v>
      </c>
      <c r="H1272" t="s">
        <v>38</v>
      </c>
      <c r="I1272" t="s">
        <v>5845</v>
      </c>
      <c r="J1272">
        <v>40</v>
      </c>
      <c r="K1272" t="s">
        <v>37</v>
      </c>
      <c r="L1272" t="s">
        <v>91</v>
      </c>
      <c r="M1272" t="s">
        <v>27</v>
      </c>
      <c r="P1272" t="s">
        <v>28</v>
      </c>
      <c r="Q1272" t="s">
        <v>5846</v>
      </c>
      <c r="R1272" t="s">
        <v>5847</v>
      </c>
      <c r="S1272" t="s">
        <v>31</v>
      </c>
      <c r="T1272">
        <v>0</v>
      </c>
    </row>
    <row r="1273" spans="1:20" x14ac:dyDescent="0.25">
      <c r="A1273" t="s">
        <v>5848</v>
      </c>
      <c r="B1273" s="1">
        <v>45916</v>
      </c>
      <c r="C1273" s="5">
        <v>0.6650462962962963</v>
      </c>
      <c r="D1273">
        <v>145.21</v>
      </c>
      <c r="E1273" t="s">
        <v>44</v>
      </c>
      <c r="F1273" t="s">
        <v>1627</v>
      </c>
      <c r="G1273" t="s">
        <v>57</v>
      </c>
      <c r="H1273" t="s">
        <v>97</v>
      </c>
      <c r="I1273" t="s">
        <v>5849</v>
      </c>
      <c r="J1273">
        <v>74</v>
      </c>
      <c r="K1273" t="s">
        <v>25</v>
      </c>
      <c r="L1273" t="s">
        <v>248</v>
      </c>
      <c r="M1273" t="s">
        <v>112</v>
      </c>
      <c r="P1273" t="s">
        <v>28</v>
      </c>
      <c r="Q1273" t="s">
        <v>5850</v>
      </c>
      <c r="R1273" t="s">
        <v>5851</v>
      </c>
      <c r="S1273" t="s">
        <v>31</v>
      </c>
      <c r="T1273">
        <v>0</v>
      </c>
    </row>
    <row r="1274" spans="1:20" x14ac:dyDescent="0.25">
      <c r="A1274" t="s">
        <v>5852</v>
      </c>
      <c r="B1274" s="1">
        <v>45939</v>
      </c>
      <c r="C1274" s="5">
        <v>0.5534027777777778</v>
      </c>
      <c r="D1274">
        <v>44.32</v>
      </c>
      <c r="E1274" t="s">
        <v>44</v>
      </c>
      <c r="F1274" t="s">
        <v>5853</v>
      </c>
      <c r="G1274" t="s">
        <v>96</v>
      </c>
      <c r="H1274" t="s">
        <v>110</v>
      </c>
      <c r="I1274" t="s">
        <v>5854</v>
      </c>
      <c r="J1274">
        <v>40</v>
      </c>
      <c r="K1274" t="s">
        <v>49</v>
      </c>
      <c r="L1274" t="s">
        <v>91</v>
      </c>
      <c r="M1274" t="s">
        <v>27</v>
      </c>
      <c r="P1274" t="s">
        <v>28</v>
      </c>
      <c r="Q1274" t="s">
        <v>5855</v>
      </c>
      <c r="R1274" t="s">
        <v>5856</v>
      </c>
      <c r="S1274" t="s">
        <v>31</v>
      </c>
      <c r="T1274">
        <v>0</v>
      </c>
    </row>
    <row r="1275" spans="1:20" x14ac:dyDescent="0.25">
      <c r="A1275" t="s">
        <v>5857</v>
      </c>
      <c r="B1275" s="1">
        <v>45942</v>
      </c>
      <c r="C1275" s="5">
        <v>0.41649305555555555</v>
      </c>
      <c r="D1275">
        <v>199.06</v>
      </c>
      <c r="E1275" t="s">
        <v>44</v>
      </c>
      <c r="F1275" t="s">
        <v>5858</v>
      </c>
      <c r="G1275" t="s">
        <v>124</v>
      </c>
      <c r="H1275" t="s">
        <v>248</v>
      </c>
      <c r="I1275" t="s">
        <v>5859</v>
      </c>
      <c r="J1275">
        <v>37</v>
      </c>
      <c r="K1275" t="s">
        <v>37</v>
      </c>
      <c r="L1275" t="s">
        <v>91</v>
      </c>
      <c r="M1275" t="s">
        <v>51</v>
      </c>
      <c r="N1275" t="s">
        <v>173</v>
      </c>
      <c r="O1275">
        <v>531858</v>
      </c>
      <c r="P1275" t="s">
        <v>28</v>
      </c>
      <c r="Q1275" t="s">
        <v>5860</v>
      </c>
      <c r="R1275" t="s">
        <v>5861</v>
      </c>
      <c r="S1275" t="s">
        <v>31</v>
      </c>
      <c r="T1275">
        <v>0</v>
      </c>
    </row>
    <row r="1276" spans="1:20" x14ac:dyDescent="0.25">
      <c r="A1276" t="s">
        <v>5862</v>
      </c>
      <c r="B1276" s="1">
        <v>45797</v>
      </c>
      <c r="C1276" s="5">
        <v>0.41120370370370368</v>
      </c>
      <c r="D1276">
        <v>132.38</v>
      </c>
      <c r="E1276" t="s">
        <v>44</v>
      </c>
      <c r="F1276" t="s">
        <v>1361</v>
      </c>
      <c r="G1276" t="s">
        <v>77</v>
      </c>
      <c r="H1276" t="s">
        <v>248</v>
      </c>
      <c r="I1276" t="s">
        <v>5863</v>
      </c>
      <c r="J1276">
        <v>37</v>
      </c>
      <c r="K1276" t="s">
        <v>37</v>
      </c>
      <c r="L1276" t="s">
        <v>119</v>
      </c>
      <c r="M1276" t="s">
        <v>112</v>
      </c>
      <c r="P1276" t="s">
        <v>28</v>
      </c>
      <c r="Q1276" t="s">
        <v>5864</v>
      </c>
      <c r="R1276" t="s">
        <v>5865</v>
      </c>
      <c r="S1276" t="s">
        <v>101</v>
      </c>
      <c r="T1276">
        <v>0</v>
      </c>
    </row>
    <row r="1277" spans="1:20" x14ac:dyDescent="0.25">
      <c r="A1277" t="s">
        <v>5866</v>
      </c>
      <c r="B1277" s="1">
        <v>45786</v>
      </c>
      <c r="C1277" s="5">
        <v>0.15035879629629631</v>
      </c>
      <c r="D1277">
        <v>121.86</v>
      </c>
      <c r="E1277" t="s">
        <v>44</v>
      </c>
      <c r="F1277" t="s">
        <v>2865</v>
      </c>
      <c r="G1277" t="s">
        <v>34</v>
      </c>
      <c r="H1277" t="s">
        <v>47</v>
      </c>
      <c r="I1277" t="s">
        <v>5867</v>
      </c>
      <c r="J1277">
        <v>34</v>
      </c>
      <c r="K1277" t="s">
        <v>37</v>
      </c>
      <c r="L1277" t="s">
        <v>248</v>
      </c>
      <c r="M1277" t="s">
        <v>112</v>
      </c>
      <c r="P1277" t="s">
        <v>28</v>
      </c>
      <c r="Q1277" t="s">
        <v>5868</v>
      </c>
      <c r="R1277" t="s">
        <v>5869</v>
      </c>
      <c r="S1277" t="s">
        <v>31</v>
      </c>
      <c r="T1277">
        <v>0</v>
      </c>
    </row>
    <row r="1278" spans="1:20" x14ac:dyDescent="0.25">
      <c r="A1278" t="s">
        <v>5870</v>
      </c>
      <c r="B1278" s="1">
        <v>45902</v>
      </c>
      <c r="C1278" s="5">
        <v>0.3228935185185185</v>
      </c>
      <c r="D1278">
        <v>5.19</v>
      </c>
      <c r="E1278" t="s">
        <v>44</v>
      </c>
      <c r="F1278" t="s">
        <v>2999</v>
      </c>
      <c r="G1278" t="s">
        <v>34</v>
      </c>
      <c r="H1278" t="s">
        <v>97</v>
      </c>
      <c r="I1278" t="s">
        <v>5871</v>
      </c>
      <c r="J1278">
        <v>53</v>
      </c>
      <c r="K1278" t="s">
        <v>25</v>
      </c>
      <c r="L1278" t="s">
        <v>38</v>
      </c>
      <c r="M1278" t="s">
        <v>27</v>
      </c>
      <c r="P1278" t="s">
        <v>28</v>
      </c>
      <c r="Q1278" t="s">
        <v>5872</v>
      </c>
      <c r="R1278" t="s">
        <v>5873</v>
      </c>
      <c r="S1278" t="s">
        <v>31</v>
      </c>
      <c r="T1278">
        <v>0</v>
      </c>
    </row>
    <row r="1279" spans="1:20" x14ac:dyDescent="0.25">
      <c r="A1279" t="s">
        <v>5874</v>
      </c>
      <c r="B1279" s="1">
        <v>45846</v>
      </c>
      <c r="C1279" s="5">
        <v>0.51675925925925925</v>
      </c>
      <c r="D1279">
        <v>1.4</v>
      </c>
      <c r="E1279" t="s">
        <v>44</v>
      </c>
      <c r="F1279" t="s">
        <v>616</v>
      </c>
      <c r="G1279" t="s">
        <v>124</v>
      </c>
      <c r="H1279" t="s">
        <v>91</v>
      </c>
      <c r="I1279" t="s">
        <v>5875</v>
      </c>
      <c r="J1279">
        <v>35</v>
      </c>
      <c r="K1279" t="s">
        <v>37</v>
      </c>
      <c r="L1279" t="s">
        <v>110</v>
      </c>
      <c r="M1279" t="s">
        <v>112</v>
      </c>
      <c r="P1279" t="s">
        <v>28</v>
      </c>
      <c r="Q1279" t="s">
        <v>5876</v>
      </c>
      <c r="R1279" t="s">
        <v>5877</v>
      </c>
      <c r="S1279" t="s">
        <v>42</v>
      </c>
      <c r="T1279">
        <v>0</v>
      </c>
    </row>
    <row r="1280" spans="1:20" x14ac:dyDescent="0.25">
      <c r="A1280" t="s">
        <v>5878</v>
      </c>
      <c r="B1280" s="1">
        <v>45804</v>
      </c>
      <c r="C1280" s="5">
        <v>0.63905092592592594</v>
      </c>
      <c r="D1280">
        <v>766.06</v>
      </c>
      <c r="E1280" t="s">
        <v>44</v>
      </c>
      <c r="F1280" t="s">
        <v>3911</v>
      </c>
      <c r="G1280" t="s">
        <v>64</v>
      </c>
      <c r="H1280" t="s">
        <v>119</v>
      </c>
      <c r="I1280" t="s">
        <v>5879</v>
      </c>
      <c r="J1280">
        <v>40</v>
      </c>
      <c r="K1280" t="s">
        <v>25</v>
      </c>
      <c r="L1280" t="s">
        <v>47</v>
      </c>
      <c r="M1280" t="s">
        <v>27</v>
      </c>
      <c r="P1280" t="s">
        <v>28</v>
      </c>
      <c r="Q1280" t="s">
        <v>5880</v>
      </c>
      <c r="R1280" t="s">
        <v>5881</v>
      </c>
      <c r="S1280" t="s">
        <v>31</v>
      </c>
      <c r="T1280">
        <v>0</v>
      </c>
    </row>
    <row r="1281" spans="1:20" x14ac:dyDescent="0.25">
      <c r="A1281" t="s">
        <v>5882</v>
      </c>
      <c r="B1281" s="1">
        <v>45815</v>
      </c>
      <c r="C1281" s="5">
        <v>0.8630902777777778</v>
      </c>
      <c r="D1281">
        <v>33.42</v>
      </c>
      <c r="E1281" t="s">
        <v>44</v>
      </c>
      <c r="F1281" t="s">
        <v>3517</v>
      </c>
      <c r="G1281" t="s">
        <v>64</v>
      </c>
      <c r="H1281" t="s">
        <v>130</v>
      </c>
      <c r="I1281" t="s">
        <v>5883</v>
      </c>
      <c r="J1281">
        <v>38</v>
      </c>
      <c r="K1281" t="s">
        <v>37</v>
      </c>
      <c r="L1281" t="s">
        <v>50</v>
      </c>
      <c r="M1281" t="s">
        <v>105</v>
      </c>
      <c r="P1281" t="s">
        <v>28</v>
      </c>
      <c r="Q1281" t="s">
        <v>5884</v>
      </c>
      <c r="R1281" t="s">
        <v>5885</v>
      </c>
      <c r="S1281" t="s">
        <v>31</v>
      </c>
      <c r="T1281">
        <v>0</v>
      </c>
    </row>
    <row r="1282" spans="1:20" x14ac:dyDescent="0.25">
      <c r="A1282" t="s">
        <v>5886</v>
      </c>
      <c r="B1282" s="1">
        <v>45925</v>
      </c>
      <c r="C1282" s="5">
        <v>0.11418981481481481</v>
      </c>
      <c r="D1282">
        <v>85.92</v>
      </c>
      <c r="E1282" t="s">
        <v>44</v>
      </c>
      <c r="F1282" t="s">
        <v>3929</v>
      </c>
      <c r="G1282" t="s">
        <v>34</v>
      </c>
      <c r="H1282" t="s">
        <v>97</v>
      </c>
      <c r="I1282" t="s">
        <v>5887</v>
      </c>
      <c r="J1282">
        <v>34</v>
      </c>
      <c r="K1282" t="s">
        <v>49</v>
      </c>
      <c r="L1282" t="s">
        <v>47</v>
      </c>
      <c r="M1282" t="s">
        <v>112</v>
      </c>
      <c r="P1282" t="s">
        <v>28</v>
      </c>
      <c r="Q1282" t="s">
        <v>5888</v>
      </c>
      <c r="R1282" t="s">
        <v>5889</v>
      </c>
      <c r="S1282" t="s">
        <v>31</v>
      </c>
      <c r="T1282">
        <v>0</v>
      </c>
    </row>
    <row r="1283" spans="1:20" x14ac:dyDescent="0.25">
      <c r="A1283" t="s">
        <v>5890</v>
      </c>
      <c r="B1283" s="1">
        <v>45900</v>
      </c>
      <c r="C1283" s="5">
        <v>0.12767361111111111</v>
      </c>
      <c r="D1283">
        <v>93.11</v>
      </c>
      <c r="E1283" t="s">
        <v>44</v>
      </c>
      <c r="F1283" t="s">
        <v>3600</v>
      </c>
      <c r="G1283" t="s">
        <v>34</v>
      </c>
      <c r="H1283" t="s">
        <v>97</v>
      </c>
      <c r="I1283" t="s">
        <v>5891</v>
      </c>
      <c r="J1283">
        <v>31</v>
      </c>
      <c r="K1283" t="s">
        <v>37</v>
      </c>
      <c r="L1283" t="s">
        <v>26</v>
      </c>
      <c r="M1283" t="s">
        <v>27</v>
      </c>
      <c r="P1283" t="s">
        <v>28</v>
      </c>
      <c r="Q1283" t="s">
        <v>5892</v>
      </c>
      <c r="R1283" t="s">
        <v>5893</v>
      </c>
      <c r="S1283" t="s">
        <v>31</v>
      </c>
      <c r="T1283">
        <v>1</v>
      </c>
    </row>
    <row r="1284" spans="1:20" x14ac:dyDescent="0.25">
      <c r="A1284" t="s">
        <v>5894</v>
      </c>
      <c r="B1284" s="1">
        <v>45810</v>
      </c>
      <c r="C1284" s="5">
        <v>0.53473379629629625</v>
      </c>
      <c r="D1284">
        <v>919.36</v>
      </c>
      <c r="E1284" t="s">
        <v>44</v>
      </c>
      <c r="F1284" t="s">
        <v>3385</v>
      </c>
      <c r="G1284" t="s">
        <v>96</v>
      </c>
      <c r="H1284" t="s">
        <v>248</v>
      </c>
      <c r="I1284" t="s">
        <v>5895</v>
      </c>
      <c r="J1284">
        <v>54</v>
      </c>
      <c r="K1284" t="s">
        <v>49</v>
      </c>
      <c r="L1284" t="s">
        <v>58</v>
      </c>
      <c r="M1284" t="s">
        <v>51</v>
      </c>
      <c r="N1284" t="s">
        <v>304</v>
      </c>
      <c r="O1284">
        <v>438803</v>
      </c>
      <c r="P1284" t="s">
        <v>28</v>
      </c>
      <c r="Q1284" t="s">
        <v>5896</v>
      </c>
      <c r="R1284" t="s">
        <v>5897</v>
      </c>
      <c r="S1284" t="s">
        <v>31</v>
      </c>
      <c r="T1284">
        <v>0</v>
      </c>
    </row>
    <row r="1285" spans="1:20" x14ac:dyDescent="0.25">
      <c r="A1285" t="s">
        <v>5898</v>
      </c>
      <c r="B1285" s="1">
        <v>45916</v>
      </c>
      <c r="C1285" s="5">
        <v>0.71315972222222224</v>
      </c>
      <c r="D1285">
        <v>23.93</v>
      </c>
      <c r="E1285" t="s">
        <v>44</v>
      </c>
      <c r="F1285" t="s">
        <v>5899</v>
      </c>
      <c r="G1285" t="s">
        <v>64</v>
      </c>
      <c r="H1285" t="s">
        <v>130</v>
      </c>
      <c r="I1285" t="s">
        <v>5900</v>
      </c>
      <c r="J1285">
        <v>62</v>
      </c>
      <c r="K1285" t="s">
        <v>49</v>
      </c>
      <c r="L1285" t="s">
        <v>58</v>
      </c>
      <c r="M1285" t="s">
        <v>39</v>
      </c>
      <c r="P1285" t="s">
        <v>28</v>
      </c>
      <c r="Q1285" t="s">
        <v>5901</v>
      </c>
      <c r="R1285" t="s">
        <v>5902</v>
      </c>
      <c r="S1285" t="s">
        <v>31</v>
      </c>
      <c r="T1285">
        <v>0</v>
      </c>
    </row>
    <row r="1286" spans="1:20" x14ac:dyDescent="0.25">
      <c r="A1286" t="s">
        <v>5903</v>
      </c>
      <c r="B1286" s="1">
        <v>45912</v>
      </c>
      <c r="C1286" s="5">
        <v>0.79236111111111107</v>
      </c>
      <c r="D1286">
        <v>166.02</v>
      </c>
      <c r="E1286" t="s">
        <v>44</v>
      </c>
      <c r="F1286" t="s">
        <v>5904</v>
      </c>
      <c r="G1286" t="s">
        <v>46</v>
      </c>
      <c r="H1286" t="s">
        <v>130</v>
      </c>
      <c r="I1286" t="s">
        <v>5905</v>
      </c>
      <c r="J1286">
        <v>66</v>
      </c>
      <c r="K1286" t="s">
        <v>37</v>
      </c>
      <c r="L1286" t="s">
        <v>38</v>
      </c>
      <c r="M1286" t="s">
        <v>112</v>
      </c>
      <c r="P1286" t="s">
        <v>28</v>
      </c>
      <c r="Q1286" t="s">
        <v>5906</v>
      </c>
      <c r="R1286" t="s">
        <v>5907</v>
      </c>
      <c r="S1286" t="s">
        <v>31</v>
      </c>
      <c r="T1286">
        <v>0</v>
      </c>
    </row>
    <row r="1287" spans="1:20" x14ac:dyDescent="0.25">
      <c r="A1287" t="s">
        <v>5908</v>
      </c>
      <c r="B1287" s="1">
        <v>45959</v>
      </c>
      <c r="C1287" s="5">
        <v>0.40136574074074072</v>
      </c>
      <c r="D1287">
        <v>116.75</v>
      </c>
      <c r="E1287" t="s">
        <v>44</v>
      </c>
      <c r="F1287" t="s">
        <v>1804</v>
      </c>
      <c r="G1287" t="s">
        <v>77</v>
      </c>
      <c r="H1287" t="s">
        <v>130</v>
      </c>
      <c r="I1287" t="s">
        <v>5909</v>
      </c>
      <c r="J1287">
        <v>40</v>
      </c>
      <c r="K1287" t="s">
        <v>25</v>
      </c>
      <c r="L1287" t="s">
        <v>47</v>
      </c>
      <c r="M1287" t="s">
        <v>105</v>
      </c>
      <c r="P1287" t="s">
        <v>28</v>
      </c>
      <c r="Q1287" t="s">
        <v>5910</v>
      </c>
      <c r="R1287" t="s">
        <v>5911</v>
      </c>
      <c r="S1287" t="s">
        <v>31</v>
      </c>
      <c r="T1287">
        <v>0</v>
      </c>
    </row>
    <row r="1288" spans="1:20" x14ac:dyDescent="0.25">
      <c r="A1288" t="s">
        <v>5912</v>
      </c>
      <c r="B1288" s="1">
        <v>45944</v>
      </c>
      <c r="C1288" s="5">
        <v>0.6422106481481481</v>
      </c>
      <c r="D1288">
        <v>145.54</v>
      </c>
      <c r="E1288" t="s">
        <v>44</v>
      </c>
      <c r="F1288" t="s">
        <v>5913</v>
      </c>
      <c r="G1288" t="s">
        <v>77</v>
      </c>
      <c r="H1288" t="s">
        <v>97</v>
      </c>
      <c r="I1288" t="s">
        <v>5914</v>
      </c>
      <c r="J1288">
        <v>20</v>
      </c>
      <c r="K1288" t="s">
        <v>25</v>
      </c>
      <c r="L1288" t="s">
        <v>110</v>
      </c>
      <c r="M1288" t="s">
        <v>27</v>
      </c>
      <c r="P1288" t="s">
        <v>28</v>
      </c>
      <c r="Q1288" t="s">
        <v>5915</v>
      </c>
      <c r="R1288" t="s">
        <v>5916</v>
      </c>
      <c r="S1288" t="s">
        <v>101</v>
      </c>
      <c r="T1288">
        <v>0</v>
      </c>
    </row>
    <row r="1289" spans="1:20" x14ac:dyDescent="0.25">
      <c r="A1289" t="s">
        <v>5917</v>
      </c>
      <c r="B1289" s="1">
        <v>45905</v>
      </c>
      <c r="C1289" s="5">
        <v>0.34788194444444442</v>
      </c>
      <c r="D1289">
        <v>97.31</v>
      </c>
      <c r="E1289" t="s">
        <v>44</v>
      </c>
      <c r="F1289" t="s">
        <v>639</v>
      </c>
      <c r="G1289" t="s">
        <v>64</v>
      </c>
      <c r="H1289" t="s">
        <v>23</v>
      </c>
      <c r="I1289" t="s">
        <v>5918</v>
      </c>
      <c r="J1289">
        <v>45</v>
      </c>
      <c r="K1289" t="s">
        <v>49</v>
      </c>
      <c r="L1289" t="s">
        <v>50</v>
      </c>
      <c r="M1289" t="s">
        <v>27</v>
      </c>
      <c r="P1289" t="s">
        <v>28</v>
      </c>
      <c r="Q1289" t="s">
        <v>5919</v>
      </c>
      <c r="R1289" t="s">
        <v>5920</v>
      </c>
      <c r="S1289" t="s">
        <v>101</v>
      </c>
      <c r="T1289">
        <v>0</v>
      </c>
    </row>
    <row r="1290" spans="1:20" x14ac:dyDescent="0.25">
      <c r="A1290" t="s">
        <v>5921</v>
      </c>
      <c r="B1290" s="1">
        <v>45857</v>
      </c>
      <c r="C1290" s="5">
        <v>0.71296296296296291</v>
      </c>
      <c r="D1290">
        <v>25.3</v>
      </c>
      <c r="E1290" t="s">
        <v>44</v>
      </c>
      <c r="F1290" t="s">
        <v>5922</v>
      </c>
      <c r="G1290" t="s">
        <v>64</v>
      </c>
      <c r="H1290" t="s">
        <v>91</v>
      </c>
      <c r="I1290" t="s">
        <v>5923</v>
      </c>
      <c r="J1290">
        <v>54</v>
      </c>
      <c r="K1290" t="s">
        <v>49</v>
      </c>
      <c r="L1290" t="s">
        <v>26</v>
      </c>
      <c r="M1290" t="s">
        <v>105</v>
      </c>
      <c r="P1290" t="s">
        <v>28</v>
      </c>
      <c r="Q1290" t="s">
        <v>5924</v>
      </c>
      <c r="R1290" t="s">
        <v>5925</v>
      </c>
      <c r="S1290" t="s">
        <v>31</v>
      </c>
      <c r="T1290">
        <v>0</v>
      </c>
    </row>
    <row r="1291" spans="1:20" x14ac:dyDescent="0.25">
      <c r="A1291" t="s">
        <v>5926</v>
      </c>
      <c r="B1291" s="1">
        <v>45886</v>
      </c>
      <c r="C1291" s="5">
        <v>0.25414351851851852</v>
      </c>
      <c r="D1291">
        <v>101.32</v>
      </c>
      <c r="E1291" t="s">
        <v>44</v>
      </c>
      <c r="F1291" t="s">
        <v>1627</v>
      </c>
      <c r="G1291" t="s">
        <v>77</v>
      </c>
      <c r="H1291" t="s">
        <v>50</v>
      </c>
      <c r="I1291" t="s">
        <v>5927</v>
      </c>
      <c r="J1291">
        <v>36</v>
      </c>
      <c r="K1291" t="s">
        <v>49</v>
      </c>
      <c r="L1291" t="s">
        <v>58</v>
      </c>
      <c r="M1291" t="s">
        <v>39</v>
      </c>
      <c r="P1291" t="s">
        <v>28</v>
      </c>
      <c r="Q1291" t="s">
        <v>5928</v>
      </c>
      <c r="R1291" t="s">
        <v>5929</v>
      </c>
      <c r="S1291" t="s">
        <v>31</v>
      </c>
      <c r="T1291">
        <v>0</v>
      </c>
    </row>
    <row r="1292" spans="1:20" x14ac:dyDescent="0.25">
      <c r="A1292" t="s">
        <v>5930</v>
      </c>
      <c r="B1292" s="1">
        <v>45794</v>
      </c>
      <c r="C1292" s="5">
        <v>4.1504629629629627E-2</v>
      </c>
      <c r="D1292">
        <v>343.53</v>
      </c>
      <c r="E1292" t="s">
        <v>44</v>
      </c>
      <c r="F1292" t="s">
        <v>4816</v>
      </c>
      <c r="G1292" t="s">
        <v>89</v>
      </c>
      <c r="H1292" t="s">
        <v>91</v>
      </c>
      <c r="I1292" t="s">
        <v>5931</v>
      </c>
      <c r="J1292">
        <v>62</v>
      </c>
      <c r="K1292" t="s">
        <v>25</v>
      </c>
      <c r="L1292" t="s">
        <v>47</v>
      </c>
      <c r="M1292" t="s">
        <v>84</v>
      </c>
      <c r="P1292" t="s">
        <v>28</v>
      </c>
      <c r="Q1292" t="s">
        <v>5932</v>
      </c>
      <c r="R1292" t="s">
        <v>5933</v>
      </c>
      <c r="S1292" t="s">
        <v>101</v>
      </c>
      <c r="T1292">
        <v>0</v>
      </c>
    </row>
    <row r="1293" spans="1:20" x14ac:dyDescent="0.25">
      <c r="A1293" t="s">
        <v>5934</v>
      </c>
      <c r="B1293" s="1">
        <v>45826</v>
      </c>
      <c r="C1293" s="5">
        <v>0.4082175925925926</v>
      </c>
      <c r="D1293">
        <v>13</v>
      </c>
      <c r="E1293" t="s">
        <v>44</v>
      </c>
      <c r="F1293" t="s">
        <v>708</v>
      </c>
      <c r="G1293" t="s">
        <v>124</v>
      </c>
      <c r="H1293" t="s">
        <v>50</v>
      </c>
      <c r="I1293" t="s">
        <v>5935</v>
      </c>
      <c r="J1293">
        <v>26</v>
      </c>
      <c r="K1293" t="s">
        <v>49</v>
      </c>
      <c r="L1293" t="s">
        <v>110</v>
      </c>
      <c r="M1293" t="s">
        <v>27</v>
      </c>
      <c r="P1293" t="s">
        <v>28</v>
      </c>
      <c r="Q1293" t="s">
        <v>5936</v>
      </c>
      <c r="R1293" t="s">
        <v>5937</v>
      </c>
      <c r="S1293" t="s">
        <v>42</v>
      </c>
      <c r="T1293">
        <v>0</v>
      </c>
    </row>
    <row r="1294" spans="1:20" x14ac:dyDescent="0.25">
      <c r="A1294" t="s">
        <v>5938</v>
      </c>
      <c r="B1294" s="1">
        <v>45871</v>
      </c>
      <c r="C1294" s="5">
        <v>0.54148148148148145</v>
      </c>
      <c r="D1294">
        <v>44.23</v>
      </c>
      <c r="E1294" t="s">
        <v>44</v>
      </c>
      <c r="F1294" t="s">
        <v>4293</v>
      </c>
      <c r="G1294" t="s">
        <v>34</v>
      </c>
      <c r="H1294" t="s">
        <v>130</v>
      </c>
      <c r="I1294" t="s">
        <v>5939</v>
      </c>
      <c r="J1294">
        <v>27</v>
      </c>
      <c r="K1294" t="s">
        <v>25</v>
      </c>
      <c r="L1294" t="s">
        <v>58</v>
      </c>
      <c r="M1294" t="s">
        <v>112</v>
      </c>
      <c r="P1294" t="s">
        <v>28</v>
      </c>
      <c r="Q1294" t="s">
        <v>5940</v>
      </c>
      <c r="R1294" t="s">
        <v>5941</v>
      </c>
      <c r="S1294" t="s">
        <v>31</v>
      </c>
      <c r="T1294">
        <v>0</v>
      </c>
    </row>
    <row r="1295" spans="1:20" x14ac:dyDescent="0.25">
      <c r="A1295" t="s">
        <v>5942</v>
      </c>
      <c r="B1295" s="1">
        <v>45811</v>
      </c>
      <c r="C1295" s="5">
        <v>0.89907407407407403</v>
      </c>
      <c r="D1295">
        <v>3.33</v>
      </c>
      <c r="E1295" t="s">
        <v>44</v>
      </c>
      <c r="F1295" t="s">
        <v>5402</v>
      </c>
      <c r="G1295" t="s">
        <v>89</v>
      </c>
      <c r="H1295" t="s">
        <v>50</v>
      </c>
      <c r="I1295" t="s">
        <v>5943</v>
      </c>
      <c r="J1295">
        <v>46</v>
      </c>
      <c r="K1295" t="s">
        <v>25</v>
      </c>
      <c r="L1295" t="s">
        <v>119</v>
      </c>
      <c r="M1295" t="s">
        <v>112</v>
      </c>
      <c r="P1295" t="s">
        <v>28</v>
      </c>
      <c r="Q1295" t="s">
        <v>5944</v>
      </c>
      <c r="R1295" t="s">
        <v>5945</v>
      </c>
      <c r="S1295" t="s">
        <v>31</v>
      </c>
      <c r="T1295">
        <v>0</v>
      </c>
    </row>
    <row r="1296" spans="1:20" x14ac:dyDescent="0.25">
      <c r="A1296" t="s">
        <v>5946</v>
      </c>
      <c r="B1296" s="1">
        <v>45864</v>
      </c>
      <c r="C1296" s="5">
        <v>0.23119212962962962</v>
      </c>
      <c r="D1296">
        <v>176.99</v>
      </c>
      <c r="E1296" t="s">
        <v>44</v>
      </c>
      <c r="F1296" t="s">
        <v>937</v>
      </c>
      <c r="G1296" t="s">
        <v>124</v>
      </c>
      <c r="H1296" t="s">
        <v>119</v>
      </c>
      <c r="I1296" t="s">
        <v>5947</v>
      </c>
      <c r="J1296">
        <v>36</v>
      </c>
      <c r="K1296" t="s">
        <v>49</v>
      </c>
      <c r="L1296" t="s">
        <v>38</v>
      </c>
      <c r="M1296" t="s">
        <v>112</v>
      </c>
      <c r="P1296" t="s">
        <v>28</v>
      </c>
      <c r="Q1296" t="s">
        <v>5948</v>
      </c>
      <c r="R1296" t="s">
        <v>5949</v>
      </c>
      <c r="S1296" t="s">
        <v>31</v>
      </c>
      <c r="T1296">
        <v>0</v>
      </c>
    </row>
    <row r="1297" spans="1:20" x14ac:dyDescent="0.25">
      <c r="A1297" t="s">
        <v>5950</v>
      </c>
      <c r="B1297" s="1">
        <v>45835</v>
      </c>
      <c r="C1297" s="5">
        <v>0.70523148148148151</v>
      </c>
      <c r="D1297">
        <v>151.47999999999999</v>
      </c>
      <c r="E1297" t="s">
        <v>44</v>
      </c>
      <c r="F1297" t="s">
        <v>868</v>
      </c>
      <c r="G1297" t="s">
        <v>64</v>
      </c>
      <c r="H1297" t="s">
        <v>58</v>
      </c>
      <c r="I1297" t="s">
        <v>5951</v>
      </c>
      <c r="J1297">
        <v>57</v>
      </c>
      <c r="K1297" t="s">
        <v>37</v>
      </c>
      <c r="L1297" t="s">
        <v>23</v>
      </c>
      <c r="M1297" t="s">
        <v>112</v>
      </c>
      <c r="P1297" t="s">
        <v>28</v>
      </c>
      <c r="Q1297" t="s">
        <v>5952</v>
      </c>
      <c r="R1297" t="s">
        <v>5953</v>
      </c>
      <c r="S1297" t="s">
        <v>31</v>
      </c>
      <c r="T1297">
        <v>0</v>
      </c>
    </row>
    <row r="1298" spans="1:20" x14ac:dyDescent="0.25">
      <c r="A1298" t="s">
        <v>5954</v>
      </c>
      <c r="B1298" s="1">
        <v>45803</v>
      </c>
      <c r="C1298" s="5">
        <v>0.33901620370370372</v>
      </c>
      <c r="D1298">
        <v>96.01</v>
      </c>
      <c r="E1298" t="s">
        <v>44</v>
      </c>
      <c r="F1298" t="s">
        <v>5858</v>
      </c>
      <c r="G1298" t="s">
        <v>57</v>
      </c>
      <c r="H1298" t="s">
        <v>66</v>
      </c>
      <c r="I1298" t="s">
        <v>5955</v>
      </c>
      <c r="J1298">
        <v>22</v>
      </c>
      <c r="K1298" t="s">
        <v>49</v>
      </c>
      <c r="L1298" t="s">
        <v>58</v>
      </c>
      <c r="M1298" t="s">
        <v>112</v>
      </c>
      <c r="P1298" t="s">
        <v>28</v>
      </c>
      <c r="Q1298" t="s">
        <v>5956</v>
      </c>
      <c r="R1298" t="s">
        <v>5957</v>
      </c>
      <c r="S1298" t="s">
        <v>31</v>
      </c>
      <c r="T1298">
        <v>0</v>
      </c>
    </row>
    <row r="1299" spans="1:20" x14ac:dyDescent="0.25">
      <c r="A1299" t="s">
        <v>5958</v>
      </c>
      <c r="B1299" s="1">
        <v>45885</v>
      </c>
      <c r="C1299" s="5">
        <v>0.38337962962962963</v>
      </c>
      <c r="D1299">
        <v>109.79</v>
      </c>
      <c r="E1299" t="s">
        <v>44</v>
      </c>
      <c r="F1299" t="s">
        <v>1257</v>
      </c>
      <c r="G1299" t="s">
        <v>77</v>
      </c>
      <c r="H1299" t="s">
        <v>58</v>
      </c>
      <c r="I1299" t="s">
        <v>5959</v>
      </c>
      <c r="J1299">
        <v>67</v>
      </c>
      <c r="K1299" t="s">
        <v>37</v>
      </c>
      <c r="L1299" t="s">
        <v>146</v>
      </c>
      <c r="M1299" t="s">
        <v>112</v>
      </c>
      <c r="P1299" t="s">
        <v>28</v>
      </c>
      <c r="Q1299" t="s">
        <v>5960</v>
      </c>
      <c r="R1299" t="s">
        <v>5961</v>
      </c>
      <c r="S1299" t="s">
        <v>31</v>
      </c>
      <c r="T1299">
        <v>0</v>
      </c>
    </row>
    <row r="1300" spans="1:20" x14ac:dyDescent="0.25">
      <c r="A1300" t="s">
        <v>5962</v>
      </c>
      <c r="B1300" s="1">
        <v>45941</v>
      </c>
      <c r="C1300" s="5">
        <v>0.19824074074074075</v>
      </c>
      <c r="D1300">
        <v>134.33000000000001</v>
      </c>
      <c r="E1300" t="s">
        <v>44</v>
      </c>
      <c r="F1300" t="s">
        <v>5963</v>
      </c>
      <c r="G1300" t="s">
        <v>77</v>
      </c>
      <c r="H1300" t="s">
        <v>38</v>
      </c>
      <c r="I1300" t="s">
        <v>5964</v>
      </c>
      <c r="J1300">
        <v>37</v>
      </c>
      <c r="K1300" t="s">
        <v>49</v>
      </c>
      <c r="L1300" t="s">
        <v>23</v>
      </c>
      <c r="M1300" t="s">
        <v>105</v>
      </c>
      <c r="P1300" t="s">
        <v>28</v>
      </c>
      <c r="Q1300" t="s">
        <v>5965</v>
      </c>
      <c r="R1300" t="s">
        <v>5966</v>
      </c>
      <c r="S1300" t="s">
        <v>31</v>
      </c>
      <c r="T1300">
        <v>0</v>
      </c>
    </row>
    <row r="1301" spans="1:20" x14ac:dyDescent="0.25">
      <c r="A1301" t="s">
        <v>5967</v>
      </c>
      <c r="B1301" s="1">
        <v>45926</v>
      </c>
      <c r="C1301" s="5">
        <v>0.50993055555555555</v>
      </c>
      <c r="D1301">
        <v>19.829999999999998</v>
      </c>
      <c r="E1301" t="s">
        <v>44</v>
      </c>
      <c r="F1301" t="s">
        <v>3595</v>
      </c>
      <c r="G1301" t="s">
        <v>46</v>
      </c>
      <c r="H1301" t="s">
        <v>38</v>
      </c>
      <c r="I1301" t="s">
        <v>5968</v>
      </c>
      <c r="J1301">
        <v>72</v>
      </c>
      <c r="K1301" t="s">
        <v>37</v>
      </c>
      <c r="L1301" t="s">
        <v>248</v>
      </c>
      <c r="M1301" t="s">
        <v>105</v>
      </c>
      <c r="P1301" t="s">
        <v>28</v>
      </c>
      <c r="Q1301" t="s">
        <v>5969</v>
      </c>
      <c r="R1301" t="s">
        <v>5970</v>
      </c>
      <c r="S1301" t="s">
        <v>31</v>
      </c>
      <c r="T1301">
        <v>0</v>
      </c>
    </row>
    <row r="1302" spans="1:20" x14ac:dyDescent="0.25">
      <c r="A1302" t="s">
        <v>5971</v>
      </c>
      <c r="B1302" s="1">
        <v>45804</v>
      </c>
      <c r="C1302" s="5">
        <v>9.4861111111111104E-2</v>
      </c>
      <c r="D1302">
        <v>43.61</v>
      </c>
      <c r="E1302" t="s">
        <v>44</v>
      </c>
      <c r="F1302" t="s">
        <v>4732</v>
      </c>
      <c r="G1302" t="s">
        <v>124</v>
      </c>
      <c r="H1302" t="s">
        <v>91</v>
      </c>
      <c r="I1302" t="s">
        <v>5972</v>
      </c>
      <c r="J1302">
        <v>40</v>
      </c>
      <c r="K1302" t="s">
        <v>49</v>
      </c>
      <c r="L1302" t="s">
        <v>23</v>
      </c>
      <c r="M1302" t="s">
        <v>39</v>
      </c>
      <c r="P1302" t="s">
        <v>28</v>
      </c>
      <c r="Q1302" t="s">
        <v>5973</v>
      </c>
      <c r="R1302" t="s">
        <v>5974</v>
      </c>
      <c r="S1302" t="s">
        <v>31</v>
      </c>
      <c r="T1302">
        <v>0</v>
      </c>
    </row>
    <row r="1303" spans="1:20" x14ac:dyDescent="0.25">
      <c r="A1303" t="s">
        <v>5975</v>
      </c>
      <c r="B1303" s="1">
        <v>45793</v>
      </c>
      <c r="C1303" s="5">
        <v>0.85212962962962968</v>
      </c>
      <c r="D1303">
        <v>162.75</v>
      </c>
      <c r="E1303" t="s">
        <v>44</v>
      </c>
      <c r="F1303" t="s">
        <v>5976</v>
      </c>
      <c r="G1303" t="s">
        <v>71</v>
      </c>
      <c r="H1303" t="s">
        <v>91</v>
      </c>
      <c r="I1303" t="s">
        <v>5977</v>
      </c>
      <c r="J1303">
        <v>27</v>
      </c>
      <c r="K1303" t="s">
        <v>37</v>
      </c>
      <c r="L1303" t="s">
        <v>146</v>
      </c>
      <c r="M1303" t="s">
        <v>39</v>
      </c>
      <c r="P1303" t="s">
        <v>28</v>
      </c>
      <c r="Q1303" t="s">
        <v>5978</v>
      </c>
      <c r="R1303" t="s">
        <v>5979</v>
      </c>
      <c r="S1303" t="s">
        <v>31</v>
      </c>
      <c r="T1303">
        <v>0</v>
      </c>
    </row>
    <row r="1304" spans="1:20" x14ac:dyDescent="0.25">
      <c r="A1304" t="s">
        <v>5980</v>
      </c>
      <c r="B1304" s="1">
        <v>45844</v>
      </c>
      <c r="C1304" s="5">
        <v>0.54025462962962967</v>
      </c>
      <c r="D1304">
        <v>55.5</v>
      </c>
      <c r="E1304" t="s">
        <v>44</v>
      </c>
      <c r="F1304" t="s">
        <v>5981</v>
      </c>
      <c r="G1304" t="s">
        <v>96</v>
      </c>
      <c r="H1304" t="s">
        <v>110</v>
      </c>
      <c r="I1304" t="s">
        <v>5982</v>
      </c>
      <c r="J1304">
        <v>37</v>
      </c>
      <c r="K1304" t="s">
        <v>49</v>
      </c>
      <c r="L1304" t="s">
        <v>66</v>
      </c>
      <c r="M1304" t="s">
        <v>27</v>
      </c>
      <c r="P1304" t="s">
        <v>28</v>
      </c>
      <c r="Q1304" t="s">
        <v>5983</v>
      </c>
      <c r="R1304" t="s">
        <v>5984</v>
      </c>
      <c r="S1304" t="s">
        <v>42</v>
      </c>
      <c r="T1304">
        <v>0</v>
      </c>
    </row>
    <row r="1305" spans="1:20" x14ac:dyDescent="0.25">
      <c r="A1305" t="s">
        <v>5985</v>
      </c>
      <c r="B1305" s="1">
        <v>45816</v>
      </c>
      <c r="C1305" s="5">
        <v>0.80565972222222226</v>
      </c>
      <c r="D1305">
        <v>285.81</v>
      </c>
      <c r="E1305" t="s">
        <v>44</v>
      </c>
      <c r="F1305" t="s">
        <v>4678</v>
      </c>
      <c r="G1305" t="s">
        <v>89</v>
      </c>
      <c r="H1305" t="s">
        <v>66</v>
      </c>
      <c r="I1305" t="s">
        <v>5986</v>
      </c>
      <c r="J1305">
        <v>42</v>
      </c>
      <c r="K1305" t="s">
        <v>37</v>
      </c>
      <c r="L1305" t="s">
        <v>58</v>
      </c>
      <c r="M1305" t="s">
        <v>84</v>
      </c>
      <c r="P1305" t="s">
        <v>28</v>
      </c>
      <c r="Q1305" t="s">
        <v>5987</v>
      </c>
      <c r="R1305" t="s">
        <v>5988</v>
      </c>
      <c r="S1305" t="s">
        <v>31</v>
      </c>
      <c r="T1305">
        <v>0</v>
      </c>
    </row>
    <row r="1306" spans="1:20" x14ac:dyDescent="0.25">
      <c r="A1306" t="s">
        <v>5989</v>
      </c>
      <c r="B1306" s="1">
        <v>45811</v>
      </c>
      <c r="C1306" s="5">
        <v>0.43475694444444446</v>
      </c>
      <c r="D1306">
        <v>340.08</v>
      </c>
      <c r="E1306" t="s">
        <v>44</v>
      </c>
      <c r="F1306" t="s">
        <v>5990</v>
      </c>
      <c r="G1306" t="s">
        <v>57</v>
      </c>
      <c r="H1306" t="s">
        <v>146</v>
      </c>
      <c r="I1306" t="s">
        <v>5991</v>
      </c>
      <c r="J1306">
        <v>65</v>
      </c>
      <c r="K1306" t="s">
        <v>49</v>
      </c>
      <c r="L1306" t="s">
        <v>50</v>
      </c>
      <c r="M1306" t="s">
        <v>84</v>
      </c>
      <c r="P1306" t="s">
        <v>28</v>
      </c>
      <c r="Q1306" t="s">
        <v>5992</v>
      </c>
      <c r="R1306" t="s">
        <v>5993</v>
      </c>
      <c r="S1306" t="s">
        <v>31</v>
      </c>
      <c r="T1306">
        <v>0</v>
      </c>
    </row>
    <row r="1307" spans="1:20" x14ac:dyDescent="0.25">
      <c r="A1307" t="s">
        <v>5994</v>
      </c>
      <c r="B1307" s="1">
        <v>45908</v>
      </c>
      <c r="C1307" s="5">
        <v>0.17856481481481482</v>
      </c>
      <c r="D1307">
        <v>92.36</v>
      </c>
      <c r="E1307" t="s">
        <v>44</v>
      </c>
      <c r="F1307" t="s">
        <v>5995</v>
      </c>
      <c r="G1307" t="s">
        <v>34</v>
      </c>
      <c r="H1307" t="s">
        <v>35</v>
      </c>
      <c r="I1307" t="s">
        <v>5996</v>
      </c>
      <c r="J1307">
        <v>73</v>
      </c>
      <c r="K1307" t="s">
        <v>25</v>
      </c>
      <c r="L1307" t="s">
        <v>47</v>
      </c>
      <c r="M1307" t="s">
        <v>27</v>
      </c>
      <c r="P1307" t="s">
        <v>28</v>
      </c>
      <c r="Q1307" t="s">
        <v>5997</v>
      </c>
      <c r="R1307" t="s">
        <v>5998</v>
      </c>
      <c r="S1307" t="s">
        <v>31</v>
      </c>
      <c r="T1307">
        <v>0</v>
      </c>
    </row>
    <row r="1308" spans="1:20" x14ac:dyDescent="0.25">
      <c r="A1308" t="s">
        <v>5999</v>
      </c>
      <c r="B1308" s="1">
        <v>45806</v>
      </c>
      <c r="C1308" s="5">
        <v>0.19224537037037037</v>
      </c>
      <c r="D1308">
        <v>72.55</v>
      </c>
      <c r="E1308" t="s">
        <v>44</v>
      </c>
      <c r="F1308" t="s">
        <v>6000</v>
      </c>
      <c r="G1308" t="s">
        <v>96</v>
      </c>
      <c r="H1308" t="s">
        <v>97</v>
      </c>
      <c r="I1308" t="s">
        <v>6001</v>
      </c>
      <c r="J1308">
        <v>49</v>
      </c>
      <c r="K1308" t="s">
        <v>25</v>
      </c>
      <c r="L1308" t="s">
        <v>35</v>
      </c>
      <c r="M1308" t="s">
        <v>84</v>
      </c>
      <c r="P1308" t="s">
        <v>28</v>
      </c>
      <c r="Q1308" t="s">
        <v>6002</v>
      </c>
      <c r="R1308" t="s">
        <v>6003</v>
      </c>
      <c r="S1308" t="s">
        <v>101</v>
      </c>
      <c r="T1308">
        <v>0</v>
      </c>
    </row>
    <row r="1309" spans="1:20" x14ac:dyDescent="0.25">
      <c r="A1309" t="s">
        <v>6004</v>
      </c>
      <c r="B1309" s="1">
        <v>45846</v>
      </c>
      <c r="C1309" s="5">
        <v>0.34334490740740742</v>
      </c>
      <c r="D1309">
        <v>187.9</v>
      </c>
      <c r="E1309" t="s">
        <v>44</v>
      </c>
      <c r="F1309" t="s">
        <v>6005</v>
      </c>
      <c r="G1309" t="s">
        <v>46</v>
      </c>
      <c r="H1309" t="s">
        <v>66</v>
      </c>
      <c r="I1309" t="s">
        <v>6006</v>
      </c>
      <c r="J1309">
        <v>74</v>
      </c>
      <c r="K1309" t="s">
        <v>25</v>
      </c>
      <c r="L1309" t="s">
        <v>146</v>
      </c>
      <c r="M1309" t="s">
        <v>39</v>
      </c>
      <c r="P1309" t="s">
        <v>28</v>
      </c>
      <c r="Q1309" t="s">
        <v>6007</v>
      </c>
      <c r="R1309" t="s">
        <v>6008</v>
      </c>
      <c r="S1309" t="s">
        <v>31</v>
      </c>
      <c r="T1309">
        <v>0</v>
      </c>
    </row>
    <row r="1310" spans="1:20" x14ac:dyDescent="0.25">
      <c r="A1310" t="s">
        <v>6009</v>
      </c>
      <c r="B1310" s="1">
        <v>45794</v>
      </c>
      <c r="C1310" s="5">
        <v>0.1169212962962963</v>
      </c>
      <c r="D1310">
        <v>193.75</v>
      </c>
      <c r="E1310" t="s">
        <v>44</v>
      </c>
      <c r="F1310" t="s">
        <v>6010</v>
      </c>
      <c r="G1310" t="s">
        <v>64</v>
      </c>
      <c r="H1310" t="s">
        <v>66</v>
      </c>
      <c r="I1310" t="s">
        <v>6011</v>
      </c>
      <c r="J1310">
        <v>57</v>
      </c>
      <c r="K1310" t="s">
        <v>49</v>
      </c>
      <c r="L1310" t="s">
        <v>66</v>
      </c>
      <c r="M1310" t="s">
        <v>51</v>
      </c>
      <c r="N1310" t="s">
        <v>173</v>
      </c>
      <c r="O1310">
        <v>413751</v>
      </c>
      <c r="P1310" t="s">
        <v>113</v>
      </c>
      <c r="Q1310" t="s">
        <v>6012</v>
      </c>
      <c r="R1310" t="s">
        <v>6013</v>
      </c>
      <c r="S1310" t="s">
        <v>31</v>
      </c>
      <c r="T1310">
        <v>0</v>
      </c>
    </row>
    <row r="1311" spans="1:20" x14ac:dyDescent="0.25">
      <c r="A1311" t="s">
        <v>6014</v>
      </c>
      <c r="B1311" s="1">
        <v>45810</v>
      </c>
      <c r="C1311" s="5">
        <v>0.20819444444444443</v>
      </c>
      <c r="D1311">
        <v>92.67</v>
      </c>
      <c r="E1311" t="s">
        <v>44</v>
      </c>
      <c r="F1311" t="s">
        <v>733</v>
      </c>
      <c r="G1311" t="s">
        <v>46</v>
      </c>
      <c r="H1311" t="s">
        <v>23</v>
      </c>
      <c r="I1311" t="s">
        <v>6015</v>
      </c>
      <c r="K1311" t="s">
        <v>49</v>
      </c>
      <c r="L1311" t="s">
        <v>26</v>
      </c>
      <c r="M1311" t="s">
        <v>112</v>
      </c>
      <c r="P1311" t="s">
        <v>28</v>
      </c>
      <c r="Q1311" t="s">
        <v>6016</v>
      </c>
      <c r="R1311" t="s">
        <v>6017</v>
      </c>
      <c r="S1311" t="s">
        <v>31</v>
      </c>
      <c r="T1311">
        <v>0</v>
      </c>
    </row>
    <row r="1312" spans="1:20" x14ac:dyDescent="0.25">
      <c r="A1312" t="s">
        <v>6018</v>
      </c>
      <c r="B1312" s="1">
        <v>45937</v>
      </c>
      <c r="C1312" s="5">
        <v>0.70516203703703706</v>
      </c>
      <c r="D1312">
        <v>974.74</v>
      </c>
      <c r="E1312" t="s">
        <v>44</v>
      </c>
      <c r="F1312" t="s">
        <v>1916</v>
      </c>
      <c r="G1312" t="s">
        <v>46</v>
      </c>
      <c r="H1312" t="s">
        <v>47</v>
      </c>
      <c r="I1312" t="s">
        <v>6019</v>
      </c>
      <c r="J1312">
        <v>55</v>
      </c>
      <c r="K1312" t="s">
        <v>49</v>
      </c>
      <c r="L1312" t="s">
        <v>130</v>
      </c>
      <c r="M1312" t="s">
        <v>84</v>
      </c>
      <c r="P1312" t="s">
        <v>28</v>
      </c>
      <c r="Q1312" t="s">
        <v>6020</v>
      </c>
      <c r="R1312" t="s">
        <v>6021</v>
      </c>
      <c r="S1312" t="s">
        <v>31</v>
      </c>
      <c r="T1312">
        <v>0</v>
      </c>
    </row>
    <row r="1313" spans="1:20" x14ac:dyDescent="0.25">
      <c r="A1313" t="s">
        <v>6022</v>
      </c>
      <c r="B1313" s="1">
        <v>45955</v>
      </c>
      <c r="C1313" s="5">
        <v>0.14964120370370371</v>
      </c>
      <c r="D1313">
        <v>546.89</v>
      </c>
      <c r="E1313" t="s">
        <v>44</v>
      </c>
      <c r="F1313" t="s">
        <v>207</v>
      </c>
      <c r="G1313" t="s">
        <v>124</v>
      </c>
      <c r="H1313" t="s">
        <v>26</v>
      </c>
      <c r="I1313" t="s">
        <v>6023</v>
      </c>
      <c r="J1313">
        <v>34</v>
      </c>
      <c r="K1313" t="s">
        <v>49</v>
      </c>
      <c r="L1313" t="s">
        <v>146</v>
      </c>
      <c r="M1313" t="s">
        <v>51</v>
      </c>
      <c r="N1313" t="s">
        <v>507</v>
      </c>
      <c r="O1313">
        <v>548045</v>
      </c>
      <c r="P1313" t="s">
        <v>28</v>
      </c>
      <c r="Q1313" t="s">
        <v>6024</v>
      </c>
      <c r="R1313" t="s">
        <v>6025</v>
      </c>
      <c r="S1313" t="s">
        <v>101</v>
      </c>
      <c r="T1313">
        <v>0</v>
      </c>
    </row>
    <row r="1314" spans="1:20" x14ac:dyDescent="0.25">
      <c r="A1314" t="s">
        <v>6026</v>
      </c>
      <c r="B1314" s="1">
        <v>45829</v>
      </c>
      <c r="C1314" s="5">
        <v>0.34710648148148149</v>
      </c>
      <c r="D1314">
        <v>20.88</v>
      </c>
      <c r="E1314" t="s">
        <v>44</v>
      </c>
      <c r="F1314" t="s">
        <v>6027</v>
      </c>
      <c r="G1314" t="s">
        <v>71</v>
      </c>
      <c r="H1314" t="s">
        <v>58</v>
      </c>
      <c r="I1314" t="s">
        <v>6028</v>
      </c>
      <c r="J1314">
        <v>61</v>
      </c>
      <c r="K1314" t="s">
        <v>49</v>
      </c>
      <c r="L1314" t="s">
        <v>38</v>
      </c>
      <c r="M1314" t="s">
        <v>51</v>
      </c>
      <c r="N1314" t="s">
        <v>304</v>
      </c>
      <c r="O1314">
        <v>417239</v>
      </c>
      <c r="P1314" t="s">
        <v>28</v>
      </c>
      <c r="Q1314" t="s">
        <v>6029</v>
      </c>
      <c r="R1314" t="s">
        <v>6030</v>
      </c>
      <c r="S1314" t="s">
        <v>31</v>
      </c>
      <c r="T1314">
        <v>0</v>
      </c>
    </row>
    <row r="1315" spans="1:20" x14ac:dyDescent="0.25">
      <c r="A1315" t="s">
        <v>6031</v>
      </c>
      <c r="B1315" s="1">
        <v>45902</v>
      </c>
      <c r="C1315" s="5">
        <v>0.46491898148148147</v>
      </c>
      <c r="D1315">
        <v>109.85</v>
      </c>
      <c r="E1315" t="s">
        <v>44</v>
      </c>
      <c r="F1315" t="s">
        <v>408</v>
      </c>
      <c r="G1315" t="s">
        <v>124</v>
      </c>
      <c r="H1315" t="s">
        <v>50</v>
      </c>
      <c r="I1315" t="s">
        <v>6032</v>
      </c>
      <c r="J1315">
        <v>10</v>
      </c>
      <c r="K1315" t="s">
        <v>37</v>
      </c>
      <c r="L1315" t="s">
        <v>146</v>
      </c>
      <c r="M1315" t="s">
        <v>112</v>
      </c>
      <c r="P1315" t="s">
        <v>28</v>
      </c>
      <c r="Q1315" t="s">
        <v>6033</v>
      </c>
      <c r="R1315" t="s">
        <v>6034</v>
      </c>
      <c r="S1315" t="s">
        <v>31</v>
      </c>
      <c r="T1315">
        <v>0</v>
      </c>
    </row>
    <row r="1316" spans="1:20" x14ac:dyDescent="0.25">
      <c r="A1316" t="s">
        <v>6035</v>
      </c>
      <c r="B1316" s="1">
        <v>45852</v>
      </c>
      <c r="C1316" s="5">
        <v>0.57265046296296296</v>
      </c>
      <c r="D1316">
        <v>60.01</v>
      </c>
      <c r="E1316" t="s">
        <v>44</v>
      </c>
      <c r="F1316" t="s">
        <v>447</v>
      </c>
      <c r="G1316" t="s">
        <v>57</v>
      </c>
      <c r="H1316" t="s">
        <v>38</v>
      </c>
      <c r="I1316" t="s">
        <v>6036</v>
      </c>
      <c r="J1316">
        <v>71</v>
      </c>
      <c r="K1316" t="s">
        <v>49</v>
      </c>
      <c r="L1316" t="s">
        <v>66</v>
      </c>
      <c r="M1316" t="s">
        <v>27</v>
      </c>
      <c r="P1316" t="s">
        <v>28</v>
      </c>
      <c r="Q1316" t="s">
        <v>6037</v>
      </c>
      <c r="R1316" t="s">
        <v>6038</v>
      </c>
      <c r="S1316" t="s">
        <v>31</v>
      </c>
      <c r="T1316">
        <v>0</v>
      </c>
    </row>
    <row r="1317" spans="1:20" x14ac:dyDescent="0.25">
      <c r="A1317" t="s">
        <v>6039</v>
      </c>
      <c r="B1317" s="1">
        <v>45852</v>
      </c>
      <c r="C1317" s="5">
        <v>0.56351851851851853</v>
      </c>
      <c r="D1317">
        <v>170.35</v>
      </c>
      <c r="E1317" t="s">
        <v>44</v>
      </c>
      <c r="F1317" t="s">
        <v>1578</v>
      </c>
      <c r="G1317" t="s">
        <v>89</v>
      </c>
      <c r="H1317" t="s">
        <v>110</v>
      </c>
      <c r="I1317" t="s">
        <v>6040</v>
      </c>
      <c r="J1317">
        <v>33</v>
      </c>
      <c r="K1317" t="s">
        <v>25</v>
      </c>
      <c r="L1317" t="s">
        <v>119</v>
      </c>
      <c r="M1317" t="s">
        <v>84</v>
      </c>
      <c r="P1317" t="s">
        <v>28</v>
      </c>
      <c r="Q1317" t="s">
        <v>6041</v>
      </c>
      <c r="R1317" t="s">
        <v>6042</v>
      </c>
      <c r="S1317" t="s">
        <v>31</v>
      </c>
      <c r="T1317">
        <v>0</v>
      </c>
    </row>
    <row r="1318" spans="1:20" x14ac:dyDescent="0.25">
      <c r="A1318" t="s">
        <v>6043</v>
      </c>
      <c r="B1318" s="1">
        <v>45887</v>
      </c>
      <c r="C1318" s="5">
        <v>0.4042013888888889</v>
      </c>
      <c r="D1318">
        <v>140.55000000000001</v>
      </c>
      <c r="E1318" t="s">
        <v>44</v>
      </c>
      <c r="F1318" t="s">
        <v>5853</v>
      </c>
      <c r="G1318" t="s">
        <v>124</v>
      </c>
      <c r="H1318" t="s">
        <v>23</v>
      </c>
      <c r="I1318" t="s">
        <v>6044</v>
      </c>
      <c r="J1318">
        <v>33</v>
      </c>
      <c r="K1318" t="s">
        <v>37</v>
      </c>
      <c r="L1318" t="s">
        <v>66</v>
      </c>
      <c r="M1318" t="s">
        <v>112</v>
      </c>
      <c r="P1318" t="s">
        <v>28</v>
      </c>
      <c r="Q1318" t="s">
        <v>6045</v>
      </c>
      <c r="R1318" t="s">
        <v>6046</v>
      </c>
      <c r="S1318" t="s">
        <v>31</v>
      </c>
      <c r="T1318">
        <v>0</v>
      </c>
    </row>
    <row r="1319" spans="1:20" x14ac:dyDescent="0.25">
      <c r="A1319" t="s">
        <v>6047</v>
      </c>
      <c r="B1319" s="1">
        <v>45883</v>
      </c>
      <c r="C1319" s="5">
        <v>0.27317129629629627</v>
      </c>
      <c r="D1319">
        <v>150.08000000000001</v>
      </c>
      <c r="E1319" t="s">
        <v>44</v>
      </c>
      <c r="F1319" t="s">
        <v>6048</v>
      </c>
      <c r="G1319" t="s">
        <v>46</v>
      </c>
      <c r="H1319" t="s">
        <v>38</v>
      </c>
      <c r="I1319" t="s">
        <v>6049</v>
      </c>
      <c r="J1319">
        <v>27</v>
      </c>
      <c r="K1319" t="s">
        <v>25</v>
      </c>
      <c r="L1319" t="s">
        <v>35</v>
      </c>
      <c r="M1319" t="s">
        <v>105</v>
      </c>
      <c r="P1319" t="s">
        <v>28</v>
      </c>
      <c r="Q1319" t="s">
        <v>6050</v>
      </c>
      <c r="R1319" t="s">
        <v>6051</v>
      </c>
      <c r="S1319" t="s">
        <v>31</v>
      </c>
      <c r="T1319">
        <v>0</v>
      </c>
    </row>
    <row r="1320" spans="1:20" x14ac:dyDescent="0.25">
      <c r="A1320" t="s">
        <v>6052</v>
      </c>
      <c r="B1320" s="1">
        <v>45913</v>
      </c>
      <c r="C1320" s="5">
        <v>0.46826388888888887</v>
      </c>
      <c r="D1320">
        <v>145.04</v>
      </c>
      <c r="E1320" t="s">
        <v>44</v>
      </c>
      <c r="F1320" t="s">
        <v>6053</v>
      </c>
      <c r="G1320" t="s">
        <v>34</v>
      </c>
      <c r="H1320" t="s">
        <v>47</v>
      </c>
      <c r="I1320" t="s">
        <v>6054</v>
      </c>
      <c r="J1320">
        <v>67</v>
      </c>
      <c r="K1320" t="s">
        <v>49</v>
      </c>
      <c r="L1320" t="s">
        <v>26</v>
      </c>
      <c r="M1320" t="s">
        <v>84</v>
      </c>
      <c r="P1320" t="s">
        <v>28</v>
      </c>
      <c r="Q1320" t="s">
        <v>6055</v>
      </c>
      <c r="R1320" t="s">
        <v>6056</v>
      </c>
      <c r="S1320" t="s">
        <v>31</v>
      </c>
      <c r="T1320">
        <v>0</v>
      </c>
    </row>
    <row r="1321" spans="1:20" x14ac:dyDescent="0.25">
      <c r="A1321" t="s">
        <v>6057</v>
      </c>
      <c r="B1321" s="1">
        <v>45786</v>
      </c>
      <c r="C1321" s="5">
        <v>0.817962962962963</v>
      </c>
      <c r="D1321">
        <v>766.46</v>
      </c>
      <c r="E1321" t="s">
        <v>44</v>
      </c>
      <c r="F1321" t="s">
        <v>6058</v>
      </c>
      <c r="G1321" t="s">
        <v>34</v>
      </c>
      <c r="H1321" t="s">
        <v>38</v>
      </c>
      <c r="I1321" t="s">
        <v>6059</v>
      </c>
      <c r="J1321">
        <v>40</v>
      </c>
      <c r="K1321" t="s">
        <v>37</v>
      </c>
      <c r="L1321" t="s">
        <v>248</v>
      </c>
      <c r="M1321" t="s">
        <v>84</v>
      </c>
      <c r="P1321" t="s">
        <v>28</v>
      </c>
      <c r="Q1321" t="s">
        <v>6060</v>
      </c>
      <c r="R1321" t="s">
        <v>6061</v>
      </c>
      <c r="S1321" t="s">
        <v>31</v>
      </c>
      <c r="T1321">
        <v>0</v>
      </c>
    </row>
    <row r="1322" spans="1:20" x14ac:dyDescent="0.25">
      <c r="A1322" t="s">
        <v>6062</v>
      </c>
      <c r="B1322" s="1">
        <v>45921</v>
      </c>
      <c r="C1322" s="5">
        <v>0.9987731481481481</v>
      </c>
      <c r="D1322">
        <v>172.5</v>
      </c>
      <c r="E1322" t="s">
        <v>44</v>
      </c>
      <c r="F1322" t="s">
        <v>6063</v>
      </c>
      <c r="G1322" t="s">
        <v>96</v>
      </c>
      <c r="H1322" t="s">
        <v>97</v>
      </c>
      <c r="I1322" t="s">
        <v>6064</v>
      </c>
      <c r="J1322">
        <v>18</v>
      </c>
      <c r="K1322" t="s">
        <v>37</v>
      </c>
      <c r="L1322" t="s">
        <v>66</v>
      </c>
      <c r="M1322" t="s">
        <v>84</v>
      </c>
      <c r="P1322" t="s">
        <v>28</v>
      </c>
      <c r="Q1322" t="s">
        <v>6065</v>
      </c>
      <c r="R1322" t="s">
        <v>6066</v>
      </c>
      <c r="S1322" t="s">
        <v>31</v>
      </c>
      <c r="T1322">
        <v>0</v>
      </c>
    </row>
    <row r="1323" spans="1:20" x14ac:dyDescent="0.25">
      <c r="A1323" t="s">
        <v>6067</v>
      </c>
      <c r="B1323" s="1">
        <v>45912</v>
      </c>
      <c r="C1323" s="5">
        <v>0.94688657407407406</v>
      </c>
      <c r="D1323">
        <v>120.95</v>
      </c>
      <c r="E1323" t="s">
        <v>44</v>
      </c>
      <c r="F1323" t="s">
        <v>1138</v>
      </c>
      <c r="G1323" t="s">
        <v>57</v>
      </c>
      <c r="H1323" t="s">
        <v>146</v>
      </c>
      <c r="I1323" t="s">
        <v>6068</v>
      </c>
      <c r="J1323">
        <v>66</v>
      </c>
      <c r="K1323" t="s">
        <v>25</v>
      </c>
      <c r="L1323" t="s">
        <v>97</v>
      </c>
      <c r="M1323" t="s">
        <v>105</v>
      </c>
      <c r="P1323" t="s">
        <v>28</v>
      </c>
      <c r="Q1323" t="s">
        <v>6069</v>
      </c>
      <c r="R1323" t="s">
        <v>6070</v>
      </c>
      <c r="S1323" t="s">
        <v>31</v>
      </c>
      <c r="T1323">
        <v>0</v>
      </c>
    </row>
    <row r="1324" spans="1:20" x14ac:dyDescent="0.25">
      <c r="A1324" t="s">
        <v>6071</v>
      </c>
      <c r="B1324" s="1">
        <v>45782</v>
      </c>
      <c r="C1324" s="5">
        <v>0.1018287037037037</v>
      </c>
      <c r="D1324">
        <v>82.24</v>
      </c>
      <c r="E1324" t="s">
        <v>44</v>
      </c>
      <c r="F1324" t="s">
        <v>5624</v>
      </c>
      <c r="G1324" t="s">
        <v>77</v>
      </c>
      <c r="H1324" t="s">
        <v>23</v>
      </c>
      <c r="I1324" t="s">
        <v>6072</v>
      </c>
      <c r="J1324">
        <v>69</v>
      </c>
      <c r="K1324" t="s">
        <v>49</v>
      </c>
      <c r="L1324" t="s">
        <v>91</v>
      </c>
      <c r="M1324" t="s">
        <v>51</v>
      </c>
      <c r="N1324" t="s">
        <v>507</v>
      </c>
      <c r="O1324">
        <v>508180</v>
      </c>
      <c r="P1324" t="s">
        <v>28</v>
      </c>
      <c r="Q1324" t="s">
        <v>6073</v>
      </c>
      <c r="R1324" t="s">
        <v>6074</v>
      </c>
      <c r="S1324" t="s">
        <v>31</v>
      </c>
      <c r="T1324">
        <v>0</v>
      </c>
    </row>
    <row r="1325" spans="1:20" x14ac:dyDescent="0.25">
      <c r="A1325" t="s">
        <v>6075</v>
      </c>
      <c r="B1325" s="1">
        <v>45960</v>
      </c>
      <c r="C1325" s="5">
        <v>1.2650462962962962E-2</v>
      </c>
      <c r="D1325">
        <v>9.98</v>
      </c>
      <c r="E1325" t="s">
        <v>44</v>
      </c>
      <c r="F1325" t="s">
        <v>6076</v>
      </c>
      <c r="G1325" t="s">
        <v>96</v>
      </c>
      <c r="H1325" t="s">
        <v>66</v>
      </c>
      <c r="I1325" t="s">
        <v>6077</v>
      </c>
      <c r="J1325">
        <v>24</v>
      </c>
      <c r="K1325" t="s">
        <v>49</v>
      </c>
      <c r="L1325" t="s">
        <v>38</v>
      </c>
      <c r="M1325" t="s">
        <v>27</v>
      </c>
      <c r="P1325" t="s">
        <v>28</v>
      </c>
      <c r="Q1325" t="s">
        <v>6078</v>
      </c>
      <c r="R1325" t="s">
        <v>6079</v>
      </c>
      <c r="S1325" t="s">
        <v>101</v>
      </c>
      <c r="T1325">
        <v>0</v>
      </c>
    </row>
    <row r="1326" spans="1:20" x14ac:dyDescent="0.25">
      <c r="A1326" t="s">
        <v>6080</v>
      </c>
      <c r="B1326" s="1">
        <v>45903</v>
      </c>
      <c r="C1326" s="5">
        <v>0.47916666666666669</v>
      </c>
      <c r="D1326">
        <v>73.52</v>
      </c>
      <c r="E1326" t="s">
        <v>44</v>
      </c>
      <c r="F1326" t="s">
        <v>1153</v>
      </c>
      <c r="G1326" t="s">
        <v>77</v>
      </c>
      <c r="H1326" t="s">
        <v>50</v>
      </c>
      <c r="I1326" t="s">
        <v>6081</v>
      </c>
      <c r="J1326">
        <v>61</v>
      </c>
      <c r="K1326" t="s">
        <v>37</v>
      </c>
      <c r="L1326" t="s">
        <v>23</v>
      </c>
      <c r="M1326" t="s">
        <v>27</v>
      </c>
      <c r="P1326" t="s">
        <v>28</v>
      </c>
      <c r="Q1326" t="s">
        <v>6082</v>
      </c>
      <c r="R1326" t="s">
        <v>6083</v>
      </c>
      <c r="S1326" t="s">
        <v>31</v>
      </c>
      <c r="T1326">
        <v>0</v>
      </c>
    </row>
    <row r="1327" spans="1:20" x14ac:dyDescent="0.25">
      <c r="A1327" t="s">
        <v>6084</v>
      </c>
      <c r="B1327" s="1">
        <v>45897</v>
      </c>
      <c r="C1327" s="5">
        <v>0.94335648148148143</v>
      </c>
      <c r="D1327">
        <v>68.31</v>
      </c>
      <c r="E1327" t="s">
        <v>44</v>
      </c>
      <c r="F1327" t="s">
        <v>4053</v>
      </c>
      <c r="G1327" t="s">
        <v>89</v>
      </c>
      <c r="H1327" t="s">
        <v>248</v>
      </c>
      <c r="I1327" t="s">
        <v>2722</v>
      </c>
      <c r="J1327">
        <v>52</v>
      </c>
      <c r="K1327" t="s">
        <v>25</v>
      </c>
      <c r="L1327" t="s">
        <v>23</v>
      </c>
      <c r="M1327" t="s">
        <v>84</v>
      </c>
      <c r="P1327" t="s">
        <v>28</v>
      </c>
      <c r="Q1327" t="s">
        <v>6085</v>
      </c>
      <c r="R1327" t="s">
        <v>6086</v>
      </c>
      <c r="S1327" t="s">
        <v>31</v>
      </c>
      <c r="T1327">
        <v>0</v>
      </c>
    </row>
    <row r="1328" spans="1:20" x14ac:dyDescent="0.25">
      <c r="A1328" t="s">
        <v>6087</v>
      </c>
      <c r="B1328" s="1">
        <v>45953</v>
      </c>
      <c r="C1328" s="5">
        <v>0.86670138888888892</v>
      </c>
      <c r="D1328">
        <v>25.86</v>
      </c>
      <c r="E1328" t="s">
        <v>44</v>
      </c>
      <c r="F1328" t="s">
        <v>2786</v>
      </c>
      <c r="G1328" t="s">
        <v>124</v>
      </c>
      <c r="H1328" t="s">
        <v>58</v>
      </c>
      <c r="I1328" t="s">
        <v>6088</v>
      </c>
      <c r="J1328">
        <v>43</v>
      </c>
      <c r="K1328" t="s">
        <v>49</v>
      </c>
      <c r="L1328" t="s">
        <v>248</v>
      </c>
      <c r="M1328" t="s">
        <v>27</v>
      </c>
      <c r="P1328" t="s">
        <v>28</v>
      </c>
      <c r="Q1328" t="s">
        <v>6089</v>
      </c>
      <c r="R1328" t="s">
        <v>6090</v>
      </c>
      <c r="S1328" t="s">
        <v>31</v>
      </c>
      <c r="T1328">
        <v>0</v>
      </c>
    </row>
    <row r="1329" spans="1:20" x14ac:dyDescent="0.25">
      <c r="A1329" t="s">
        <v>6091</v>
      </c>
      <c r="B1329" s="1">
        <v>45897</v>
      </c>
      <c r="C1329" s="5">
        <v>0.76133101851851848</v>
      </c>
      <c r="D1329">
        <v>22.28</v>
      </c>
      <c r="E1329" t="s">
        <v>44</v>
      </c>
      <c r="F1329" t="s">
        <v>6092</v>
      </c>
      <c r="G1329" t="s">
        <v>77</v>
      </c>
      <c r="H1329" t="s">
        <v>23</v>
      </c>
      <c r="I1329" t="s">
        <v>6093</v>
      </c>
      <c r="J1329">
        <v>38</v>
      </c>
      <c r="K1329" t="s">
        <v>49</v>
      </c>
      <c r="L1329" t="s">
        <v>110</v>
      </c>
      <c r="M1329" t="s">
        <v>27</v>
      </c>
      <c r="P1329" t="s">
        <v>28</v>
      </c>
      <c r="Q1329" t="s">
        <v>6094</v>
      </c>
      <c r="R1329" t="s">
        <v>6095</v>
      </c>
      <c r="S1329" t="s">
        <v>31</v>
      </c>
      <c r="T1329">
        <v>0</v>
      </c>
    </row>
    <row r="1330" spans="1:20" x14ac:dyDescent="0.25">
      <c r="A1330" t="s">
        <v>6096</v>
      </c>
      <c r="B1330" s="1">
        <v>45840</v>
      </c>
      <c r="C1330" s="5">
        <v>4.4953703703703704E-2</v>
      </c>
      <c r="D1330">
        <v>159.43</v>
      </c>
      <c r="E1330" t="s">
        <v>44</v>
      </c>
      <c r="F1330" t="s">
        <v>1143</v>
      </c>
      <c r="G1330" t="s">
        <v>71</v>
      </c>
      <c r="H1330" t="s">
        <v>58</v>
      </c>
      <c r="I1330" t="s">
        <v>1036</v>
      </c>
      <c r="J1330">
        <v>67</v>
      </c>
      <c r="K1330" t="s">
        <v>37</v>
      </c>
      <c r="L1330" t="s">
        <v>26</v>
      </c>
      <c r="M1330" t="s">
        <v>27</v>
      </c>
      <c r="P1330" t="s">
        <v>28</v>
      </c>
      <c r="Q1330" t="s">
        <v>6097</v>
      </c>
      <c r="R1330" t="s">
        <v>6098</v>
      </c>
      <c r="S1330" t="s">
        <v>31</v>
      </c>
      <c r="T1330">
        <v>0</v>
      </c>
    </row>
    <row r="1331" spans="1:20" x14ac:dyDescent="0.25">
      <c r="A1331" t="s">
        <v>6099</v>
      </c>
      <c r="B1331" s="1">
        <v>45947</v>
      </c>
      <c r="C1331" s="5">
        <v>0.62516203703703699</v>
      </c>
      <c r="D1331">
        <v>100.37</v>
      </c>
      <c r="E1331" t="s">
        <v>44</v>
      </c>
      <c r="F1331" t="s">
        <v>6100</v>
      </c>
      <c r="G1331" t="s">
        <v>46</v>
      </c>
      <c r="H1331" t="s">
        <v>110</v>
      </c>
      <c r="I1331" t="s">
        <v>1693</v>
      </c>
      <c r="J1331">
        <v>44</v>
      </c>
      <c r="K1331" t="s">
        <v>49</v>
      </c>
      <c r="L1331" t="s">
        <v>35</v>
      </c>
      <c r="M1331" t="s">
        <v>39</v>
      </c>
      <c r="P1331" t="s">
        <v>28</v>
      </c>
      <c r="Q1331" t="s">
        <v>6101</v>
      </c>
      <c r="R1331" t="s">
        <v>6102</v>
      </c>
      <c r="S1331" t="s">
        <v>31</v>
      </c>
      <c r="T1331">
        <v>0</v>
      </c>
    </row>
    <row r="1332" spans="1:20" x14ac:dyDescent="0.25">
      <c r="A1332" t="s">
        <v>6103</v>
      </c>
      <c r="B1332" s="1">
        <v>45834</v>
      </c>
      <c r="C1332" s="5">
        <v>0.62870370370370365</v>
      </c>
      <c r="D1332">
        <v>35.64</v>
      </c>
      <c r="E1332" t="s">
        <v>44</v>
      </c>
      <c r="F1332" t="s">
        <v>2080</v>
      </c>
      <c r="G1332" t="s">
        <v>77</v>
      </c>
      <c r="H1332" t="s">
        <v>50</v>
      </c>
      <c r="I1332" t="s">
        <v>6104</v>
      </c>
      <c r="J1332">
        <v>46</v>
      </c>
      <c r="K1332" t="s">
        <v>37</v>
      </c>
      <c r="L1332" t="s">
        <v>248</v>
      </c>
      <c r="M1332" t="s">
        <v>39</v>
      </c>
      <c r="P1332" t="s">
        <v>28</v>
      </c>
      <c r="Q1332" t="s">
        <v>6105</v>
      </c>
      <c r="R1332" t="s">
        <v>6106</v>
      </c>
      <c r="S1332" t="s">
        <v>31</v>
      </c>
      <c r="T1332">
        <v>0</v>
      </c>
    </row>
    <row r="1333" spans="1:20" x14ac:dyDescent="0.25">
      <c r="A1333" t="s">
        <v>6107</v>
      </c>
      <c r="B1333" s="1">
        <v>45847</v>
      </c>
      <c r="C1333" s="5">
        <v>0.28042824074074074</v>
      </c>
      <c r="D1333">
        <v>12.66</v>
      </c>
      <c r="E1333" t="s">
        <v>44</v>
      </c>
      <c r="F1333" t="s">
        <v>6108</v>
      </c>
      <c r="G1333" t="s">
        <v>22</v>
      </c>
      <c r="H1333" t="s">
        <v>47</v>
      </c>
      <c r="I1333" t="s">
        <v>6109</v>
      </c>
      <c r="J1333">
        <v>57</v>
      </c>
      <c r="K1333" t="s">
        <v>49</v>
      </c>
      <c r="L1333" t="s">
        <v>248</v>
      </c>
      <c r="M1333" t="s">
        <v>112</v>
      </c>
      <c r="P1333" t="s">
        <v>28</v>
      </c>
      <c r="Q1333" t="s">
        <v>6110</v>
      </c>
      <c r="R1333" t="s">
        <v>6111</v>
      </c>
      <c r="S1333" t="s">
        <v>31</v>
      </c>
      <c r="T1333">
        <v>0</v>
      </c>
    </row>
    <row r="1334" spans="1:20" x14ac:dyDescent="0.25">
      <c r="A1334" t="s">
        <v>6112</v>
      </c>
      <c r="B1334" s="1">
        <v>45791</v>
      </c>
      <c r="C1334" s="5">
        <v>0.39143518518518516</v>
      </c>
      <c r="D1334">
        <v>98.08</v>
      </c>
      <c r="E1334" t="s">
        <v>44</v>
      </c>
      <c r="F1334" t="s">
        <v>6113</v>
      </c>
      <c r="G1334" t="s">
        <v>77</v>
      </c>
      <c r="H1334" t="s">
        <v>47</v>
      </c>
      <c r="I1334" t="s">
        <v>6114</v>
      </c>
      <c r="J1334">
        <v>54</v>
      </c>
      <c r="K1334" t="s">
        <v>25</v>
      </c>
      <c r="L1334" t="s">
        <v>130</v>
      </c>
      <c r="M1334" t="s">
        <v>27</v>
      </c>
      <c r="P1334" t="s">
        <v>28</v>
      </c>
      <c r="Q1334" t="s">
        <v>6115</v>
      </c>
      <c r="R1334" t="s">
        <v>6116</v>
      </c>
      <c r="S1334" t="s">
        <v>31</v>
      </c>
      <c r="T1334">
        <v>0</v>
      </c>
    </row>
    <row r="1335" spans="1:20" x14ac:dyDescent="0.25">
      <c r="A1335" t="s">
        <v>6117</v>
      </c>
      <c r="B1335" s="1">
        <v>45950</v>
      </c>
      <c r="C1335" s="5">
        <v>0.70306712962962958</v>
      </c>
      <c r="D1335">
        <v>27.44</v>
      </c>
      <c r="E1335" t="s">
        <v>44</v>
      </c>
      <c r="F1335" t="s">
        <v>5393</v>
      </c>
      <c r="G1335" t="s">
        <v>71</v>
      </c>
      <c r="H1335" t="s">
        <v>110</v>
      </c>
      <c r="I1335" t="s">
        <v>6118</v>
      </c>
      <c r="J1335">
        <v>50</v>
      </c>
      <c r="K1335" t="s">
        <v>49</v>
      </c>
      <c r="L1335" t="s">
        <v>110</v>
      </c>
      <c r="M1335" t="s">
        <v>112</v>
      </c>
      <c r="P1335" t="s">
        <v>113</v>
      </c>
      <c r="Q1335" t="s">
        <v>6119</v>
      </c>
      <c r="R1335" t="s">
        <v>6120</v>
      </c>
      <c r="S1335" t="s">
        <v>31</v>
      </c>
      <c r="T1335">
        <v>0</v>
      </c>
    </row>
    <row r="1336" spans="1:20" x14ac:dyDescent="0.25">
      <c r="A1336" t="s">
        <v>6121</v>
      </c>
      <c r="B1336" s="1">
        <v>45834</v>
      </c>
      <c r="C1336" s="5">
        <v>0.7300578703703704</v>
      </c>
      <c r="D1336">
        <v>19.940000000000001</v>
      </c>
      <c r="E1336" t="s">
        <v>44</v>
      </c>
      <c r="F1336" t="s">
        <v>4053</v>
      </c>
      <c r="G1336" t="s">
        <v>46</v>
      </c>
      <c r="H1336" t="s">
        <v>38</v>
      </c>
      <c r="I1336" t="s">
        <v>6122</v>
      </c>
      <c r="J1336">
        <v>42</v>
      </c>
      <c r="K1336" t="s">
        <v>49</v>
      </c>
      <c r="L1336" t="s">
        <v>119</v>
      </c>
      <c r="M1336" t="s">
        <v>105</v>
      </c>
      <c r="P1336" t="s">
        <v>28</v>
      </c>
      <c r="Q1336" t="s">
        <v>6123</v>
      </c>
      <c r="R1336" t="s">
        <v>6124</v>
      </c>
      <c r="S1336" t="s">
        <v>31</v>
      </c>
      <c r="T1336">
        <v>0</v>
      </c>
    </row>
    <row r="1337" spans="1:20" x14ac:dyDescent="0.25">
      <c r="A1337" t="s">
        <v>6125</v>
      </c>
      <c r="B1337" s="1">
        <v>45796</v>
      </c>
      <c r="C1337" s="5">
        <v>0.8162962962962963</v>
      </c>
      <c r="D1337">
        <v>72.45</v>
      </c>
      <c r="E1337" t="s">
        <v>44</v>
      </c>
      <c r="F1337" t="s">
        <v>56</v>
      </c>
      <c r="G1337" t="s">
        <v>77</v>
      </c>
      <c r="H1337" t="s">
        <v>47</v>
      </c>
      <c r="I1337" t="s">
        <v>3713</v>
      </c>
      <c r="J1337">
        <v>56</v>
      </c>
      <c r="K1337" t="s">
        <v>49</v>
      </c>
      <c r="L1337" t="s">
        <v>130</v>
      </c>
      <c r="M1337" t="s">
        <v>39</v>
      </c>
      <c r="P1337" t="s">
        <v>28</v>
      </c>
      <c r="Q1337" t="s">
        <v>6126</v>
      </c>
      <c r="R1337" t="s">
        <v>6127</v>
      </c>
      <c r="S1337" t="s">
        <v>31</v>
      </c>
      <c r="T1337">
        <v>1</v>
      </c>
    </row>
    <row r="1338" spans="1:20" x14ac:dyDescent="0.25">
      <c r="A1338" t="s">
        <v>6128</v>
      </c>
      <c r="B1338" s="1">
        <v>45876</v>
      </c>
      <c r="C1338" s="5">
        <v>0.51415509259259262</v>
      </c>
      <c r="D1338">
        <v>13.03</v>
      </c>
      <c r="E1338" t="s">
        <v>44</v>
      </c>
      <c r="F1338" t="s">
        <v>2707</v>
      </c>
      <c r="G1338" t="s">
        <v>34</v>
      </c>
      <c r="H1338" t="s">
        <v>97</v>
      </c>
      <c r="I1338" t="s">
        <v>6129</v>
      </c>
      <c r="J1338">
        <v>27</v>
      </c>
      <c r="K1338" t="s">
        <v>49</v>
      </c>
      <c r="L1338" t="s">
        <v>97</v>
      </c>
      <c r="M1338" t="s">
        <v>112</v>
      </c>
      <c r="P1338" t="s">
        <v>113</v>
      </c>
      <c r="Q1338" t="s">
        <v>6130</v>
      </c>
      <c r="R1338" t="s">
        <v>6131</v>
      </c>
      <c r="S1338" t="s">
        <v>31</v>
      </c>
      <c r="T1338">
        <v>0</v>
      </c>
    </row>
    <row r="1339" spans="1:20" x14ac:dyDescent="0.25">
      <c r="A1339" t="s">
        <v>6132</v>
      </c>
      <c r="B1339" s="1">
        <v>45928</v>
      </c>
      <c r="C1339" s="5">
        <v>0.61268518518518522</v>
      </c>
      <c r="D1339">
        <v>54.92</v>
      </c>
      <c r="E1339" t="s">
        <v>44</v>
      </c>
      <c r="F1339" t="s">
        <v>6133</v>
      </c>
      <c r="G1339" t="s">
        <v>34</v>
      </c>
      <c r="H1339" t="s">
        <v>35</v>
      </c>
      <c r="I1339" t="s">
        <v>6134</v>
      </c>
      <c r="J1339">
        <v>36</v>
      </c>
      <c r="K1339" t="s">
        <v>25</v>
      </c>
      <c r="L1339" t="s">
        <v>50</v>
      </c>
      <c r="M1339" t="s">
        <v>27</v>
      </c>
      <c r="P1339" t="s">
        <v>28</v>
      </c>
      <c r="Q1339" t="s">
        <v>6135</v>
      </c>
      <c r="R1339" t="s">
        <v>6136</v>
      </c>
      <c r="S1339" t="s">
        <v>31</v>
      </c>
      <c r="T1339">
        <v>0</v>
      </c>
    </row>
    <row r="1340" spans="1:20" x14ac:dyDescent="0.25">
      <c r="A1340" t="s">
        <v>6137</v>
      </c>
      <c r="B1340" s="1">
        <v>45870</v>
      </c>
      <c r="C1340" s="5">
        <v>0.29138888888888886</v>
      </c>
      <c r="D1340">
        <v>153.99</v>
      </c>
      <c r="E1340" t="s">
        <v>44</v>
      </c>
      <c r="F1340" t="s">
        <v>6138</v>
      </c>
      <c r="G1340" t="s">
        <v>96</v>
      </c>
      <c r="H1340" t="s">
        <v>38</v>
      </c>
      <c r="I1340" t="s">
        <v>6139</v>
      </c>
      <c r="J1340">
        <v>14</v>
      </c>
      <c r="K1340" t="s">
        <v>49</v>
      </c>
      <c r="L1340" t="s">
        <v>58</v>
      </c>
      <c r="M1340" t="s">
        <v>84</v>
      </c>
      <c r="P1340" t="s">
        <v>28</v>
      </c>
      <c r="Q1340" t="s">
        <v>6140</v>
      </c>
      <c r="R1340" t="s">
        <v>6141</v>
      </c>
      <c r="S1340" t="s">
        <v>31</v>
      </c>
      <c r="T1340">
        <v>0</v>
      </c>
    </row>
    <row r="1341" spans="1:20" x14ac:dyDescent="0.25">
      <c r="A1341" t="s">
        <v>6142</v>
      </c>
      <c r="B1341" s="1">
        <v>45931</v>
      </c>
      <c r="C1341" s="5">
        <v>0.6260648148148148</v>
      </c>
      <c r="D1341">
        <v>146.84</v>
      </c>
      <c r="E1341" t="s">
        <v>44</v>
      </c>
      <c r="F1341" t="s">
        <v>6143</v>
      </c>
      <c r="G1341" t="s">
        <v>64</v>
      </c>
      <c r="H1341" t="s">
        <v>26</v>
      </c>
      <c r="I1341" t="s">
        <v>6144</v>
      </c>
      <c r="J1341">
        <v>31</v>
      </c>
      <c r="K1341" t="s">
        <v>25</v>
      </c>
      <c r="L1341" t="s">
        <v>58</v>
      </c>
      <c r="M1341" t="s">
        <v>27</v>
      </c>
      <c r="P1341" t="s">
        <v>28</v>
      </c>
      <c r="Q1341" t="s">
        <v>6145</v>
      </c>
      <c r="R1341" t="s">
        <v>6146</v>
      </c>
      <c r="S1341" t="s">
        <v>31</v>
      </c>
      <c r="T1341">
        <v>0</v>
      </c>
    </row>
    <row r="1342" spans="1:20" x14ac:dyDescent="0.25">
      <c r="A1342" t="s">
        <v>6147</v>
      </c>
      <c r="B1342" s="1">
        <v>45934</v>
      </c>
      <c r="C1342" s="5">
        <v>0.33591435185185187</v>
      </c>
      <c r="D1342">
        <v>143.38</v>
      </c>
      <c r="E1342" t="s">
        <v>44</v>
      </c>
      <c r="F1342" t="s">
        <v>6148</v>
      </c>
      <c r="G1342" t="s">
        <v>77</v>
      </c>
      <c r="H1342" t="s">
        <v>35</v>
      </c>
      <c r="I1342" t="s">
        <v>6149</v>
      </c>
      <c r="J1342">
        <v>44</v>
      </c>
      <c r="K1342" t="s">
        <v>49</v>
      </c>
      <c r="L1342" t="s">
        <v>130</v>
      </c>
      <c r="M1342" t="s">
        <v>27</v>
      </c>
      <c r="P1342" t="s">
        <v>28</v>
      </c>
      <c r="Q1342" t="s">
        <v>6150</v>
      </c>
      <c r="R1342" t="s">
        <v>6151</v>
      </c>
      <c r="S1342" t="s">
        <v>31</v>
      </c>
      <c r="T1342">
        <v>0</v>
      </c>
    </row>
    <row r="1343" spans="1:20" x14ac:dyDescent="0.25">
      <c r="A1343" t="s">
        <v>6152</v>
      </c>
      <c r="B1343" s="1">
        <v>45868</v>
      </c>
      <c r="C1343" s="5">
        <v>0.9485069444444445</v>
      </c>
      <c r="D1343">
        <v>58.4</v>
      </c>
      <c r="E1343" t="s">
        <v>44</v>
      </c>
      <c r="F1343" t="s">
        <v>2190</v>
      </c>
      <c r="G1343" t="s">
        <v>34</v>
      </c>
      <c r="H1343" t="s">
        <v>130</v>
      </c>
      <c r="I1343" t="s">
        <v>6153</v>
      </c>
      <c r="J1343">
        <v>34</v>
      </c>
      <c r="K1343" t="s">
        <v>37</v>
      </c>
      <c r="L1343" t="s">
        <v>66</v>
      </c>
      <c r="M1343" t="s">
        <v>39</v>
      </c>
      <c r="P1343" t="s">
        <v>28</v>
      </c>
      <c r="Q1343" t="s">
        <v>6154</v>
      </c>
      <c r="R1343" t="s">
        <v>6155</v>
      </c>
      <c r="S1343" t="s">
        <v>31</v>
      </c>
      <c r="T1343">
        <v>0</v>
      </c>
    </row>
    <row r="1344" spans="1:20" x14ac:dyDescent="0.25">
      <c r="A1344" t="s">
        <v>6156</v>
      </c>
      <c r="B1344" s="1">
        <v>45938</v>
      </c>
      <c r="C1344" s="5">
        <v>0.43417824074074074</v>
      </c>
      <c r="D1344">
        <v>98.51</v>
      </c>
      <c r="E1344" t="s">
        <v>44</v>
      </c>
      <c r="F1344" t="s">
        <v>5782</v>
      </c>
      <c r="G1344" t="s">
        <v>34</v>
      </c>
      <c r="H1344" t="s">
        <v>23</v>
      </c>
      <c r="I1344" t="s">
        <v>6157</v>
      </c>
      <c r="J1344">
        <v>64</v>
      </c>
      <c r="K1344" t="s">
        <v>37</v>
      </c>
      <c r="L1344" t="s">
        <v>50</v>
      </c>
      <c r="M1344" t="s">
        <v>27</v>
      </c>
      <c r="P1344" t="s">
        <v>28</v>
      </c>
      <c r="Q1344" t="s">
        <v>6158</v>
      </c>
      <c r="R1344" t="s">
        <v>6159</v>
      </c>
      <c r="S1344" t="s">
        <v>31</v>
      </c>
      <c r="T1344">
        <v>0</v>
      </c>
    </row>
    <row r="1345" spans="1:20" x14ac:dyDescent="0.25">
      <c r="A1345" t="s">
        <v>6160</v>
      </c>
      <c r="B1345" s="1">
        <v>45808</v>
      </c>
      <c r="C1345" s="5">
        <v>0.25437500000000002</v>
      </c>
      <c r="D1345">
        <v>182.53</v>
      </c>
      <c r="E1345" t="s">
        <v>44</v>
      </c>
      <c r="F1345" t="s">
        <v>5246</v>
      </c>
      <c r="G1345" t="s">
        <v>64</v>
      </c>
      <c r="H1345" t="s">
        <v>110</v>
      </c>
      <c r="I1345" t="s">
        <v>6161</v>
      </c>
      <c r="J1345">
        <v>52</v>
      </c>
      <c r="K1345" t="s">
        <v>49</v>
      </c>
      <c r="L1345" t="s">
        <v>35</v>
      </c>
      <c r="M1345" t="s">
        <v>27</v>
      </c>
      <c r="P1345" t="s">
        <v>28</v>
      </c>
      <c r="Q1345" t="s">
        <v>6162</v>
      </c>
      <c r="R1345" t="s">
        <v>6163</v>
      </c>
      <c r="S1345" t="s">
        <v>31</v>
      </c>
      <c r="T1345">
        <v>0</v>
      </c>
    </row>
    <row r="1346" spans="1:20" x14ac:dyDescent="0.25">
      <c r="A1346" t="s">
        <v>6164</v>
      </c>
      <c r="B1346" s="1">
        <v>45938</v>
      </c>
      <c r="C1346" s="5">
        <v>0.15931712962962963</v>
      </c>
      <c r="D1346">
        <v>79.63</v>
      </c>
      <c r="E1346" t="s">
        <v>44</v>
      </c>
      <c r="F1346" t="s">
        <v>6165</v>
      </c>
      <c r="G1346" t="s">
        <v>22</v>
      </c>
      <c r="H1346" t="s">
        <v>97</v>
      </c>
      <c r="I1346" t="s">
        <v>6166</v>
      </c>
      <c r="J1346">
        <v>25</v>
      </c>
      <c r="K1346" t="s">
        <v>37</v>
      </c>
      <c r="L1346" t="s">
        <v>66</v>
      </c>
      <c r="M1346" t="s">
        <v>39</v>
      </c>
      <c r="P1346" t="s">
        <v>28</v>
      </c>
      <c r="Q1346" t="s">
        <v>6167</v>
      </c>
      <c r="R1346" t="s">
        <v>6168</v>
      </c>
      <c r="S1346" t="s">
        <v>31</v>
      </c>
      <c r="T1346">
        <v>0</v>
      </c>
    </row>
    <row r="1347" spans="1:20" x14ac:dyDescent="0.25">
      <c r="A1347" t="s">
        <v>6169</v>
      </c>
      <c r="B1347" s="1">
        <v>45786</v>
      </c>
      <c r="C1347" s="5">
        <v>0.57626157407407408</v>
      </c>
      <c r="D1347">
        <v>148.44999999999999</v>
      </c>
      <c r="E1347" t="s">
        <v>44</v>
      </c>
      <c r="F1347" t="s">
        <v>787</v>
      </c>
      <c r="G1347" t="s">
        <v>64</v>
      </c>
      <c r="H1347" t="s">
        <v>110</v>
      </c>
      <c r="I1347" t="s">
        <v>6170</v>
      </c>
      <c r="J1347">
        <v>67</v>
      </c>
      <c r="K1347" t="s">
        <v>37</v>
      </c>
      <c r="L1347" t="s">
        <v>91</v>
      </c>
      <c r="M1347" t="s">
        <v>105</v>
      </c>
      <c r="P1347" t="s">
        <v>28</v>
      </c>
      <c r="Q1347" t="s">
        <v>6171</v>
      </c>
      <c r="R1347" t="s">
        <v>6172</v>
      </c>
      <c r="S1347" t="s">
        <v>31</v>
      </c>
      <c r="T1347">
        <v>0</v>
      </c>
    </row>
    <row r="1348" spans="1:20" x14ac:dyDescent="0.25">
      <c r="A1348" t="s">
        <v>6173</v>
      </c>
      <c r="B1348" s="1">
        <v>45955</v>
      </c>
      <c r="C1348" s="5">
        <v>0.21708333333333332</v>
      </c>
      <c r="D1348">
        <v>56.81</v>
      </c>
      <c r="E1348" t="s">
        <v>44</v>
      </c>
      <c r="F1348" t="s">
        <v>511</v>
      </c>
      <c r="G1348" t="s">
        <v>77</v>
      </c>
      <c r="H1348" t="s">
        <v>58</v>
      </c>
      <c r="I1348" t="s">
        <v>6174</v>
      </c>
      <c r="J1348">
        <v>30</v>
      </c>
      <c r="K1348" t="s">
        <v>37</v>
      </c>
      <c r="L1348" t="s">
        <v>97</v>
      </c>
      <c r="M1348" t="s">
        <v>112</v>
      </c>
      <c r="P1348" t="s">
        <v>28</v>
      </c>
      <c r="Q1348" t="s">
        <v>6175</v>
      </c>
      <c r="R1348" t="s">
        <v>6176</v>
      </c>
      <c r="S1348" t="s">
        <v>31</v>
      </c>
      <c r="T1348">
        <v>0</v>
      </c>
    </row>
    <row r="1349" spans="1:20" x14ac:dyDescent="0.25">
      <c r="A1349" t="s">
        <v>6177</v>
      </c>
      <c r="B1349" s="1">
        <v>45844</v>
      </c>
      <c r="C1349" s="5">
        <v>0.78015046296296298</v>
      </c>
      <c r="D1349">
        <v>178.36</v>
      </c>
      <c r="E1349" t="s">
        <v>44</v>
      </c>
      <c r="F1349" t="s">
        <v>2126</v>
      </c>
      <c r="G1349" t="s">
        <v>22</v>
      </c>
      <c r="H1349" t="s">
        <v>35</v>
      </c>
      <c r="I1349" t="s">
        <v>6178</v>
      </c>
      <c r="J1349">
        <v>63</v>
      </c>
      <c r="K1349" t="s">
        <v>37</v>
      </c>
      <c r="L1349" t="s">
        <v>248</v>
      </c>
      <c r="M1349" t="s">
        <v>105</v>
      </c>
      <c r="P1349" t="s">
        <v>28</v>
      </c>
      <c r="Q1349" t="s">
        <v>6179</v>
      </c>
      <c r="R1349" t="s">
        <v>6180</v>
      </c>
      <c r="S1349" t="s">
        <v>31</v>
      </c>
      <c r="T1349">
        <v>0</v>
      </c>
    </row>
    <row r="1350" spans="1:20" x14ac:dyDescent="0.25">
      <c r="A1350" t="s">
        <v>6181</v>
      </c>
      <c r="B1350" s="1">
        <v>45836</v>
      </c>
      <c r="C1350" s="5">
        <v>8.6585648148148148E-2</v>
      </c>
      <c r="D1350">
        <v>569.12</v>
      </c>
      <c r="E1350" t="s">
        <v>44</v>
      </c>
      <c r="F1350" t="s">
        <v>5824</v>
      </c>
      <c r="G1350" t="s">
        <v>64</v>
      </c>
      <c r="H1350" t="s">
        <v>38</v>
      </c>
      <c r="I1350" t="s">
        <v>6182</v>
      </c>
      <c r="J1350">
        <v>70</v>
      </c>
      <c r="K1350" t="s">
        <v>49</v>
      </c>
      <c r="L1350" t="s">
        <v>58</v>
      </c>
      <c r="M1350" t="s">
        <v>51</v>
      </c>
      <c r="N1350" t="s">
        <v>173</v>
      </c>
      <c r="O1350">
        <v>533514</v>
      </c>
      <c r="P1350" t="s">
        <v>28</v>
      </c>
      <c r="Q1350" t="s">
        <v>6183</v>
      </c>
      <c r="R1350" t="s">
        <v>6184</v>
      </c>
      <c r="S1350" t="s">
        <v>31</v>
      </c>
      <c r="T1350">
        <v>1</v>
      </c>
    </row>
    <row r="1351" spans="1:20" x14ac:dyDescent="0.25">
      <c r="A1351" t="s">
        <v>6185</v>
      </c>
      <c r="B1351" s="1">
        <v>45874</v>
      </c>
      <c r="C1351" s="5">
        <v>0.78749999999999998</v>
      </c>
      <c r="D1351">
        <v>2877.13</v>
      </c>
      <c r="E1351" t="s">
        <v>44</v>
      </c>
      <c r="F1351" t="s">
        <v>3553</v>
      </c>
      <c r="G1351" t="s">
        <v>71</v>
      </c>
      <c r="H1351" t="s">
        <v>26</v>
      </c>
      <c r="I1351" t="s">
        <v>6186</v>
      </c>
      <c r="J1351">
        <v>37</v>
      </c>
      <c r="K1351" t="s">
        <v>37</v>
      </c>
      <c r="L1351" t="s">
        <v>248</v>
      </c>
      <c r="M1351" t="s">
        <v>27</v>
      </c>
      <c r="P1351" t="s">
        <v>28</v>
      </c>
      <c r="Q1351" t="s">
        <v>6187</v>
      </c>
      <c r="R1351" t="s">
        <v>6188</v>
      </c>
      <c r="S1351" t="s">
        <v>31</v>
      </c>
      <c r="T1351">
        <v>0</v>
      </c>
    </row>
    <row r="1352" spans="1:20" x14ac:dyDescent="0.25">
      <c r="A1352" t="s">
        <v>6189</v>
      </c>
      <c r="B1352" s="1">
        <v>45912</v>
      </c>
      <c r="C1352" s="5">
        <v>0.35821759259259262</v>
      </c>
      <c r="D1352">
        <v>11.4</v>
      </c>
      <c r="E1352" t="s">
        <v>44</v>
      </c>
      <c r="F1352" t="s">
        <v>1617</v>
      </c>
      <c r="G1352" t="s">
        <v>57</v>
      </c>
      <c r="H1352" t="s">
        <v>26</v>
      </c>
      <c r="I1352" t="s">
        <v>6190</v>
      </c>
      <c r="J1352">
        <v>45</v>
      </c>
      <c r="K1352" t="s">
        <v>49</v>
      </c>
      <c r="L1352" t="s">
        <v>97</v>
      </c>
      <c r="M1352" t="s">
        <v>27</v>
      </c>
      <c r="P1352" t="s">
        <v>28</v>
      </c>
      <c r="Q1352" t="s">
        <v>6191</v>
      </c>
      <c r="R1352" t="s">
        <v>6192</v>
      </c>
      <c r="S1352" t="s">
        <v>31</v>
      </c>
      <c r="T1352">
        <v>0</v>
      </c>
    </row>
    <row r="1353" spans="1:20" x14ac:dyDescent="0.25">
      <c r="A1353" t="s">
        <v>6193</v>
      </c>
      <c r="B1353" s="1">
        <v>45941</v>
      </c>
      <c r="C1353" s="5">
        <v>0.8413194444444444</v>
      </c>
      <c r="D1353">
        <v>181.16</v>
      </c>
      <c r="E1353" t="s">
        <v>44</v>
      </c>
      <c r="F1353" t="s">
        <v>1632</v>
      </c>
      <c r="G1353" t="s">
        <v>34</v>
      </c>
      <c r="H1353" t="s">
        <v>23</v>
      </c>
      <c r="I1353" t="s">
        <v>6194</v>
      </c>
      <c r="J1353">
        <v>29</v>
      </c>
      <c r="K1353" t="s">
        <v>25</v>
      </c>
      <c r="L1353" t="s">
        <v>248</v>
      </c>
      <c r="M1353" t="s">
        <v>27</v>
      </c>
      <c r="P1353" t="s">
        <v>28</v>
      </c>
      <c r="Q1353" t="s">
        <v>6195</v>
      </c>
      <c r="R1353" t="s">
        <v>6196</v>
      </c>
      <c r="S1353" t="s">
        <v>31</v>
      </c>
      <c r="T1353">
        <v>0</v>
      </c>
    </row>
    <row r="1354" spans="1:20" x14ac:dyDescent="0.25">
      <c r="A1354" t="s">
        <v>6197</v>
      </c>
      <c r="B1354" s="1">
        <v>45803</v>
      </c>
      <c r="C1354" s="5">
        <v>0.74458333333333337</v>
      </c>
      <c r="D1354">
        <v>103.74</v>
      </c>
      <c r="E1354" t="s">
        <v>44</v>
      </c>
      <c r="F1354" t="s">
        <v>1832</v>
      </c>
      <c r="G1354" t="s">
        <v>96</v>
      </c>
      <c r="H1354" t="s">
        <v>23</v>
      </c>
      <c r="I1354" t="s">
        <v>1183</v>
      </c>
      <c r="J1354">
        <v>45</v>
      </c>
      <c r="K1354" t="s">
        <v>25</v>
      </c>
      <c r="L1354" t="s">
        <v>91</v>
      </c>
      <c r="M1354" t="s">
        <v>27</v>
      </c>
      <c r="P1354" t="s">
        <v>28</v>
      </c>
      <c r="Q1354" t="s">
        <v>6198</v>
      </c>
      <c r="R1354" t="s">
        <v>6199</v>
      </c>
      <c r="S1354" t="s">
        <v>31</v>
      </c>
      <c r="T1354">
        <v>0</v>
      </c>
    </row>
    <row r="1355" spans="1:20" x14ac:dyDescent="0.25">
      <c r="A1355" t="s">
        <v>6200</v>
      </c>
      <c r="B1355" s="1">
        <v>45838</v>
      </c>
      <c r="C1355" s="5">
        <v>0.5141782407407407</v>
      </c>
      <c r="D1355">
        <v>190.36</v>
      </c>
      <c r="E1355" t="s">
        <v>44</v>
      </c>
      <c r="F1355" t="s">
        <v>6201</v>
      </c>
      <c r="G1355" t="s">
        <v>96</v>
      </c>
      <c r="H1355" t="s">
        <v>50</v>
      </c>
      <c r="I1355" t="s">
        <v>6202</v>
      </c>
      <c r="J1355">
        <v>47</v>
      </c>
      <c r="K1355" t="s">
        <v>49</v>
      </c>
      <c r="L1355" t="s">
        <v>119</v>
      </c>
      <c r="M1355" t="s">
        <v>112</v>
      </c>
      <c r="P1355" t="s">
        <v>28</v>
      </c>
      <c r="Q1355" t="s">
        <v>6203</v>
      </c>
      <c r="R1355" t="s">
        <v>6204</v>
      </c>
      <c r="S1355" t="s">
        <v>31</v>
      </c>
      <c r="T1355">
        <v>0</v>
      </c>
    </row>
    <row r="1356" spans="1:20" x14ac:dyDescent="0.25">
      <c r="A1356" t="s">
        <v>6205</v>
      </c>
      <c r="B1356" s="1">
        <v>45884</v>
      </c>
      <c r="C1356" s="5">
        <v>0.66571759259259256</v>
      </c>
      <c r="D1356">
        <v>47.13</v>
      </c>
      <c r="E1356" t="s">
        <v>44</v>
      </c>
      <c r="F1356" t="s">
        <v>4518</v>
      </c>
      <c r="G1356" t="s">
        <v>22</v>
      </c>
      <c r="H1356" t="s">
        <v>47</v>
      </c>
      <c r="I1356" t="s">
        <v>6206</v>
      </c>
      <c r="J1356">
        <v>20</v>
      </c>
      <c r="K1356" t="s">
        <v>37</v>
      </c>
      <c r="L1356" t="s">
        <v>58</v>
      </c>
      <c r="M1356" t="s">
        <v>112</v>
      </c>
      <c r="P1356" t="s">
        <v>28</v>
      </c>
      <c r="Q1356" t="s">
        <v>6207</v>
      </c>
      <c r="R1356" t="s">
        <v>3945</v>
      </c>
      <c r="S1356" t="s">
        <v>31</v>
      </c>
      <c r="T1356">
        <v>0</v>
      </c>
    </row>
    <row r="1357" spans="1:20" x14ac:dyDescent="0.25">
      <c r="A1357" t="s">
        <v>6208</v>
      </c>
      <c r="B1357" s="1">
        <v>45898</v>
      </c>
      <c r="C1357" s="5">
        <v>0.81086805555555552</v>
      </c>
      <c r="D1357">
        <v>35.130000000000003</v>
      </c>
      <c r="E1357" t="s">
        <v>44</v>
      </c>
      <c r="F1357" t="s">
        <v>1692</v>
      </c>
      <c r="G1357" t="s">
        <v>89</v>
      </c>
      <c r="H1357" t="s">
        <v>26</v>
      </c>
      <c r="I1357" t="s">
        <v>6209</v>
      </c>
      <c r="J1357">
        <v>21</v>
      </c>
      <c r="K1357" t="s">
        <v>25</v>
      </c>
      <c r="L1357" t="s">
        <v>26</v>
      </c>
      <c r="M1357" t="s">
        <v>51</v>
      </c>
      <c r="N1357" t="s">
        <v>173</v>
      </c>
      <c r="O1357">
        <v>432829</v>
      </c>
      <c r="P1357" t="s">
        <v>113</v>
      </c>
      <c r="Q1357" t="s">
        <v>6210</v>
      </c>
      <c r="R1357" t="s">
        <v>6211</v>
      </c>
      <c r="S1357" t="s">
        <v>31</v>
      </c>
      <c r="T1357">
        <v>0</v>
      </c>
    </row>
    <row r="1358" spans="1:20" x14ac:dyDescent="0.25">
      <c r="A1358" t="s">
        <v>6212</v>
      </c>
      <c r="B1358" s="1">
        <v>45825</v>
      </c>
      <c r="C1358" s="5">
        <v>0.43587962962962962</v>
      </c>
      <c r="D1358">
        <v>26.65</v>
      </c>
      <c r="E1358" t="s">
        <v>44</v>
      </c>
      <c r="F1358" t="s">
        <v>6213</v>
      </c>
      <c r="G1358" t="s">
        <v>124</v>
      </c>
      <c r="H1358" t="s">
        <v>146</v>
      </c>
      <c r="I1358" t="s">
        <v>6214</v>
      </c>
      <c r="J1358">
        <v>72</v>
      </c>
      <c r="K1358" t="s">
        <v>25</v>
      </c>
      <c r="L1358" t="s">
        <v>91</v>
      </c>
      <c r="M1358" t="s">
        <v>51</v>
      </c>
      <c r="N1358" t="s">
        <v>52</v>
      </c>
      <c r="O1358">
        <v>440879</v>
      </c>
      <c r="P1358" t="s">
        <v>28</v>
      </c>
      <c r="Q1358" t="s">
        <v>6215</v>
      </c>
      <c r="R1358" t="s">
        <v>6216</v>
      </c>
      <c r="S1358" t="s">
        <v>31</v>
      </c>
      <c r="T1358">
        <v>0</v>
      </c>
    </row>
    <row r="1359" spans="1:20" x14ac:dyDescent="0.25">
      <c r="A1359" t="s">
        <v>6217</v>
      </c>
      <c r="B1359" s="1">
        <v>45896</v>
      </c>
      <c r="C1359" s="5">
        <v>0.28570601851851851</v>
      </c>
      <c r="D1359">
        <v>82.81</v>
      </c>
      <c r="E1359" t="s">
        <v>44</v>
      </c>
      <c r="F1359" t="s">
        <v>6218</v>
      </c>
      <c r="G1359" t="s">
        <v>96</v>
      </c>
      <c r="H1359" t="s">
        <v>248</v>
      </c>
      <c r="I1359" t="s">
        <v>6219</v>
      </c>
      <c r="J1359">
        <v>19</v>
      </c>
      <c r="K1359" t="s">
        <v>49</v>
      </c>
      <c r="L1359" t="s">
        <v>50</v>
      </c>
      <c r="M1359" t="s">
        <v>51</v>
      </c>
      <c r="N1359" t="s">
        <v>52</v>
      </c>
      <c r="O1359">
        <v>519840</v>
      </c>
      <c r="P1359" t="s">
        <v>28</v>
      </c>
      <c r="Q1359" t="s">
        <v>6220</v>
      </c>
      <c r="R1359" t="s">
        <v>6221</v>
      </c>
      <c r="S1359" t="s">
        <v>101</v>
      </c>
      <c r="T1359">
        <v>0</v>
      </c>
    </row>
    <row r="1360" spans="1:20" x14ac:dyDescent="0.25">
      <c r="A1360" t="s">
        <v>6222</v>
      </c>
      <c r="B1360" s="1">
        <v>45823</v>
      </c>
      <c r="C1360" s="5">
        <v>0.64486111111111111</v>
      </c>
      <c r="D1360">
        <v>494.59</v>
      </c>
      <c r="E1360" t="s">
        <v>44</v>
      </c>
      <c r="F1360" t="s">
        <v>893</v>
      </c>
      <c r="G1360" t="s">
        <v>22</v>
      </c>
      <c r="H1360" t="s">
        <v>248</v>
      </c>
      <c r="I1360" t="s">
        <v>6223</v>
      </c>
      <c r="J1360">
        <v>34</v>
      </c>
      <c r="K1360" t="s">
        <v>37</v>
      </c>
      <c r="L1360" t="s">
        <v>146</v>
      </c>
      <c r="M1360" t="s">
        <v>84</v>
      </c>
      <c r="P1360" t="s">
        <v>28</v>
      </c>
      <c r="Q1360" t="s">
        <v>6224</v>
      </c>
      <c r="R1360" t="s">
        <v>6225</v>
      </c>
      <c r="S1360" t="s">
        <v>31</v>
      </c>
      <c r="T1360">
        <v>0</v>
      </c>
    </row>
    <row r="1361" spans="1:20" x14ac:dyDescent="0.25">
      <c r="A1361" t="s">
        <v>6226</v>
      </c>
      <c r="B1361" s="1">
        <v>45933</v>
      </c>
      <c r="C1361" s="5">
        <v>0.5671180555555555</v>
      </c>
      <c r="D1361">
        <v>9.48</v>
      </c>
      <c r="E1361" t="s">
        <v>44</v>
      </c>
      <c r="F1361" t="s">
        <v>3060</v>
      </c>
      <c r="G1361" t="s">
        <v>64</v>
      </c>
      <c r="H1361" t="s">
        <v>35</v>
      </c>
      <c r="I1361" t="s">
        <v>6227</v>
      </c>
      <c r="J1361">
        <v>66</v>
      </c>
      <c r="K1361" t="s">
        <v>49</v>
      </c>
      <c r="L1361" t="s">
        <v>50</v>
      </c>
      <c r="M1361" t="s">
        <v>84</v>
      </c>
      <c r="P1361" t="s">
        <v>28</v>
      </c>
      <c r="Q1361" t="s">
        <v>6228</v>
      </c>
      <c r="R1361" t="s">
        <v>6229</v>
      </c>
      <c r="S1361" t="s">
        <v>31</v>
      </c>
      <c r="T1361">
        <v>0</v>
      </c>
    </row>
    <row r="1362" spans="1:20" x14ac:dyDescent="0.25">
      <c r="A1362" t="s">
        <v>6230</v>
      </c>
      <c r="B1362" s="1">
        <v>45859</v>
      </c>
      <c r="C1362" s="5">
        <v>0.67730324074074078</v>
      </c>
      <c r="D1362">
        <v>171.81</v>
      </c>
      <c r="E1362" t="s">
        <v>44</v>
      </c>
      <c r="F1362" t="s">
        <v>4518</v>
      </c>
      <c r="G1362" t="s">
        <v>124</v>
      </c>
      <c r="H1362" t="s">
        <v>91</v>
      </c>
      <c r="I1362" t="s">
        <v>6231</v>
      </c>
      <c r="J1362">
        <v>58</v>
      </c>
      <c r="K1362" t="s">
        <v>37</v>
      </c>
      <c r="L1362" t="s">
        <v>97</v>
      </c>
      <c r="M1362" t="s">
        <v>112</v>
      </c>
      <c r="P1362" t="s">
        <v>28</v>
      </c>
      <c r="Q1362" t="s">
        <v>6232</v>
      </c>
      <c r="R1362" t="s">
        <v>6233</v>
      </c>
      <c r="S1362" t="s">
        <v>31</v>
      </c>
      <c r="T1362">
        <v>0</v>
      </c>
    </row>
    <row r="1363" spans="1:20" x14ac:dyDescent="0.25">
      <c r="A1363" t="s">
        <v>6234</v>
      </c>
      <c r="B1363" s="1">
        <v>45799</v>
      </c>
      <c r="C1363" s="5">
        <v>0.40217592592592594</v>
      </c>
      <c r="D1363">
        <v>199.6</v>
      </c>
      <c r="E1363" t="s">
        <v>44</v>
      </c>
      <c r="F1363" t="s">
        <v>6235</v>
      </c>
      <c r="G1363" t="s">
        <v>77</v>
      </c>
      <c r="H1363" t="s">
        <v>91</v>
      </c>
      <c r="I1363" t="s">
        <v>6236</v>
      </c>
      <c r="K1363" t="s">
        <v>49</v>
      </c>
      <c r="L1363" t="s">
        <v>248</v>
      </c>
      <c r="M1363" t="s">
        <v>112</v>
      </c>
      <c r="P1363" t="s">
        <v>28</v>
      </c>
      <c r="Q1363" t="s">
        <v>6237</v>
      </c>
      <c r="R1363" t="s">
        <v>6238</v>
      </c>
      <c r="S1363" t="s">
        <v>31</v>
      </c>
      <c r="T1363">
        <v>1</v>
      </c>
    </row>
    <row r="1364" spans="1:20" x14ac:dyDescent="0.25">
      <c r="A1364" t="s">
        <v>6239</v>
      </c>
      <c r="B1364" s="1">
        <v>45794</v>
      </c>
      <c r="C1364" s="5">
        <v>0.31484953703703705</v>
      </c>
      <c r="D1364">
        <v>144.24</v>
      </c>
      <c r="E1364" t="s">
        <v>44</v>
      </c>
      <c r="F1364" t="s">
        <v>3753</v>
      </c>
      <c r="G1364" t="s">
        <v>96</v>
      </c>
      <c r="H1364" t="s">
        <v>97</v>
      </c>
      <c r="I1364" t="s">
        <v>6240</v>
      </c>
      <c r="J1364">
        <v>72</v>
      </c>
      <c r="K1364" t="s">
        <v>49</v>
      </c>
      <c r="L1364" t="s">
        <v>23</v>
      </c>
      <c r="M1364" t="s">
        <v>39</v>
      </c>
      <c r="P1364" t="s">
        <v>28</v>
      </c>
      <c r="Q1364" t="s">
        <v>6241</v>
      </c>
      <c r="R1364" t="s">
        <v>6242</v>
      </c>
      <c r="S1364" t="s">
        <v>31</v>
      </c>
      <c r="T1364">
        <v>0</v>
      </c>
    </row>
    <row r="1365" spans="1:20" x14ac:dyDescent="0.25">
      <c r="A1365" t="s">
        <v>6243</v>
      </c>
      <c r="B1365" s="1">
        <v>45869</v>
      </c>
      <c r="C1365" s="5">
        <v>0.76909722222222221</v>
      </c>
      <c r="D1365">
        <v>118.64</v>
      </c>
      <c r="E1365" t="s">
        <v>44</v>
      </c>
      <c r="F1365" t="s">
        <v>1617</v>
      </c>
      <c r="G1365" t="s">
        <v>34</v>
      </c>
      <c r="H1365" t="s">
        <v>35</v>
      </c>
      <c r="I1365" t="s">
        <v>6244</v>
      </c>
      <c r="J1365">
        <v>42</v>
      </c>
      <c r="K1365" t="s">
        <v>25</v>
      </c>
      <c r="L1365" t="s">
        <v>97</v>
      </c>
      <c r="M1365" t="s">
        <v>39</v>
      </c>
      <c r="P1365" t="s">
        <v>28</v>
      </c>
      <c r="Q1365" t="s">
        <v>6245</v>
      </c>
      <c r="R1365" t="s">
        <v>6246</v>
      </c>
      <c r="S1365" t="s">
        <v>31</v>
      </c>
      <c r="T1365">
        <v>0</v>
      </c>
    </row>
    <row r="1366" spans="1:20" x14ac:dyDescent="0.25">
      <c r="A1366" t="s">
        <v>6247</v>
      </c>
      <c r="B1366" s="1">
        <v>45912</v>
      </c>
      <c r="C1366" s="5">
        <v>0.66570601851851852</v>
      </c>
      <c r="D1366">
        <v>30.93</v>
      </c>
      <c r="E1366" t="s">
        <v>44</v>
      </c>
      <c r="F1366" t="s">
        <v>333</v>
      </c>
      <c r="G1366" t="s">
        <v>96</v>
      </c>
      <c r="H1366" t="s">
        <v>91</v>
      </c>
      <c r="I1366" t="s">
        <v>6248</v>
      </c>
      <c r="J1366">
        <v>35</v>
      </c>
      <c r="K1366" t="s">
        <v>49</v>
      </c>
      <c r="L1366" t="s">
        <v>146</v>
      </c>
      <c r="M1366" t="s">
        <v>105</v>
      </c>
      <c r="P1366" t="s">
        <v>28</v>
      </c>
      <c r="Q1366" t="s">
        <v>6249</v>
      </c>
      <c r="R1366" t="s">
        <v>6250</v>
      </c>
      <c r="S1366" t="s">
        <v>31</v>
      </c>
      <c r="T1366">
        <v>0</v>
      </c>
    </row>
    <row r="1367" spans="1:20" x14ac:dyDescent="0.25">
      <c r="A1367" t="s">
        <v>6251</v>
      </c>
      <c r="B1367" s="1">
        <v>45959</v>
      </c>
      <c r="C1367" s="5">
        <v>0.10140046296296296</v>
      </c>
      <c r="D1367">
        <v>75.28</v>
      </c>
      <c r="E1367" t="s">
        <v>44</v>
      </c>
      <c r="F1367" t="s">
        <v>6252</v>
      </c>
      <c r="G1367" t="s">
        <v>96</v>
      </c>
      <c r="H1367" t="s">
        <v>50</v>
      </c>
      <c r="I1367" t="s">
        <v>6253</v>
      </c>
      <c r="J1367">
        <v>24</v>
      </c>
      <c r="K1367" t="s">
        <v>49</v>
      </c>
      <c r="L1367" t="s">
        <v>23</v>
      </c>
      <c r="M1367" t="s">
        <v>51</v>
      </c>
      <c r="N1367" t="s">
        <v>304</v>
      </c>
      <c r="O1367">
        <v>521613</v>
      </c>
      <c r="P1367" t="s">
        <v>28</v>
      </c>
      <c r="Q1367" t="s">
        <v>6254</v>
      </c>
      <c r="R1367" t="s">
        <v>6255</v>
      </c>
      <c r="S1367" t="s">
        <v>31</v>
      </c>
      <c r="T1367">
        <v>1</v>
      </c>
    </row>
    <row r="1368" spans="1:20" x14ac:dyDescent="0.25">
      <c r="A1368" t="s">
        <v>6256</v>
      </c>
      <c r="B1368" s="1">
        <v>45876</v>
      </c>
      <c r="C1368" s="5">
        <v>0.41488425925925926</v>
      </c>
      <c r="D1368">
        <v>102.19</v>
      </c>
      <c r="E1368" t="s">
        <v>44</v>
      </c>
      <c r="F1368" t="s">
        <v>379</v>
      </c>
      <c r="G1368" t="s">
        <v>71</v>
      </c>
      <c r="H1368" t="s">
        <v>146</v>
      </c>
      <c r="I1368" t="s">
        <v>6257</v>
      </c>
      <c r="J1368">
        <v>26</v>
      </c>
      <c r="K1368" t="s">
        <v>49</v>
      </c>
      <c r="L1368" t="s">
        <v>97</v>
      </c>
      <c r="M1368" t="s">
        <v>112</v>
      </c>
      <c r="P1368" t="s">
        <v>28</v>
      </c>
      <c r="Q1368" t="s">
        <v>6258</v>
      </c>
      <c r="R1368" t="s">
        <v>6259</v>
      </c>
      <c r="S1368" t="s">
        <v>31</v>
      </c>
      <c r="T1368">
        <v>0</v>
      </c>
    </row>
    <row r="1369" spans="1:20" x14ac:dyDescent="0.25">
      <c r="A1369" t="s">
        <v>6260</v>
      </c>
      <c r="B1369" s="1">
        <v>45834</v>
      </c>
      <c r="C1369" s="5">
        <v>0.69185185185185183</v>
      </c>
      <c r="D1369">
        <v>158.97999999999999</v>
      </c>
      <c r="E1369" t="s">
        <v>44</v>
      </c>
      <c r="F1369" t="s">
        <v>1864</v>
      </c>
      <c r="G1369" t="s">
        <v>96</v>
      </c>
      <c r="H1369" t="s">
        <v>66</v>
      </c>
      <c r="I1369" t="s">
        <v>6261</v>
      </c>
      <c r="J1369">
        <v>20</v>
      </c>
      <c r="K1369" t="s">
        <v>25</v>
      </c>
      <c r="L1369" t="s">
        <v>66</v>
      </c>
      <c r="M1369" t="s">
        <v>105</v>
      </c>
      <c r="P1369" t="s">
        <v>113</v>
      </c>
      <c r="Q1369" t="s">
        <v>6262</v>
      </c>
      <c r="R1369" t="s">
        <v>6263</v>
      </c>
      <c r="S1369" t="s">
        <v>31</v>
      </c>
      <c r="T1369">
        <v>0</v>
      </c>
    </row>
    <row r="1370" spans="1:20" x14ac:dyDescent="0.25">
      <c r="A1370" t="s">
        <v>6264</v>
      </c>
      <c r="B1370" s="1">
        <v>45944</v>
      </c>
      <c r="C1370" s="5">
        <v>0.79339120370370375</v>
      </c>
      <c r="D1370">
        <v>139.21</v>
      </c>
      <c r="E1370" t="s">
        <v>44</v>
      </c>
      <c r="F1370" t="s">
        <v>6265</v>
      </c>
      <c r="G1370" t="s">
        <v>46</v>
      </c>
      <c r="H1370" t="s">
        <v>26</v>
      </c>
      <c r="I1370" t="s">
        <v>6266</v>
      </c>
      <c r="J1370">
        <v>72</v>
      </c>
      <c r="K1370" t="s">
        <v>37</v>
      </c>
      <c r="L1370" t="s">
        <v>26</v>
      </c>
      <c r="M1370" t="s">
        <v>51</v>
      </c>
      <c r="N1370" t="s">
        <v>507</v>
      </c>
      <c r="O1370">
        <v>446335</v>
      </c>
      <c r="P1370" t="s">
        <v>113</v>
      </c>
      <c r="Q1370" t="s">
        <v>6267</v>
      </c>
      <c r="R1370" t="s">
        <v>6268</v>
      </c>
      <c r="S1370" t="s">
        <v>42</v>
      </c>
      <c r="T1370">
        <v>0</v>
      </c>
    </row>
    <row r="1371" spans="1:20" x14ac:dyDescent="0.25">
      <c r="A1371" t="s">
        <v>6269</v>
      </c>
      <c r="B1371" s="1">
        <v>45836</v>
      </c>
      <c r="C1371" s="5">
        <v>0.49570601851851853</v>
      </c>
      <c r="D1371">
        <v>17.95</v>
      </c>
      <c r="E1371" t="s">
        <v>44</v>
      </c>
      <c r="F1371" t="s">
        <v>6270</v>
      </c>
      <c r="G1371" t="s">
        <v>77</v>
      </c>
      <c r="H1371" t="s">
        <v>38</v>
      </c>
      <c r="I1371" t="s">
        <v>6271</v>
      </c>
      <c r="J1371">
        <v>54</v>
      </c>
      <c r="K1371" t="s">
        <v>49</v>
      </c>
      <c r="L1371" t="s">
        <v>97</v>
      </c>
      <c r="M1371" t="s">
        <v>51</v>
      </c>
      <c r="N1371" t="s">
        <v>304</v>
      </c>
      <c r="O1371">
        <v>468098</v>
      </c>
      <c r="P1371" t="s">
        <v>28</v>
      </c>
      <c r="Q1371" t="s">
        <v>6272</v>
      </c>
      <c r="R1371" t="s">
        <v>6273</v>
      </c>
      <c r="S1371" t="s">
        <v>31</v>
      </c>
      <c r="T1371">
        <v>0</v>
      </c>
    </row>
    <row r="1372" spans="1:20" x14ac:dyDescent="0.25">
      <c r="A1372" t="s">
        <v>6274</v>
      </c>
      <c r="B1372" s="1">
        <v>45933</v>
      </c>
      <c r="C1372" s="5">
        <v>0.4223263888888889</v>
      </c>
      <c r="D1372">
        <v>196.96</v>
      </c>
      <c r="E1372" t="s">
        <v>44</v>
      </c>
      <c r="F1372" t="s">
        <v>2726</v>
      </c>
      <c r="G1372" t="s">
        <v>124</v>
      </c>
      <c r="H1372" t="s">
        <v>58</v>
      </c>
      <c r="I1372" t="s">
        <v>6275</v>
      </c>
      <c r="J1372">
        <v>19</v>
      </c>
      <c r="K1372" t="s">
        <v>25</v>
      </c>
      <c r="L1372" t="s">
        <v>35</v>
      </c>
      <c r="M1372" t="s">
        <v>27</v>
      </c>
      <c r="P1372" t="s">
        <v>28</v>
      </c>
      <c r="Q1372" t="s">
        <v>6276</v>
      </c>
      <c r="R1372" t="s">
        <v>6277</v>
      </c>
      <c r="S1372" t="s">
        <v>42</v>
      </c>
      <c r="T1372">
        <v>0</v>
      </c>
    </row>
    <row r="1373" spans="1:20" x14ac:dyDescent="0.25">
      <c r="A1373" t="s">
        <v>6278</v>
      </c>
      <c r="B1373" s="1">
        <v>45881</v>
      </c>
      <c r="C1373" s="5">
        <v>0.10678240740740741</v>
      </c>
      <c r="D1373">
        <v>61.76</v>
      </c>
      <c r="E1373" t="s">
        <v>44</v>
      </c>
      <c r="F1373" t="s">
        <v>6279</v>
      </c>
      <c r="G1373" t="s">
        <v>57</v>
      </c>
      <c r="H1373" t="s">
        <v>26</v>
      </c>
      <c r="I1373" t="s">
        <v>6280</v>
      </c>
      <c r="J1373">
        <v>58</v>
      </c>
      <c r="K1373" t="s">
        <v>37</v>
      </c>
      <c r="L1373" t="s">
        <v>38</v>
      </c>
      <c r="M1373" t="s">
        <v>27</v>
      </c>
      <c r="P1373" t="s">
        <v>28</v>
      </c>
      <c r="Q1373" t="s">
        <v>6281</v>
      </c>
      <c r="R1373" t="s">
        <v>6282</v>
      </c>
      <c r="S1373" t="s">
        <v>31</v>
      </c>
      <c r="T1373">
        <v>0</v>
      </c>
    </row>
    <row r="1374" spans="1:20" x14ac:dyDescent="0.25">
      <c r="A1374" t="s">
        <v>6283</v>
      </c>
      <c r="B1374" s="1">
        <v>45793</v>
      </c>
      <c r="C1374" s="5">
        <v>0.61719907407407404</v>
      </c>
      <c r="D1374">
        <v>71.23</v>
      </c>
      <c r="E1374" t="s">
        <v>44</v>
      </c>
      <c r="F1374" t="s">
        <v>6165</v>
      </c>
      <c r="G1374" t="s">
        <v>64</v>
      </c>
      <c r="H1374" t="s">
        <v>119</v>
      </c>
      <c r="I1374" t="s">
        <v>6284</v>
      </c>
      <c r="J1374">
        <v>21</v>
      </c>
      <c r="K1374" t="s">
        <v>37</v>
      </c>
      <c r="L1374" t="s">
        <v>23</v>
      </c>
      <c r="M1374" t="s">
        <v>105</v>
      </c>
      <c r="P1374" t="s">
        <v>28</v>
      </c>
      <c r="Q1374" t="s">
        <v>6285</v>
      </c>
      <c r="R1374" t="s">
        <v>6286</v>
      </c>
      <c r="S1374" t="s">
        <v>31</v>
      </c>
      <c r="T1374">
        <v>0</v>
      </c>
    </row>
    <row r="1375" spans="1:20" x14ac:dyDescent="0.25">
      <c r="A1375" t="s">
        <v>6287</v>
      </c>
      <c r="B1375" s="1">
        <v>45901</v>
      </c>
      <c r="C1375" s="5">
        <v>0.90358796296296295</v>
      </c>
      <c r="D1375">
        <v>124.07</v>
      </c>
      <c r="E1375" t="s">
        <v>44</v>
      </c>
      <c r="F1375" t="s">
        <v>3691</v>
      </c>
      <c r="G1375" t="s">
        <v>77</v>
      </c>
      <c r="H1375" t="s">
        <v>97</v>
      </c>
      <c r="I1375" t="s">
        <v>6288</v>
      </c>
      <c r="J1375">
        <v>24</v>
      </c>
      <c r="K1375" t="s">
        <v>25</v>
      </c>
      <c r="L1375" t="s">
        <v>146</v>
      </c>
      <c r="M1375" t="s">
        <v>51</v>
      </c>
      <c r="N1375" t="s">
        <v>870</v>
      </c>
      <c r="O1375">
        <v>474682</v>
      </c>
      <c r="P1375" t="s">
        <v>28</v>
      </c>
      <c r="Q1375" t="s">
        <v>6289</v>
      </c>
      <c r="R1375" t="s">
        <v>6290</v>
      </c>
      <c r="S1375" t="s">
        <v>31</v>
      </c>
      <c r="T1375">
        <v>0</v>
      </c>
    </row>
    <row r="1376" spans="1:20" x14ac:dyDescent="0.25">
      <c r="A1376" t="s">
        <v>6291</v>
      </c>
      <c r="B1376" s="1">
        <v>45903</v>
      </c>
      <c r="C1376" s="5">
        <v>3.5381944444444445E-2</v>
      </c>
      <c r="D1376">
        <v>545.45000000000005</v>
      </c>
      <c r="E1376" t="s">
        <v>44</v>
      </c>
      <c r="F1376" t="s">
        <v>2721</v>
      </c>
      <c r="G1376" t="s">
        <v>57</v>
      </c>
      <c r="H1376" t="s">
        <v>47</v>
      </c>
      <c r="I1376" t="s">
        <v>6292</v>
      </c>
      <c r="J1376">
        <v>22</v>
      </c>
      <c r="K1376" t="s">
        <v>37</v>
      </c>
      <c r="L1376" t="s">
        <v>58</v>
      </c>
      <c r="M1376" t="s">
        <v>112</v>
      </c>
      <c r="P1376" t="s">
        <v>28</v>
      </c>
      <c r="Q1376" t="s">
        <v>6293</v>
      </c>
      <c r="R1376" t="s">
        <v>6294</v>
      </c>
      <c r="S1376" t="s">
        <v>31</v>
      </c>
      <c r="T1376">
        <v>0</v>
      </c>
    </row>
    <row r="1377" spans="1:20" x14ac:dyDescent="0.25">
      <c r="A1377" t="s">
        <v>6295</v>
      </c>
      <c r="B1377" s="1">
        <v>45857</v>
      </c>
      <c r="C1377" s="5">
        <v>0.95508101851851857</v>
      </c>
      <c r="D1377">
        <v>42.81</v>
      </c>
      <c r="E1377" t="s">
        <v>44</v>
      </c>
      <c r="F1377" t="s">
        <v>4350</v>
      </c>
      <c r="G1377" t="s">
        <v>64</v>
      </c>
      <c r="H1377" t="s">
        <v>146</v>
      </c>
      <c r="I1377" t="s">
        <v>6296</v>
      </c>
      <c r="J1377">
        <v>61</v>
      </c>
      <c r="K1377" t="s">
        <v>49</v>
      </c>
      <c r="L1377" t="s">
        <v>110</v>
      </c>
      <c r="M1377" t="s">
        <v>112</v>
      </c>
      <c r="P1377" t="s">
        <v>28</v>
      </c>
      <c r="Q1377" t="s">
        <v>6297</v>
      </c>
      <c r="R1377" t="s">
        <v>6298</v>
      </c>
      <c r="S1377" t="s">
        <v>31</v>
      </c>
      <c r="T1377">
        <v>0</v>
      </c>
    </row>
    <row r="1378" spans="1:20" x14ac:dyDescent="0.25">
      <c r="A1378" t="s">
        <v>6299</v>
      </c>
      <c r="B1378" s="1">
        <v>45809</v>
      </c>
      <c r="C1378" s="5">
        <v>0.82366898148148149</v>
      </c>
      <c r="D1378">
        <v>679.34</v>
      </c>
      <c r="E1378" t="s">
        <v>44</v>
      </c>
      <c r="F1378" t="s">
        <v>6300</v>
      </c>
      <c r="G1378" t="s">
        <v>57</v>
      </c>
      <c r="H1378" t="s">
        <v>23</v>
      </c>
      <c r="I1378" t="s">
        <v>6301</v>
      </c>
      <c r="J1378">
        <v>42</v>
      </c>
      <c r="K1378" t="s">
        <v>37</v>
      </c>
      <c r="L1378" t="s">
        <v>97</v>
      </c>
      <c r="M1378" t="s">
        <v>39</v>
      </c>
      <c r="P1378" t="s">
        <v>28</v>
      </c>
      <c r="Q1378" t="s">
        <v>6302</v>
      </c>
      <c r="R1378" t="s">
        <v>6303</v>
      </c>
      <c r="S1378" t="s">
        <v>31</v>
      </c>
      <c r="T1378">
        <v>1</v>
      </c>
    </row>
    <row r="1379" spans="1:20" x14ac:dyDescent="0.25">
      <c r="A1379" t="s">
        <v>6304</v>
      </c>
      <c r="B1379" s="1">
        <v>45836</v>
      </c>
      <c r="C1379" s="5">
        <v>0.47313657407407406</v>
      </c>
      <c r="D1379">
        <v>150.84</v>
      </c>
      <c r="E1379" t="s">
        <v>44</v>
      </c>
      <c r="F1379" t="s">
        <v>3617</v>
      </c>
      <c r="G1379" t="s">
        <v>71</v>
      </c>
      <c r="H1379" t="s">
        <v>47</v>
      </c>
      <c r="I1379" t="s">
        <v>6305</v>
      </c>
      <c r="J1379">
        <v>67</v>
      </c>
      <c r="K1379" t="s">
        <v>37</v>
      </c>
      <c r="L1379" t="s">
        <v>119</v>
      </c>
      <c r="M1379" t="s">
        <v>39</v>
      </c>
      <c r="P1379" t="s">
        <v>28</v>
      </c>
      <c r="Q1379" t="s">
        <v>6306</v>
      </c>
      <c r="R1379" t="s">
        <v>6307</v>
      </c>
      <c r="S1379" t="s">
        <v>31</v>
      </c>
      <c r="T1379">
        <v>0</v>
      </c>
    </row>
    <row r="1380" spans="1:20" x14ac:dyDescent="0.25">
      <c r="A1380" t="s">
        <v>6308</v>
      </c>
      <c r="B1380" s="1">
        <v>45935</v>
      </c>
      <c r="C1380" s="5">
        <v>0.45303240740740741</v>
      </c>
      <c r="D1380">
        <v>92.81</v>
      </c>
      <c r="E1380" t="s">
        <v>44</v>
      </c>
      <c r="F1380" t="s">
        <v>824</v>
      </c>
      <c r="G1380" t="s">
        <v>34</v>
      </c>
      <c r="H1380" t="s">
        <v>50</v>
      </c>
      <c r="I1380" t="s">
        <v>6309</v>
      </c>
      <c r="J1380">
        <v>37</v>
      </c>
      <c r="K1380" t="s">
        <v>37</v>
      </c>
      <c r="L1380" t="s">
        <v>23</v>
      </c>
      <c r="M1380" t="s">
        <v>51</v>
      </c>
      <c r="N1380" t="s">
        <v>304</v>
      </c>
      <c r="O1380">
        <v>501232</v>
      </c>
      <c r="P1380" t="s">
        <v>28</v>
      </c>
      <c r="Q1380" t="s">
        <v>6310</v>
      </c>
      <c r="R1380" t="s">
        <v>6311</v>
      </c>
      <c r="S1380" t="s">
        <v>31</v>
      </c>
      <c r="T1380">
        <v>0</v>
      </c>
    </row>
    <row r="1381" spans="1:20" x14ac:dyDescent="0.25">
      <c r="A1381" t="s">
        <v>6312</v>
      </c>
      <c r="B1381" s="1">
        <v>45798</v>
      </c>
      <c r="C1381" s="5">
        <v>3.152777777777778E-2</v>
      </c>
      <c r="D1381">
        <v>20.5</v>
      </c>
      <c r="E1381" t="s">
        <v>44</v>
      </c>
      <c r="F1381" t="s">
        <v>2621</v>
      </c>
      <c r="G1381" t="s">
        <v>124</v>
      </c>
      <c r="H1381" t="s">
        <v>66</v>
      </c>
      <c r="I1381" t="s">
        <v>6313</v>
      </c>
      <c r="J1381">
        <v>41</v>
      </c>
      <c r="K1381" t="s">
        <v>37</v>
      </c>
      <c r="L1381" t="s">
        <v>110</v>
      </c>
      <c r="M1381" t="s">
        <v>39</v>
      </c>
      <c r="P1381" t="s">
        <v>28</v>
      </c>
      <c r="Q1381" t="s">
        <v>6314</v>
      </c>
      <c r="R1381" t="s">
        <v>4906</v>
      </c>
      <c r="S1381" t="s">
        <v>31</v>
      </c>
      <c r="T1381">
        <v>0</v>
      </c>
    </row>
    <row r="1382" spans="1:20" x14ac:dyDescent="0.25">
      <c r="A1382" t="s">
        <v>6315</v>
      </c>
      <c r="B1382" s="1">
        <v>45840</v>
      </c>
      <c r="C1382" s="5">
        <v>0.77870370370370368</v>
      </c>
      <c r="D1382">
        <v>178.97</v>
      </c>
      <c r="E1382" t="s">
        <v>44</v>
      </c>
      <c r="F1382" t="s">
        <v>313</v>
      </c>
      <c r="G1382" t="s">
        <v>46</v>
      </c>
      <c r="H1382" t="s">
        <v>50</v>
      </c>
      <c r="I1382" t="s">
        <v>6316</v>
      </c>
      <c r="K1382" t="s">
        <v>25</v>
      </c>
      <c r="L1382" t="s">
        <v>110</v>
      </c>
      <c r="M1382" t="s">
        <v>84</v>
      </c>
      <c r="P1382" t="s">
        <v>28</v>
      </c>
      <c r="Q1382" t="s">
        <v>6317</v>
      </c>
      <c r="R1382" t="s">
        <v>6318</v>
      </c>
      <c r="S1382" t="s">
        <v>31</v>
      </c>
      <c r="T1382">
        <v>0</v>
      </c>
    </row>
    <row r="1383" spans="1:20" x14ac:dyDescent="0.25">
      <c r="A1383" t="s">
        <v>6319</v>
      </c>
      <c r="B1383" s="1">
        <v>45868</v>
      </c>
      <c r="C1383" s="5">
        <v>0.19927083333333334</v>
      </c>
      <c r="D1383">
        <v>86.66</v>
      </c>
      <c r="E1383" t="s">
        <v>44</v>
      </c>
      <c r="F1383" t="s">
        <v>1017</v>
      </c>
      <c r="G1383" t="s">
        <v>124</v>
      </c>
      <c r="H1383" t="s">
        <v>35</v>
      </c>
      <c r="I1383" t="s">
        <v>6320</v>
      </c>
      <c r="J1383">
        <v>54</v>
      </c>
      <c r="K1383" t="s">
        <v>49</v>
      </c>
      <c r="L1383" t="s">
        <v>35</v>
      </c>
      <c r="M1383" t="s">
        <v>105</v>
      </c>
      <c r="P1383" t="s">
        <v>113</v>
      </c>
      <c r="Q1383" t="s">
        <v>6321</v>
      </c>
      <c r="R1383" t="s">
        <v>6322</v>
      </c>
      <c r="S1383" t="s">
        <v>31</v>
      </c>
      <c r="T1383">
        <v>0</v>
      </c>
    </row>
    <row r="1384" spans="1:20" x14ac:dyDescent="0.25">
      <c r="A1384" t="s">
        <v>6323</v>
      </c>
      <c r="B1384" s="1">
        <v>45895</v>
      </c>
      <c r="C1384" s="5">
        <v>5.513888888888889E-2</v>
      </c>
      <c r="D1384">
        <v>22.13</v>
      </c>
      <c r="E1384" t="s">
        <v>44</v>
      </c>
      <c r="F1384" t="s">
        <v>2049</v>
      </c>
      <c r="G1384" t="s">
        <v>89</v>
      </c>
      <c r="H1384" t="s">
        <v>130</v>
      </c>
      <c r="I1384" t="s">
        <v>6324</v>
      </c>
      <c r="J1384">
        <v>19</v>
      </c>
      <c r="K1384" t="s">
        <v>37</v>
      </c>
      <c r="L1384" t="s">
        <v>23</v>
      </c>
      <c r="M1384" t="s">
        <v>84</v>
      </c>
      <c r="P1384" t="s">
        <v>28</v>
      </c>
      <c r="Q1384" t="s">
        <v>6325</v>
      </c>
      <c r="R1384" t="s">
        <v>6326</v>
      </c>
      <c r="S1384" t="s">
        <v>31</v>
      </c>
      <c r="T1384">
        <v>0</v>
      </c>
    </row>
    <row r="1385" spans="1:20" x14ac:dyDescent="0.25">
      <c r="A1385" t="s">
        <v>6327</v>
      </c>
      <c r="B1385" s="1">
        <v>45910</v>
      </c>
      <c r="C1385" s="5">
        <v>0.95865740740740746</v>
      </c>
      <c r="D1385">
        <v>17.34</v>
      </c>
      <c r="E1385" t="s">
        <v>44</v>
      </c>
      <c r="F1385" t="s">
        <v>6328</v>
      </c>
      <c r="G1385" t="s">
        <v>46</v>
      </c>
      <c r="H1385" t="s">
        <v>66</v>
      </c>
      <c r="I1385" t="s">
        <v>6329</v>
      </c>
      <c r="J1385">
        <v>58</v>
      </c>
      <c r="K1385" t="s">
        <v>25</v>
      </c>
      <c r="L1385" t="s">
        <v>38</v>
      </c>
      <c r="M1385" t="s">
        <v>112</v>
      </c>
      <c r="P1385" t="s">
        <v>28</v>
      </c>
      <c r="Q1385" t="s">
        <v>6330</v>
      </c>
      <c r="R1385" t="s">
        <v>6331</v>
      </c>
      <c r="S1385" t="s">
        <v>31</v>
      </c>
      <c r="T1385">
        <v>0</v>
      </c>
    </row>
    <row r="1386" spans="1:20" x14ac:dyDescent="0.25">
      <c r="A1386" t="s">
        <v>6332</v>
      </c>
      <c r="B1386" s="1">
        <v>45815</v>
      </c>
      <c r="C1386" s="5">
        <v>0.22011574074074075</v>
      </c>
      <c r="D1386">
        <v>122.9</v>
      </c>
      <c r="E1386" t="s">
        <v>44</v>
      </c>
      <c r="F1386" t="s">
        <v>3617</v>
      </c>
      <c r="G1386" t="s">
        <v>34</v>
      </c>
      <c r="H1386" t="s">
        <v>91</v>
      </c>
      <c r="I1386" t="s">
        <v>6333</v>
      </c>
      <c r="J1386">
        <v>23</v>
      </c>
      <c r="K1386" t="s">
        <v>25</v>
      </c>
      <c r="L1386" t="s">
        <v>50</v>
      </c>
      <c r="M1386" t="s">
        <v>27</v>
      </c>
      <c r="P1386" t="s">
        <v>28</v>
      </c>
      <c r="Q1386" t="s">
        <v>6334</v>
      </c>
      <c r="R1386" t="s">
        <v>6335</v>
      </c>
      <c r="S1386" t="s">
        <v>31</v>
      </c>
      <c r="T1386">
        <v>0</v>
      </c>
    </row>
    <row r="1387" spans="1:20" x14ac:dyDescent="0.25">
      <c r="A1387" t="s">
        <v>6336</v>
      </c>
      <c r="B1387" s="1">
        <v>45841</v>
      </c>
      <c r="C1387" s="5">
        <v>4.3333333333333335E-2</v>
      </c>
      <c r="D1387">
        <v>155.32</v>
      </c>
      <c r="E1387" t="s">
        <v>44</v>
      </c>
      <c r="F1387" t="s">
        <v>3380</v>
      </c>
      <c r="G1387" t="s">
        <v>124</v>
      </c>
      <c r="H1387" t="s">
        <v>97</v>
      </c>
      <c r="I1387" t="s">
        <v>2122</v>
      </c>
      <c r="J1387">
        <v>72</v>
      </c>
      <c r="K1387" t="s">
        <v>37</v>
      </c>
      <c r="L1387" t="s">
        <v>91</v>
      </c>
      <c r="M1387" t="s">
        <v>84</v>
      </c>
      <c r="P1387" t="s">
        <v>28</v>
      </c>
      <c r="Q1387" t="s">
        <v>6337</v>
      </c>
      <c r="R1387" t="s">
        <v>6338</v>
      </c>
      <c r="S1387" t="s">
        <v>31</v>
      </c>
      <c r="T1387">
        <v>0</v>
      </c>
    </row>
    <row r="1388" spans="1:20" x14ac:dyDescent="0.25">
      <c r="A1388" t="s">
        <v>6339</v>
      </c>
      <c r="B1388" s="1">
        <v>45865</v>
      </c>
      <c r="C1388" s="5">
        <v>0.80450231481481482</v>
      </c>
      <c r="D1388">
        <v>92.39</v>
      </c>
      <c r="E1388" t="s">
        <v>44</v>
      </c>
      <c r="F1388" t="s">
        <v>3418</v>
      </c>
      <c r="G1388" t="s">
        <v>46</v>
      </c>
      <c r="H1388" t="s">
        <v>146</v>
      </c>
      <c r="I1388" t="s">
        <v>6340</v>
      </c>
      <c r="J1388">
        <v>60</v>
      </c>
      <c r="K1388" t="s">
        <v>49</v>
      </c>
      <c r="L1388" t="s">
        <v>38</v>
      </c>
      <c r="M1388" t="s">
        <v>105</v>
      </c>
      <c r="P1388" t="s">
        <v>28</v>
      </c>
      <c r="Q1388" t="s">
        <v>6341</v>
      </c>
      <c r="R1388" t="s">
        <v>6342</v>
      </c>
      <c r="S1388" t="s">
        <v>31</v>
      </c>
      <c r="T1388">
        <v>0</v>
      </c>
    </row>
    <row r="1389" spans="1:20" x14ac:dyDescent="0.25">
      <c r="A1389" t="s">
        <v>6343</v>
      </c>
      <c r="B1389" s="1">
        <v>45865</v>
      </c>
      <c r="C1389" s="5">
        <v>0.60306712962962961</v>
      </c>
      <c r="D1389">
        <v>116.1</v>
      </c>
      <c r="E1389" t="s">
        <v>44</v>
      </c>
      <c r="F1389" t="s">
        <v>810</v>
      </c>
      <c r="G1389" t="s">
        <v>57</v>
      </c>
      <c r="H1389" t="s">
        <v>47</v>
      </c>
      <c r="I1389" t="s">
        <v>6344</v>
      </c>
      <c r="J1389">
        <v>55</v>
      </c>
      <c r="K1389" t="s">
        <v>25</v>
      </c>
      <c r="L1389" t="s">
        <v>110</v>
      </c>
      <c r="M1389" t="s">
        <v>84</v>
      </c>
      <c r="P1389" t="s">
        <v>28</v>
      </c>
      <c r="Q1389" t="s">
        <v>6345</v>
      </c>
      <c r="R1389" t="s">
        <v>6346</v>
      </c>
      <c r="S1389" t="s">
        <v>42</v>
      </c>
      <c r="T1389">
        <v>0</v>
      </c>
    </row>
    <row r="1390" spans="1:20" x14ac:dyDescent="0.25">
      <c r="A1390" t="s">
        <v>6347</v>
      </c>
      <c r="B1390" s="1">
        <v>45816</v>
      </c>
      <c r="C1390" s="5">
        <v>0.15920138888888888</v>
      </c>
      <c r="D1390">
        <v>110.07</v>
      </c>
      <c r="E1390" t="s">
        <v>44</v>
      </c>
      <c r="F1390" t="s">
        <v>551</v>
      </c>
      <c r="G1390" t="s">
        <v>71</v>
      </c>
      <c r="H1390" t="s">
        <v>97</v>
      </c>
      <c r="I1390" t="s">
        <v>6348</v>
      </c>
      <c r="J1390">
        <v>21</v>
      </c>
      <c r="K1390" t="s">
        <v>37</v>
      </c>
      <c r="L1390" t="s">
        <v>38</v>
      </c>
      <c r="M1390" t="s">
        <v>105</v>
      </c>
      <c r="P1390" t="s">
        <v>28</v>
      </c>
      <c r="Q1390" t="s">
        <v>6349</v>
      </c>
      <c r="R1390" t="s">
        <v>6350</v>
      </c>
      <c r="S1390" t="s">
        <v>31</v>
      </c>
      <c r="T1390">
        <v>0</v>
      </c>
    </row>
    <row r="1391" spans="1:20" x14ac:dyDescent="0.25">
      <c r="A1391" t="s">
        <v>6351</v>
      </c>
      <c r="B1391" s="1">
        <v>45908</v>
      </c>
      <c r="C1391" s="5">
        <v>0.67714120370370368</v>
      </c>
      <c r="D1391">
        <v>15.93</v>
      </c>
      <c r="E1391" t="s">
        <v>44</v>
      </c>
      <c r="F1391" t="s">
        <v>3395</v>
      </c>
      <c r="G1391" t="s">
        <v>34</v>
      </c>
      <c r="H1391" t="s">
        <v>130</v>
      </c>
      <c r="I1391" t="s">
        <v>6352</v>
      </c>
      <c r="J1391">
        <v>20</v>
      </c>
      <c r="K1391" t="s">
        <v>49</v>
      </c>
      <c r="L1391" t="s">
        <v>50</v>
      </c>
      <c r="M1391" t="s">
        <v>51</v>
      </c>
      <c r="N1391" t="s">
        <v>870</v>
      </c>
      <c r="O1391">
        <v>516620</v>
      </c>
      <c r="P1391" t="s">
        <v>28</v>
      </c>
      <c r="Q1391" t="s">
        <v>6353</v>
      </c>
      <c r="R1391" t="s">
        <v>6354</v>
      </c>
      <c r="S1391" t="s">
        <v>31</v>
      </c>
      <c r="T1391">
        <v>0</v>
      </c>
    </row>
    <row r="1392" spans="1:20" x14ac:dyDescent="0.25">
      <c r="A1392" t="s">
        <v>6355</v>
      </c>
      <c r="B1392" s="1">
        <v>45960</v>
      </c>
      <c r="C1392" s="5">
        <v>0.25822916666666668</v>
      </c>
      <c r="D1392">
        <v>590.86</v>
      </c>
      <c r="E1392" t="s">
        <v>44</v>
      </c>
      <c r="F1392" t="s">
        <v>4350</v>
      </c>
      <c r="G1392" t="s">
        <v>71</v>
      </c>
      <c r="H1392" t="s">
        <v>146</v>
      </c>
      <c r="I1392" t="s">
        <v>6356</v>
      </c>
      <c r="J1392">
        <v>63</v>
      </c>
      <c r="K1392" t="s">
        <v>49</v>
      </c>
      <c r="L1392" t="s">
        <v>50</v>
      </c>
      <c r="M1392" t="s">
        <v>51</v>
      </c>
      <c r="N1392" t="s">
        <v>345</v>
      </c>
      <c r="O1392">
        <v>520464</v>
      </c>
      <c r="P1392" t="s">
        <v>28</v>
      </c>
      <c r="Q1392" t="s">
        <v>6357</v>
      </c>
      <c r="R1392" t="s">
        <v>6358</v>
      </c>
      <c r="S1392" t="s">
        <v>31</v>
      </c>
      <c r="T1392">
        <v>0</v>
      </c>
    </row>
    <row r="1393" spans="1:20" x14ac:dyDescent="0.25">
      <c r="A1393" t="s">
        <v>6359</v>
      </c>
      <c r="B1393" s="1">
        <v>45862</v>
      </c>
      <c r="C1393" s="5">
        <v>0.77961805555555552</v>
      </c>
      <c r="D1393">
        <v>131.04</v>
      </c>
      <c r="E1393" t="s">
        <v>44</v>
      </c>
      <c r="F1393" t="s">
        <v>6360</v>
      </c>
      <c r="G1393" t="s">
        <v>96</v>
      </c>
      <c r="H1393" t="s">
        <v>23</v>
      </c>
      <c r="I1393" t="s">
        <v>6361</v>
      </c>
      <c r="J1393">
        <v>37</v>
      </c>
      <c r="K1393" t="s">
        <v>49</v>
      </c>
      <c r="L1393" t="s">
        <v>130</v>
      </c>
      <c r="M1393" t="s">
        <v>51</v>
      </c>
      <c r="N1393" t="s">
        <v>870</v>
      </c>
      <c r="O1393">
        <v>505641</v>
      </c>
      <c r="P1393" t="s">
        <v>28</v>
      </c>
      <c r="Q1393" t="s">
        <v>6362</v>
      </c>
      <c r="R1393" t="s">
        <v>6363</v>
      </c>
      <c r="S1393" t="s">
        <v>31</v>
      </c>
      <c r="T1393">
        <v>0</v>
      </c>
    </row>
    <row r="1394" spans="1:20" x14ac:dyDescent="0.25">
      <c r="A1394" t="s">
        <v>6364</v>
      </c>
      <c r="B1394" s="1">
        <v>45903</v>
      </c>
      <c r="C1394" s="5">
        <v>7.739583333333333E-2</v>
      </c>
      <c r="D1394">
        <v>435.88</v>
      </c>
      <c r="E1394" t="s">
        <v>44</v>
      </c>
      <c r="F1394" t="s">
        <v>2299</v>
      </c>
      <c r="G1394" t="s">
        <v>57</v>
      </c>
      <c r="H1394" t="s">
        <v>66</v>
      </c>
      <c r="I1394" t="s">
        <v>6365</v>
      </c>
      <c r="J1394">
        <v>46</v>
      </c>
      <c r="K1394" t="s">
        <v>49</v>
      </c>
      <c r="L1394" t="s">
        <v>110</v>
      </c>
      <c r="M1394" t="s">
        <v>112</v>
      </c>
      <c r="P1394" t="s">
        <v>28</v>
      </c>
      <c r="Q1394" t="s">
        <v>6366</v>
      </c>
      <c r="R1394" t="s">
        <v>6367</v>
      </c>
      <c r="S1394" t="s">
        <v>31</v>
      </c>
      <c r="T1394">
        <v>0</v>
      </c>
    </row>
    <row r="1395" spans="1:20" x14ac:dyDescent="0.25">
      <c r="A1395" t="s">
        <v>6368</v>
      </c>
      <c r="B1395" s="1">
        <v>45823</v>
      </c>
      <c r="C1395" s="5">
        <v>5.5821759259259258E-2</v>
      </c>
      <c r="D1395">
        <v>757.32</v>
      </c>
      <c r="E1395" t="s">
        <v>44</v>
      </c>
      <c r="F1395" t="s">
        <v>323</v>
      </c>
      <c r="G1395" t="s">
        <v>77</v>
      </c>
      <c r="H1395" t="s">
        <v>58</v>
      </c>
      <c r="I1395" t="s">
        <v>6369</v>
      </c>
      <c r="J1395">
        <v>28</v>
      </c>
      <c r="K1395" t="s">
        <v>25</v>
      </c>
      <c r="L1395" t="s">
        <v>47</v>
      </c>
      <c r="M1395" t="s">
        <v>39</v>
      </c>
      <c r="P1395" t="s">
        <v>28</v>
      </c>
      <c r="Q1395" t="s">
        <v>6370</v>
      </c>
      <c r="R1395" t="s">
        <v>6371</v>
      </c>
      <c r="S1395" t="s">
        <v>31</v>
      </c>
      <c r="T1395">
        <v>0</v>
      </c>
    </row>
    <row r="1396" spans="1:20" x14ac:dyDescent="0.25">
      <c r="A1396" t="s">
        <v>6372</v>
      </c>
      <c r="B1396" s="1">
        <v>45947</v>
      </c>
      <c r="C1396" s="5">
        <v>0.45399305555555558</v>
      </c>
      <c r="D1396">
        <v>818.39</v>
      </c>
      <c r="E1396" t="s">
        <v>44</v>
      </c>
      <c r="F1396" t="s">
        <v>1823</v>
      </c>
      <c r="G1396" t="s">
        <v>57</v>
      </c>
      <c r="H1396" t="s">
        <v>38</v>
      </c>
      <c r="I1396" t="s">
        <v>6373</v>
      </c>
      <c r="J1396">
        <v>65</v>
      </c>
      <c r="K1396" t="s">
        <v>37</v>
      </c>
      <c r="L1396" t="s">
        <v>23</v>
      </c>
      <c r="M1396" t="s">
        <v>84</v>
      </c>
      <c r="P1396" t="s">
        <v>28</v>
      </c>
      <c r="Q1396" t="s">
        <v>6374</v>
      </c>
      <c r="R1396" t="s">
        <v>6375</v>
      </c>
      <c r="S1396" t="s">
        <v>31</v>
      </c>
      <c r="T1396">
        <v>0</v>
      </c>
    </row>
    <row r="1397" spans="1:20" x14ac:dyDescent="0.25">
      <c r="A1397" t="s">
        <v>6376</v>
      </c>
      <c r="B1397" s="1">
        <v>45833</v>
      </c>
      <c r="C1397" s="5">
        <v>0.52813657407407411</v>
      </c>
      <c r="D1397">
        <v>64.459999999999994</v>
      </c>
      <c r="E1397" t="s">
        <v>44</v>
      </c>
      <c r="F1397" t="s">
        <v>4950</v>
      </c>
      <c r="G1397" t="s">
        <v>96</v>
      </c>
      <c r="H1397" t="s">
        <v>58</v>
      </c>
      <c r="I1397" t="s">
        <v>6377</v>
      </c>
      <c r="K1397" t="s">
        <v>25</v>
      </c>
      <c r="L1397" t="s">
        <v>91</v>
      </c>
      <c r="M1397" t="s">
        <v>39</v>
      </c>
      <c r="P1397" t="s">
        <v>28</v>
      </c>
      <c r="Q1397" t="s">
        <v>6378</v>
      </c>
      <c r="R1397" t="s">
        <v>6379</v>
      </c>
      <c r="S1397" t="s">
        <v>31</v>
      </c>
      <c r="T1397">
        <v>0</v>
      </c>
    </row>
    <row r="1398" spans="1:20" x14ac:dyDescent="0.25">
      <c r="A1398" t="s">
        <v>6380</v>
      </c>
      <c r="B1398" s="1">
        <v>45807</v>
      </c>
      <c r="C1398" s="5">
        <v>0.40369212962962964</v>
      </c>
      <c r="D1398">
        <v>82.29</v>
      </c>
      <c r="E1398" t="s">
        <v>44</v>
      </c>
      <c r="F1398" t="s">
        <v>2755</v>
      </c>
      <c r="G1398" t="s">
        <v>34</v>
      </c>
      <c r="H1398" t="s">
        <v>91</v>
      </c>
      <c r="I1398" t="s">
        <v>6381</v>
      </c>
      <c r="J1398">
        <v>34</v>
      </c>
      <c r="K1398" t="s">
        <v>37</v>
      </c>
      <c r="L1398" t="s">
        <v>119</v>
      </c>
      <c r="M1398" t="s">
        <v>39</v>
      </c>
      <c r="P1398" t="s">
        <v>28</v>
      </c>
      <c r="Q1398" t="s">
        <v>6382</v>
      </c>
      <c r="R1398" t="s">
        <v>6383</v>
      </c>
      <c r="S1398" t="s">
        <v>31</v>
      </c>
      <c r="T1398">
        <v>1</v>
      </c>
    </row>
    <row r="1399" spans="1:20" x14ac:dyDescent="0.25">
      <c r="A1399" t="s">
        <v>6384</v>
      </c>
      <c r="B1399" s="1">
        <v>45866</v>
      </c>
      <c r="C1399" s="5">
        <v>0.40179398148148149</v>
      </c>
      <c r="D1399">
        <v>43.44</v>
      </c>
      <c r="E1399" t="s">
        <v>44</v>
      </c>
      <c r="F1399" t="s">
        <v>4098</v>
      </c>
      <c r="G1399" t="s">
        <v>71</v>
      </c>
      <c r="H1399" t="s">
        <v>119</v>
      </c>
      <c r="I1399" t="s">
        <v>6385</v>
      </c>
      <c r="J1399">
        <v>53</v>
      </c>
      <c r="K1399" t="s">
        <v>25</v>
      </c>
      <c r="L1399" t="s">
        <v>38</v>
      </c>
      <c r="M1399" t="s">
        <v>84</v>
      </c>
      <c r="P1399" t="s">
        <v>28</v>
      </c>
      <c r="Q1399" t="s">
        <v>6386</v>
      </c>
      <c r="R1399" t="s">
        <v>6387</v>
      </c>
      <c r="S1399" t="s">
        <v>31</v>
      </c>
      <c r="T1399">
        <v>0</v>
      </c>
    </row>
    <row r="1400" spans="1:20" x14ac:dyDescent="0.25">
      <c r="A1400" t="s">
        <v>6388</v>
      </c>
      <c r="B1400" s="1">
        <v>45905</v>
      </c>
      <c r="C1400" s="5">
        <v>0.38598379629629631</v>
      </c>
      <c r="D1400">
        <v>194.86</v>
      </c>
      <c r="E1400" t="s">
        <v>44</v>
      </c>
      <c r="F1400" t="s">
        <v>6235</v>
      </c>
      <c r="G1400" t="s">
        <v>64</v>
      </c>
      <c r="H1400" t="s">
        <v>130</v>
      </c>
      <c r="I1400" t="s">
        <v>6389</v>
      </c>
      <c r="J1400">
        <v>63</v>
      </c>
      <c r="K1400" t="s">
        <v>37</v>
      </c>
      <c r="L1400" t="s">
        <v>66</v>
      </c>
      <c r="M1400" t="s">
        <v>27</v>
      </c>
      <c r="P1400" t="s">
        <v>28</v>
      </c>
      <c r="Q1400" t="s">
        <v>6390</v>
      </c>
      <c r="R1400" t="s">
        <v>6391</v>
      </c>
      <c r="S1400" t="s">
        <v>31</v>
      </c>
      <c r="T1400">
        <v>0</v>
      </c>
    </row>
    <row r="1401" spans="1:20" x14ac:dyDescent="0.25">
      <c r="A1401" t="s">
        <v>6392</v>
      </c>
      <c r="B1401" s="1">
        <v>45878</v>
      </c>
      <c r="C1401" s="5">
        <v>0.18415509259259261</v>
      </c>
      <c r="D1401">
        <v>184.2</v>
      </c>
      <c r="E1401" t="s">
        <v>44</v>
      </c>
      <c r="F1401" t="s">
        <v>2860</v>
      </c>
      <c r="G1401" t="s">
        <v>46</v>
      </c>
      <c r="H1401" t="s">
        <v>91</v>
      </c>
      <c r="I1401" t="s">
        <v>6393</v>
      </c>
      <c r="J1401">
        <v>73</v>
      </c>
      <c r="K1401" t="s">
        <v>49</v>
      </c>
      <c r="L1401" t="s">
        <v>23</v>
      </c>
      <c r="M1401" t="s">
        <v>39</v>
      </c>
      <c r="P1401" t="s">
        <v>28</v>
      </c>
      <c r="Q1401" t="s">
        <v>6394</v>
      </c>
      <c r="R1401" t="s">
        <v>6395</v>
      </c>
      <c r="S1401" t="s">
        <v>31</v>
      </c>
      <c r="T1401">
        <v>0</v>
      </c>
    </row>
    <row r="1402" spans="1:20" x14ac:dyDescent="0.25">
      <c r="A1402" t="s">
        <v>6396</v>
      </c>
      <c r="B1402" s="1">
        <v>45915</v>
      </c>
      <c r="C1402" s="5">
        <v>3.9247685185185184E-2</v>
      </c>
      <c r="D1402">
        <v>183.4</v>
      </c>
      <c r="E1402" t="s">
        <v>44</v>
      </c>
      <c r="F1402" t="s">
        <v>6148</v>
      </c>
      <c r="G1402" t="s">
        <v>57</v>
      </c>
      <c r="H1402" t="s">
        <v>35</v>
      </c>
      <c r="I1402" t="s">
        <v>6397</v>
      </c>
      <c r="J1402">
        <v>42</v>
      </c>
      <c r="K1402" t="s">
        <v>37</v>
      </c>
      <c r="L1402" t="s">
        <v>66</v>
      </c>
      <c r="M1402" t="s">
        <v>39</v>
      </c>
      <c r="P1402" t="s">
        <v>28</v>
      </c>
      <c r="Q1402" t="s">
        <v>6398</v>
      </c>
      <c r="R1402" t="s">
        <v>6399</v>
      </c>
      <c r="S1402" t="s">
        <v>31</v>
      </c>
      <c r="T1402">
        <v>0</v>
      </c>
    </row>
    <row r="1403" spans="1:20" x14ac:dyDescent="0.25">
      <c r="A1403" t="s">
        <v>6400</v>
      </c>
      <c r="B1403" s="1">
        <v>45940</v>
      </c>
      <c r="C1403" s="5">
        <v>0.57138888888888884</v>
      </c>
      <c r="D1403">
        <v>130.56</v>
      </c>
      <c r="E1403" t="s">
        <v>44</v>
      </c>
      <c r="F1403" t="s">
        <v>6300</v>
      </c>
      <c r="G1403" t="s">
        <v>77</v>
      </c>
      <c r="H1403" t="s">
        <v>248</v>
      </c>
      <c r="I1403" t="s">
        <v>6401</v>
      </c>
      <c r="J1403">
        <v>18</v>
      </c>
      <c r="K1403" t="s">
        <v>49</v>
      </c>
      <c r="L1403" t="s">
        <v>110</v>
      </c>
      <c r="M1403" t="s">
        <v>39</v>
      </c>
      <c r="P1403" t="s">
        <v>28</v>
      </c>
      <c r="Q1403" t="s">
        <v>6402</v>
      </c>
      <c r="R1403" t="s">
        <v>6403</v>
      </c>
      <c r="S1403" t="s">
        <v>31</v>
      </c>
      <c r="T1403">
        <v>0</v>
      </c>
    </row>
    <row r="1404" spans="1:20" x14ac:dyDescent="0.25">
      <c r="A1404" t="s">
        <v>6404</v>
      </c>
      <c r="B1404" s="1">
        <v>45923</v>
      </c>
      <c r="C1404" s="5">
        <v>0.38325231481481481</v>
      </c>
      <c r="D1404">
        <v>185.54</v>
      </c>
      <c r="E1404" t="s">
        <v>44</v>
      </c>
      <c r="F1404" t="s">
        <v>3380</v>
      </c>
      <c r="G1404" t="s">
        <v>57</v>
      </c>
      <c r="H1404" t="s">
        <v>35</v>
      </c>
      <c r="I1404" t="s">
        <v>6405</v>
      </c>
      <c r="J1404">
        <v>45</v>
      </c>
      <c r="K1404" t="s">
        <v>49</v>
      </c>
      <c r="L1404" t="s">
        <v>97</v>
      </c>
      <c r="M1404" t="s">
        <v>84</v>
      </c>
      <c r="P1404" t="s">
        <v>28</v>
      </c>
      <c r="Q1404" t="s">
        <v>6406</v>
      </c>
      <c r="R1404" t="s">
        <v>6407</v>
      </c>
      <c r="S1404" t="s">
        <v>42</v>
      </c>
      <c r="T1404">
        <v>0</v>
      </c>
    </row>
    <row r="1405" spans="1:20" x14ac:dyDescent="0.25">
      <c r="A1405" t="s">
        <v>6408</v>
      </c>
      <c r="B1405" s="1">
        <v>45884</v>
      </c>
      <c r="C1405" s="5">
        <v>0.92760416666666667</v>
      </c>
      <c r="D1405">
        <v>48.52</v>
      </c>
      <c r="E1405" t="s">
        <v>44</v>
      </c>
      <c r="F1405" t="s">
        <v>1757</v>
      </c>
      <c r="G1405" t="s">
        <v>89</v>
      </c>
      <c r="H1405" t="s">
        <v>35</v>
      </c>
      <c r="I1405" t="s">
        <v>6409</v>
      </c>
      <c r="J1405">
        <v>66</v>
      </c>
      <c r="K1405" t="s">
        <v>49</v>
      </c>
      <c r="L1405" t="s">
        <v>47</v>
      </c>
      <c r="M1405" t="s">
        <v>105</v>
      </c>
      <c r="P1405" t="s">
        <v>28</v>
      </c>
      <c r="Q1405" t="s">
        <v>6410</v>
      </c>
      <c r="R1405" t="s">
        <v>6411</v>
      </c>
      <c r="S1405" t="s">
        <v>101</v>
      </c>
      <c r="T1405">
        <v>0</v>
      </c>
    </row>
    <row r="1406" spans="1:20" x14ac:dyDescent="0.25">
      <c r="A1406" t="s">
        <v>6412</v>
      </c>
      <c r="B1406" s="1">
        <v>45940</v>
      </c>
      <c r="C1406" s="5">
        <v>0.21219907407407407</v>
      </c>
      <c r="D1406">
        <v>130.36000000000001</v>
      </c>
      <c r="E1406" t="s">
        <v>44</v>
      </c>
      <c r="F1406" t="s">
        <v>2721</v>
      </c>
      <c r="G1406" t="s">
        <v>64</v>
      </c>
      <c r="H1406" t="s">
        <v>35</v>
      </c>
      <c r="I1406" t="s">
        <v>6413</v>
      </c>
      <c r="J1406">
        <v>40</v>
      </c>
      <c r="K1406" t="s">
        <v>37</v>
      </c>
      <c r="L1406" t="s">
        <v>110</v>
      </c>
      <c r="M1406" t="s">
        <v>112</v>
      </c>
      <c r="P1406" t="s">
        <v>28</v>
      </c>
      <c r="Q1406" t="s">
        <v>6414</v>
      </c>
      <c r="R1406" t="s">
        <v>6415</v>
      </c>
      <c r="S1406" t="s">
        <v>31</v>
      </c>
      <c r="T1406">
        <v>0</v>
      </c>
    </row>
    <row r="1407" spans="1:20" x14ac:dyDescent="0.25">
      <c r="A1407" t="s">
        <v>6416</v>
      </c>
      <c r="B1407" s="1">
        <v>45856</v>
      </c>
      <c r="C1407" s="5">
        <v>0.64004629629629628</v>
      </c>
      <c r="D1407">
        <v>99.01</v>
      </c>
      <c r="E1407" t="s">
        <v>44</v>
      </c>
      <c r="F1407" t="s">
        <v>242</v>
      </c>
      <c r="G1407" t="s">
        <v>34</v>
      </c>
      <c r="H1407" t="s">
        <v>50</v>
      </c>
      <c r="I1407" t="s">
        <v>6417</v>
      </c>
      <c r="J1407">
        <v>63</v>
      </c>
      <c r="K1407" t="s">
        <v>37</v>
      </c>
      <c r="L1407" t="s">
        <v>58</v>
      </c>
      <c r="M1407" t="s">
        <v>39</v>
      </c>
      <c r="P1407" t="s">
        <v>28</v>
      </c>
      <c r="Q1407" t="s">
        <v>6418</v>
      </c>
      <c r="R1407" t="s">
        <v>6419</v>
      </c>
      <c r="S1407" t="s">
        <v>31</v>
      </c>
      <c r="T1407">
        <v>0</v>
      </c>
    </row>
    <row r="1408" spans="1:20" x14ac:dyDescent="0.25">
      <c r="A1408" t="s">
        <v>6420</v>
      </c>
      <c r="B1408" s="1">
        <v>45798</v>
      </c>
      <c r="C1408" s="5">
        <v>0.66335648148148152</v>
      </c>
      <c r="D1408">
        <v>450.62</v>
      </c>
      <c r="E1408" t="s">
        <v>44</v>
      </c>
      <c r="F1408" t="s">
        <v>5512</v>
      </c>
      <c r="G1408" t="s">
        <v>64</v>
      </c>
      <c r="H1408" t="s">
        <v>91</v>
      </c>
      <c r="I1408" t="s">
        <v>6421</v>
      </c>
      <c r="J1408">
        <v>24</v>
      </c>
      <c r="K1408" t="s">
        <v>37</v>
      </c>
      <c r="L1408" t="s">
        <v>66</v>
      </c>
      <c r="M1408" t="s">
        <v>105</v>
      </c>
      <c r="P1408" t="s">
        <v>28</v>
      </c>
      <c r="Q1408" t="s">
        <v>6422</v>
      </c>
      <c r="R1408" t="s">
        <v>6423</v>
      </c>
      <c r="S1408" t="s">
        <v>31</v>
      </c>
      <c r="T1408">
        <v>0</v>
      </c>
    </row>
    <row r="1409" spans="1:20" x14ac:dyDescent="0.25">
      <c r="A1409" t="s">
        <v>6424</v>
      </c>
      <c r="B1409" s="1">
        <v>45816</v>
      </c>
      <c r="C1409" s="5">
        <v>0.61298611111111112</v>
      </c>
      <c r="D1409">
        <v>154.22999999999999</v>
      </c>
      <c r="E1409" t="s">
        <v>44</v>
      </c>
      <c r="F1409" t="s">
        <v>4756</v>
      </c>
      <c r="G1409" t="s">
        <v>64</v>
      </c>
      <c r="H1409" t="s">
        <v>50</v>
      </c>
      <c r="I1409" t="s">
        <v>6425</v>
      </c>
      <c r="J1409">
        <v>54</v>
      </c>
      <c r="K1409" t="s">
        <v>37</v>
      </c>
      <c r="L1409" t="s">
        <v>119</v>
      </c>
      <c r="M1409" t="s">
        <v>112</v>
      </c>
      <c r="P1409" t="s">
        <v>28</v>
      </c>
      <c r="Q1409" t="s">
        <v>6426</v>
      </c>
      <c r="R1409" t="s">
        <v>6427</v>
      </c>
      <c r="S1409" t="s">
        <v>31</v>
      </c>
      <c r="T1409">
        <v>0</v>
      </c>
    </row>
    <row r="1410" spans="1:20" x14ac:dyDescent="0.25">
      <c r="A1410" t="s">
        <v>6428</v>
      </c>
      <c r="B1410" s="1">
        <v>45858</v>
      </c>
      <c r="C1410" s="5">
        <v>0.93479166666666669</v>
      </c>
      <c r="D1410">
        <v>93.03</v>
      </c>
      <c r="E1410" t="s">
        <v>44</v>
      </c>
      <c r="F1410" t="s">
        <v>3432</v>
      </c>
      <c r="G1410" t="s">
        <v>46</v>
      </c>
      <c r="H1410" t="s">
        <v>26</v>
      </c>
      <c r="I1410" t="s">
        <v>6429</v>
      </c>
      <c r="J1410">
        <v>72</v>
      </c>
      <c r="K1410" t="s">
        <v>49</v>
      </c>
      <c r="L1410" t="s">
        <v>47</v>
      </c>
      <c r="M1410" t="s">
        <v>105</v>
      </c>
      <c r="P1410" t="s">
        <v>28</v>
      </c>
      <c r="Q1410" t="s">
        <v>6430</v>
      </c>
      <c r="R1410" t="s">
        <v>6431</v>
      </c>
      <c r="S1410" t="s">
        <v>31</v>
      </c>
      <c r="T1410">
        <v>0</v>
      </c>
    </row>
    <row r="1411" spans="1:20" x14ac:dyDescent="0.25">
      <c r="A1411" t="s">
        <v>6432</v>
      </c>
      <c r="B1411" s="1">
        <v>45886</v>
      </c>
      <c r="C1411" s="5">
        <v>1.1828703703703704E-2</v>
      </c>
      <c r="D1411">
        <v>57.06</v>
      </c>
      <c r="E1411" t="s">
        <v>44</v>
      </c>
      <c r="F1411" t="s">
        <v>4705</v>
      </c>
      <c r="G1411" t="s">
        <v>34</v>
      </c>
      <c r="H1411" t="s">
        <v>23</v>
      </c>
      <c r="I1411" t="s">
        <v>6433</v>
      </c>
      <c r="J1411">
        <v>55</v>
      </c>
      <c r="K1411" t="s">
        <v>49</v>
      </c>
      <c r="L1411" t="s">
        <v>97</v>
      </c>
      <c r="M1411" t="s">
        <v>27</v>
      </c>
      <c r="P1411" t="s">
        <v>28</v>
      </c>
      <c r="Q1411" t="s">
        <v>6434</v>
      </c>
      <c r="R1411" t="s">
        <v>6435</v>
      </c>
      <c r="S1411" t="s">
        <v>42</v>
      </c>
      <c r="T1411">
        <v>0</v>
      </c>
    </row>
    <row r="1412" spans="1:20" x14ac:dyDescent="0.25">
      <c r="A1412" t="s">
        <v>6436</v>
      </c>
      <c r="B1412" s="1">
        <v>45925</v>
      </c>
      <c r="C1412" s="5">
        <v>0.80268518518518517</v>
      </c>
      <c r="D1412">
        <v>177.91</v>
      </c>
      <c r="E1412" t="s">
        <v>44</v>
      </c>
      <c r="F1412" t="s">
        <v>738</v>
      </c>
      <c r="G1412" t="s">
        <v>22</v>
      </c>
      <c r="H1412" t="s">
        <v>23</v>
      </c>
      <c r="I1412" t="s">
        <v>6437</v>
      </c>
      <c r="J1412">
        <v>54</v>
      </c>
      <c r="K1412" t="s">
        <v>37</v>
      </c>
      <c r="L1412" t="s">
        <v>35</v>
      </c>
      <c r="M1412" t="s">
        <v>84</v>
      </c>
      <c r="P1412" t="s">
        <v>28</v>
      </c>
      <c r="Q1412" t="s">
        <v>6438</v>
      </c>
      <c r="R1412" t="s">
        <v>6439</v>
      </c>
      <c r="S1412" t="s">
        <v>31</v>
      </c>
      <c r="T1412">
        <v>0</v>
      </c>
    </row>
    <row r="1413" spans="1:20" x14ac:dyDescent="0.25">
      <c r="A1413" t="s">
        <v>6440</v>
      </c>
      <c r="B1413" s="1">
        <v>45901</v>
      </c>
      <c r="C1413" s="5">
        <v>0.55432870370370368</v>
      </c>
      <c r="D1413">
        <v>163.13999999999999</v>
      </c>
      <c r="E1413" t="s">
        <v>44</v>
      </c>
      <c r="F1413" t="s">
        <v>2543</v>
      </c>
      <c r="G1413" t="s">
        <v>64</v>
      </c>
      <c r="H1413" t="s">
        <v>248</v>
      </c>
      <c r="I1413" t="s">
        <v>6441</v>
      </c>
      <c r="J1413">
        <v>27</v>
      </c>
      <c r="K1413" t="s">
        <v>37</v>
      </c>
      <c r="L1413" t="s">
        <v>38</v>
      </c>
      <c r="M1413" t="s">
        <v>105</v>
      </c>
      <c r="P1413" t="s">
        <v>28</v>
      </c>
      <c r="Q1413" t="s">
        <v>6442</v>
      </c>
      <c r="R1413" t="s">
        <v>6443</v>
      </c>
      <c r="S1413" t="s">
        <v>31</v>
      </c>
      <c r="T1413">
        <v>0</v>
      </c>
    </row>
    <row r="1414" spans="1:20" x14ac:dyDescent="0.25">
      <c r="A1414" t="s">
        <v>6444</v>
      </c>
      <c r="B1414" s="1">
        <v>45914</v>
      </c>
      <c r="C1414" s="5">
        <v>0.57494212962962965</v>
      </c>
      <c r="D1414">
        <v>7.57</v>
      </c>
      <c r="E1414" t="s">
        <v>44</v>
      </c>
      <c r="F1414" t="s">
        <v>6445</v>
      </c>
      <c r="G1414" t="s">
        <v>96</v>
      </c>
      <c r="H1414" t="s">
        <v>97</v>
      </c>
      <c r="I1414" t="s">
        <v>6446</v>
      </c>
      <c r="J1414">
        <v>68</v>
      </c>
      <c r="K1414" t="s">
        <v>25</v>
      </c>
      <c r="L1414" t="s">
        <v>47</v>
      </c>
      <c r="M1414" t="s">
        <v>112</v>
      </c>
      <c r="P1414" t="s">
        <v>28</v>
      </c>
      <c r="Q1414" t="s">
        <v>6447</v>
      </c>
      <c r="R1414" t="s">
        <v>6448</v>
      </c>
      <c r="S1414" t="s">
        <v>31</v>
      </c>
      <c r="T1414">
        <v>0</v>
      </c>
    </row>
    <row r="1415" spans="1:20" x14ac:dyDescent="0.25">
      <c r="A1415" t="s">
        <v>6449</v>
      </c>
      <c r="B1415" s="1">
        <v>45805</v>
      </c>
      <c r="C1415" s="5">
        <v>0.96960648148148143</v>
      </c>
      <c r="D1415">
        <v>171.31</v>
      </c>
      <c r="E1415" t="s">
        <v>44</v>
      </c>
      <c r="F1415" t="s">
        <v>6450</v>
      </c>
      <c r="G1415" t="s">
        <v>77</v>
      </c>
      <c r="H1415" t="s">
        <v>50</v>
      </c>
      <c r="I1415" t="s">
        <v>6451</v>
      </c>
      <c r="J1415">
        <v>64</v>
      </c>
      <c r="K1415" t="s">
        <v>37</v>
      </c>
      <c r="L1415" t="s">
        <v>26</v>
      </c>
      <c r="M1415" t="s">
        <v>39</v>
      </c>
      <c r="P1415" t="s">
        <v>28</v>
      </c>
      <c r="Q1415" t="s">
        <v>6452</v>
      </c>
      <c r="R1415" t="s">
        <v>6453</v>
      </c>
      <c r="S1415" t="s">
        <v>31</v>
      </c>
      <c r="T1415">
        <v>0</v>
      </c>
    </row>
    <row r="1416" spans="1:20" x14ac:dyDescent="0.25">
      <c r="A1416" t="s">
        <v>6454</v>
      </c>
      <c r="B1416" s="1">
        <v>45812</v>
      </c>
      <c r="C1416" s="5">
        <v>0.32952546296296298</v>
      </c>
      <c r="D1416">
        <v>99.5</v>
      </c>
      <c r="E1416" t="s">
        <v>44</v>
      </c>
      <c r="F1416" t="s">
        <v>6455</v>
      </c>
      <c r="G1416" t="s">
        <v>71</v>
      </c>
      <c r="H1416" t="s">
        <v>110</v>
      </c>
      <c r="I1416" t="s">
        <v>6456</v>
      </c>
      <c r="J1416">
        <v>60</v>
      </c>
      <c r="K1416" t="s">
        <v>49</v>
      </c>
      <c r="L1416" t="s">
        <v>66</v>
      </c>
      <c r="M1416" t="s">
        <v>105</v>
      </c>
      <c r="P1416" t="s">
        <v>28</v>
      </c>
      <c r="Q1416" t="s">
        <v>6457</v>
      </c>
      <c r="R1416" t="s">
        <v>6458</v>
      </c>
      <c r="S1416" t="s">
        <v>31</v>
      </c>
      <c r="T1416">
        <v>0</v>
      </c>
    </row>
    <row r="1417" spans="1:20" x14ac:dyDescent="0.25">
      <c r="A1417" t="s">
        <v>6459</v>
      </c>
      <c r="B1417" s="1">
        <v>45844</v>
      </c>
      <c r="C1417" s="5">
        <v>0.69221064814814814</v>
      </c>
      <c r="D1417">
        <v>46.1</v>
      </c>
      <c r="E1417" t="s">
        <v>44</v>
      </c>
      <c r="F1417" t="s">
        <v>4683</v>
      </c>
      <c r="G1417" t="s">
        <v>96</v>
      </c>
      <c r="H1417" t="s">
        <v>130</v>
      </c>
      <c r="I1417" t="s">
        <v>6460</v>
      </c>
      <c r="J1417">
        <v>55</v>
      </c>
      <c r="K1417" t="s">
        <v>49</v>
      </c>
      <c r="L1417" t="s">
        <v>146</v>
      </c>
      <c r="M1417" t="s">
        <v>39</v>
      </c>
      <c r="P1417" t="s">
        <v>28</v>
      </c>
      <c r="Q1417" t="s">
        <v>6461</v>
      </c>
      <c r="R1417" t="s">
        <v>6462</v>
      </c>
      <c r="S1417" t="s">
        <v>31</v>
      </c>
      <c r="T1417">
        <v>0</v>
      </c>
    </row>
    <row r="1418" spans="1:20" x14ac:dyDescent="0.25">
      <c r="A1418" t="s">
        <v>6463</v>
      </c>
      <c r="B1418" s="1">
        <v>45893</v>
      </c>
      <c r="C1418" s="5">
        <v>0.21814814814814815</v>
      </c>
      <c r="D1418">
        <v>158.44</v>
      </c>
      <c r="E1418" t="s">
        <v>44</v>
      </c>
      <c r="F1418" t="s">
        <v>135</v>
      </c>
      <c r="G1418" t="s">
        <v>57</v>
      </c>
      <c r="H1418" t="s">
        <v>47</v>
      </c>
      <c r="I1418" t="s">
        <v>6464</v>
      </c>
      <c r="J1418">
        <v>34</v>
      </c>
      <c r="K1418" t="s">
        <v>25</v>
      </c>
      <c r="L1418" t="s">
        <v>91</v>
      </c>
      <c r="M1418" t="s">
        <v>51</v>
      </c>
      <c r="N1418" t="s">
        <v>173</v>
      </c>
      <c r="O1418">
        <v>481138</v>
      </c>
      <c r="P1418" t="s">
        <v>28</v>
      </c>
      <c r="Q1418" t="s">
        <v>6465</v>
      </c>
      <c r="R1418" t="s">
        <v>6466</v>
      </c>
      <c r="S1418" t="s">
        <v>31</v>
      </c>
      <c r="T1418">
        <v>0</v>
      </c>
    </row>
    <row r="1419" spans="1:20" x14ac:dyDescent="0.25">
      <c r="A1419" t="s">
        <v>6467</v>
      </c>
      <c r="B1419" s="1">
        <v>45929</v>
      </c>
      <c r="C1419" s="5">
        <v>0.88629629629629625</v>
      </c>
      <c r="D1419">
        <v>60.66</v>
      </c>
      <c r="E1419" t="s">
        <v>44</v>
      </c>
      <c r="F1419" t="s">
        <v>2219</v>
      </c>
      <c r="G1419" t="s">
        <v>22</v>
      </c>
      <c r="H1419" t="s">
        <v>50</v>
      </c>
      <c r="I1419" t="s">
        <v>6468</v>
      </c>
      <c r="J1419">
        <v>50</v>
      </c>
      <c r="K1419" t="s">
        <v>49</v>
      </c>
      <c r="L1419" t="s">
        <v>66</v>
      </c>
      <c r="M1419" t="s">
        <v>51</v>
      </c>
      <c r="N1419" t="s">
        <v>52</v>
      </c>
      <c r="O1419">
        <v>403542</v>
      </c>
      <c r="P1419" t="s">
        <v>28</v>
      </c>
      <c r="Q1419" t="s">
        <v>6469</v>
      </c>
      <c r="R1419" t="s">
        <v>6470</v>
      </c>
      <c r="S1419" t="s">
        <v>31</v>
      </c>
      <c r="T1419">
        <v>0</v>
      </c>
    </row>
    <row r="1420" spans="1:20" x14ac:dyDescent="0.25">
      <c r="A1420" t="s">
        <v>6471</v>
      </c>
      <c r="B1420" s="1">
        <v>45866</v>
      </c>
      <c r="C1420" s="5">
        <v>0.66062500000000002</v>
      </c>
      <c r="D1420">
        <v>104.52</v>
      </c>
      <c r="E1420" t="s">
        <v>44</v>
      </c>
      <c r="F1420" t="s">
        <v>103</v>
      </c>
      <c r="G1420" t="s">
        <v>77</v>
      </c>
      <c r="H1420" t="s">
        <v>146</v>
      </c>
      <c r="I1420" t="s">
        <v>6472</v>
      </c>
      <c r="J1420">
        <v>66</v>
      </c>
      <c r="K1420" t="s">
        <v>37</v>
      </c>
      <c r="L1420" t="s">
        <v>47</v>
      </c>
      <c r="M1420" t="s">
        <v>84</v>
      </c>
      <c r="P1420" t="s">
        <v>28</v>
      </c>
      <c r="Q1420" t="s">
        <v>6473</v>
      </c>
      <c r="R1420" t="s">
        <v>6474</v>
      </c>
      <c r="S1420" t="s">
        <v>31</v>
      </c>
      <c r="T1420">
        <v>0</v>
      </c>
    </row>
    <row r="1421" spans="1:20" x14ac:dyDescent="0.25">
      <c r="A1421" t="s">
        <v>6475</v>
      </c>
      <c r="B1421" s="1">
        <v>45789</v>
      </c>
      <c r="C1421" s="5">
        <v>0.8119791666666667</v>
      </c>
      <c r="D1421">
        <v>140.44</v>
      </c>
      <c r="E1421" t="s">
        <v>44</v>
      </c>
      <c r="F1421" t="s">
        <v>1790</v>
      </c>
      <c r="G1421" t="s">
        <v>71</v>
      </c>
      <c r="H1421" t="s">
        <v>97</v>
      </c>
      <c r="I1421" t="s">
        <v>6476</v>
      </c>
      <c r="J1421">
        <v>24</v>
      </c>
      <c r="K1421" t="s">
        <v>37</v>
      </c>
      <c r="L1421" t="s">
        <v>248</v>
      </c>
      <c r="M1421" t="s">
        <v>84</v>
      </c>
      <c r="P1421" t="s">
        <v>28</v>
      </c>
      <c r="Q1421" t="s">
        <v>6477</v>
      </c>
      <c r="R1421" t="s">
        <v>6478</v>
      </c>
      <c r="S1421" t="s">
        <v>31</v>
      </c>
      <c r="T1421">
        <v>0</v>
      </c>
    </row>
    <row r="1422" spans="1:20" x14ac:dyDescent="0.25">
      <c r="A1422" t="s">
        <v>6479</v>
      </c>
      <c r="B1422" s="1">
        <v>45891</v>
      </c>
      <c r="C1422" s="5">
        <v>0.65460648148148148</v>
      </c>
      <c r="D1422">
        <v>130.94999999999999</v>
      </c>
      <c r="E1422" t="s">
        <v>44</v>
      </c>
      <c r="F1422" t="s">
        <v>2580</v>
      </c>
      <c r="G1422" t="s">
        <v>71</v>
      </c>
      <c r="H1422" t="s">
        <v>110</v>
      </c>
      <c r="I1422" t="s">
        <v>6480</v>
      </c>
      <c r="J1422">
        <v>39</v>
      </c>
      <c r="K1422" t="s">
        <v>25</v>
      </c>
      <c r="L1422" t="s">
        <v>38</v>
      </c>
      <c r="M1422" t="s">
        <v>105</v>
      </c>
      <c r="P1422" t="s">
        <v>28</v>
      </c>
      <c r="Q1422" t="s">
        <v>6481</v>
      </c>
      <c r="R1422" t="s">
        <v>6482</v>
      </c>
      <c r="S1422" t="s">
        <v>31</v>
      </c>
      <c r="T1422">
        <v>0</v>
      </c>
    </row>
    <row r="1423" spans="1:20" x14ac:dyDescent="0.25">
      <c r="A1423" t="s">
        <v>6483</v>
      </c>
      <c r="B1423" s="1">
        <v>45942</v>
      </c>
      <c r="C1423" s="5">
        <v>0.59163194444444445</v>
      </c>
      <c r="D1423">
        <v>547.80999999999995</v>
      </c>
      <c r="E1423" t="s">
        <v>44</v>
      </c>
      <c r="F1423" t="s">
        <v>197</v>
      </c>
      <c r="G1423" t="s">
        <v>22</v>
      </c>
      <c r="H1423" t="s">
        <v>66</v>
      </c>
      <c r="I1423" t="s">
        <v>6484</v>
      </c>
      <c r="J1423">
        <v>35</v>
      </c>
      <c r="K1423" t="s">
        <v>25</v>
      </c>
      <c r="L1423" t="s">
        <v>66</v>
      </c>
      <c r="M1423" t="s">
        <v>39</v>
      </c>
      <c r="P1423" t="s">
        <v>113</v>
      </c>
      <c r="Q1423" t="s">
        <v>6485</v>
      </c>
      <c r="R1423" t="s">
        <v>6486</v>
      </c>
      <c r="S1423" t="s">
        <v>31</v>
      </c>
      <c r="T1423">
        <v>0</v>
      </c>
    </row>
    <row r="1424" spans="1:20" x14ac:dyDescent="0.25">
      <c r="A1424" t="s">
        <v>6487</v>
      </c>
      <c r="B1424" s="1">
        <v>45805</v>
      </c>
      <c r="C1424" s="5">
        <v>0.77133101851851849</v>
      </c>
      <c r="D1424">
        <v>67.36</v>
      </c>
      <c r="E1424" t="s">
        <v>44</v>
      </c>
      <c r="F1424" t="s">
        <v>2481</v>
      </c>
      <c r="G1424" t="s">
        <v>89</v>
      </c>
      <c r="H1424" t="s">
        <v>23</v>
      </c>
      <c r="I1424" t="s">
        <v>6488</v>
      </c>
      <c r="J1424">
        <v>61</v>
      </c>
      <c r="K1424" t="s">
        <v>37</v>
      </c>
      <c r="L1424" t="s">
        <v>119</v>
      </c>
      <c r="M1424" t="s">
        <v>27</v>
      </c>
      <c r="P1424" t="s">
        <v>28</v>
      </c>
      <c r="Q1424" t="s">
        <v>6489</v>
      </c>
      <c r="R1424" t="s">
        <v>6490</v>
      </c>
      <c r="S1424" t="s">
        <v>42</v>
      </c>
      <c r="T1424">
        <v>0</v>
      </c>
    </row>
    <row r="1425" spans="1:20" x14ac:dyDescent="0.25">
      <c r="A1425" t="s">
        <v>6491</v>
      </c>
      <c r="B1425" s="1">
        <v>45952</v>
      </c>
      <c r="C1425" s="5">
        <v>5.7395833333333333E-2</v>
      </c>
      <c r="D1425">
        <v>188.87</v>
      </c>
      <c r="E1425" t="s">
        <v>44</v>
      </c>
      <c r="F1425" t="s">
        <v>6265</v>
      </c>
      <c r="G1425" t="s">
        <v>22</v>
      </c>
      <c r="H1425" t="s">
        <v>47</v>
      </c>
      <c r="I1425" t="s">
        <v>6492</v>
      </c>
      <c r="J1425">
        <v>68</v>
      </c>
      <c r="K1425" t="s">
        <v>37</v>
      </c>
      <c r="L1425" t="s">
        <v>38</v>
      </c>
      <c r="M1425" t="s">
        <v>84</v>
      </c>
      <c r="P1425" t="s">
        <v>28</v>
      </c>
      <c r="Q1425" t="s">
        <v>6493</v>
      </c>
      <c r="R1425" t="s">
        <v>6494</v>
      </c>
      <c r="S1425" t="s">
        <v>31</v>
      </c>
      <c r="T1425">
        <v>0</v>
      </c>
    </row>
    <row r="1426" spans="1:20" x14ac:dyDescent="0.25">
      <c r="A1426" t="s">
        <v>6495</v>
      </c>
      <c r="B1426" s="1">
        <v>45903</v>
      </c>
      <c r="C1426" s="5">
        <v>8.8668981481481488E-2</v>
      </c>
      <c r="D1426">
        <v>160.79</v>
      </c>
      <c r="E1426" t="s">
        <v>44</v>
      </c>
      <c r="F1426" t="s">
        <v>1869</v>
      </c>
      <c r="G1426" t="s">
        <v>71</v>
      </c>
      <c r="H1426" t="s">
        <v>50</v>
      </c>
      <c r="I1426" t="s">
        <v>6496</v>
      </c>
      <c r="J1426">
        <v>74</v>
      </c>
      <c r="K1426" t="s">
        <v>37</v>
      </c>
      <c r="L1426" t="s">
        <v>38</v>
      </c>
      <c r="M1426" t="s">
        <v>112</v>
      </c>
      <c r="P1426" t="s">
        <v>28</v>
      </c>
      <c r="Q1426" t="s">
        <v>6497</v>
      </c>
      <c r="R1426" t="s">
        <v>6498</v>
      </c>
      <c r="S1426" t="s">
        <v>31</v>
      </c>
      <c r="T1426">
        <v>0</v>
      </c>
    </row>
    <row r="1427" spans="1:20" x14ac:dyDescent="0.25">
      <c r="A1427" t="s">
        <v>6499</v>
      </c>
      <c r="B1427" s="1">
        <v>45875</v>
      </c>
      <c r="C1427" s="5">
        <v>0.33412037037037035</v>
      </c>
      <c r="D1427">
        <v>112.3</v>
      </c>
      <c r="E1427" t="s">
        <v>44</v>
      </c>
      <c r="F1427" t="s">
        <v>6500</v>
      </c>
      <c r="G1427" t="s">
        <v>71</v>
      </c>
      <c r="H1427" t="s">
        <v>23</v>
      </c>
      <c r="I1427" t="s">
        <v>6501</v>
      </c>
      <c r="J1427">
        <v>22</v>
      </c>
      <c r="K1427" t="s">
        <v>25</v>
      </c>
      <c r="L1427" t="s">
        <v>110</v>
      </c>
      <c r="M1427" t="s">
        <v>39</v>
      </c>
      <c r="P1427" t="s">
        <v>28</v>
      </c>
      <c r="Q1427" t="s">
        <v>6502</v>
      </c>
      <c r="R1427" t="s">
        <v>6503</v>
      </c>
      <c r="S1427" t="s">
        <v>31</v>
      </c>
      <c r="T1427">
        <v>0</v>
      </c>
    </row>
    <row r="1428" spans="1:20" x14ac:dyDescent="0.25">
      <c r="A1428" t="s">
        <v>6504</v>
      </c>
      <c r="B1428" s="1">
        <v>45863</v>
      </c>
      <c r="C1428" s="5">
        <v>0.88810185185185186</v>
      </c>
      <c r="D1428">
        <v>94.79</v>
      </c>
      <c r="E1428" t="s">
        <v>44</v>
      </c>
      <c r="F1428" t="s">
        <v>5412</v>
      </c>
      <c r="G1428" t="s">
        <v>34</v>
      </c>
      <c r="H1428" t="s">
        <v>47</v>
      </c>
      <c r="I1428" t="s">
        <v>6505</v>
      </c>
      <c r="J1428">
        <v>56</v>
      </c>
      <c r="K1428" t="s">
        <v>49</v>
      </c>
      <c r="L1428" t="s">
        <v>23</v>
      </c>
      <c r="M1428" t="s">
        <v>27</v>
      </c>
      <c r="P1428" t="s">
        <v>28</v>
      </c>
      <c r="Q1428" t="s">
        <v>6506</v>
      </c>
      <c r="R1428" t="s">
        <v>6507</v>
      </c>
      <c r="S1428" t="s">
        <v>31</v>
      </c>
      <c r="T1428">
        <v>0</v>
      </c>
    </row>
    <row r="1429" spans="1:20" x14ac:dyDescent="0.25">
      <c r="A1429" t="s">
        <v>6508</v>
      </c>
      <c r="B1429" s="1">
        <v>45814</v>
      </c>
      <c r="C1429" s="5">
        <v>0.28060185185185182</v>
      </c>
      <c r="D1429">
        <v>946.89</v>
      </c>
      <c r="E1429" t="s">
        <v>44</v>
      </c>
      <c r="F1429" t="s">
        <v>2190</v>
      </c>
      <c r="G1429" t="s">
        <v>96</v>
      </c>
      <c r="H1429" t="s">
        <v>66</v>
      </c>
      <c r="I1429" t="s">
        <v>6509</v>
      </c>
      <c r="K1429" t="s">
        <v>25</v>
      </c>
      <c r="L1429" t="s">
        <v>26</v>
      </c>
      <c r="M1429" t="s">
        <v>112</v>
      </c>
      <c r="P1429" t="s">
        <v>28</v>
      </c>
      <c r="Q1429" t="s">
        <v>6510</v>
      </c>
      <c r="R1429" t="s">
        <v>6511</v>
      </c>
      <c r="S1429" t="s">
        <v>101</v>
      </c>
      <c r="T1429">
        <v>0</v>
      </c>
    </row>
    <row r="1430" spans="1:20" x14ac:dyDescent="0.25">
      <c r="A1430" t="s">
        <v>6512</v>
      </c>
      <c r="B1430" s="1">
        <v>45903</v>
      </c>
      <c r="C1430" s="5">
        <v>0.91255787037037039</v>
      </c>
      <c r="D1430">
        <v>104.66</v>
      </c>
      <c r="E1430" t="s">
        <v>44</v>
      </c>
      <c r="F1430" t="s">
        <v>4523</v>
      </c>
      <c r="G1430" t="s">
        <v>46</v>
      </c>
      <c r="H1430" t="s">
        <v>58</v>
      </c>
      <c r="I1430" t="s">
        <v>6513</v>
      </c>
      <c r="J1430">
        <v>54</v>
      </c>
      <c r="K1430" t="s">
        <v>25</v>
      </c>
      <c r="L1430" t="s">
        <v>248</v>
      </c>
      <c r="M1430" t="s">
        <v>51</v>
      </c>
      <c r="N1430" t="s">
        <v>507</v>
      </c>
      <c r="O1430">
        <v>462744</v>
      </c>
      <c r="P1430" t="s">
        <v>28</v>
      </c>
      <c r="Q1430" t="s">
        <v>6514</v>
      </c>
      <c r="R1430" t="s">
        <v>6515</v>
      </c>
      <c r="S1430" t="s">
        <v>31</v>
      </c>
      <c r="T1430">
        <v>0</v>
      </c>
    </row>
    <row r="1431" spans="1:20" x14ac:dyDescent="0.25">
      <c r="A1431" t="s">
        <v>6516</v>
      </c>
      <c r="B1431" s="1">
        <v>45869</v>
      </c>
      <c r="C1431" s="5">
        <v>0.80188657407407404</v>
      </c>
      <c r="D1431">
        <v>131.51</v>
      </c>
      <c r="E1431" t="s">
        <v>44</v>
      </c>
      <c r="F1431" t="s">
        <v>4421</v>
      </c>
      <c r="G1431" t="s">
        <v>89</v>
      </c>
      <c r="H1431" t="s">
        <v>38</v>
      </c>
      <c r="I1431" t="s">
        <v>6517</v>
      </c>
      <c r="J1431">
        <v>71</v>
      </c>
      <c r="K1431" t="s">
        <v>37</v>
      </c>
      <c r="L1431" t="s">
        <v>146</v>
      </c>
      <c r="M1431" t="s">
        <v>27</v>
      </c>
      <c r="P1431" t="s">
        <v>28</v>
      </c>
      <c r="Q1431" t="s">
        <v>6518</v>
      </c>
      <c r="R1431" t="s">
        <v>6519</v>
      </c>
      <c r="S1431" t="s">
        <v>31</v>
      </c>
      <c r="T1431">
        <v>0</v>
      </c>
    </row>
    <row r="1432" spans="1:20" x14ac:dyDescent="0.25">
      <c r="A1432" t="s">
        <v>6520</v>
      </c>
      <c r="B1432" s="1">
        <v>45940</v>
      </c>
      <c r="C1432" s="5">
        <v>0.77435185185185185</v>
      </c>
      <c r="D1432">
        <v>84.34</v>
      </c>
      <c r="E1432" t="s">
        <v>44</v>
      </c>
      <c r="F1432" t="s">
        <v>2707</v>
      </c>
      <c r="G1432" t="s">
        <v>22</v>
      </c>
      <c r="H1432" t="s">
        <v>97</v>
      </c>
      <c r="I1432" t="s">
        <v>6521</v>
      </c>
      <c r="J1432">
        <v>34</v>
      </c>
      <c r="K1432" t="s">
        <v>37</v>
      </c>
      <c r="L1432" t="s">
        <v>130</v>
      </c>
      <c r="M1432" t="s">
        <v>39</v>
      </c>
      <c r="P1432" t="s">
        <v>28</v>
      </c>
      <c r="Q1432" t="s">
        <v>6522</v>
      </c>
      <c r="R1432" t="s">
        <v>6523</v>
      </c>
      <c r="S1432" t="s">
        <v>31</v>
      </c>
      <c r="T1432">
        <v>0</v>
      </c>
    </row>
    <row r="1433" spans="1:20" x14ac:dyDescent="0.25">
      <c r="A1433" t="s">
        <v>6524</v>
      </c>
      <c r="B1433" s="1">
        <v>45815</v>
      </c>
      <c r="C1433" s="5">
        <v>0.20378472222222221</v>
      </c>
      <c r="D1433">
        <v>36.24</v>
      </c>
      <c r="E1433" t="s">
        <v>44</v>
      </c>
      <c r="F1433" t="s">
        <v>1087</v>
      </c>
      <c r="G1433" t="s">
        <v>34</v>
      </c>
      <c r="H1433" t="s">
        <v>146</v>
      </c>
      <c r="I1433" t="s">
        <v>6525</v>
      </c>
      <c r="J1433">
        <v>10</v>
      </c>
      <c r="K1433" t="s">
        <v>37</v>
      </c>
      <c r="L1433" t="s">
        <v>146</v>
      </c>
      <c r="M1433" t="s">
        <v>112</v>
      </c>
      <c r="P1433" t="s">
        <v>113</v>
      </c>
      <c r="Q1433" t="s">
        <v>6526</v>
      </c>
      <c r="R1433" t="s">
        <v>6527</v>
      </c>
      <c r="S1433" t="s">
        <v>42</v>
      </c>
      <c r="T1433">
        <v>0</v>
      </c>
    </row>
    <row r="1434" spans="1:20" x14ac:dyDescent="0.25">
      <c r="A1434" t="s">
        <v>6528</v>
      </c>
      <c r="B1434" s="1">
        <v>45802</v>
      </c>
      <c r="C1434" s="5">
        <v>0.11969907407407407</v>
      </c>
      <c r="D1434">
        <v>108.28</v>
      </c>
      <c r="E1434" t="s">
        <v>44</v>
      </c>
      <c r="F1434" t="s">
        <v>5317</v>
      </c>
      <c r="G1434" t="s">
        <v>71</v>
      </c>
      <c r="H1434" t="s">
        <v>248</v>
      </c>
      <c r="I1434" t="s">
        <v>6529</v>
      </c>
      <c r="J1434">
        <v>31</v>
      </c>
      <c r="K1434" t="s">
        <v>49</v>
      </c>
      <c r="L1434" t="s">
        <v>91</v>
      </c>
      <c r="M1434" t="s">
        <v>27</v>
      </c>
      <c r="P1434" t="s">
        <v>28</v>
      </c>
      <c r="Q1434" t="s">
        <v>6530</v>
      </c>
      <c r="R1434" t="s">
        <v>6531</v>
      </c>
      <c r="S1434" t="s">
        <v>31</v>
      </c>
      <c r="T1434">
        <v>0</v>
      </c>
    </row>
    <row r="1435" spans="1:20" x14ac:dyDescent="0.25">
      <c r="A1435" t="s">
        <v>6532</v>
      </c>
      <c r="B1435" s="1">
        <v>45787</v>
      </c>
      <c r="C1435" s="5">
        <v>0.65523148148148147</v>
      </c>
      <c r="D1435">
        <v>3.54</v>
      </c>
      <c r="E1435" t="s">
        <v>44</v>
      </c>
      <c r="F1435" t="s">
        <v>338</v>
      </c>
      <c r="G1435" t="s">
        <v>89</v>
      </c>
      <c r="H1435" t="s">
        <v>38</v>
      </c>
      <c r="I1435" t="s">
        <v>6533</v>
      </c>
      <c r="J1435">
        <v>64</v>
      </c>
      <c r="K1435" t="s">
        <v>37</v>
      </c>
      <c r="L1435" t="s">
        <v>130</v>
      </c>
      <c r="M1435" t="s">
        <v>112</v>
      </c>
      <c r="P1435" t="s">
        <v>28</v>
      </c>
      <c r="Q1435" t="s">
        <v>6534</v>
      </c>
      <c r="R1435" t="s">
        <v>6535</v>
      </c>
      <c r="S1435" t="s">
        <v>31</v>
      </c>
      <c r="T1435">
        <v>0</v>
      </c>
    </row>
    <row r="1436" spans="1:20" x14ac:dyDescent="0.25">
      <c r="A1436" t="s">
        <v>6536</v>
      </c>
      <c r="B1436" s="1">
        <v>45907</v>
      </c>
      <c r="C1436" s="5">
        <v>0.92254629629629625</v>
      </c>
      <c r="D1436">
        <v>352.55</v>
      </c>
      <c r="E1436" t="s">
        <v>44</v>
      </c>
      <c r="F1436" t="s">
        <v>6537</v>
      </c>
      <c r="G1436" t="s">
        <v>77</v>
      </c>
      <c r="H1436" t="s">
        <v>38</v>
      </c>
      <c r="I1436" t="s">
        <v>6538</v>
      </c>
      <c r="J1436">
        <v>59</v>
      </c>
      <c r="K1436" t="s">
        <v>37</v>
      </c>
      <c r="L1436" t="s">
        <v>35</v>
      </c>
      <c r="M1436" t="s">
        <v>39</v>
      </c>
      <c r="P1436" t="s">
        <v>28</v>
      </c>
      <c r="Q1436" t="s">
        <v>6539</v>
      </c>
      <c r="R1436" t="s">
        <v>6540</v>
      </c>
      <c r="S1436" t="s">
        <v>31</v>
      </c>
      <c r="T1436">
        <v>0</v>
      </c>
    </row>
    <row r="1437" spans="1:20" x14ac:dyDescent="0.25">
      <c r="A1437" t="s">
        <v>6541</v>
      </c>
      <c r="B1437" s="1">
        <v>45931</v>
      </c>
      <c r="C1437" s="5">
        <v>0.6052777777777778</v>
      </c>
      <c r="D1437">
        <v>120.12</v>
      </c>
      <c r="E1437" t="s">
        <v>44</v>
      </c>
      <c r="F1437" t="s">
        <v>748</v>
      </c>
      <c r="G1437" t="s">
        <v>46</v>
      </c>
      <c r="H1437" t="s">
        <v>26</v>
      </c>
      <c r="I1437" t="s">
        <v>6542</v>
      </c>
      <c r="J1437">
        <v>23</v>
      </c>
      <c r="K1437" t="s">
        <v>25</v>
      </c>
      <c r="L1437" t="s">
        <v>66</v>
      </c>
      <c r="M1437" t="s">
        <v>112</v>
      </c>
      <c r="P1437" t="s">
        <v>28</v>
      </c>
      <c r="Q1437" t="s">
        <v>6543</v>
      </c>
      <c r="R1437" t="s">
        <v>6544</v>
      </c>
      <c r="S1437" t="s">
        <v>42</v>
      </c>
      <c r="T1437">
        <v>0</v>
      </c>
    </row>
    <row r="1438" spans="1:20" x14ac:dyDescent="0.25">
      <c r="A1438" t="s">
        <v>6545</v>
      </c>
      <c r="B1438" s="1">
        <v>45851</v>
      </c>
      <c r="C1438" s="5">
        <v>0.86105324074074074</v>
      </c>
      <c r="D1438">
        <v>71.52</v>
      </c>
      <c r="E1438" t="s">
        <v>44</v>
      </c>
      <c r="F1438" t="s">
        <v>6546</v>
      </c>
      <c r="G1438" t="s">
        <v>46</v>
      </c>
      <c r="H1438" t="s">
        <v>146</v>
      </c>
      <c r="I1438" t="s">
        <v>6547</v>
      </c>
      <c r="J1438">
        <v>19</v>
      </c>
      <c r="K1438" t="s">
        <v>49</v>
      </c>
      <c r="L1438" t="s">
        <v>26</v>
      </c>
      <c r="M1438" t="s">
        <v>39</v>
      </c>
      <c r="P1438" t="s">
        <v>28</v>
      </c>
      <c r="Q1438" t="s">
        <v>6548</v>
      </c>
      <c r="R1438" t="s">
        <v>6549</v>
      </c>
      <c r="S1438" t="s">
        <v>31</v>
      </c>
      <c r="T1438">
        <v>0</v>
      </c>
    </row>
    <row r="1439" spans="1:20" x14ac:dyDescent="0.25">
      <c r="A1439" t="s">
        <v>6550</v>
      </c>
      <c r="B1439" s="1">
        <v>45869</v>
      </c>
      <c r="C1439" s="5">
        <v>0.91137731481481477</v>
      </c>
      <c r="D1439">
        <v>6.81</v>
      </c>
      <c r="E1439" t="s">
        <v>44</v>
      </c>
      <c r="F1439" t="s">
        <v>2846</v>
      </c>
      <c r="G1439" t="s">
        <v>64</v>
      </c>
      <c r="H1439" t="s">
        <v>146</v>
      </c>
      <c r="I1439" t="s">
        <v>6551</v>
      </c>
      <c r="J1439">
        <v>16</v>
      </c>
      <c r="K1439" t="s">
        <v>25</v>
      </c>
      <c r="L1439" t="s">
        <v>97</v>
      </c>
      <c r="M1439" t="s">
        <v>27</v>
      </c>
      <c r="P1439" t="s">
        <v>28</v>
      </c>
      <c r="Q1439" t="s">
        <v>6552</v>
      </c>
      <c r="R1439" t="s">
        <v>6553</v>
      </c>
      <c r="S1439" t="s">
        <v>31</v>
      </c>
      <c r="T1439">
        <v>0</v>
      </c>
    </row>
    <row r="1440" spans="1:20" x14ac:dyDescent="0.25">
      <c r="A1440" t="s">
        <v>6554</v>
      </c>
      <c r="B1440" s="1">
        <v>45859</v>
      </c>
      <c r="C1440" s="5">
        <v>6.0497685185185182E-2</v>
      </c>
      <c r="D1440">
        <v>115.47</v>
      </c>
      <c r="E1440" t="s">
        <v>44</v>
      </c>
      <c r="F1440" t="s">
        <v>3413</v>
      </c>
      <c r="G1440" t="s">
        <v>96</v>
      </c>
      <c r="H1440" t="s">
        <v>58</v>
      </c>
      <c r="I1440" t="s">
        <v>6555</v>
      </c>
      <c r="J1440">
        <v>48</v>
      </c>
      <c r="K1440" t="s">
        <v>25</v>
      </c>
      <c r="L1440" t="s">
        <v>26</v>
      </c>
      <c r="M1440" t="s">
        <v>84</v>
      </c>
      <c r="P1440" t="s">
        <v>28</v>
      </c>
      <c r="Q1440" t="s">
        <v>6556</v>
      </c>
      <c r="R1440" t="s">
        <v>6557</v>
      </c>
      <c r="S1440" t="s">
        <v>31</v>
      </c>
      <c r="T1440">
        <v>0</v>
      </c>
    </row>
    <row r="1441" spans="1:20" x14ac:dyDescent="0.25">
      <c r="A1441" t="s">
        <v>6558</v>
      </c>
      <c r="B1441" s="1">
        <v>45942</v>
      </c>
      <c r="C1441" s="5">
        <v>0.26078703703703704</v>
      </c>
      <c r="D1441">
        <v>5.35</v>
      </c>
      <c r="E1441" t="s">
        <v>44</v>
      </c>
      <c r="F1441" t="s">
        <v>6005</v>
      </c>
      <c r="G1441" t="s">
        <v>71</v>
      </c>
      <c r="H1441" t="s">
        <v>26</v>
      </c>
      <c r="I1441" t="s">
        <v>6559</v>
      </c>
      <c r="J1441">
        <v>51</v>
      </c>
      <c r="K1441" t="s">
        <v>49</v>
      </c>
      <c r="L1441" t="s">
        <v>248</v>
      </c>
      <c r="M1441" t="s">
        <v>51</v>
      </c>
      <c r="N1441" t="s">
        <v>304</v>
      </c>
      <c r="O1441">
        <v>460483</v>
      </c>
      <c r="P1441" t="s">
        <v>28</v>
      </c>
      <c r="Q1441" t="s">
        <v>6560</v>
      </c>
      <c r="R1441" t="s">
        <v>6561</v>
      </c>
      <c r="S1441" t="s">
        <v>31</v>
      </c>
      <c r="T1441">
        <v>0</v>
      </c>
    </row>
    <row r="1442" spans="1:20" x14ac:dyDescent="0.25">
      <c r="A1442" t="s">
        <v>6562</v>
      </c>
      <c r="B1442" s="1">
        <v>45933</v>
      </c>
      <c r="C1442" s="5">
        <v>0.5103819444444444</v>
      </c>
      <c r="D1442">
        <v>60.2</v>
      </c>
      <c r="E1442" t="s">
        <v>44</v>
      </c>
      <c r="F1442" t="s">
        <v>5718</v>
      </c>
      <c r="G1442" t="s">
        <v>34</v>
      </c>
      <c r="H1442" t="s">
        <v>130</v>
      </c>
      <c r="I1442" t="s">
        <v>6563</v>
      </c>
      <c r="J1442">
        <v>119</v>
      </c>
      <c r="K1442" t="s">
        <v>49</v>
      </c>
      <c r="L1442" t="s">
        <v>146</v>
      </c>
      <c r="M1442" t="s">
        <v>105</v>
      </c>
      <c r="P1442" t="s">
        <v>28</v>
      </c>
      <c r="Q1442" t="s">
        <v>6564</v>
      </c>
      <c r="R1442" t="s">
        <v>6565</v>
      </c>
      <c r="S1442" t="s">
        <v>31</v>
      </c>
      <c r="T1442">
        <v>0</v>
      </c>
    </row>
    <row r="1443" spans="1:20" x14ac:dyDescent="0.25">
      <c r="A1443" t="s">
        <v>6566</v>
      </c>
      <c r="B1443" s="1">
        <v>45885</v>
      </c>
      <c r="C1443" s="5">
        <v>0.58424768518518522</v>
      </c>
      <c r="D1443">
        <v>37.35</v>
      </c>
      <c r="E1443" t="s">
        <v>44</v>
      </c>
      <c r="F1443" t="s">
        <v>4374</v>
      </c>
      <c r="G1443" t="s">
        <v>89</v>
      </c>
      <c r="H1443" t="s">
        <v>66</v>
      </c>
      <c r="I1443" t="s">
        <v>6567</v>
      </c>
      <c r="J1443">
        <v>30</v>
      </c>
      <c r="K1443" t="s">
        <v>37</v>
      </c>
      <c r="L1443" t="s">
        <v>35</v>
      </c>
      <c r="M1443" t="s">
        <v>27</v>
      </c>
      <c r="P1443" t="s">
        <v>28</v>
      </c>
      <c r="Q1443" t="s">
        <v>6568</v>
      </c>
      <c r="R1443" t="s">
        <v>6569</v>
      </c>
      <c r="S1443" t="s">
        <v>101</v>
      </c>
      <c r="T1443">
        <v>0</v>
      </c>
    </row>
    <row r="1444" spans="1:20" x14ac:dyDescent="0.25">
      <c r="A1444" t="s">
        <v>6570</v>
      </c>
      <c r="B1444" s="1">
        <v>45948</v>
      </c>
      <c r="C1444" s="5">
        <v>0.7768518518518519</v>
      </c>
      <c r="D1444">
        <v>174.48</v>
      </c>
      <c r="E1444" t="s">
        <v>44</v>
      </c>
      <c r="F1444" t="s">
        <v>3375</v>
      </c>
      <c r="G1444" t="s">
        <v>124</v>
      </c>
      <c r="H1444" t="s">
        <v>50</v>
      </c>
      <c r="I1444" t="s">
        <v>6571</v>
      </c>
      <c r="J1444">
        <v>21</v>
      </c>
      <c r="K1444" t="s">
        <v>37</v>
      </c>
      <c r="L1444" t="s">
        <v>248</v>
      </c>
      <c r="M1444" t="s">
        <v>112</v>
      </c>
      <c r="P1444" t="s">
        <v>28</v>
      </c>
      <c r="Q1444" t="s">
        <v>6572</v>
      </c>
      <c r="R1444" t="s">
        <v>6573</v>
      </c>
      <c r="S1444" t="s">
        <v>31</v>
      </c>
      <c r="T1444">
        <v>0</v>
      </c>
    </row>
    <row r="1445" spans="1:20" x14ac:dyDescent="0.25">
      <c r="A1445" t="s">
        <v>6574</v>
      </c>
      <c r="B1445" s="1">
        <v>45824</v>
      </c>
      <c r="C1445" s="5">
        <v>0.18302083333333333</v>
      </c>
      <c r="D1445">
        <v>115.11</v>
      </c>
      <c r="E1445" t="s">
        <v>44</v>
      </c>
      <c r="F1445" t="s">
        <v>5990</v>
      </c>
      <c r="G1445" t="s">
        <v>34</v>
      </c>
      <c r="H1445" t="s">
        <v>47</v>
      </c>
      <c r="I1445" t="s">
        <v>6575</v>
      </c>
      <c r="J1445">
        <v>34</v>
      </c>
      <c r="K1445" t="s">
        <v>37</v>
      </c>
      <c r="L1445" t="s">
        <v>66</v>
      </c>
      <c r="M1445" t="s">
        <v>27</v>
      </c>
      <c r="P1445" t="s">
        <v>28</v>
      </c>
      <c r="Q1445" t="s">
        <v>6576</v>
      </c>
      <c r="R1445" t="s">
        <v>6577</v>
      </c>
      <c r="S1445" t="s">
        <v>31</v>
      </c>
      <c r="T1445">
        <v>0</v>
      </c>
    </row>
    <row r="1446" spans="1:20" x14ac:dyDescent="0.25">
      <c r="A1446" t="s">
        <v>6578</v>
      </c>
      <c r="B1446" s="1">
        <v>45930</v>
      </c>
      <c r="C1446" s="5">
        <v>8.86574074074074E-3</v>
      </c>
      <c r="D1446">
        <v>99.27</v>
      </c>
      <c r="E1446" t="s">
        <v>44</v>
      </c>
      <c r="F1446" t="s">
        <v>6579</v>
      </c>
      <c r="G1446" t="s">
        <v>46</v>
      </c>
      <c r="H1446" t="s">
        <v>130</v>
      </c>
      <c r="I1446" t="s">
        <v>6580</v>
      </c>
      <c r="J1446">
        <v>40</v>
      </c>
      <c r="K1446" t="s">
        <v>37</v>
      </c>
      <c r="L1446" t="s">
        <v>130</v>
      </c>
      <c r="M1446" t="s">
        <v>51</v>
      </c>
      <c r="N1446" t="s">
        <v>507</v>
      </c>
      <c r="O1446">
        <v>499932</v>
      </c>
      <c r="P1446" t="s">
        <v>113</v>
      </c>
      <c r="Q1446" t="s">
        <v>6581</v>
      </c>
      <c r="R1446" t="s">
        <v>6582</v>
      </c>
      <c r="S1446" t="s">
        <v>31</v>
      </c>
      <c r="T1446">
        <v>0</v>
      </c>
    </row>
    <row r="1447" spans="1:20" x14ac:dyDescent="0.25">
      <c r="A1447" t="s">
        <v>6583</v>
      </c>
      <c r="B1447" s="1">
        <v>45801</v>
      </c>
      <c r="C1447" s="5">
        <v>0.82111111111111112</v>
      </c>
      <c r="D1447">
        <v>119.33</v>
      </c>
      <c r="E1447" t="s">
        <v>44</v>
      </c>
      <c r="F1447" t="s">
        <v>5512</v>
      </c>
      <c r="G1447" t="s">
        <v>22</v>
      </c>
      <c r="H1447" t="s">
        <v>66</v>
      </c>
      <c r="I1447" t="s">
        <v>6584</v>
      </c>
      <c r="J1447">
        <v>42</v>
      </c>
      <c r="K1447" t="s">
        <v>37</v>
      </c>
      <c r="L1447" t="s">
        <v>119</v>
      </c>
      <c r="M1447" t="s">
        <v>112</v>
      </c>
      <c r="P1447" t="s">
        <v>28</v>
      </c>
      <c r="Q1447" t="s">
        <v>6585</v>
      </c>
      <c r="R1447" t="s">
        <v>6586</v>
      </c>
      <c r="S1447" t="s">
        <v>31</v>
      </c>
      <c r="T1447">
        <v>0</v>
      </c>
    </row>
    <row r="1448" spans="1:20" x14ac:dyDescent="0.25">
      <c r="A1448" t="s">
        <v>6587</v>
      </c>
      <c r="B1448" s="1">
        <v>45874</v>
      </c>
      <c r="C1448" s="5">
        <v>0.57913194444444449</v>
      </c>
      <c r="D1448">
        <v>57.45</v>
      </c>
      <c r="E1448" t="s">
        <v>44</v>
      </c>
      <c r="F1448" t="s">
        <v>2593</v>
      </c>
      <c r="G1448" t="s">
        <v>22</v>
      </c>
      <c r="H1448" t="s">
        <v>97</v>
      </c>
      <c r="I1448" t="s">
        <v>6588</v>
      </c>
      <c r="J1448">
        <v>69</v>
      </c>
      <c r="K1448" t="s">
        <v>37</v>
      </c>
      <c r="L1448" t="s">
        <v>110</v>
      </c>
      <c r="M1448" t="s">
        <v>105</v>
      </c>
      <c r="P1448" t="s">
        <v>28</v>
      </c>
      <c r="Q1448" t="s">
        <v>6589</v>
      </c>
      <c r="R1448" t="s">
        <v>6590</v>
      </c>
      <c r="S1448" t="s">
        <v>31</v>
      </c>
      <c r="T1448">
        <v>0</v>
      </c>
    </row>
    <row r="1449" spans="1:20" x14ac:dyDescent="0.25">
      <c r="A1449" t="s">
        <v>6591</v>
      </c>
      <c r="B1449" s="1">
        <v>45920</v>
      </c>
      <c r="C1449" s="5">
        <v>0.46236111111111111</v>
      </c>
      <c r="D1449">
        <v>172.04</v>
      </c>
      <c r="E1449" t="s">
        <v>44</v>
      </c>
      <c r="F1449" t="s">
        <v>644</v>
      </c>
      <c r="G1449" t="s">
        <v>22</v>
      </c>
      <c r="H1449" t="s">
        <v>23</v>
      </c>
      <c r="I1449" t="s">
        <v>6592</v>
      </c>
      <c r="J1449">
        <v>29</v>
      </c>
      <c r="K1449" t="s">
        <v>37</v>
      </c>
      <c r="L1449" t="s">
        <v>248</v>
      </c>
      <c r="M1449" t="s">
        <v>51</v>
      </c>
      <c r="N1449" t="s">
        <v>173</v>
      </c>
      <c r="O1449">
        <v>468156</v>
      </c>
      <c r="P1449" t="s">
        <v>28</v>
      </c>
      <c r="Q1449" t="s">
        <v>6593</v>
      </c>
      <c r="R1449" t="s">
        <v>6594</v>
      </c>
      <c r="S1449" t="s">
        <v>31</v>
      </c>
      <c r="T1449">
        <v>0</v>
      </c>
    </row>
    <row r="1450" spans="1:20" x14ac:dyDescent="0.25">
      <c r="A1450" t="s">
        <v>6595</v>
      </c>
      <c r="B1450" s="1">
        <v>45959</v>
      </c>
      <c r="C1450" s="5">
        <v>0.47420138888888891</v>
      </c>
      <c r="D1450">
        <v>16.72</v>
      </c>
      <c r="E1450" t="s">
        <v>44</v>
      </c>
      <c r="F1450" t="s">
        <v>6596</v>
      </c>
      <c r="G1450" t="s">
        <v>34</v>
      </c>
      <c r="H1450" t="s">
        <v>146</v>
      </c>
      <c r="I1450" t="s">
        <v>6597</v>
      </c>
      <c r="J1450">
        <v>74</v>
      </c>
      <c r="K1450" t="s">
        <v>49</v>
      </c>
      <c r="L1450" t="s">
        <v>146</v>
      </c>
      <c r="M1450" t="s">
        <v>27</v>
      </c>
      <c r="P1450" t="s">
        <v>113</v>
      </c>
      <c r="Q1450" t="s">
        <v>6598</v>
      </c>
      <c r="R1450" t="s">
        <v>6599</v>
      </c>
      <c r="S1450" t="s">
        <v>31</v>
      </c>
      <c r="T1450">
        <v>0</v>
      </c>
    </row>
    <row r="1451" spans="1:20" x14ac:dyDescent="0.25">
      <c r="A1451" t="s">
        <v>6600</v>
      </c>
      <c r="B1451" s="1">
        <v>45910</v>
      </c>
      <c r="C1451" s="5">
        <v>0.16009259259259259</v>
      </c>
      <c r="D1451">
        <v>184.24</v>
      </c>
      <c r="E1451" t="s">
        <v>44</v>
      </c>
      <c r="F1451" t="s">
        <v>3934</v>
      </c>
      <c r="G1451" t="s">
        <v>77</v>
      </c>
      <c r="H1451" t="s">
        <v>23</v>
      </c>
      <c r="I1451" t="s">
        <v>6601</v>
      </c>
      <c r="J1451">
        <v>97</v>
      </c>
      <c r="K1451" t="s">
        <v>49</v>
      </c>
      <c r="L1451" t="s">
        <v>23</v>
      </c>
      <c r="M1451" t="s">
        <v>51</v>
      </c>
      <c r="N1451" t="s">
        <v>345</v>
      </c>
      <c r="O1451">
        <v>490321</v>
      </c>
      <c r="P1451" t="s">
        <v>113</v>
      </c>
      <c r="Q1451" t="s">
        <v>6602</v>
      </c>
      <c r="R1451" t="s">
        <v>6603</v>
      </c>
      <c r="S1451" t="s">
        <v>31</v>
      </c>
      <c r="T1451">
        <v>0</v>
      </c>
    </row>
    <row r="1452" spans="1:20" x14ac:dyDescent="0.25">
      <c r="A1452" t="s">
        <v>6604</v>
      </c>
      <c r="B1452" s="1">
        <v>45850</v>
      </c>
      <c r="C1452" s="5">
        <v>9.0162037037037034E-3</v>
      </c>
      <c r="D1452">
        <v>18.62</v>
      </c>
      <c r="E1452" t="s">
        <v>44</v>
      </c>
      <c r="F1452" t="s">
        <v>1262</v>
      </c>
      <c r="G1452" t="s">
        <v>64</v>
      </c>
      <c r="H1452" t="s">
        <v>110</v>
      </c>
      <c r="I1452" t="s">
        <v>6605</v>
      </c>
      <c r="J1452">
        <v>51</v>
      </c>
      <c r="K1452" t="s">
        <v>25</v>
      </c>
      <c r="L1452" t="s">
        <v>26</v>
      </c>
      <c r="M1452" t="s">
        <v>105</v>
      </c>
      <c r="P1452" t="s">
        <v>28</v>
      </c>
      <c r="Q1452" t="s">
        <v>6606</v>
      </c>
      <c r="R1452" t="s">
        <v>6607</v>
      </c>
      <c r="S1452" t="s">
        <v>31</v>
      </c>
      <c r="T1452">
        <v>0</v>
      </c>
    </row>
    <row r="1453" spans="1:20" x14ac:dyDescent="0.25">
      <c r="A1453" t="s">
        <v>6608</v>
      </c>
      <c r="B1453" s="1">
        <v>45889</v>
      </c>
      <c r="C1453" s="5">
        <v>6.1261574074074072E-2</v>
      </c>
      <c r="D1453">
        <v>71.290000000000006</v>
      </c>
      <c r="E1453" t="s">
        <v>44</v>
      </c>
      <c r="F1453" t="s">
        <v>2144</v>
      </c>
      <c r="G1453" t="s">
        <v>96</v>
      </c>
      <c r="H1453" t="s">
        <v>26</v>
      </c>
      <c r="I1453" t="s">
        <v>1688</v>
      </c>
      <c r="J1453">
        <v>41</v>
      </c>
      <c r="K1453" t="s">
        <v>25</v>
      </c>
      <c r="L1453" t="s">
        <v>119</v>
      </c>
      <c r="M1453" t="s">
        <v>105</v>
      </c>
      <c r="P1453" t="s">
        <v>28</v>
      </c>
      <c r="Q1453" t="s">
        <v>6609</v>
      </c>
      <c r="R1453" t="s">
        <v>5893</v>
      </c>
      <c r="S1453" t="s">
        <v>31</v>
      </c>
      <c r="T1453">
        <v>0</v>
      </c>
    </row>
    <row r="1454" spans="1:20" x14ac:dyDescent="0.25">
      <c r="A1454" t="s">
        <v>6610</v>
      </c>
      <c r="B1454" s="1">
        <v>45900</v>
      </c>
      <c r="C1454" s="5">
        <v>0.63398148148148148</v>
      </c>
      <c r="D1454">
        <v>15.77</v>
      </c>
      <c r="E1454" t="s">
        <v>44</v>
      </c>
      <c r="F1454" t="s">
        <v>2176</v>
      </c>
      <c r="G1454" t="s">
        <v>34</v>
      </c>
      <c r="H1454" t="s">
        <v>110</v>
      </c>
      <c r="I1454" t="s">
        <v>6611</v>
      </c>
      <c r="J1454">
        <v>55</v>
      </c>
      <c r="K1454" t="s">
        <v>37</v>
      </c>
      <c r="L1454" t="s">
        <v>119</v>
      </c>
      <c r="M1454" t="s">
        <v>39</v>
      </c>
      <c r="P1454" t="s">
        <v>28</v>
      </c>
      <c r="Q1454" t="s">
        <v>6612</v>
      </c>
      <c r="R1454" t="s">
        <v>6613</v>
      </c>
      <c r="S1454" t="s">
        <v>31</v>
      </c>
      <c r="T1454">
        <v>0</v>
      </c>
    </row>
    <row r="1455" spans="1:20" x14ac:dyDescent="0.25">
      <c r="A1455" t="s">
        <v>6614</v>
      </c>
      <c r="B1455" s="1">
        <v>45949</v>
      </c>
      <c r="C1455" s="5">
        <v>0.88734953703703701</v>
      </c>
      <c r="D1455">
        <v>64.36</v>
      </c>
      <c r="E1455" t="s">
        <v>44</v>
      </c>
      <c r="F1455" t="s">
        <v>2340</v>
      </c>
      <c r="G1455" t="s">
        <v>124</v>
      </c>
      <c r="H1455" t="s">
        <v>26</v>
      </c>
      <c r="I1455" t="s">
        <v>6615</v>
      </c>
      <c r="J1455">
        <v>21</v>
      </c>
      <c r="K1455" t="s">
        <v>49</v>
      </c>
      <c r="L1455" t="s">
        <v>47</v>
      </c>
      <c r="M1455" t="s">
        <v>105</v>
      </c>
      <c r="P1455" t="s">
        <v>28</v>
      </c>
      <c r="Q1455" t="s">
        <v>6616</v>
      </c>
      <c r="R1455" t="s">
        <v>6617</v>
      </c>
      <c r="S1455" t="s">
        <v>42</v>
      </c>
      <c r="T1455">
        <v>0</v>
      </c>
    </row>
    <row r="1456" spans="1:20" x14ac:dyDescent="0.25">
      <c r="A1456" t="s">
        <v>6618</v>
      </c>
      <c r="B1456" s="1">
        <v>45949</v>
      </c>
      <c r="C1456" s="5">
        <v>9.6134259259259253E-2</v>
      </c>
      <c r="D1456">
        <v>131.72999999999999</v>
      </c>
      <c r="E1456" t="s">
        <v>44</v>
      </c>
      <c r="F1456" t="s">
        <v>5067</v>
      </c>
      <c r="G1456" t="s">
        <v>57</v>
      </c>
      <c r="H1456" t="s">
        <v>146</v>
      </c>
      <c r="I1456" t="s">
        <v>6619</v>
      </c>
      <c r="J1456">
        <v>72</v>
      </c>
      <c r="K1456" t="s">
        <v>25</v>
      </c>
      <c r="L1456" t="s">
        <v>110</v>
      </c>
      <c r="M1456" t="s">
        <v>105</v>
      </c>
      <c r="P1456" t="s">
        <v>28</v>
      </c>
      <c r="Q1456" t="s">
        <v>6620</v>
      </c>
      <c r="R1456" t="s">
        <v>6621</v>
      </c>
      <c r="S1456" t="s">
        <v>31</v>
      </c>
      <c r="T1456">
        <v>0</v>
      </c>
    </row>
    <row r="1457" spans="1:20" x14ac:dyDescent="0.25">
      <c r="A1457" t="s">
        <v>6622</v>
      </c>
      <c r="B1457" s="1">
        <v>45862</v>
      </c>
      <c r="C1457" s="5">
        <v>0.38913194444444443</v>
      </c>
      <c r="D1457">
        <v>215.09</v>
      </c>
      <c r="E1457" t="s">
        <v>44</v>
      </c>
      <c r="F1457" t="s">
        <v>927</v>
      </c>
      <c r="G1457" t="s">
        <v>22</v>
      </c>
      <c r="H1457" t="s">
        <v>58</v>
      </c>
      <c r="I1457" t="s">
        <v>6623</v>
      </c>
      <c r="K1457" t="s">
        <v>37</v>
      </c>
      <c r="L1457" t="s">
        <v>110</v>
      </c>
      <c r="M1457" t="s">
        <v>112</v>
      </c>
      <c r="P1457" t="s">
        <v>28</v>
      </c>
      <c r="Q1457" t="s">
        <v>6624</v>
      </c>
      <c r="R1457" t="s">
        <v>6625</v>
      </c>
      <c r="S1457" t="s">
        <v>31</v>
      </c>
      <c r="T1457">
        <v>0</v>
      </c>
    </row>
    <row r="1458" spans="1:20" x14ac:dyDescent="0.25">
      <c r="A1458" t="s">
        <v>6626</v>
      </c>
      <c r="B1458" s="1">
        <v>45929</v>
      </c>
      <c r="C1458" s="5">
        <v>0.235625</v>
      </c>
      <c r="D1458">
        <v>782.3</v>
      </c>
      <c r="E1458" t="s">
        <v>44</v>
      </c>
      <c r="F1458" t="s">
        <v>2712</v>
      </c>
      <c r="G1458" t="s">
        <v>64</v>
      </c>
      <c r="H1458" t="s">
        <v>58</v>
      </c>
      <c r="I1458" t="s">
        <v>6627</v>
      </c>
      <c r="J1458">
        <v>70</v>
      </c>
      <c r="K1458" t="s">
        <v>25</v>
      </c>
      <c r="L1458" t="s">
        <v>58</v>
      </c>
      <c r="M1458" t="s">
        <v>105</v>
      </c>
      <c r="P1458" t="s">
        <v>113</v>
      </c>
      <c r="Q1458" t="s">
        <v>6628</v>
      </c>
      <c r="R1458" t="s">
        <v>6629</v>
      </c>
      <c r="S1458" t="s">
        <v>31</v>
      </c>
      <c r="T1458">
        <v>0</v>
      </c>
    </row>
    <row r="1459" spans="1:20" x14ac:dyDescent="0.25">
      <c r="A1459" t="s">
        <v>6630</v>
      </c>
      <c r="B1459" s="1">
        <v>45807</v>
      </c>
      <c r="C1459" s="5">
        <v>0.75005787037037042</v>
      </c>
      <c r="D1459">
        <v>67.73</v>
      </c>
      <c r="E1459" t="s">
        <v>44</v>
      </c>
      <c r="F1459" t="s">
        <v>5036</v>
      </c>
      <c r="G1459" t="s">
        <v>124</v>
      </c>
      <c r="H1459" t="s">
        <v>119</v>
      </c>
      <c r="I1459" t="s">
        <v>6631</v>
      </c>
      <c r="J1459">
        <v>63</v>
      </c>
      <c r="K1459" t="s">
        <v>37</v>
      </c>
      <c r="L1459" t="s">
        <v>26</v>
      </c>
      <c r="M1459" t="s">
        <v>84</v>
      </c>
      <c r="P1459" t="s">
        <v>28</v>
      </c>
      <c r="Q1459" t="s">
        <v>6632</v>
      </c>
      <c r="R1459" t="s">
        <v>6633</v>
      </c>
      <c r="S1459" t="s">
        <v>31</v>
      </c>
      <c r="T1459">
        <v>0</v>
      </c>
    </row>
    <row r="1460" spans="1:20" x14ac:dyDescent="0.25">
      <c r="A1460" t="s">
        <v>6634</v>
      </c>
      <c r="B1460" s="1">
        <v>45836</v>
      </c>
      <c r="C1460" s="5">
        <v>0.38188657407407406</v>
      </c>
      <c r="D1460">
        <v>82.63</v>
      </c>
      <c r="E1460" t="s">
        <v>44</v>
      </c>
      <c r="F1460" t="s">
        <v>6635</v>
      </c>
      <c r="G1460" t="s">
        <v>57</v>
      </c>
      <c r="H1460" t="s">
        <v>119</v>
      </c>
      <c r="I1460" t="s">
        <v>6636</v>
      </c>
      <c r="J1460">
        <v>64</v>
      </c>
      <c r="K1460" t="s">
        <v>49</v>
      </c>
      <c r="L1460" t="s">
        <v>38</v>
      </c>
      <c r="M1460" t="s">
        <v>27</v>
      </c>
      <c r="P1460" t="s">
        <v>28</v>
      </c>
      <c r="Q1460" t="s">
        <v>6637</v>
      </c>
      <c r="R1460" t="s">
        <v>6638</v>
      </c>
      <c r="S1460" t="s">
        <v>31</v>
      </c>
      <c r="T1460">
        <v>0</v>
      </c>
    </row>
    <row r="1461" spans="1:20" x14ac:dyDescent="0.25">
      <c r="A1461" t="s">
        <v>6639</v>
      </c>
      <c r="B1461" s="1">
        <v>45853</v>
      </c>
      <c r="C1461" s="5">
        <v>0.40673611111111113</v>
      </c>
      <c r="D1461">
        <v>435.16</v>
      </c>
      <c r="E1461" t="s">
        <v>44</v>
      </c>
      <c r="F1461" t="s">
        <v>63</v>
      </c>
      <c r="G1461" t="s">
        <v>71</v>
      </c>
      <c r="H1461" t="s">
        <v>23</v>
      </c>
      <c r="I1461" t="s">
        <v>6640</v>
      </c>
      <c r="J1461">
        <v>31</v>
      </c>
      <c r="K1461" t="s">
        <v>49</v>
      </c>
      <c r="L1461" t="s">
        <v>26</v>
      </c>
      <c r="M1461" t="s">
        <v>39</v>
      </c>
      <c r="P1461" t="s">
        <v>28</v>
      </c>
      <c r="Q1461" t="s">
        <v>6641</v>
      </c>
      <c r="R1461" t="s">
        <v>6642</v>
      </c>
      <c r="S1461" t="s">
        <v>31</v>
      </c>
      <c r="T1461">
        <v>0</v>
      </c>
    </row>
    <row r="1462" spans="1:20" x14ac:dyDescent="0.25">
      <c r="A1462" t="s">
        <v>6643</v>
      </c>
      <c r="B1462" s="1">
        <v>45858</v>
      </c>
      <c r="C1462" s="5">
        <v>0.35395833333333332</v>
      </c>
      <c r="D1462">
        <v>131.56</v>
      </c>
      <c r="E1462" t="s">
        <v>44</v>
      </c>
      <c r="F1462" t="s">
        <v>5537</v>
      </c>
      <c r="G1462" t="s">
        <v>71</v>
      </c>
      <c r="H1462" t="s">
        <v>26</v>
      </c>
      <c r="I1462" t="s">
        <v>6644</v>
      </c>
      <c r="J1462">
        <v>51</v>
      </c>
      <c r="K1462" t="s">
        <v>49</v>
      </c>
      <c r="L1462" t="s">
        <v>58</v>
      </c>
      <c r="M1462" t="s">
        <v>84</v>
      </c>
      <c r="P1462" t="s">
        <v>28</v>
      </c>
      <c r="Q1462" t="s">
        <v>6645</v>
      </c>
      <c r="R1462" t="s">
        <v>6646</v>
      </c>
      <c r="S1462" t="s">
        <v>31</v>
      </c>
      <c r="T1462">
        <v>0</v>
      </c>
    </row>
    <row r="1463" spans="1:20" x14ac:dyDescent="0.25">
      <c r="A1463" t="s">
        <v>6647</v>
      </c>
      <c r="B1463" s="1">
        <v>45893</v>
      </c>
      <c r="C1463" s="5">
        <v>0.27972222222222221</v>
      </c>
      <c r="D1463">
        <v>121.77</v>
      </c>
      <c r="E1463" t="s">
        <v>44</v>
      </c>
      <c r="F1463" t="s">
        <v>5157</v>
      </c>
      <c r="G1463" t="s">
        <v>71</v>
      </c>
      <c r="H1463" t="s">
        <v>47</v>
      </c>
      <c r="I1463" t="s">
        <v>6648</v>
      </c>
      <c r="J1463">
        <v>64</v>
      </c>
      <c r="K1463" t="s">
        <v>37</v>
      </c>
      <c r="L1463" t="s">
        <v>130</v>
      </c>
      <c r="M1463" t="s">
        <v>39</v>
      </c>
      <c r="P1463" t="s">
        <v>28</v>
      </c>
      <c r="Q1463" t="s">
        <v>6649</v>
      </c>
      <c r="R1463" t="s">
        <v>6650</v>
      </c>
      <c r="S1463" t="s">
        <v>31</v>
      </c>
      <c r="T1463">
        <v>0</v>
      </c>
    </row>
    <row r="1464" spans="1:20" x14ac:dyDescent="0.25">
      <c r="A1464" t="s">
        <v>6651</v>
      </c>
      <c r="B1464" s="1">
        <v>45783</v>
      </c>
      <c r="C1464" s="5">
        <v>0.87766203703703705</v>
      </c>
      <c r="D1464">
        <v>29.19</v>
      </c>
      <c r="E1464" t="s">
        <v>44</v>
      </c>
      <c r="F1464" t="s">
        <v>394</v>
      </c>
      <c r="G1464" t="s">
        <v>34</v>
      </c>
      <c r="H1464" t="s">
        <v>110</v>
      </c>
      <c r="I1464" t="s">
        <v>6652</v>
      </c>
      <c r="J1464">
        <v>46</v>
      </c>
      <c r="K1464" t="s">
        <v>49</v>
      </c>
      <c r="L1464" t="s">
        <v>130</v>
      </c>
      <c r="M1464" t="s">
        <v>112</v>
      </c>
      <c r="P1464" t="s">
        <v>28</v>
      </c>
      <c r="Q1464" t="s">
        <v>6653</v>
      </c>
      <c r="R1464" t="s">
        <v>6654</v>
      </c>
      <c r="S1464" t="s">
        <v>31</v>
      </c>
      <c r="T1464">
        <v>0</v>
      </c>
    </row>
    <row r="1465" spans="1:20" x14ac:dyDescent="0.25">
      <c r="A1465" t="s">
        <v>6655</v>
      </c>
      <c r="B1465" s="1">
        <v>45840</v>
      </c>
      <c r="C1465" s="5">
        <v>6.9641203703703705E-2</v>
      </c>
      <c r="D1465">
        <v>141.51</v>
      </c>
      <c r="E1465" t="s">
        <v>44</v>
      </c>
      <c r="F1465" t="s">
        <v>4561</v>
      </c>
      <c r="G1465" t="s">
        <v>64</v>
      </c>
      <c r="H1465" t="s">
        <v>58</v>
      </c>
      <c r="I1465" t="s">
        <v>6656</v>
      </c>
      <c r="J1465">
        <v>38</v>
      </c>
      <c r="K1465" t="s">
        <v>49</v>
      </c>
      <c r="L1465" t="s">
        <v>119</v>
      </c>
      <c r="M1465" t="s">
        <v>112</v>
      </c>
      <c r="P1465" t="s">
        <v>28</v>
      </c>
      <c r="Q1465" t="s">
        <v>6657</v>
      </c>
      <c r="R1465" t="s">
        <v>6658</v>
      </c>
      <c r="S1465" t="s">
        <v>31</v>
      </c>
      <c r="T1465">
        <v>0</v>
      </c>
    </row>
    <row r="1466" spans="1:20" x14ac:dyDescent="0.25">
      <c r="A1466" t="s">
        <v>6659</v>
      </c>
      <c r="B1466" s="1">
        <v>45946</v>
      </c>
      <c r="C1466" s="5">
        <v>0.14859953703703704</v>
      </c>
      <c r="D1466">
        <v>147.06</v>
      </c>
      <c r="E1466" t="s">
        <v>44</v>
      </c>
      <c r="F1466" t="s">
        <v>318</v>
      </c>
      <c r="G1466" t="s">
        <v>22</v>
      </c>
      <c r="H1466" t="s">
        <v>38</v>
      </c>
      <c r="I1466" t="s">
        <v>6660</v>
      </c>
      <c r="J1466">
        <v>58</v>
      </c>
      <c r="K1466" t="s">
        <v>37</v>
      </c>
      <c r="L1466" t="s">
        <v>248</v>
      </c>
      <c r="M1466" t="s">
        <v>27</v>
      </c>
      <c r="P1466" t="s">
        <v>28</v>
      </c>
      <c r="Q1466" t="s">
        <v>6661</v>
      </c>
      <c r="R1466" t="s">
        <v>6662</v>
      </c>
      <c r="S1466" t="s">
        <v>31</v>
      </c>
      <c r="T1466">
        <v>0</v>
      </c>
    </row>
    <row r="1467" spans="1:20" x14ac:dyDescent="0.25">
      <c r="A1467" t="s">
        <v>6663</v>
      </c>
      <c r="B1467" s="1">
        <v>45840</v>
      </c>
      <c r="C1467" s="5">
        <v>0.58766203703703701</v>
      </c>
      <c r="D1467">
        <v>138.77000000000001</v>
      </c>
      <c r="E1467" t="s">
        <v>44</v>
      </c>
      <c r="F1467" t="s">
        <v>1012</v>
      </c>
      <c r="G1467" t="s">
        <v>89</v>
      </c>
      <c r="H1467" t="s">
        <v>58</v>
      </c>
      <c r="I1467" t="s">
        <v>6664</v>
      </c>
      <c r="J1467">
        <v>22</v>
      </c>
      <c r="K1467" t="s">
        <v>37</v>
      </c>
      <c r="L1467" t="s">
        <v>26</v>
      </c>
      <c r="M1467" t="s">
        <v>105</v>
      </c>
      <c r="P1467" t="s">
        <v>28</v>
      </c>
      <c r="Q1467" t="s">
        <v>6665</v>
      </c>
      <c r="R1467" t="s">
        <v>6666</v>
      </c>
      <c r="S1467" t="s">
        <v>42</v>
      </c>
      <c r="T1467">
        <v>0</v>
      </c>
    </row>
    <row r="1468" spans="1:20" x14ac:dyDescent="0.25">
      <c r="A1468" t="s">
        <v>6667</v>
      </c>
      <c r="B1468" s="1">
        <v>45889</v>
      </c>
      <c r="C1468" s="5">
        <v>0.57862268518518523</v>
      </c>
      <c r="D1468">
        <v>49.7</v>
      </c>
      <c r="E1468" t="s">
        <v>44</v>
      </c>
      <c r="F1468" t="s">
        <v>6668</v>
      </c>
      <c r="G1468" t="s">
        <v>22</v>
      </c>
      <c r="H1468" t="s">
        <v>248</v>
      </c>
      <c r="I1468" t="s">
        <v>6669</v>
      </c>
      <c r="J1468">
        <v>33</v>
      </c>
      <c r="K1468" t="s">
        <v>37</v>
      </c>
      <c r="L1468" t="s">
        <v>26</v>
      </c>
      <c r="M1468" t="s">
        <v>84</v>
      </c>
      <c r="P1468" t="s">
        <v>28</v>
      </c>
      <c r="Q1468" t="s">
        <v>6670</v>
      </c>
      <c r="R1468" t="s">
        <v>6671</v>
      </c>
      <c r="S1468" t="s">
        <v>31</v>
      </c>
      <c r="T1468">
        <v>0</v>
      </c>
    </row>
    <row r="1469" spans="1:20" x14ac:dyDescent="0.25">
      <c r="A1469" t="s">
        <v>6672</v>
      </c>
      <c r="B1469" s="1">
        <v>45898</v>
      </c>
      <c r="C1469" s="5">
        <v>0.90793981481481478</v>
      </c>
      <c r="D1469">
        <v>905.42</v>
      </c>
      <c r="E1469" t="s">
        <v>44</v>
      </c>
      <c r="F1469" t="s">
        <v>3385</v>
      </c>
      <c r="G1469" t="s">
        <v>34</v>
      </c>
      <c r="H1469" t="s">
        <v>110</v>
      </c>
      <c r="I1469" t="s">
        <v>6673</v>
      </c>
      <c r="J1469">
        <v>46</v>
      </c>
      <c r="K1469" t="s">
        <v>37</v>
      </c>
      <c r="L1469" t="s">
        <v>47</v>
      </c>
      <c r="M1469" t="s">
        <v>27</v>
      </c>
      <c r="P1469" t="s">
        <v>28</v>
      </c>
      <c r="Q1469" t="s">
        <v>6674</v>
      </c>
      <c r="R1469" t="s">
        <v>6675</v>
      </c>
      <c r="S1469" t="s">
        <v>31</v>
      </c>
      <c r="T1469">
        <v>0</v>
      </c>
    </row>
    <row r="1470" spans="1:20" x14ac:dyDescent="0.25">
      <c r="A1470" t="s">
        <v>6676</v>
      </c>
      <c r="B1470" s="1">
        <v>45866</v>
      </c>
      <c r="C1470" s="5">
        <v>0.36582175925925925</v>
      </c>
      <c r="D1470">
        <v>139.37</v>
      </c>
      <c r="E1470" t="s">
        <v>44</v>
      </c>
      <c r="F1470" t="s">
        <v>6677</v>
      </c>
      <c r="G1470" t="s">
        <v>71</v>
      </c>
      <c r="H1470" t="s">
        <v>26</v>
      </c>
      <c r="I1470" t="s">
        <v>6678</v>
      </c>
      <c r="J1470">
        <v>65</v>
      </c>
      <c r="K1470" t="s">
        <v>37</v>
      </c>
      <c r="L1470" t="s">
        <v>35</v>
      </c>
      <c r="M1470" t="s">
        <v>51</v>
      </c>
      <c r="N1470" t="s">
        <v>173</v>
      </c>
      <c r="O1470">
        <v>517133</v>
      </c>
      <c r="P1470" t="s">
        <v>28</v>
      </c>
      <c r="Q1470" t="s">
        <v>6679</v>
      </c>
      <c r="R1470" t="s">
        <v>6680</v>
      </c>
      <c r="S1470" t="s">
        <v>31</v>
      </c>
      <c r="T1470">
        <v>0</v>
      </c>
    </row>
    <row r="1471" spans="1:20" x14ac:dyDescent="0.25">
      <c r="A1471" t="s">
        <v>6681</v>
      </c>
      <c r="B1471" s="1">
        <v>45859</v>
      </c>
      <c r="C1471" s="5">
        <v>5.6273148148148149E-2</v>
      </c>
      <c r="D1471">
        <v>164.1</v>
      </c>
      <c r="E1471" t="s">
        <v>44</v>
      </c>
      <c r="F1471" t="s">
        <v>4852</v>
      </c>
      <c r="G1471" t="s">
        <v>71</v>
      </c>
      <c r="H1471" t="s">
        <v>35</v>
      </c>
      <c r="I1471" t="s">
        <v>6682</v>
      </c>
      <c r="J1471">
        <v>18</v>
      </c>
      <c r="K1471" t="s">
        <v>37</v>
      </c>
      <c r="L1471" t="s">
        <v>130</v>
      </c>
      <c r="M1471" t="s">
        <v>105</v>
      </c>
      <c r="P1471" t="s">
        <v>28</v>
      </c>
      <c r="Q1471" t="s">
        <v>6683</v>
      </c>
      <c r="R1471" t="s">
        <v>6684</v>
      </c>
      <c r="S1471" t="s">
        <v>31</v>
      </c>
      <c r="T1471">
        <v>0</v>
      </c>
    </row>
    <row r="1472" spans="1:20" x14ac:dyDescent="0.25">
      <c r="A1472" t="s">
        <v>6685</v>
      </c>
      <c r="B1472" s="1">
        <v>45784</v>
      </c>
      <c r="C1472" s="5">
        <v>0.16859953703703703</v>
      </c>
      <c r="D1472">
        <v>107.84</v>
      </c>
      <c r="E1472" t="s">
        <v>44</v>
      </c>
      <c r="F1472" t="s">
        <v>1642</v>
      </c>
      <c r="G1472" t="s">
        <v>22</v>
      </c>
      <c r="H1472" t="s">
        <v>38</v>
      </c>
      <c r="I1472" t="s">
        <v>6686</v>
      </c>
      <c r="J1472">
        <v>57</v>
      </c>
      <c r="K1472" t="s">
        <v>49</v>
      </c>
      <c r="L1472" t="s">
        <v>58</v>
      </c>
      <c r="M1472" t="s">
        <v>51</v>
      </c>
      <c r="N1472" t="s">
        <v>345</v>
      </c>
      <c r="O1472">
        <v>492270</v>
      </c>
      <c r="P1472" t="s">
        <v>28</v>
      </c>
      <c r="Q1472" t="s">
        <v>6687</v>
      </c>
      <c r="R1472" t="s">
        <v>6688</v>
      </c>
      <c r="S1472" t="s">
        <v>31</v>
      </c>
      <c r="T1472">
        <v>0</v>
      </c>
    </row>
    <row r="1473" spans="1:20" x14ac:dyDescent="0.25">
      <c r="A1473" t="s">
        <v>6689</v>
      </c>
      <c r="B1473" s="1">
        <v>45888</v>
      </c>
      <c r="C1473" s="5">
        <v>0.3338888888888889</v>
      </c>
      <c r="D1473">
        <v>36.4</v>
      </c>
      <c r="E1473" t="s">
        <v>44</v>
      </c>
      <c r="F1473" t="s">
        <v>6690</v>
      </c>
      <c r="G1473" t="s">
        <v>64</v>
      </c>
      <c r="H1473" t="s">
        <v>50</v>
      </c>
      <c r="I1473" t="s">
        <v>6691</v>
      </c>
      <c r="J1473">
        <v>39</v>
      </c>
      <c r="K1473" t="s">
        <v>25</v>
      </c>
      <c r="L1473" t="s">
        <v>248</v>
      </c>
      <c r="M1473" t="s">
        <v>105</v>
      </c>
      <c r="P1473" t="s">
        <v>28</v>
      </c>
      <c r="Q1473" t="s">
        <v>6692</v>
      </c>
      <c r="R1473" t="s">
        <v>6693</v>
      </c>
      <c r="S1473" t="s">
        <v>31</v>
      </c>
      <c r="T1473">
        <v>0</v>
      </c>
    </row>
    <row r="1474" spans="1:20" x14ac:dyDescent="0.25">
      <c r="A1474" t="s">
        <v>6694</v>
      </c>
      <c r="B1474" s="1">
        <v>45792</v>
      </c>
      <c r="C1474" s="5">
        <v>0.22491898148148148</v>
      </c>
      <c r="D1474">
        <v>33.26</v>
      </c>
      <c r="E1474" t="s">
        <v>44</v>
      </c>
      <c r="F1474" t="s">
        <v>2408</v>
      </c>
      <c r="G1474" t="s">
        <v>64</v>
      </c>
      <c r="H1474" t="s">
        <v>50</v>
      </c>
      <c r="I1474" t="s">
        <v>6695</v>
      </c>
      <c r="J1474">
        <v>58</v>
      </c>
      <c r="K1474" t="s">
        <v>25</v>
      </c>
      <c r="L1474" t="s">
        <v>130</v>
      </c>
      <c r="M1474" t="s">
        <v>84</v>
      </c>
      <c r="P1474" t="s">
        <v>28</v>
      </c>
      <c r="Q1474" t="s">
        <v>6696</v>
      </c>
      <c r="R1474" t="s">
        <v>6697</v>
      </c>
      <c r="S1474" t="s">
        <v>31</v>
      </c>
      <c r="T1474">
        <v>0</v>
      </c>
    </row>
    <row r="1475" spans="1:20" x14ac:dyDescent="0.25">
      <c r="A1475" t="s">
        <v>6698</v>
      </c>
      <c r="B1475" s="1">
        <v>45863</v>
      </c>
      <c r="C1475" s="5">
        <v>8.4560185185185183E-2</v>
      </c>
      <c r="D1475">
        <v>30.61</v>
      </c>
      <c r="E1475" t="s">
        <v>44</v>
      </c>
      <c r="F1475" t="s">
        <v>1642</v>
      </c>
      <c r="G1475" t="s">
        <v>71</v>
      </c>
      <c r="H1475" t="s">
        <v>248</v>
      </c>
      <c r="I1475" t="s">
        <v>6699</v>
      </c>
      <c r="J1475">
        <v>68</v>
      </c>
      <c r="K1475" t="s">
        <v>49</v>
      </c>
      <c r="L1475" t="s">
        <v>58</v>
      </c>
      <c r="M1475" t="s">
        <v>112</v>
      </c>
      <c r="P1475" t="s">
        <v>28</v>
      </c>
      <c r="Q1475" t="s">
        <v>6700</v>
      </c>
      <c r="R1475" t="s">
        <v>6701</v>
      </c>
      <c r="S1475" t="s">
        <v>31</v>
      </c>
      <c r="T1475">
        <v>0</v>
      </c>
    </row>
    <row r="1476" spans="1:20" x14ac:dyDescent="0.25">
      <c r="A1476" t="s">
        <v>6702</v>
      </c>
      <c r="B1476" s="1">
        <v>45826</v>
      </c>
      <c r="C1476" s="5">
        <v>0.59013888888888888</v>
      </c>
      <c r="D1476">
        <v>67.099999999999994</v>
      </c>
      <c r="E1476" t="s">
        <v>44</v>
      </c>
      <c r="F1476" t="s">
        <v>6703</v>
      </c>
      <c r="G1476" t="s">
        <v>96</v>
      </c>
      <c r="H1476" t="s">
        <v>110</v>
      </c>
      <c r="I1476" t="s">
        <v>6704</v>
      </c>
      <c r="J1476">
        <v>25</v>
      </c>
      <c r="K1476" t="s">
        <v>37</v>
      </c>
      <c r="L1476" t="s">
        <v>47</v>
      </c>
      <c r="M1476" t="s">
        <v>51</v>
      </c>
      <c r="N1476" t="s">
        <v>52</v>
      </c>
      <c r="O1476">
        <v>548145</v>
      </c>
      <c r="P1476" t="s">
        <v>28</v>
      </c>
      <c r="Q1476" t="s">
        <v>6705</v>
      </c>
      <c r="R1476" t="s">
        <v>6706</v>
      </c>
      <c r="S1476" t="s">
        <v>31</v>
      </c>
      <c r="T1476">
        <v>0</v>
      </c>
    </row>
    <row r="1477" spans="1:20" x14ac:dyDescent="0.25">
      <c r="A1477" t="s">
        <v>6707</v>
      </c>
      <c r="B1477" s="1">
        <v>45899</v>
      </c>
      <c r="C1477" s="5">
        <v>4.4016203703703703E-2</v>
      </c>
      <c r="D1477">
        <v>190.3</v>
      </c>
      <c r="E1477" t="s">
        <v>44</v>
      </c>
      <c r="F1477" t="s">
        <v>82</v>
      </c>
      <c r="G1477" t="s">
        <v>46</v>
      </c>
      <c r="H1477" t="s">
        <v>119</v>
      </c>
      <c r="I1477" t="s">
        <v>6708</v>
      </c>
      <c r="J1477">
        <v>64</v>
      </c>
      <c r="K1477" t="s">
        <v>49</v>
      </c>
      <c r="L1477" t="s">
        <v>66</v>
      </c>
      <c r="M1477" t="s">
        <v>27</v>
      </c>
      <c r="P1477" t="s">
        <v>28</v>
      </c>
      <c r="Q1477" t="s">
        <v>6709</v>
      </c>
      <c r="R1477" t="s">
        <v>6710</v>
      </c>
      <c r="S1477" t="s">
        <v>31</v>
      </c>
      <c r="T1477">
        <v>0</v>
      </c>
    </row>
    <row r="1478" spans="1:20" x14ac:dyDescent="0.25">
      <c r="A1478" t="s">
        <v>6711</v>
      </c>
      <c r="B1478" s="1">
        <v>45941</v>
      </c>
      <c r="C1478" s="5">
        <v>0.96055555555555561</v>
      </c>
      <c r="D1478">
        <v>87.1</v>
      </c>
      <c r="E1478" t="s">
        <v>44</v>
      </c>
      <c r="F1478" t="s">
        <v>2094</v>
      </c>
      <c r="G1478" t="s">
        <v>77</v>
      </c>
      <c r="H1478" t="s">
        <v>66</v>
      </c>
      <c r="I1478" t="s">
        <v>6712</v>
      </c>
      <c r="K1478" t="s">
        <v>37</v>
      </c>
      <c r="L1478" t="s">
        <v>47</v>
      </c>
      <c r="M1478" t="s">
        <v>84</v>
      </c>
      <c r="P1478" t="s">
        <v>28</v>
      </c>
      <c r="Q1478" t="s">
        <v>6713</v>
      </c>
      <c r="R1478" t="s">
        <v>6714</v>
      </c>
      <c r="S1478" t="s">
        <v>31</v>
      </c>
      <c r="T1478">
        <v>0</v>
      </c>
    </row>
    <row r="1479" spans="1:20" x14ac:dyDescent="0.25">
      <c r="A1479" t="s">
        <v>6715</v>
      </c>
      <c r="B1479" s="1">
        <v>45904</v>
      </c>
      <c r="C1479" s="5">
        <v>0.6010416666666667</v>
      </c>
      <c r="D1479">
        <v>9.6300000000000008</v>
      </c>
      <c r="E1479" t="s">
        <v>44</v>
      </c>
      <c r="F1479" t="s">
        <v>1200</v>
      </c>
      <c r="G1479" t="s">
        <v>96</v>
      </c>
      <c r="H1479" t="s">
        <v>66</v>
      </c>
      <c r="I1479" t="s">
        <v>6716</v>
      </c>
      <c r="J1479">
        <v>60</v>
      </c>
      <c r="K1479" t="s">
        <v>49</v>
      </c>
      <c r="L1479" t="s">
        <v>66</v>
      </c>
      <c r="M1479" t="s">
        <v>112</v>
      </c>
      <c r="P1479" t="s">
        <v>113</v>
      </c>
      <c r="Q1479" t="s">
        <v>6717</v>
      </c>
      <c r="R1479" t="s">
        <v>6718</v>
      </c>
      <c r="S1479" t="s">
        <v>31</v>
      </c>
      <c r="T1479">
        <v>0</v>
      </c>
    </row>
    <row r="1480" spans="1:20" x14ac:dyDescent="0.25">
      <c r="A1480" t="s">
        <v>6719</v>
      </c>
      <c r="B1480" s="1">
        <v>45820</v>
      </c>
      <c r="C1480" s="5">
        <v>6.4039351851851847E-2</v>
      </c>
      <c r="D1480">
        <v>123.26</v>
      </c>
      <c r="E1480" t="s">
        <v>44</v>
      </c>
      <c r="F1480" t="s">
        <v>323</v>
      </c>
      <c r="G1480" t="s">
        <v>46</v>
      </c>
      <c r="H1480" t="s">
        <v>35</v>
      </c>
      <c r="I1480" t="s">
        <v>6720</v>
      </c>
      <c r="J1480">
        <v>51</v>
      </c>
      <c r="K1480" t="s">
        <v>25</v>
      </c>
      <c r="L1480" t="s">
        <v>35</v>
      </c>
      <c r="M1480" t="s">
        <v>105</v>
      </c>
      <c r="P1480" t="s">
        <v>113</v>
      </c>
      <c r="Q1480" t="s">
        <v>6721</v>
      </c>
      <c r="R1480" t="s">
        <v>6722</v>
      </c>
      <c r="S1480" t="s">
        <v>31</v>
      </c>
      <c r="T1480">
        <v>0</v>
      </c>
    </row>
    <row r="1481" spans="1:20" x14ac:dyDescent="0.25">
      <c r="A1481" t="s">
        <v>6723</v>
      </c>
      <c r="B1481" s="1">
        <v>45938</v>
      </c>
      <c r="C1481" s="5">
        <v>0.40858796296296296</v>
      </c>
      <c r="D1481">
        <v>1884.2</v>
      </c>
      <c r="E1481" t="s">
        <v>44</v>
      </c>
      <c r="F1481" t="s">
        <v>5210</v>
      </c>
      <c r="G1481" t="s">
        <v>89</v>
      </c>
      <c r="H1481" t="s">
        <v>130</v>
      </c>
      <c r="I1481" t="s">
        <v>6724</v>
      </c>
      <c r="J1481">
        <v>13</v>
      </c>
      <c r="K1481" t="s">
        <v>25</v>
      </c>
      <c r="L1481" t="s">
        <v>91</v>
      </c>
      <c r="M1481" t="s">
        <v>84</v>
      </c>
      <c r="P1481" t="s">
        <v>28</v>
      </c>
      <c r="Q1481" t="s">
        <v>6725</v>
      </c>
      <c r="R1481" t="s">
        <v>6726</v>
      </c>
      <c r="S1481" t="s">
        <v>31</v>
      </c>
      <c r="T1481">
        <v>0</v>
      </c>
    </row>
    <row r="1482" spans="1:20" x14ac:dyDescent="0.25">
      <c r="A1482" t="s">
        <v>6727</v>
      </c>
      <c r="B1482" s="1">
        <v>45896</v>
      </c>
      <c r="C1482" s="5">
        <v>0.40458333333333335</v>
      </c>
      <c r="D1482">
        <v>196.53</v>
      </c>
      <c r="E1482" t="s">
        <v>44</v>
      </c>
      <c r="F1482" t="s">
        <v>6728</v>
      </c>
      <c r="G1482" t="s">
        <v>77</v>
      </c>
      <c r="H1482" t="s">
        <v>35</v>
      </c>
      <c r="I1482" t="s">
        <v>6729</v>
      </c>
      <c r="J1482">
        <v>21</v>
      </c>
      <c r="K1482" t="s">
        <v>25</v>
      </c>
      <c r="L1482" t="s">
        <v>146</v>
      </c>
      <c r="M1482" t="s">
        <v>112</v>
      </c>
      <c r="P1482" t="s">
        <v>28</v>
      </c>
      <c r="Q1482" t="s">
        <v>6730</v>
      </c>
      <c r="R1482" t="s">
        <v>6731</v>
      </c>
      <c r="S1482" t="s">
        <v>31</v>
      </c>
      <c r="T1482">
        <v>0</v>
      </c>
    </row>
    <row r="1483" spans="1:20" x14ac:dyDescent="0.25">
      <c r="A1483" t="s">
        <v>6732</v>
      </c>
      <c r="B1483" s="1">
        <v>45859</v>
      </c>
      <c r="C1483" s="5">
        <v>0.44714120370370369</v>
      </c>
      <c r="D1483">
        <v>75.489999999999995</v>
      </c>
      <c r="E1483" t="s">
        <v>44</v>
      </c>
      <c r="F1483" t="s">
        <v>1403</v>
      </c>
      <c r="G1483" t="s">
        <v>34</v>
      </c>
      <c r="H1483" t="s">
        <v>47</v>
      </c>
      <c r="I1483" t="s">
        <v>6733</v>
      </c>
      <c r="J1483">
        <v>26</v>
      </c>
      <c r="K1483" t="s">
        <v>25</v>
      </c>
      <c r="L1483" t="s">
        <v>35</v>
      </c>
      <c r="M1483" t="s">
        <v>84</v>
      </c>
      <c r="P1483" t="s">
        <v>28</v>
      </c>
      <c r="Q1483" t="s">
        <v>6734</v>
      </c>
      <c r="R1483" t="s">
        <v>6735</v>
      </c>
      <c r="S1483" t="s">
        <v>31</v>
      </c>
      <c r="T1483">
        <v>0</v>
      </c>
    </row>
    <row r="1484" spans="1:20" x14ac:dyDescent="0.25">
      <c r="A1484" t="s">
        <v>6736</v>
      </c>
      <c r="B1484" s="1">
        <v>45864</v>
      </c>
      <c r="C1484" s="5">
        <v>0.42100694444444442</v>
      </c>
      <c r="D1484">
        <v>83.77</v>
      </c>
      <c r="E1484" t="s">
        <v>44</v>
      </c>
      <c r="F1484" t="s">
        <v>5147</v>
      </c>
      <c r="G1484" t="s">
        <v>89</v>
      </c>
      <c r="H1484" t="s">
        <v>50</v>
      </c>
      <c r="I1484" t="s">
        <v>6737</v>
      </c>
      <c r="J1484">
        <v>62</v>
      </c>
      <c r="K1484" t="s">
        <v>37</v>
      </c>
      <c r="L1484" t="s">
        <v>47</v>
      </c>
      <c r="M1484" t="s">
        <v>112</v>
      </c>
      <c r="P1484" t="s">
        <v>28</v>
      </c>
      <c r="Q1484" t="s">
        <v>6738</v>
      </c>
      <c r="R1484" t="s">
        <v>6739</v>
      </c>
      <c r="S1484" t="s">
        <v>31</v>
      </c>
      <c r="T1484">
        <v>0</v>
      </c>
    </row>
    <row r="1485" spans="1:20" x14ac:dyDescent="0.25">
      <c r="A1485" t="s">
        <v>6740</v>
      </c>
      <c r="B1485" s="1">
        <v>45815</v>
      </c>
      <c r="C1485" s="5">
        <v>0.75482638888888887</v>
      </c>
      <c r="D1485">
        <v>47.45</v>
      </c>
      <c r="E1485" t="s">
        <v>44</v>
      </c>
      <c r="F1485" t="s">
        <v>1617</v>
      </c>
      <c r="G1485" t="s">
        <v>71</v>
      </c>
      <c r="H1485" t="s">
        <v>146</v>
      </c>
      <c r="I1485" t="s">
        <v>6741</v>
      </c>
      <c r="J1485">
        <v>30</v>
      </c>
      <c r="K1485" t="s">
        <v>25</v>
      </c>
      <c r="L1485" t="s">
        <v>26</v>
      </c>
      <c r="M1485" t="s">
        <v>27</v>
      </c>
      <c r="P1485" t="s">
        <v>28</v>
      </c>
      <c r="Q1485" t="s">
        <v>6742</v>
      </c>
      <c r="R1485" t="s">
        <v>6743</v>
      </c>
      <c r="S1485" t="s">
        <v>31</v>
      </c>
      <c r="T1485">
        <v>0</v>
      </c>
    </row>
    <row r="1486" spans="1:20" x14ac:dyDescent="0.25">
      <c r="A1486" t="s">
        <v>6744</v>
      </c>
      <c r="B1486" s="1">
        <v>45800</v>
      </c>
      <c r="C1486" s="5">
        <v>0.49201388888888886</v>
      </c>
      <c r="D1486">
        <v>13.79</v>
      </c>
      <c r="E1486" t="s">
        <v>44</v>
      </c>
      <c r="F1486" t="s">
        <v>5178</v>
      </c>
      <c r="G1486" t="s">
        <v>71</v>
      </c>
      <c r="H1486" t="s">
        <v>23</v>
      </c>
      <c r="I1486" t="s">
        <v>6745</v>
      </c>
      <c r="J1486">
        <v>14</v>
      </c>
      <c r="K1486" t="s">
        <v>25</v>
      </c>
      <c r="L1486" t="s">
        <v>38</v>
      </c>
      <c r="M1486" t="s">
        <v>105</v>
      </c>
      <c r="P1486" t="s">
        <v>28</v>
      </c>
      <c r="Q1486" t="s">
        <v>6746</v>
      </c>
      <c r="R1486" t="s">
        <v>6747</v>
      </c>
      <c r="S1486" t="s">
        <v>31</v>
      </c>
      <c r="T1486">
        <v>0</v>
      </c>
    </row>
    <row r="1487" spans="1:20" x14ac:dyDescent="0.25">
      <c r="A1487" t="s">
        <v>6748</v>
      </c>
      <c r="B1487" s="1">
        <v>45879</v>
      </c>
      <c r="C1487" s="5">
        <v>0.55222222222222217</v>
      </c>
      <c r="D1487">
        <v>143.81</v>
      </c>
      <c r="E1487" t="s">
        <v>44</v>
      </c>
      <c r="F1487" t="s">
        <v>1403</v>
      </c>
      <c r="G1487" t="s">
        <v>22</v>
      </c>
      <c r="H1487" t="s">
        <v>23</v>
      </c>
      <c r="I1487" t="s">
        <v>2552</v>
      </c>
      <c r="J1487">
        <v>58</v>
      </c>
      <c r="K1487" t="s">
        <v>49</v>
      </c>
      <c r="L1487" t="s">
        <v>91</v>
      </c>
      <c r="M1487" t="s">
        <v>39</v>
      </c>
      <c r="P1487" t="s">
        <v>28</v>
      </c>
      <c r="Q1487" t="s">
        <v>6749</v>
      </c>
      <c r="R1487" t="s">
        <v>6750</v>
      </c>
      <c r="S1487" t="s">
        <v>31</v>
      </c>
      <c r="T1487">
        <v>0</v>
      </c>
    </row>
    <row r="1488" spans="1:20" x14ac:dyDescent="0.25">
      <c r="A1488" t="s">
        <v>6751</v>
      </c>
      <c r="B1488" s="1">
        <v>45835</v>
      </c>
      <c r="C1488" s="5">
        <v>0.45123842592592595</v>
      </c>
      <c r="D1488">
        <v>138.33000000000001</v>
      </c>
      <c r="E1488" t="s">
        <v>44</v>
      </c>
      <c r="F1488" t="s">
        <v>4098</v>
      </c>
      <c r="G1488" t="s">
        <v>124</v>
      </c>
      <c r="H1488" t="s">
        <v>35</v>
      </c>
      <c r="I1488" t="s">
        <v>6752</v>
      </c>
      <c r="J1488">
        <v>74</v>
      </c>
      <c r="K1488" t="s">
        <v>25</v>
      </c>
      <c r="L1488" t="s">
        <v>248</v>
      </c>
      <c r="M1488" t="s">
        <v>84</v>
      </c>
      <c r="P1488" t="s">
        <v>28</v>
      </c>
      <c r="Q1488" t="s">
        <v>6753</v>
      </c>
      <c r="R1488" t="s">
        <v>6754</v>
      </c>
      <c r="S1488" t="s">
        <v>101</v>
      </c>
      <c r="T1488">
        <v>0</v>
      </c>
    </row>
    <row r="1489" spans="1:20" x14ac:dyDescent="0.25">
      <c r="A1489" t="s">
        <v>6755</v>
      </c>
      <c r="B1489" s="1">
        <v>45924</v>
      </c>
      <c r="C1489" s="5">
        <v>0.2404513888888889</v>
      </c>
      <c r="D1489">
        <v>149.84</v>
      </c>
      <c r="E1489" t="s">
        <v>44</v>
      </c>
      <c r="F1489" t="s">
        <v>4155</v>
      </c>
      <c r="G1489" t="s">
        <v>64</v>
      </c>
      <c r="H1489" t="s">
        <v>66</v>
      </c>
      <c r="I1489" t="s">
        <v>6756</v>
      </c>
      <c r="J1489">
        <v>74</v>
      </c>
      <c r="K1489" t="s">
        <v>37</v>
      </c>
      <c r="L1489" t="s">
        <v>146</v>
      </c>
      <c r="M1489" t="s">
        <v>84</v>
      </c>
      <c r="P1489" t="s">
        <v>28</v>
      </c>
      <c r="Q1489" t="s">
        <v>6757</v>
      </c>
      <c r="R1489" t="s">
        <v>6758</v>
      </c>
      <c r="S1489" t="s">
        <v>31</v>
      </c>
      <c r="T1489">
        <v>0</v>
      </c>
    </row>
    <row r="1490" spans="1:20" x14ac:dyDescent="0.25">
      <c r="A1490" t="s">
        <v>6759</v>
      </c>
      <c r="B1490" s="1">
        <v>45828</v>
      </c>
      <c r="C1490" s="5">
        <v>0.81363425925925925</v>
      </c>
      <c r="D1490">
        <v>765.71</v>
      </c>
      <c r="E1490" t="s">
        <v>44</v>
      </c>
      <c r="F1490" t="s">
        <v>2308</v>
      </c>
      <c r="G1490" t="s">
        <v>96</v>
      </c>
      <c r="H1490" t="s">
        <v>248</v>
      </c>
      <c r="I1490" t="s">
        <v>6760</v>
      </c>
      <c r="J1490">
        <v>41</v>
      </c>
      <c r="K1490" t="s">
        <v>49</v>
      </c>
      <c r="L1490" t="s">
        <v>35</v>
      </c>
      <c r="M1490" t="s">
        <v>51</v>
      </c>
      <c r="N1490" t="s">
        <v>345</v>
      </c>
      <c r="O1490">
        <v>514063</v>
      </c>
      <c r="P1490" t="s">
        <v>28</v>
      </c>
      <c r="Q1490" t="s">
        <v>6761</v>
      </c>
      <c r="R1490" t="s">
        <v>6762</v>
      </c>
      <c r="S1490" t="s">
        <v>31</v>
      </c>
      <c r="T1490">
        <v>0</v>
      </c>
    </row>
    <row r="1491" spans="1:20" x14ac:dyDescent="0.25">
      <c r="A1491" t="s">
        <v>6763</v>
      </c>
      <c r="B1491" s="1">
        <v>45791</v>
      </c>
      <c r="C1491" s="5">
        <v>0.57427083333333329</v>
      </c>
      <c r="D1491">
        <v>2.66</v>
      </c>
      <c r="E1491" t="s">
        <v>44</v>
      </c>
      <c r="F1491" t="s">
        <v>2990</v>
      </c>
      <c r="G1491" t="s">
        <v>96</v>
      </c>
      <c r="H1491" t="s">
        <v>35</v>
      </c>
      <c r="I1491" t="s">
        <v>6764</v>
      </c>
      <c r="K1491" t="s">
        <v>37</v>
      </c>
      <c r="L1491" t="s">
        <v>50</v>
      </c>
      <c r="M1491" t="s">
        <v>84</v>
      </c>
      <c r="P1491" t="s">
        <v>28</v>
      </c>
      <c r="Q1491" t="s">
        <v>6765</v>
      </c>
      <c r="R1491" t="s">
        <v>6766</v>
      </c>
      <c r="S1491" t="s">
        <v>31</v>
      </c>
      <c r="T1491">
        <v>0</v>
      </c>
    </row>
    <row r="1492" spans="1:20" x14ac:dyDescent="0.25">
      <c r="A1492" t="s">
        <v>6767</v>
      </c>
      <c r="B1492" s="1">
        <v>45873</v>
      </c>
      <c r="C1492" s="5">
        <v>0.1125</v>
      </c>
      <c r="D1492">
        <v>146.88</v>
      </c>
      <c r="E1492" t="s">
        <v>44</v>
      </c>
      <c r="F1492" t="s">
        <v>1519</v>
      </c>
      <c r="G1492" t="s">
        <v>96</v>
      </c>
      <c r="H1492" t="s">
        <v>23</v>
      </c>
      <c r="I1492" t="s">
        <v>6768</v>
      </c>
      <c r="J1492">
        <v>34</v>
      </c>
      <c r="K1492" t="s">
        <v>25</v>
      </c>
      <c r="L1492" t="s">
        <v>47</v>
      </c>
      <c r="M1492" t="s">
        <v>105</v>
      </c>
      <c r="P1492" t="s">
        <v>28</v>
      </c>
      <c r="Q1492" t="s">
        <v>6769</v>
      </c>
      <c r="R1492" t="s">
        <v>6770</v>
      </c>
      <c r="S1492" t="s">
        <v>42</v>
      </c>
      <c r="T1492">
        <v>0</v>
      </c>
    </row>
    <row r="1493" spans="1:20" x14ac:dyDescent="0.25">
      <c r="A1493" t="s">
        <v>6771</v>
      </c>
      <c r="B1493" s="1">
        <v>45880</v>
      </c>
      <c r="C1493" s="5">
        <v>0.60692129629629632</v>
      </c>
      <c r="D1493">
        <v>97.18</v>
      </c>
      <c r="E1493" t="s">
        <v>44</v>
      </c>
      <c r="F1493" t="s">
        <v>6772</v>
      </c>
      <c r="G1493" t="s">
        <v>64</v>
      </c>
      <c r="H1493" t="s">
        <v>248</v>
      </c>
      <c r="I1493" t="s">
        <v>6773</v>
      </c>
      <c r="K1493" t="s">
        <v>25</v>
      </c>
      <c r="L1493" t="s">
        <v>130</v>
      </c>
      <c r="M1493" t="s">
        <v>105</v>
      </c>
      <c r="P1493" t="s">
        <v>28</v>
      </c>
      <c r="Q1493" t="s">
        <v>6774</v>
      </c>
      <c r="R1493" t="s">
        <v>6775</v>
      </c>
      <c r="S1493" t="s">
        <v>31</v>
      </c>
      <c r="T1493">
        <v>0</v>
      </c>
    </row>
    <row r="1494" spans="1:20" x14ac:dyDescent="0.25">
      <c r="A1494" t="s">
        <v>6776</v>
      </c>
      <c r="B1494" s="1">
        <v>45929</v>
      </c>
      <c r="C1494" s="5">
        <v>0.10818287037037037</v>
      </c>
      <c r="D1494">
        <v>178.62</v>
      </c>
      <c r="E1494" t="s">
        <v>44</v>
      </c>
      <c r="F1494" t="s">
        <v>2937</v>
      </c>
      <c r="G1494" t="s">
        <v>57</v>
      </c>
      <c r="H1494" t="s">
        <v>23</v>
      </c>
      <c r="I1494" t="s">
        <v>6777</v>
      </c>
      <c r="J1494">
        <v>27</v>
      </c>
      <c r="K1494" t="s">
        <v>49</v>
      </c>
      <c r="L1494" t="s">
        <v>91</v>
      </c>
      <c r="M1494" t="s">
        <v>112</v>
      </c>
      <c r="P1494" t="s">
        <v>28</v>
      </c>
      <c r="Q1494" t="s">
        <v>6778</v>
      </c>
      <c r="R1494" t="s">
        <v>6779</v>
      </c>
      <c r="S1494" t="s">
        <v>42</v>
      </c>
      <c r="T1494">
        <v>0</v>
      </c>
    </row>
    <row r="1495" spans="1:20" x14ac:dyDescent="0.25">
      <c r="A1495" t="s">
        <v>6780</v>
      </c>
      <c r="B1495" s="1">
        <v>45785</v>
      </c>
      <c r="C1495" s="5">
        <v>0.63320601851851854</v>
      </c>
      <c r="D1495">
        <v>92.95</v>
      </c>
      <c r="E1495" t="s">
        <v>44</v>
      </c>
      <c r="F1495" t="s">
        <v>4561</v>
      </c>
      <c r="G1495" t="s">
        <v>64</v>
      </c>
      <c r="H1495" t="s">
        <v>35</v>
      </c>
      <c r="I1495" t="s">
        <v>6781</v>
      </c>
      <c r="J1495">
        <v>58</v>
      </c>
      <c r="K1495" t="s">
        <v>37</v>
      </c>
      <c r="L1495" t="s">
        <v>130</v>
      </c>
      <c r="M1495" t="s">
        <v>105</v>
      </c>
      <c r="P1495" t="s">
        <v>28</v>
      </c>
      <c r="Q1495" t="s">
        <v>6782</v>
      </c>
      <c r="R1495" t="s">
        <v>6783</v>
      </c>
      <c r="S1495" t="s">
        <v>31</v>
      </c>
      <c r="T1495">
        <v>0</v>
      </c>
    </row>
    <row r="1496" spans="1:20" x14ac:dyDescent="0.25">
      <c r="A1496" t="s">
        <v>6784</v>
      </c>
      <c r="B1496" s="1">
        <v>45833</v>
      </c>
      <c r="C1496" s="5">
        <v>0.29120370370370369</v>
      </c>
      <c r="D1496">
        <v>77.88</v>
      </c>
      <c r="E1496" t="s">
        <v>44</v>
      </c>
      <c r="F1496" t="s">
        <v>4145</v>
      </c>
      <c r="G1496" t="s">
        <v>71</v>
      </c>
      <c r="H1496" t="s">
        <v>97</v>
      </c>
      <c r="I1496" t="s">
        <v>6785</v>
      </c>
      <c r="J1496">
        <v>22</v>
      </c>
      <c r="K1496" t="s">
        <v>25</v>
      </c>
      <c r="L1496" t="s">
        <v>97</v>
      </c>
      <c r="M1496" t="s">
        <v>112</v>
      </c>
      <c r="P1496" t="s">
        <v>113</v>
      </c>
      <c r="Q1496" t="s">
        <v>6786</v>
      </c>
      <c r="R1496" t="s">
        <v>6787</v>
      </c>
      <c r="S1496" t="s">
        <v>31</v>
      </c>
      <c r="T1496">
        <v>0</v>
      </c>
    </row>
    <row r="1497" spans="1:20" x14ac:dyDescent="0.25">
      <c r="A1497" t="s">
        <v>6788</v>
      </c>
      <c r="B1497" s="1">
        <v>45908</v>
      </c>
      <c r="C1497" s="5">
        <v>0.23434027777777777</v>
      </c>
      <c r="D1497">
        <v>7.42</v>
      </c>
      <c r="E1497" t="s">
        <v>44</v>
      </c>
      <c r="F1497" t="s">
        <v>2249</v>
      </c>
      <c r="G1497" t="s">
        <v>71</v>
      </c>
      <c r="H1497" t="s">
        <v>26</v>
      </c>
      <c r="I1497" t="s">
        <v>6789</v>
      </c>
      <c r="J1497">
        <v>40</v>
      </c>
      <c r="K1497" t="s">
        <v>49</v>
      </c>
      <c r="L1497" t="s">
        <v>97</v>
      </c>
      <c r="M1497" t="s">
        <v>84</v>
      </c>
      <c r="P1497" t="s">
        <v>28</v>
      </c>
      <c r="Q1497" t="s">
        <v>6790</v>
      </c>
      <c r="R1497" t="s">
        <v>6791</v>
      </c>
      <c r="S1497" t="s">
        <v>31</v>
      </c>
      <c r="T1497">
        <v>0</v>
      </c>
    </row>
    <row r="1498" spans="1:20" x14ac:dyDescent="0.25">
      <c r="A1498" t="s">
        <v>6792</v>
      </c>
      <c r="B1498" s="1">
        <v>45953</v>
      </c>
      <c r="C1498" s="5">
        <v>0.40600694444444446</v>
      </c>
      <c r="D1498">
        <v>554.48</v>
      </c>
      <c r="E1498" t="s">
        <v>44</v>
      </c>
      <c r="F1498" t="s">
        <v>5782</v>
      </c>
      <c r="G1498" t="s">
        <v>64</v>
      </c>
      <c r="H1498" t="s">
        <v>23</v>
      </c>
      <c r="I1498" t="s">
        <v>6793</v>
      </c>
      <c r="J1498">
        <v>38</v>
      </c>
      <c r="K1498" t="s">
        <v>49</v>
      </c>
      <c r="L1498" t="s">
        <v>110</v>
      </c>
      <c r="M1498" t="s">
        <v>27</v>
      </c>
      <c r="P1498" t="s">
        <v>28</v>
      </c>
      <c r="Q1498" t="s">
        <v>6794</v>
      </c>
      <c r="R1498" t="s">
        <v>6795</v>
      </c>
      <c r="S1498" t="s">
        <v>31</v>
      </c>
      <c r="T1498">
        <v>0</v>
      </c>
    </row>
    <row r="1499" spans="1:20" x14ac:dyDescent="0.25">
      <c r="A1499" t="s">
        <v>6796</v>
      </c>
      <c r="B1499" s="1">
        <v>45844</v>
      </c>
      <c r="C1499" s="5">
        <v>0.2050925925925926</v>
      </c>
      <c r="D1499">
        <v>110.2</v>
      </c>
      <c r="E1499" t="s">
        <v>44</v>
      </c>
      <c r="F1499" t="s">
        <v>33</v>
      </c>
      <c r="G1499" t="s">
        <v>57</v>
      </c>
      <c r="H1499" t="s">
        <v>47</v>
      </c>
      <c r="I1499" t="s">
        <v>6797</v>
      </c>
      <c r="J1499">
        <v>25</v>
      </c>
      <c r="K1499" t="s">
        <v>49</v>
      </c>
      <c r="L1499" t="s">
        <v>58</v>
      </c>
      <c r="M1499" t="s">
        <v>105</v>
      </c>
      <c r="P1499" t="s">
        <v>28</v>
      </c>
      <c r="Q1499" t="s">
        <v>6798</v>
      </c>
      <c r="R1499" t="s">
        <v>6799</v>
      </c>
      <c r="S1499" t="s">
        <v>31</v>
      </c>
      <c r="T1499">
        <v>0</v>
      </c>
    </row>
    <row r="1500" spans="1:20" x14ac:dyDescent="0.25">
      <c r="A1500" t="s">
        <v>6800</v>
      </c>
      <c r="B1500" s="1">
        <v>45929</v>
      </c>
      <c r="C1500" s="5">
        <v>0.53385416666666663</v>
      </c>
      <c r="D1500">
        <v>192.79</v>
      </c>
      <c r="E1500" t="s">
        <v>44</v>
      </c>
      <c r="F1500" t="s">
        <v>272</v>
      </c>
      <c r="G1500" t="s">
        <v>124</v>
      </c>
      <c r="H1500" t="s">
        <v>26</v>
      </c>
      <c r="I1500" t="s">
        <v>6801</v>
      </c>
      <c r="J1500">
        <v>49</v>
      </c>
      <c r="K1500" t="s">
        <v>25</v>
      </c>
      <c r="L1500" t="s">
        <v>130</v>
      </c>
      <c r="M1500" t="s">
        <v>27</v>
      </c>
      <c r="P1500" t="s">
        <v>28</v>
      </c>
      <c r="Q1500" t="s">
        <v>6802</v>
      </c>
      <c r="R1500" t="s">
        <v>6803</v>
      </c>
      <c r="S1500" t="s">
        <v>31</v>
      </c>
      <c r="T1500">
        <v>0</v>
      </c>
    </row>
    <row r="1501" spans="1:20" x14ac:dyDescent="0.25">
      <c r="A1501" t="s">
        <v>6804</v>
      </c>
      <c r="B1501" s="1">
        <v>45897</v>
      </c>
      <c r="C1501" s="5">
        <v>0.66938657407407409</v>
      </c>
      <c r="D1501">
        <v>179.58</v>
      </c>
      <c r="E1501" t="s">
        <v>44</v>
      </c>
      <c r="F1501" t="s">
        <v>1068</v>
      </c>
      <c r="G1501" t="s">
        <v>96</v>
      </c>
      <c r="H1501" t="s">
        <v>110</v>
      </c>
      <c r="I1501" t="s">
        <v>6805</v>
      </c>
      <c r="J1501">
        <v>26</v>
      </c>
      <c r="K1501" t="s">
        <v>49</v>
      </c>
      <c r="L1501" t="s">
        <v>66</v>
      </c>
      <c r="M1501" t="s">
        <v>84</v>
      </c>
      <c r="P1501" t="s">
        <v>28</v>
      </c>
      <c r="Q1501" t="s">
        <v>6806</v>
      </c>
      <c r="R1501" t="s">
        <v>6807</v>
      </c>
      <c r="S1501" t="s">
        <v>31</v>
      </c>
      <c r="T1501">
        <v>0</v>
      </c>
    </row>
    <row r="1502" spans="1:20" x14ac:dyDescent="0.25">
      <c r="A1502" t="s">
        <v>6808</v>
      </c>
      <c r="B1502" s="1">
        <v>45878</v>
      </c>
      <c r="C1502" s="5">
        <v>0.5475578703703704</v>
      </c>
      <c r="D1502">
        <v>397.74</v>
      </c>
      <c r="E1502" t="s">
        <v>44</v>
      </c>
      <c r="F1502" t="s">
        <v>1823</v>
      </c>
      <c r="G1502" t="s">
        <v>34</v>
      </c>
      <c r="H1502" t="s">
        <v>58</v>
      </c>
      <c r="I1502" t="s">
        <v>6809</v>
      </c>
      <c r="J1502">
        <v>25</v>
      </c>
      <c r="K1502" t="s">
        <v>37</v>
      </c>
      <c r="L1502" t="s">
        <v>248</v>
      </c>
      <c r="M1502" t="s">
        <v>27</v>
      </c>
      <c r="P1502" t="s">
        <v>28</v>
      </c>
      <c r="Q1502" t="s">
        <v>6810</v>
      </c>
      <c r="R1502" t="s">
        <v>6811</v>
      </c>
      <c r="S1502" t="s">
        <v>31</v>
      </c>
      <c r="T1502">
        <v>0</v>
      </c>
    </row>
    <row r="1503" spans="1:20" x14ac:dyDescent="0.25">
      <c r="A1503" t="s">
        <v>6812</v>
      </c>
      <c r="B1503" s="1">
        <v>45845</v>
      </c>
      <c r="C1503" s="5">
        <v>0.63628472222222221</v>
      </c>
      <c r="D1503">
        <v>1.99</v>
      </c>
      <c r="E1503" t="s">
        <v>44</v>
      </c>
      <c r="F1503" t="s">
        <v>6108</v>
      </c>
      <c r="G1503" t="s">
        <v>46</v>
      </c>
      <c r="H1503" t="s">
        <v>50</v>
      </c>
      <c r="I1503" t="s">
        <v>6813</v>
      </c>
      <c r="J1503">
        <v>55</v>
      </c>
      <c r="K1503" t="s">
        <v>49</v>
      </c>
      <c r="L1503" t="s">
        <v>47</v>
      </c>
      <c r="M1503" t="s">
        <v>39</v>
      </c>
      <c r="P1503" t="s">
        <v>28</v>
      </c>
      <c r="Q1503" t="s">
        <v>6814</v>
      </c>
      <c r="R1503" t="s">
        <v>6815</v>
      </c>
      <c r="S1503" t="s">
        <v>31</v>
      </c>
      <c r="T1503">
        <v>0</v>
      </c>
    </row>
    <row r="1504" spans="1:20" x14ac:dyDescent="0.25">
      <c r="A1504" t="s">
        <v>6816</v>
      </c>
      <c r="B1504" s="1">
        <v>45785</v>
      </c>
      <c r="C1504" s="5">
        <v>0.34239583333333334</v>
      </c>
      <c r="D1504">
        <v>91.22</v>
      </c>
      <c r="E1504" t="s">
        <v>44</v>
      </c>
      <c r="F1504" t="s">
        <v>6546</v>
      </c>
      <c r="G1504" t="s">
        <v>57</v>
      </c>
      <c r="H1504" t="s">
        <v>130</v>
      </c>
      <c r="I1504" t="s">
        <v>6817</v>
      </c>
      <c r="J1504">
        <v>40</v>
      </c>
      <c r="K1504" t="s">
        <v>37</v>
      </c>
      <c r="L1504" t="s">
        <v>110</v>
      </c>
      <c r="M1504" t="s">
        <v>27</v>
      </c>
      <c r="P1504" t="s">
        <v>28</v>
      </c>
      <c r="Q1504" t="s">
        <v>6818</v>
      </c>
      <c r="R1504" t="s">
        <v>6819</v>
      </c>
      <c r="S1504" t="s">
        <v>31</v>
      </c>
      <c r="T1504">
        <v>0</v>
      </c>
    </row>
    <row r="1505" spans="1:20" x14ac:dyDescent="0.25">
      <c r="A1505" t="s">
        <v>6820</v>
      </c>
      <c r="B1505" s="1">
        <v>45796</v>
      </c>
      <c r="C1505" s="5">
        <v>0.44895833333333335</v>
      </c>
      <c r="D1505">
        <v>141.83000000000001</v>
      </c>
      <c r="E1505" t="s">
        <v>44</v>
      </c>
      <c r="F1505" t="s">
        <v>824</v>
      </c>
      <c r="G1505" t="s">
        <v>89</v>
      </c>
      <c r="H1505" t="s">
        <v>38</v>
      </c>
      <c r="I1505" t="s">
        <v>6821</v>
      </c>
      <c r="J1505">
        <v>46</v>
      </c>
      <c r="K1505" t="s">
        <v>49</v>
      </c>
      <c r="L1505" t="s">
        <v>119</v>
      </c>
      <c r="M1505" t="s">
        <v>27</v>
      </c>
      <c r="P1505" t="s">
        <v>28</v>
      </c>
      <c r="Q1505" t="s">
        <v>6822</v>
      </c>
      <c r="R1505" t="s">
        <v>6823</v>
      </c>
      <c r="S1505" t="s">
        <v>31</v>
      </c>
      <c r="T1505">
        <v>0</v>
      </c>
    </row>
    <row r="1506" spans="1:20" x14ac:dyDescent="0.25">
      <c r="A1506" t="s">
        <v>6824</v>
      </c>
      <c r="B1506" s="1">
        <v>45810</v>
      </c>
      <c r="C1506" s="5">
        <v>0.7143518518518519</v>
      </c>
      <c r="D1506">
        <v>352.01</v>
      </c>
      <c r="E1506" t="s">
        <v>44</v>
      </c>
      <c r="F1506" t="s">
        <v>4329</v>
      </c>
      <c r="G1506" t="s">
        <v>57</v>
      </c>
      <c r="H1506" t="s">
        <v>110</v>
      </c>
      <c r="I1506" t="s">
        <v>6825</v>
      </c>
      <c r="J1506">
        <v>55</v>
      </c>
      <c r="K1506" t="s">
        <v>49</v>
      </c>
      <c r="L1506" t="s">
        <v>23</v>
      </c>
      <c r="M1506" t="s">
        <v>51</v>
      </c>
      <c r="N1506" t="s">
        <v>507</v>
      </c>
      <c r="O1506">
        <v>413391</v>
      </c>
      <c r="P1506" t="s">
        <v>28</v>
      </c>
      <c r="Q1506" t="s">
        <v>6826</v>
      </c>
      <c r="R1506" t="s">
        <v>6827</v>
      </c>
      <c r="S1506" t="s">
        <v>31</v>
      </c>
      <c r="T1506">
        <v>0</v>
      </c>
    </row>
    <row r="1507" spans="1:20" x14ac:dyDescent="0.25">
      <c r="A1507" t="s">
        <v>6828</v>
      </c>
      <c r="B1507" s="1">
        <v>45827</v>
      </c>
      <c r="C1507" s="5">
        <v>0.24230324074074075</v>
      </c>
      <c r="D1507">
        <v>182.09</v>
      </c>
      <c r="E1507" t="s">
        <v>44</v>
      </c>
      <c r="F1507" t="s">
        <v>6829</v>
      </c>
      <c r="G1507" t="s">
        <v>22</v>
      </c>
      <c r="H1507" t="s">
        <v>23</v>
      </c>
      <c r="I1507" t="s">
        <v>6830</v>
      </c>
      <c r="J1507">
        <v>59</v>
      </c>
      <c r="K1507" t="s">
        <v>25</v>
      </c>
      <c r="L1507" t="s">
        <v>35</v>
      </c>
      <c r="M1507" t="s">
        <v>84</v>
      </c>
      <c r="P1507" t="s">
        <v>28</v>
      </c>
      <c r="Q1507" t="s">
        <v>6831</v>
      </c>
      <c r="R1507" t="s">
        <v>6832</v>
      </c>
      <c r="S1507" t="s">
        <v>31</v>
      </c>
      <c r="T1507">
        <v>0</v>
      </c>
    </row>
    <row r="1508" spans="1:20" x14ac:dyDescent="0.25">
      <c r="A1508" t="s">
        <v>6833</v>
      </c>
      <c r="B1508" s="1">
        <v>45949</v>
      </c>
      <c r="C1508" s="5">
        <v>0.56843750000000004</v>
      </c>
      <c r="D1508">
        <v>828.98</v>
      </c>
      <c r="E1508" t="s">
        <v>44</v>
      </c>
      <c r="F1508" t="s">
        <v>4661</v>
      </c>
      <c r="G1508" t="s">
        <v>64</v>
      </c>
      <c r="H1508" t="s">
        <v>66</v>
      </c>
      <c r="I1508" t="s">
        <v>6834</v>
      </c>
      <c r="J1508">
        <v>39</v>
      </c>
      <c r="K1508" t="s">
        <v>49</v>
      </c>
      <c r="L1508" t="s">
        <v>66</v>
      </c>
      <c r="M1508" t="s">
        <v>105</v>
      </c>
      <c r="P1508" t="s">
        <v>113</v>
      </c>
      <c r="Q1508" t="s">
        <v>6835</v>
      </c>
      <c r="R1508" t="s">
        <v>6836</v>
      </c>
      <c r="S1508" t="s">
        <v>31</v>
      </c>
      <c r="T1508">
        <v>0</v>
      </c>
    </row>
    <row r="1509" spans="1:20" x14ac:dyDescent="0.25">
      <c r="A1509" t="s">
        <v>6837</v>
      </c>
      <c r="B1509" s="1">
        <v>45903</v>
      </c>
      <c r="C1509" s="5">
        <v>0.84520833333333334</v>
      </c>
      <c r="D1509">
        <v>72.89</v>
      </c>
      <c r="E1509" t="s">
        <v>44</v>
      </c>
      <c r="F1509" t="s">
        <v>511</v>
      </c>
      <c r="G1509" t="s">
        <v>57</v>
      </c>
      <c r="H1509" t="s">
        <v>119</v>
      </c>
      <c r="I1509" t="s">
        <v>6838</v>
      </c>
      <c r="J1509">
        <v>47</v>
      </c>
      <c r="K1509" t="s">
        <v>25</v>
      </c>
      <c r="L1509" t="s">
        <v>58</v>
      </c>
      <c r="M1509" t="s">
        <v>39</v>
      </c>
      <c r="P1509" t="s">
        <v>28</v>
      </c>
      <c r="Q1509" t="s">
        <v>6839</v>
      </c>
      <c r="R1509" t="s">
        <v>6840</v>
      </c>
      <c r="S1509" t="s">
        <v>31</v>
      </c>
      <c r="T1509">
        <v>0</v>
      </c>
    </row>
    <row r="1510" spans="1:20" x14ac:dyDescent="0.25">
      <c r="A1510" t="s">
        <v>6841</v>
      </c>
      <c r="B1510" s="1">
        <v>45901</v>
      </c>
      <c r="C1510" s="5">
        <v>0.18077546296296296</v>
      </c>
      <c r="D1510">
        <v>32.19</v>
      </c>
      <c r="E1510" t="s">
        <v>44</v>
      </c>
      <c r="F1510" t="s">
        <v>6842</v>
      </c>
      <c r="G1510" t="s">
        <v>89</v>
      </c>
      <c r="H1510" t="s">
        <v>110</v>
      </c>
      <c r="I1510" t="s">
        <v>6843</v>
      </c>
      <c r="J1510">
        <v>61</v>
      </c>
      <c r="K1510" t="s">
        <v>49</v>
      </c>
      <c r="L1510" t="s">
        <v>47</v>
      </c>
      <c r="M1510" t="s">
        <v>84</v>
      </c>
      <c r="P1510" t="s">
        <v>28</v>
      </c>
      <c r="Q1510" t="s">
        <v>6844</v>
      </c>
      <c r="R1510" t="s">
        <v>6845</v>
      </c>
      <c r="S1510" t="s">
        <v>42</v>
      </c>
      <c r="T1510">
        <v>0</v>
      </c>
    </row>
    <row r="1511" spans="1:20" x14ac:dyDescent="0.25">
      <c r="A1511" t="s">
        <v>6846</v>
      </c>
      <c r="B1511" s="1">
        <v>45926</v>
      </c>
      <c r="C1511" s="5">
        <v>0.35219907407407408</v>
      </c>
      <c r="D1511">
        <v>189.76</v>
      </c>
      <c r="E1511" t="s">
        <v>44</v>
      </c>
      <c r="F1511" t="s">
        <v>33</v>
      </c>
      <c r="G1511" t="s">
        <v>46</v>
      </c>
      <c r="H1511" t="s">
        <v>91</v>
      </c>
      <c r="I1511" t="s">
        <v>6847</v>
      </c>
      <c r="J1511">
        <v>29</v>
      </c>
      <c r="K1511" t="s">
        <v>49</v>
      </c>
      <c r="L1511" t="s">
        <v>248</v>
      </c>
      <c r="M1511" t="s">
        <v>27</v>
      </c>
      <c r="P1511" t="s">
        <v>28</v>
      </c>
      <c r="Q1511" t="s">
        <v>6848</v>
      </c>
      <c r="R1511" t="s">
        <v>6849</v>
      </c>
      <c r="S1511" t="s">
        <v>31</v>
      </c>
      <c r="T1511">
        <v>0</v>
      </c>
    </row>
    <row r="1512" spans="1:20" x14ac:dyDescent="0.25">
      <c r="A1512" t="s">
        <v>823</v>
      </c>
      <c r="B1512" s="1">
        <v>45802</v>
      </c>
      <c r="C1512" s="5">
        <v>0.19063657407407408</v>
      </c>
      <c r="D1512">
        <v>73.53</v>
      </c>
      <c r="E1512" t="s">
        <v>44</v>
      </c>
      <c r="F1512" t="s">
        <v>824</v>
      </c>
      <c r="G1512" t="s">
        <v>124</v>
      </c>
      <c r="H1512" t="s">
        <v>23</v>
      </c>
      <c r="I1512" t="s">
        <v>825</v>
      </c>
      <c r="J1512">
        <v>45</v>
      </c>
      <c r="K1512" t="s">
        <v>25</v>
      </c>
      <c r="L1512" t="s">
        <v>26</v>
      </c>
      <c r="M1512" t="s">
        <v>27</v>
      </c>
      <c r="P1512" t="s">
        <v>28</v>
      </c>
      <c r="Q1512" t="s">
        <v>826</v>
      </c>
      <c r="R1512" t="s">
        <v>827</v>
      </c>
      <c r="S1512" t="s">
        <v>31</v>
      </c>
      <c r="T1512">
        <v>0</v>
      </c>
    </row>
    <row r="1513" spans="1:20" x14ac:dyDescent="0.25">
      <c r="A1513" t="s">
        <v>6850</v>
      </c>
      <c r="B1513" s="1">
        <v>45915</v>
      </c>
      <c r="C1513" s="5">
        <v>0.91380787037037037</v>
      </c>
      <c r="D1513">
        <v>55.88</v>
      </c>
      <c r="E1513" t="s">
        <v>44</v>
      </c>
      <c r="F1513" t="s">
        <v>6851</v>
      </c>
      <c r="G1513" t="s">
        <v>77</v>
      </c>
      <c r="H1513" t="s">
        <v>26</v>
      </c>
      <c r="I1513" t="s">
        <v>6852</v>
      </c>
      <c r="J1513">
        <v>50</v>
      </c>
      <c r="K1513" t="s">
        <v>37</v>
      </c>
      <c r="L1513" t="s">
        <v>248</v>
      </c>
      <c r="M1513" t="s">
        <v>105</v>
      </c>
      <c r="P1513" t="s">
        <v>28</v>
      </c>
      <c r="Q1513" t="s">
        <v>6853</v>
      </c>
      <c r="R1513" t="s">
        <v>6854</v>
      </c>
      <c r="S1513" t="s">
        <v>31</v>
      </c>
      <c r="T1513">
        <v>0</v>
      </c>
    </row>
    <row r="1514" spans="1:20" x14ac:dyDescent="0.25">
      <c r="A1514" t="s">
        <v>6855</v>
      </c>
      <c r="B1514" s="1">
        <v>45865</v>
      </c>
      <c r="C1514" s="5">
        <v>0.12935185185185186</v>
      </c>
      <c r="D1514">
        <v>300.66000000000003</v>
      </c>
      <c r="E1514" t="s">
        <v>44</v>
      </c>
      <c r="F1514" t="s">
        <v>5904</v>
      </c>
      <c r="G1514" t="s">
        <v>57</v>
      </c>
      <c r="H1514" t="s">
        <v>97</v>
      </c>
      <c r="I1514" t="s">
        <v>6856</v>
      </c>
      <c r="J1514">
        <v>19</v>
      </c>
      <c r="K1514" t="s">
        <v>49</v>
      </c>
      <c r="L1514" t="s">
        <v>119</v>
      </c>
      <c r="M1514" t="s">
        <v>84</v>
      </c>
      <c r="P1514" t="s">
        <v>28</v>
      </c>
      <c r="Q1514" t="s">
        <v>6857</v>
      </c>
      <c r="R1514" t="s">
        <v>6858</v>
      </c>
      <c r="S1514" t="s">
        <v>42</v>
      </c>
      <c r="T1514">
        <v>0</v>
      </c>
    </row>
    <row r="1515" spans="1:20" x14ac:dyDescent="0.25">
      <c r="A1515" t="s">
        <v>6859</v>
      </c>
      <c r="B1515" s="1">
        <v>45858</v>
      </c>
      <c r="C1515" s="5">
        <v>5.9722222222222225E-3</v>
      </c>
      <c r="D1515">
        <v>143.85</v>
      </c>
      <c r="E1515" t="s">
        <v>44</v>
      </c>
      <c r="F1515" t="s">
        <v>6860</v>
      </c>
      <c r="G1515" t="s">
        <v>46</v>
      </c>
      <c r="H1515" t="s">
        <v>146</v>
      </c>
      <c r="I1515" t="s">
        <v>6861</v>
      </c>
      <c r="J1515">
        <v>74</v>
      </c>
      <c r="K1515" t="s">
        <v>49</v>
      </c>
      <c r="L1515" t="s">
        <v>91</v>
      </c>
      <c r="M1515" t="s">
        <v>39</v>
      </c>
      <c r="P1515" t="s">
        <v>28</v>
      </c>
      <c r="Q1515" t="s">
        <v>6862</v>
      </c>
      <c r="R1515" t="s">
        <v>6863</v>
      </c>
      <c r="S1515" t="s">
        <v>31</v>
      </c>
      <c r="T1515">
        <v>0</v>
      </c>
    </row>
    <row r="1516" spans="1:20" x14ac:dyDescent="0.25">
      <c r="A1516" t="s">
        <v>6864</v>
      </c>
      <c r="B1516" s="1">
        <v>45928</v>
      </c>
      <c r="C1516" s="5">
        <v>8.2870370370370372E-2</v>
      </c>
      <c r="D1516">
        <v>111.27</v>
      </c>
      <c r="E1516" t="s">
        <v>44</v>
      </c>
      <c r="F1516" t="s">
        <v>581</v>
      </c>
      <c r="G1516" t="s">
        <v>89</v>
      </c>
      <c r="H1516" t="s">
        <v>38</v>
      </c>
      <c r="I1516" t="s">
        <v>6865</v>
      </c>
      <c r="J1516">
        <v>45</v>
      </c>
      <c r="K1516" t="s">
        <v>49</v>
      </c>
      <c r="L1516" t="s">
        <v>119</v>
      </c>
      <c r="M1516" t="s">
        <v>51</v>
      </c>
      <c r="N1516" t="s">
        <v>304</v>
      </c>
      <c r="O1516">
        <v>492260</v>
      </c>
      <c r="P1516" t="s">
        <v>28</v>
      </c>
      <c r="Q1516" t="s">
        <v>6866</v>
      </c>
      <c r="R1516" t="s">
        <v>6867</v>
      </c>
      <c r="S1516" t="s">
        <v>31</v>
      </c>
      <c r="T1516">
        <v>0</v>
      </c>
    </row>
    <row r="1517" spans="1:20" x14ac:dyDescent="0.25">
      <c r="A1517" t="s">
        <v>6868</v>
      </c>
      <c r="B1517" s="1">
        <v>45884</v>
      </c>
      <c r="C1517" s="5">
        <v>0.65452546296296299</v>
      </c>
      <c r="D1517">
        <v>61.87</v>
      </c>
      <c r="E1517" t="s">
        <v>44</v>
      </c>
      <c r="F1517" t="s">
        <v>3960</v>
      </c>
      <c r="G1517" t="s">
        <v>124</v>
      </c>
      <c r="H1517" t="s">
        <v>35</v>
      </c>
      <c r="I1517" t="s">
        <v>6869</v>
      </c>
      <c r="J1517">
        <v>20</v>
      </c>
      <c r="K1517" t="s">
        <v>25</v>
      </c>
      <c r="L1517" t="s">
        <v>130</v>
      </c>
      <c r="M1517" t="s">
        <v>105</v>
      </c>
      <c r="P1517" t="s">
        <v>28</v>
      </c>
      <c r="Q1517" t="s">
        <v>6870</v>
      </c>
      <c r="R1517" t="s">
        <v>6871</v>
      </c>
      <c r="S1517" t="s">
        <v>31</v>
      </c>
      <c r="T1517">
        <v>0</v>
      </c>
    </row>
    <row r="1518" spans="1:20" x14ac:dyDescent="0.25">
      <c r="A1518" t="s">
        <v>6872</v>
      </c>
      <c r="B1518" s="1">
        <v>45828</v>
      </c>
      <c r="C1518" s="5">
        <v>0.19979166666666667</v>
      </c>
      <c r="D1518">
        <v>6.99</v>
      </c>
      <c r="E1518" t="s">
        <v>44</v>
      </c>
      <c r="F1518" t="s">
        <v>6873</v>
      </c>
      <c r="G1518" t="s">
        <v>89</v>
      </c>
      <c r="H1518" t="s">
        <v>47</v>
      </c>
      <c r="I1518" t="s">
        <v>6874</v>
      </c>
      <c r="J1518">
        <v>54</v>
      </c>
      <c r="K1518" t="s">
        <v>37</v>
      </c>
      <c r="L1518" t="s">
        <v>91</v>
      </c>
      <c r="M1518" t="s">
        <v>84</v>
      </c>
      <c r="P1518" t="s">
        <v>28</v>
      </c>
      <c r="Q1518" t="s">
        <v>6875</v>
      </c>
      <c r="R1518" t="s">
        <v>6876</v>
      </c>
      <c r="S1518" t="s">
        <v>31</v>
      </c>
      <c r="T1518">
        <v>0</v>
      </c>
    </row>
    <row r="1519" spans="1:20" x14ac:dyDescent="0.25">
      <c r="A1519" t="s">
        <v>6877</v>
      </c>
      <c r="B1519" s="1">
        <v>45948</v>
      </c>
      <c r="C1519" s="5">
        <v>0.2590277777777778</v>
      </c>
      <c r="D1519">
        <v>303.27</v>
      </c>
      <c r="E1519" t="s">
        <v>44</v>
      </c>
      <c r="F1519" t="s">
        <v>2249</v>
      </c>
      <c r="G1519" t="s">
        <v>96</v>
      </c>
      <c r="H1519" t="s">
        <v>58</v>
      </c>
      <c r="I1519" t="s">
        <v>6878</v>
      </c>
      <c r="J1519">
        <v>23</v>
      </c>
      <c r="K1519" t="s">
        <v>37</v>
      </c>
      <c r="L1519" t="s">
        <v>23</v>
      </c>
      <c r="M1519" t="s">
        <v>39</v>
      </c>
      <c r="P1519" t="s">
        <v>28</v>
      </c>
      <c r="Q1519" t="s">
        <v>6879</v>
      </c>
      <c r="R1519" t="s">
        <v>6880</v>
      </c>
      <c r="S1519" t="s">
        <v>31</v>
      </c>
      <c r="T1519">
        <v>0</v>
      </c>
    </row>
    <row r="1520" spans="1:20" x14ac:dyDescent="0.25">
      <c r="A1520" t="s">
        <v>6881</v>
      </c>
      <c r="B1520" s="1">
        <v>45896</v>
      </c>
      <c r="C1520" s="5">
        <v>0.65656250000000005</v>
      </c>
      <c r="D1520">
        <v>3.62</v>
      </c>
      <c r="E1520" t="s">
        <v>44</v>
      </c>
      <c r="F1520" t="s">
        <v>810</v>
      </c>
      <c r="G1520" t="s">
        <v>124</v>
      </c>
      <c r="H1520" t="s">
        <v>26</v>
      </c>
      <c r="I1520" t="s">
        <v>6882</v>
      </c>
      <c r="J1520">
        <v>34</v>
      </c>
      <c r="K1520" t="s">
        <v>49</v>
      </c>
      <c r="L1520" t="s">
        <v>130</v>
      </c>
      <c r="M1520" t="s">
        <v>51</v>
      </c>
      <c r="N1520" t="s">
        <v>870</v>
      </c>
      <c r="O1520">
        <v>544928</v>
      </c>
      <c r="P1520" t="s">
        <v>28</v>
      </c>
      <c r="Q1520" t="s">
        <v>6883</v>
      </c>
      <c r="R1520" t="s">
        <v>6884</v>
      </c>
      <c r="S1520" t="s">
        <v>31</v>
      </c>
      <c r="T1520">
        <v>0</v>
      </c>
    </row>
    <row r="1521" spans="1:20" x14ac:dyDescent="0.25">
      <c r="A1521" t="s">
        <v>6885</v>
      </c>
      <c r="B1521" s="1">
        <v>45941</v>
      </c>
      <c r="C1521" s="5">
        <v>0.515625</v>
      </c>
      <c r="D1521">
        <v>12.32</v>
      </c>
      <c r="E1521" t="s">
        <v>44</v>
      </c>
      <c r="F1521" t="s">
        <v>1182</v>
      </c>
      <c r="G1521" t="s">
        <v>89</v>
      </c>
      <c r="H1521" t="s">
        <v>110</v>
      </c>
      <c r="I1521" t="s">
        <v>6886</v>
      </c>
      <c r="J1521">
        <v>66</v>
      </c>
      <c r="K1521" t="s">
        <v>49</v>
      </c>
      <c r="L1521" t="s">
        <v>130</v>
      </c>
      <c r="M1521" t="s">
        <v>105</v>
      </c>
      <c r="P1521" t="s">
        <v>28</v>
      </c>
      <c r="Q1521" t="s">
        <v>6887</v>
      </c>
      <c r="R1521" t="s">
        <v>6888</v>
      </c>
      <c r="S1521" t="s">
        <v>31</v>
      </c>
      <c r="T1521">
        <v>0</v>
      </c>
    </row>
    <row r="1522" spans="1:20" x14ac:dyDescent="0.25">
      <c r="A1522" t="s">
        <v>6889</v>
      </c>
      <c r="B1522" s="1">
        <v>45846</v>
      </c>
      <c r="C1522" s="5">
        <v>0.41539351851851852</v>
      </c>
      <c r="D1522">
        <v>169.98</v>
      </c>
      <c r="E1522" t="s">
        <v>44</v>
      </c>
      <c r="F1522" t="s">
        <v>1490</v>
      </c>
      <c r="G1522" t="s">
        <v>46</v>
      </c>
      <c r="H1522" t="s">
        <v>47</v>
      </c>
      <c r="I1522" t="s">
        <v>6890</v>
      </c>
      <c r="J1522">
        <v>20</v>
      </c>
      <c r="K1522" t="s">
        <v>37</v>
      </c>
      <c r="L1522" t="s">
        <v>23</v>
      </c>
      <c r="M1522" t="s">
        <v>112</v>
      </c>
      <c r="P1522" t="s">
        <v>28</v>
      </c>
      <c r="Q1522" t="s">
        <v>6891</v>
      </c>
      <c r="R1522" t="s">
        <v>6892</v>
      </c>
      <c r="S1522" t="s">
        <v>42</v>
      </c>
      <c r="T1522">
        <v>0</v>
      </c>
    </row>
    <row r="1523" spans="1:20" x14ac:dyDescent="0.25">
      <c r="A1523" t="s">
        <v>6893</v>
      </c>
      <c r="B1523" s="1">
        <v>45885</v>
      </c>
      <c r="C1523" s="5">
        <v>8.6365740740740743E-2</v>
      </c>
      <c r="D1523">
        <v>68.98</v>
      </c>
      <c r="E1523" t="s">
        <v>44</v>
      </c>
      <c r="F1523" t="s">
        <v>5995</v>
      </c>
      <c r="G1523" t="s">
        <v>46</v>
      </c>
      <c r="H1523" t="s">
        <v>248</v>
      </c>
      <c r="I1523" t="s">
        <v>798</v>
      </c>
      <c r="J1523">
        <v>41</v>
      </c>
      <c r="K1523" t="s">
        <v>25</v>
      </c>
      <c r="L1523" t="s">
        <v>119</v>
      </c>
      <c r="M1523" t="s">
        <v>27</v>
      </c>
      <c r="P1523" t="s">
        <v>28</v>
      </c>
      <c r="Q1523" t="s">
        <v>6894</v>
      </c>
      <c r="R1523" t="s">
        <v>6895</v>
      </c>
      <c r="S1523" t="s">
        <v>31</v>
      </c>
      <c r="T1523">
        <v>0</v>
      </c>
    </row>
    <row r="1524" spans="1:20" x14ac:dyDescent="0.25">
      <c r="A1524" t="s">
        <v>6896</v>
      </c>
      <c r="B1524" s="1">
        <v>45945</v>
      </c>
      <c r="C1524" s="5">
        <v>0.84368055555555554</v>
      </c>
      <c r="D1524">
        <v>121.61</v>
      </c>
      <c r="E1524" t="s">
        <v>44</v>
      </c>
      <c r="F1524" t="s">
        <v>4509</v>
      </c>
      <c r="G1524" t="s">
        <v>77</v>
      </c>
      <c r="H1524" t="s">
        <v>35</v>
      </c>
      <c r="I1524" t="s">
        <v>6897</v>
      </c>
      <c r="J1524">
        <v>27</v>
      </c>
      <c r="K1524" t="s">
        <v>49</v>
      </c>
      <c r="L1524" t="s">
        <v>58</v>
      </c>
      <c r="M1524" t="s">
        <v>51</v>
      </c>
      <c r="N1524" t="s">
        <v>507</v>
      </c>
      <c r="O1524">
        <v>495889</v>
      </c>
      <c r="P1524" t="s">
        <v>28</v>
      </c>
      <c r="Q1524" t="s">
        <v>6898</v>
      </c>
      <c r="R1524" t="s">
        <v>6899</v>
      </c>
      <c r="S1524" t="s">
        <v>31</v>
      </c>
      <c r="T1524">
        <v>0</v>
      </c>
    </row>
    <row r="1525" spans="1:20" x14ac:dyDescent="0.25">
      <c r="A1525" t="s">
        <v>6900</v>
      </c>
      <c r="B1525" s="1">
        <v>45861</v>
      </c>
      <c r="C1525" s="5">
        <v>0.41876157407407405</v>
      </c>
      <c r="D1525">
        <v>25.85</v>
      </c>
      <c r="E1525" t="s">
        <v>44</v>
      </c>
      <c r="F1525" t="s">
        <v>591</v>
      </c>
      <c r="G1525" t="s">
        <v>34</v>
      </c>
      <c r="H1525" t="s">
        <v>38</v>
      </c>
      <c r="I1525" t="s">
        <v>6901</v>
      </c>
      <c r="J1525">
        <v>64</v>
      </c>
      <c r="K1525" t="s">
        <v>49</v>
      </c>
      <c r="L1525" t="s">
        <v>130</v>
      </c>
      <c r="M1525" t="s">
        <v>105</v>
      </c>
      <c r="P1525" t="s">
        <v>28</v>
      </c>
      <c r="Q1525" t="s">
        <v>6902</v>
      </c>
      <c r="R1525" t="s">
        <v>6903</v>
      </c>
      <c r="S1525" t="s">
        <v>31</v>
      </c>
      <c r="T1525">
        <v>0</v>
      </c>
    </row>
    <row r="1526" spans="1:20" x14ac:dyDescent="0.25">
      <c r="A1526" t="s">
        <v>6904</v>
      </c>
      <c r="B1526" s="1">
        <v>45907</v>
      </c>
      <c r="C1526" s="5">
        <v>0.80292824074074076</v>
      </c>
      <c r="D1526">
        <v>518.17999999999995</v>
      </c>
      <c r="E1526" t="s">
        <v>44</v>
      </c>
      <c r="F1526" t="s">
        <v>374</v>
      </c>
      <c r="G1526" t="s">
        <v>71</v>
      </c>
      <c r="H1526" t="s">
        <v>35</v>
      </c>
      <c r="I1526" t="s">
        <v>6905</v>
      </c>
      <c r="J1526">
        <v>36</v>
      </c>
      <c r="K1526" t="s">
        <v>25</v>
      </c>
      <c r="L1526" t="s">
        <v>66</v>
      </c>
      <c r="M1526" t="s">
        <v>112</v>
      </c>
      <c r="P1526" t="s">
        <v>28</v>
      </c>
      <c r="Q1526" t="s">
        <v>6906</v>
      </c>
      <c r="R1526" t="s">
        <v>6907</v>
      </c>
      <c r="S1526" t="s">
        <v>31</v>
      </c>
      <c r="T1526">
        <v>0</v>
      </c>
    </row>
    <row r="1527" spans="1:20" x14ac:dyDescent="0.25">
      <c r="A1527" t="s">
        <v>6908</v>
      </c>
      <c r="B1527" s="1">
        <v>45874</v>
      </c>
      <c r="C1527" s="5">
        <v>0.16125</v>
      </c>
      <c r="D1527">
        <v>124.04</v>
      </c>
      <c r="E1527" t="s">
        <v>44</v>
      </c>
      <c r="F1527" t="s">
        <v>927</v>
      </c>
      <c r="G1527" t="s">
        <v>46</v>
      </c>
      <c r="H1527" t="s">
        <v>26</v>
      </c>
      <c r="I1527" t="s">
        <v>6909</v>
      </c>
      <c r="J1527">
        <v>47</v>
      </c>
      <c r="K1527" t="s">
        <v>25</v>
      </c>
      <c r="L1527" t="s">
        <v>146</v>
      </c>
      <c r="M1527" t="s">
        <v>105</v>
      </c>
      <c r="P1527" t="s">
        <v>28</v>
      </c>
      <c r="Q1527" t="s">
        <v>6910</v>
      </c>
      <c r="R1527" t="s">
        <v>6911</v>
      </c>
      <c r="S1527" t="s">
        <v>31</v>
      </c>
      <c r="T1527">
        <v>0</v>
      </c>
    </row>
    <row r="1528" spans="1:20" x14ac:dyDescent="0.25">
      <c r="A1528" t="s">
        <v>6912</v>
      </c>
      <c r="B1528" s="1">
        <v>45884</v>
      </c>
      <c r="C1528" s="5">
        <v>0.79865740740740743</v>
      </c>
      <c r="D1528">
        <v>165.31</v>
      </c>
      <c r="E1528" t="s">
        <v>44</v>
      </c>
      <c r="F1528" t="s">
        <v>4797</v>
      </c>
      <c r="G1528" t="s">
        <v>89</v>
      </c>
      <c r="H1528" t="s">
        <v>58</v>
      </c>
      <c r="I1528" t="s">
        <v>6913</v>
      </c>
      <c r="J1528">
        <v>66</v>
      </c>
      <c r="K1528" t="s">
        <v>25</v>
      </c>
      <c r="L1528" t="s">
        <v>47</v>
      </c>
      <c r="M1528" t="s">
        <v>105</v>
      </c>
      <c r="P1528" t="s">
        <v>28</v>
      </c>
      <c r="Q1528" t="s">
        <v>6914</v>
      </c>
      <c r="R1528" t="s">
        <v>6915</v>
      </c>
      <c r="S1528" t="s">
        <v>31</v>
      </c>
      <c r="T1528">
        <v>0</v>
      </c>
    </row>
    <row r="1529" spans="1:20" x14ac:dyDescent="0.25">
      <c r="A1529" t="s">
        <v>6916</v>
      </c>
      <c r="B1529" s="1">
        <v>45942</v>
      </c>
      <c r="C1529" s="5">
        <v>0.86981481481481482</v>
      </c>
      <c r="D1529">
        <v>184.92</v>
      </c>
      <c r="E1529" t="s">
        <v>44</v>
      </c>
      <c r="F1529" t="s">
        <v>1627</v>
      </c>
      <c r="G1529" t="s">
        <v>71</v>
      </c>
      <c r="H1529" t="s">
        <v>38</v>
      </c>
      <c r="I1529" t="s">
        <v>6917</v>
      </c>
      <c r="J1529">
        <v>72</v>
      </c>
      <c r="K1529" t="s">
        <v>25</v>
      </c>
      <c r="L1529" t="s">
        <v>23</v>
      </c>
      <c r="M1529" t="s">
        <v>84</v>
      </c>
      <c r="P1529" t="s">
        <v>28</v>
      </c>
      <c r="Q1529" t="s">
        <v>6918</v>
      </c>
      <c r="R1529" t="s">
        <v>6919</v>
      </c>
      <c r="S1529" t="s">
        <v>31</v>
      </c>
      <c r="T1529">
        <v>0</v>
      </c>
    </row>
    <row r="1530" spans="1:20" x14ac:dyDescent="0.25">
      <c r="A1530" t="s">
        <v>6920</v>
      </c>
      <c r="B1530" s="1">
        <v>45942</v>
      </c>
      <c r="C1530" s="5">
        <v>0.49753472222222223</v>
      </c>
      <c r="D1530">
        <v>625.11</v>
      </c>
      <c r="E1530" t="s">
        <v>44</v>
      </c>
      <c r="F1530" t="s">
        <v>4661</v>
      </c>
      <c r="G1530" t="s">
        <v>71</v>
      </c>
      <c r="H1530" t="s">
        <v>35</v>
      </c>
      <c r="I1530" t="s">
        <v>6921</v>
      </c>
      <c r="J1530">
        <v>56</v>
      </c>
      <c r="K1530" t="s">
        <v>49</v>
      </c>
      <c r="L1530" t="s">
        <v>130</v>
      </c>
      <c r="M1530" t="s">
        <v>84</v>
      </c>
      <c r="P1530" t="s">
        <v>28</v>
      </c>
      <c r="Q1530" t="s">
        <v>6922</v>
      </c>
      <c r="R1530" t="s">
        <v>6923</v>
      </c>
      <c r="S1530" t="s">
        <v>31</v>
      </c>
      <c r="T1530">
        <v>0</v>
      </c>
    </row>
    <row r="1531" spans="1:20" x14ac:dyDescent="0.25">
      <c r="A1531" t="s">
        <v>6924</v>
      </c>
      <c r="B1531" s="1">
        <v>45923</v>
      </c>
      <c r="C1531" s="5">
        <v>0.53788194444444448</v>
      </c>
      <c r="D1531">
        <v>29.91</v>
      </c>
      <c r="E1531" t="s">
        <v>44</v>
      </c>
      <c r="F1531" t="s">
        <v>6860</v>
      </c>
      <c r="G1531" t="s">
        <v>77</v>
      </c>
      <c r="H1531" t="s">
        <v>23</v>
      </c>
      <c r="I1531" t="s">
        <v>6925</v>
      </c>
      <c r="J1531">
        <v>43</v>
      </c>
      <c r="K1531" t="s">
        <v>25</v>
      </c>
      <c r="L1531" t="s">
        <v>110</v>
      </c>
      <c r="M1531" t="s">
        <v>105</v>
      </c>
      <c r="P1531" t="s">
        <v>28</v>
      </c>
      <c r="Q1531" t="s">
        <v>6926</v>
      </c>
      <c r="R1531" t="s">
        <v>6927</v>
      </c>
      <c r="S1531" t="s">
        <v>31</v>
      </c>
      <c r="T1531">
        <v>0</v>
      </c>
    </row>
    <row r="1532" spans="1:20" x14ac:dyDescent="0.25">
      <c r="A1532" t="s">
        <v>6928</v>
      </c>
      <c r="B1532" s="1">
        <v>45904</v>
      </c>
      <c r="C1532" s="5">
        <v>0.35092592592592592</v>
      </c>
      <c r="D1532">
        <v>58.48</v>
      </c>
      <c r="E1532" t="s">
        <v>44</v>
      </c>
      <c r="F1532" t="s">
        <v>3293</v>
      </c>
      <c r="G1532" t="s">
        <v>46</v>
      </c>
      <c r="H1532" t="s">
        <v>58</v>
      </c>
      <c r="I1532" t="s">
        <v>6929</v>
      </c>
      <c r="J1532">
        <v>31</v>
      </c>
      <c r="K1532" t="s">
        <v>25</v>
      </c>
      <c r="L1532" t="s">
        <v>130</v>
      </c>
      <c r="M1532" t="s">
        <v>112</v>
      </c>
      <c r="P1532" t="s">
        <v>28</v>
      </c>
      <c r="Q1532" t="s">
        <v>6930</v>
      </c>
      <c r="R1532" t="s">
        <v>6931</v>
      </c>
      <c r="S1532" t="s">
        <v>101</v>
      </c>
      <c r="T1532">
        <v>0</v>
      </c>
    </row>
    <row r="1533" spans="1:20" x14ac:dyDescent="0.25">
      <c r="A1533" t="s">
        <v>6932</v>
      </c>
      <c r="B1533" s="1">
        <v>45884</v>
      </c>
      <c r="C1533" s="5">
        <v>0.91055555555555556</v>
      </c>
      <c r="D1533">
        <v>145.85</v>
      </c>
      <c r="E1533" t="s">
        <v>44</v>
      </c>
      <c r="F1533" t="s">
        <v>5124</v>
      </c>
      <c r="G1533" t="s">
        <v>124</v>
      </c>
      <c r="H1533" t="s">
        <v>91</v>
      </c>
      <c r="I1533" t="s">
        <v>6933</v>
      </c>
      <c r="J1533">
        <v>31</v>
      </c>
      <c r="K1533" t="s">
        <v>37</v>
      </c>
      <c r="L1533" t="s">
        <v>58</v>
      </c>
      <c r="M1533" t="s">
        <v>39</v>
      </c>
      <c r="P1533" t="s">
        <v>28</v>
      </c>
      <c r="Q1533" t="s">
        <v>6934</v>
      </c>
      <c r="R1533" t="s">
        <v>6935</v>
      </c>
      <c r="S1533" t="s">
        <v>31</v>
      </c>
      <c r="T1533">
        <v>0</v>
      </c>
    </row>
    <row r="1534" spans="1:20" x14ac:dyDescent="0.25">
      <c r="A1534" t="s">
        <v>6936</v>
      </c>
      <c r="B1534" s="1">
        <v>45851</v>
      </c>
      <c r="C1534" s="5">
        <v>0.37274305555555554</v>
      </c>
      <c r="D1534">
        <v>1.19</v>
      </c>
      <c r="E1534" t="s">
        <v>44</v>
      </c>
      <c r="F1534" t="s">
        <v>3045</v>
      </c>
      <c r="G1534" t="s">
        <v>89</v>
      </c>
      <c r="H1534" t="s">
        <v>35</v>
      </c>
      <c r="I1534" t="s">
        <v>6937</v>
      </c>
      <c r="J1534">
        <v>35</v>
      </c>
      <c r="K1534" t="s">
        <v>49</v>
      </c>
      <c r="L1534" t="s">
        <v>66</v>
      </c>
      <c r="M1534" t="s">
        <v>51</v>
      </c>
      <c r="N1534" t="s">
        <v>304</v>
      </c>
      <c r="O1534">
        <v>401540</v>
      </c>
      <c r="P1534" t="s">
        <v>28</v>
      </c>
      <c r="Q1534" t="s">
        <v>6938</v>
      </c>
      <c r="R1534" t="s">
        <v>6939</v>
      </c>
      <c r="S1534" t="s">
        <v>31</v>
      </c>
      <c r="T1534">
        <v>1</v>
      </c>
    </row>
    <row r="1535" spans="1:20" x14ac:dyDescent="0.25">
      <c r="A1535" t="s">
        <v>6940</v>
      </c>
      <c r="B1535" s="1">
        <v>45839</v>
      </c>
      <c r="C1535" s="5">
        <v>0.33124999999999999</v>
      </c>
      <c r="D1535">
        <v>109</v>
      </c>
      <c r="E1535" t="s">
        <v>44</v>
      </c>
      <c r="F1535" t="s">
        <v>2209</v>
      </c>
      <c r="G1535" t="s">
        <v>46</v>
      </c>
      <c r="H1535" t="s">
        <v>35</v>
      </c>
      <c r="I1535" t="s">
        <v>6941</v>
      </c>
      <c r="J1535">
        <v>28</v>
      </c>
      <c r="K1535" t="s">
        <v>37</v>
      </c>
      <c r="L1535" t="s">
        <v>58</v>
      </c>
      <c r="M1535" t="s">
        <v>105</v>
      </c>
      <c r="P1535" t="s">
        <v>28</v>
      </c>
      <c r="Q1535" t="s">
        <v>6942</v>
      </c>
      <c r="R1535" t="s">
        <v>6943</v>
      </c>
      <c r="S1535" t="s">
        <v>101</v>
      </c>
      <c r="T1535">
        <v>0</v>
      </c>
    </row>
    <row r="1536" spans="1:20" x14ac:dyDescent="0.25">
      <c r="A1536" t="s">
        <v>6944</v>
      </c>
      <c r="B1536" s="1">
        <v>45958</v>
      </c>
      <c r="C1536" s="5">
        <v>0.88310185185185186</v>
      </c>
      <c r="D1536">
        <v>172.69</v>
      </c>
      <c r="E1536" t="s">
        <v>44</v>
      </c>
      <c r="F1536" t="s">
        <v>1612</v>
      </c>
      <c r="G1536" t="s">
        <v>22</v>
      </c>
      <c r="H1536" t="s">
        <v>91</v>
      </c>
      <c r="I1536" t="s">
        <v>6945</v>
      </c>
      <c r="J1536">
        <v>63</v>
      </c>
      <c r="K1536" t="s">
        <v>37</v>
      </c>
      <c r="L1536" t="s">
        <v>58</v>
      </c>
      <c r="M1536" t="s">
        <v>27</v>
      </c>
      <c r="P1536" t="s">
        <v>28</v>
      </c>
      <c r="Q1536" t="s">
        <v>6946</v>
      </c>
      <c r="R1536" t="s">
        <v>6947</v>
      </c>
      <c r="S1536" t="s">
        <v>31</v>
      </c>
      <c r="T1536">
        <v>0</v>
      </c>
    </row>
    <row r="1537" spans="1:20" x14ac:dyDescent="0.25">
      <c r="A1537" t="s">
        <v>6948</v>
      </c>
      <c r="B1537" s="1">
        <v>45959</v>
      </c>
      <c r="C1537" s="5">
        <v>0.80975694444444446</v>
      </c>
      <c r="D1537">
        <v>733.04</v>
      </c>
      <c r="E1537" t="s">
        <v>44</v>
      </c>
      <c r="F1537" t="s">
        <v>6949</v>
      </c>
      <c r="G1537" t="s">
        <v>96</v>
      </c>
      <c r="H1537" t="s">
        <v>119</v>
      </c>
      <c r="I1537" t="s">
        <v>6950</v>
      </c>
      <c r="J1537">
        <v>42</v>
      </c>
      <c r="K1537" t="s">
        <v>37</v>
      </c>
      <c r="L1537" t="s">
        <v>91</v>
      </c>
      <c r="M1537" t="s">
        <v>39</v>
      </c>
      <c r="P1537" t="s">
        <v>28</v>
      </c>
      <c r="Q1537" t="s">
        <v>6951</v>
      </c>
      <c r="R1537" t="s">
        <v>6952</v>
      </c>
      <c r="S1537" t="s">
        <v>31</v>
      </c>
      <c r="T1537">
        <v>0</v>
      </c>
    </row>
    <row r="1538" spans="1:20" x14ac:dyDescent="0.25">
      <c r="A1538" t="s">
        <v>6953</v>
      </c>
      <c r="B1538" s="1">
        <v>45804</v>
      </c>
      <c r="C1538" s="5">
        <v>0.739375</v>
      </c>
      <c r="D1538">
        <v>110.75</v>
      </c>
      <c r="E1538" t="s">
        <v>44</v>
      </c>
      <c r="F1538" t="s">
        <v>505</v>
      </c>
      <c r="G1538" t="s">
        <v>71</v>
      </c>
      <c r="H1538" t="s">
        <v>50</v>
      </c>
      <c r="I1538" t="s">
        <v>6954</v>
      </c>
      <c r="J1538">
        <v>30</v>
      </c>
      <c r="K1538" t="s">
        <v>37</v>
      </c>
      <c r="L1538" t="s">
        <v>35</v>
      </c>
      <c r="M1538" t="s">
        <v>27</v>
      </c>
      <c r="P1538" t="s">
        <v>28</v>
      </c>
      <c r="Q1538" t="s">
        <v>6955</v>
      </c>
      <c r="R1538" t="s">
        <v>6956</v>
      </c>
      <c r="S1538" t="s">
        <v>31</v>
      </c>
      <c r="T1538">
        <v>0</v>
      </c>
    </row>
    <row r="1539" spans="1:20" x14ac:dyDescent="0.25">
      <c r="A1539" t="s">
        <v>6957</v>
      </c>
      <c r="B1539" s="1">
        <v>45815</v>
      </c>
      <c r="C1539" s="5">
        <v>0.92423611111111115</v>
      </c>
      <c r="D1539">
        <v>114.14</v>
      </c>
      <c r="E1539" t="s">
        <v>44</v>
      </c>
      <c r="F1539" t="s">
        <v>1766</v>
      </c>
      <c r="G1539" t="s">
        <v>57</v>
      </c>
      <c r="H1539" t="s">
        <v>23</v>
      </c>
      <c r="I1539" t="s">
        <v>6958</v>
      </c>
      <c r="J1539">
        <v>28</v>
      </c>
      <c r="K1539" t="s">
        <v>37</v>
      </c>
      <c r="L1539" t="s">
        <v>47</v>
      </c>
      <c r="M1539" t="s">
        <v>51</v>
      </c>
      <c r="N1539" t="s">
        <v>345</v>
      </c>
      <c r="O1539">
        <v>493606</v>
      </c>
      <c r="P1539" t="s">
        <v>28</v>
      </c>
      <c r="Q1539" t="s">
        <v>6959</v>
      </c>
      <c r="R1539" t="s">
        <v>6960</v>
      </c>
      <c r="S1539" t="s">
        <v>31</v>
      </c>
      <c r="T1539">
        <v>0</v>
      </c>
    </row>
    <row r="1540" spans="1:20" x14ac:dyDescent="0.25">
      <c r="A1540" t="s">
        <v>6961</v>
      </c>
      <c r="B1540" s="1">
        <v>45838</v>
      </c>
      <c r="C1540" s="5">
        <v>0.61935185185185182</v>
      </c>
      <c r="D1540">
        <v>169.17</v>
      </c>
      <c r="E1540" t="s">
        <v>44</v>
      </c>
      <c r="F1540" t="s">
        <v>145</v>
      </c>
      <c r="G1540" t="s">
        <v>57</v>
      </c>
      <c r="H1540" t="s">
        <v>23</v>
      </c>
      <c r="I1540" t="s">
        <v>6962</v>
      </c>
      <c r="J1540">
        <v>59</v>
      </c>
      <c r="K1540" t="s">
        <v>25</v>
      </c>
      <c r="L1540" t="s">
        <v>23</v>
      </c>
      <c r="M1540" t="s">
        <v>51</v>
      </c>
      <c r="N1540" t="s">
        <v>52</v>
      </c>
      <c r="O1540">
        <v>419663</v>
      </c>
      <c r="P1540" t="s">
        <v>113</v>
      </c>
      <c r="Q1540" t="s">
        <v>6963</v>
      </c>
      <c r="R1540" t="s">
        <v>6964</v>
      </c>
      <c r="S1540" t="s">
        <v>31</v>
      </c>
      <c r="T1540">
        <v>0</v>
      </c>
    </row>
    <row r="1541" spans="1:20" x14ac:dyDescent="0.25">
      <c r="A1541" t="s">
        <v>6965</v>
      </c>
      <c r="B1541" s="1">
        <v>45824</v>
      </c>
      <c r="C1541" s="5">
        <v>0.70281249999999995</v>
      </c>
      <c r="D1541">
        <v>14.14</v>
      </c>
      <c r="E1541" t="s">
        <v>44</v>
      </c>
      <c r="F1541" t="s">
        <v>6728</v>
      </c>
      <c r="G1541" t="s">
        <v>71</v>
      </c>
      <c r="H1541" t="s">
        <v>38</v>
      </c>
      <c r="I1541" t="s">
        <v>6966</v>
      </c>
      <c r="J1541">
        <v>20</v>
      </c>
      <c r="K1541" t="s">
        <v>37</v>
      </c>
      <c r="L1541" t="s">
        <v>38</v>
      </c>
      <c r="M1541" t="s">
        <v>39</v>
      </c>
      <c r="P1541" t="s">
        <v>113</v>
      </c>
      <c r="Q1541" t="s">
        <v>6967</v>
      </c>
      <c r="R1541" t="s">
        <v>6968</v>
      </c>
      <c r="S1541" t="s">
        <v>31</v>
      </c>
      <c r="T1541">
        <v>0</v>
      </c>
    </row>
    <row r="1542" spans="1:20" x14ac:dyDescent="0.25">
      <c r="A1542" t="s">
        <v>6969</v>
      </c>
      <c r="B1542" s="1">
        <v>45806</v>
      </c>
      <c r="C1542" s="5">
        <v>0.24987268518518518</v>
      </c>
      <c r="D1542">
        <v>170.79</v>
      </c>
      <c r="E1542" t="s">
        <v>44</v>
      </c>
      <c r="F1542" t="s">
        <v>888</v>
      </c>
      <c r="G1542" t="s">
        <v>89</v>
      </c>
      <c r="H1542" t="s">
        <v>66</v>
      </c>
      <c r="I1542" t="s">
        <v>6970</v>
      </c>
      <c r="J1542">
        <v>34</v>
      </c>
      <c r="K1542" t="s">
        <v>37</v>
      </c>
      <c r="L1542" t="s">
        <v>66</v>
      </c>
      <c r="M1542" t="s">
        <v>51</v>
      </c>
      <c r="N1542" t="s">
        <v>345</v>
      </c>
      <c r="O1542">
        <v>510468</v>
      </c>
      <c r="P1542" t="s">
        <v>113</v>
      </c>
      <c r="Q1542" t="s">
        <v>6971</v>
      </c>
      <c r="R1542" t="s">
        <v>6972</v>
      </c>
      <c r="S1542" t="s">
        <v>31</v>
      </c>
      <c r="T1542">
        <v>0</v>
      </c>
    </row>
    <row r="1543" spans="1:20" x14ac:dyDescent="0.25">
      <c r="A1543" t="s">
        <v>6973</v>
      </c>
      <c r="B1543" s="1">
        <v>45798</v>
      </c>
      <c r="C1543" s="5">
        <v>0.63284722222222223</v>
      </c>
      <c r="D1543">
        <v>176.88</v>
      </c>
      <c r="E1543" t="s">
        <v>44</v>
      </c>
      <c r="F1543" t="s">
        <v>452</v>
      </c>
      <c r="G1543" t="s">
        <v>46</v>
      </c>
      <c r="H1543" t="s">
        <v>110</v>
      </c>
      <c r="I1543" t="s">
        <v>6974</v>
      </c>
      <c r="J1543">
        <v>74</v>
      </c>
      <c r="K1543" t="s">
        <v>37</v>
      </c>
      <c r="L1543" t="s">
        <v>146</v>
      </c>
      <c r="M1543" t="s">
        <v>51</v>
      </c>
      <c r="N1543" t="s">
        <v>173</v>
      </c>
      <c r="O1543">
        <v>459147</v>
      </c>
      <c r="P1543" t="s">
        <v>28</v>
      </c>
      <c r="Q1543" t="s">
        <v>6975</v>
      </c>
      <c r="R1543" t="s">
        <v>6976</v>
      </c>
      <c r="S1543" t="s">
        <v>31</v>
      </c>
      <c r="T1543">
        <v>0</v>
      </c>
    </row>
    <row r="1544" spans="1:20" x14ac:dyDescent="0.25">
      <c r="A1544" t="s">
        <v>6977</v>
      </c>
      <c r="B1544" s="1">
        <v>45790</v>
      </c>
      <c r="C1544" s="5">
        <v>0.66166666666666663</v>
      </c>
      <c r="D1544">
        <v>152.15</v>
      </c>
      <c r="E1544" t="s">
        <v>44</v>
      </c>
      <c r="F1544" t="s">
        <v>6978</v>
      </c>
      <c r="G1544" t="s">
        <v>57</v>
      </c>
      <c r="H1544" t="s">
        <v>119</v>
      </c>
      <c r="I1544" t="s">
        <v>6979</v>
      </c>
      <c r="J1544">
        <v>53</v>
      </c>
      <c r="K1544" t="s">
        <v>37</v>
      </c>
      <c r="L1544" t="s">
        <v>146</v>
      </c>
      <c r="M1544" t="s">
        <v>112</v>
      </c>
      <c r="P1544" t="s">
        <v>28</v>
      </c>
      <c r="Q1544" t="s">
        <v>6980</v>
      </c>
      <c r="R1544" t="s">
        <v>6981</v>
      </c>
      <c r="S1544" t="s">
        <v>31</v>
      </c>
      <c r="T1544">
        <v>0</v>
      </c>
    </row>
    <row r="1545" spans="1:20" x14ac:dyDescent="0.25">
      <c r="A1545" t="s">
        <v>6982</v>
      </c>
      <c r="B1545" s="1">
        <v>45800</v>
      </c>
      <c r="C1545" s="5">
        <v>0.43194444444444446</v>
      </c>
      <c r="D1545">
        <v>83.75</v>
      </c>
      <c r="E1545" t="s">
        <v>44</v>
      </c>
      <c r="F1545" t="s">
        <v>6983</v>
      </c>
      <c r="G1545" t="s">
        <v>71</v>
      </c>
      <c r="H1545" t="s">
        <v>248</v>
      </c>
      <c r="I1545" t="s">
        <v>6984</v>
      </c>
      <c r="J1545">
        <v>25</v>
      </c>
      <c r="K1545" t="s">
        <v>49</v>
      </c>
      <c r="L1545" t="s">
        <v>91</v>
      </c>
      <c r="M1545" t="s">
        <v>105</v>
      </c>
      <c r="P1545" t="s">
        <v>28</v>
      </c>
      <c r="Q1545" t="s">
        <v>6985</v>
      </c>
      <c r="R1545" t="s">
        <v>6986</v>
      </c>
      <c r="S1545" t="s">
        <v>31</v>
      </c>
      <c r="T1545">
        <v>0</v>
      </c>
    </row>
    <row r="1546" spans="1:20" x14ac:dyDescent="0.25">
      <c r="A1546" t="s">
        <v>6987</v>
      </c>
      <c r="B1546" s="1">
        <v>45907</v>
      </c>
      <c r="C1546" s="5">
        <v>3.9953703703703707E-2</v>
      </c>
      <c r="D1546">
        <v>17.22</v>
      </c>
      <c r="E1546" t="s">
        <v>44</v>
      </c>
      <c r="F1546" t="s">
        <v>3708</v>
      </c>
      <c r="G1546" t="s">
        <v>77</v>
      </c>
      <c r="H1546" t="s">
        <v>38</v>
      </c>
      <c r="I1546" t="s">
        <v>6988</v>
      </c>
      <c r="J1546">
        <v>38</v>
      </c>
      <c r="K1546" t="s">
        <v>37</v>
      </c>
      <c r="L1546" t="s">
        <v>38</v>
      </c>
      <c r="M1546" t="s">
        <v>51</v>
      </c>
      <c r="N1546" t="s">
        <v>507</v>
      </c>
      <c r="O1546">
        <v>476785</v>
      </c>
      <c r="P1546" t="s">
        <v>113</v>
      </c>
      <c r="Q1546" t="s">
        <v>6989</v>
      </c>
      <c r="R1546" t="s">
        <v>6990</v>
      </c>
      <c r="S1546" t="s">
        <v>31</v>
      </c>
      <c r="T1546">
        <v>0</v>
      </c>
    </row>
    <row r="1547" spans="1:20" x14ac:dyDescent="0.25">
      <c r="A1547" t="s">
        <v>6991</v>
      </c>
      <c r="B1547" s="1">
        <v>45851</v>
      </c>
      <c r="C1547" s="5">
        <v>0.55583333333333329</v>
      </c>
      <c r="D1547">
        <v>30.09</v>
      </c>
      <c r="E1547" t="s">
        <v>44</v>
      </c>
      <c r="F1547" t="s">
        <v>1583</v>
      </c>
      <c r="G1547" t="s">
        <v>64</v>
      </c>
      <c r="H1547" t="s">
        <v>130</v>
      </c>
      <c r="I1547" t="s">
        <v>6992</v>
      </c>
      <c r="J1547">
        <v>22</v>
      </c>
      <c r="K1547" t="s">
        <v>25</v>
      </c>
      <c r="L1547" t="s">
        <v>35</v>
      </c>
      <c r="M1547" t="s">
        <v>112</v>
      </c>
      <c r="P1547" t="s">
        <v>28</v>
      </c>
      <c r="Q1547" t="s">
        <v>6993</v>
      </c>
      <c r="R1547" t="s">
        <v>6994</v>
      </c>
      <c r="S1547" t="s">
        <v>31</v>
      </c>
      <c r="T1547">
        <v>0</v>
      </c>
    </row>
    <row r="1548" spans="1:20" x14ac:dyDescent="0.25">
      <c r="A1548" t="s">
        <v>6995</v>
      </c>
      <c r="B1548" s="1">
        <v>45868</v>
      </c>
      <c r="C1548" s="5">
        <v>1.0590277777777778E-2</v>
      </c>
      <c r="D1548">
        <v>122.45</v>
      </c>
      <c r="E1548" t="s">
        <v>44</v>
      </c>
      <c r="F1548" t="s">
        <v>3902</v>
      </c>
      <c r="G1548" t="s">
        <v>34</v>
      </c>
      <c r="H1548" t="s">
        <v>119</v>
      </c>
      <c r="I1548" t="s">
        <v>6996</v>
      </c>
      <c r="J1548">
        <v>63</v>
      </c>
      <c r="K1548" t="s">
        <v>49</v>
      </c>
      <c r="L1548" t="s">
        <v>66</v>
      </c>
      <c r="M1548" t="s">
        <v>39</v>
      </c>
      <c r="P1548" t="s">
        <v>28</v>
      </c>
      <c r="Q1548" t="s">
        <v>6997</v>
      </c>
      <c r="R1548" t="s">
        <v>6998</v>
      </c>
      <c r="S1548" t="s">
        <v>42</v>
      </c>
      <c r="T1548">
        <v>0</v>
      </c>
    </row>
    <row r="1549" spans="1:20" x14ac:dyDescent="0.25">
      <c r="A1549" t="s">
        <v>6999</v>
      </c>
      <c r="B1549" s="1">
        <v>45780</v>
      </c>
      <c r="C1549" s="5">
        <v>0.75287037037037041</v>
      </c>
      <c r="D1549">
        <v>956.19</v>
      </c>
      <c r="E1549" t="s">
        <v>44</v>
      </c>
      <c r="F1549" t="s">
        <v>3400</v>
      </c>
      <c r="G1549" t="s">
        <v>89</v>
      </c>
      <c r="H1549" t="s">
        <v>26</v>
      </c>
      <c r="I1549" t="s">
        <v>7000</v>
      </c>
      <c r="J1549">
        <v>59</v>
      </c>
      <c r="K1549" t="s">
        <v>37</v>
      </c>
      <c r="L1549" t="s">
        <v>23</v>
      </c>
      <c r="M1549" t="s">
        <v>112</v>
      </c>
      <c r="P1549" t="s">
        <v>28</v>
      </c>
      <c r="Q1549" t="s">
        <v>7001</v>
      </c>
      <c r="R1549" t="s">
        <v>7002</v>
      </c>
      <c r="S1549" t="s">
        <v>101</v>
      </c>
      <c r="T1549">
        <v>0</v>
      </c>
    </row>
    <row r="1550" spans="1:20" x14ac:dyDescent="0.25">
      <c r="A1550" t="s">
        <v>7003</v>
      </c>
      <c r="B1550" s="1">
        <v>45815</v>
      </c>
      <c r="C1550" s="5">
        <v>0.56268518518518518</v>
      </c>
      <c r="D1550">
        <v>174.18</v>
      </c>
      <c r="E1550" t="s">
        <v>44</v>
      </c>
      <c r="F1550" t="s">
        <v>683</v>
      </c>
      <c r="G1550" t="s">
        <v>64</v>
      </c>
      <c r="H1550" t="s">
        <v>50</v>
      </c>
      <c r="I1550" t="s">
        <v>7004</v>
      </c>
      <c r="J1550">
        <v>31</v>
      </c>
      <c r="K1550" t="s">
        <v>25</v>
      </c>
      <c r="L1550" t="s">
        <v>66</v>
      </c>
      <c r="M1550" t="s">
        <v>39</v>
      </c>
      <c r="P1550" t="s">
        <v>28</v>
      </c>
      <c r="Q1550" t="s">
        <v>7005</v>
      </c>
      <c r="R1550" t="s">
        <v>7006</v>
      </c>
      <c r="S1550" t="s">
        <v>31</v>
      </c>
      <c r="T1550">
        <v>0</v>
      </c>
    </row>
    <row r="1551" spans="1:20" x14ac:dyDescent="0.25">
      <c r="A1551" t="s">
        <v>7007</v>
      </c>
      <c r="B1551" s="1">
        <v>45917</v>
      </c>
      <c r="C1551" s="5">
        <v>0.53089120370370368</v>
      </c>
      <c r="D1551">
        <v>186.31</v>
      </c>
      <c r="E1551" t="s">
        <v>44</v>
      </c>
      <c r="F1551" t="s">
        <v>3789</v>
      </c>
      <c r="G1551" t="s">
        <v>22</v>
      </c>
      <c r="H1551" t="s">
        <v>248</v>
      </c>
      <c r="I1551" t="s">
        <v>7008</v>
      </c>
      <c r="J1551">
        <v>25</v>
      </c>
      <c r="K1551" t="s">
        <v>37</v>
      </c>
      <c r="L1551" t="s">
        <v>35</v>
      </c>
      <c r="M1551" t="s">
        <v>84</v>
      </c>
      <c r="P1551" t="s">
        <v>28</v>
      </c>
      <c r="Q1551" t="s">
        <v>7009</v>
      </c>
      <c r="R1551" t="s">
        <v>7010</v>
      </c>
      <c r="S1551" t="s">
        <v>31</v>
      </c>
      <c r="T1551">
        <v>0</v>
      </c>
    </row>
    <row r="1552" spans="1:20" x14ac:dyDescent="0.25">
      <c r="A1552" t="s">
        <v>7011</v>
      </c>
      <c r="B1552" s="1">
        <v>45801</v>
      </c>
      <c r="C1552" s="5">
        <v>0.31368055555555557</v>
      </c>
      <c r="D1552">
        <v>39.94</v>
      </c>
      <c r="E1552" t="s">
        <v>44</v>
      </c>
      <c r="F1552" t="s">
        <v>2999</v>
      </c>
      <c r="G1552" t="s">
        <v>89</v>
      </c>
      <c r="H1552" t="s">
        <v>130</v>
      </c>
      <c r="I1552" t="s">
        <v>7012</v>
      </c>
      <c r="J1552">
        <v>45</v>
      </c>
      <c r="K1552" t="s">
        <v>37</v>
      </c>
      <c r="L1552" t="s">
        <v>35</v>
      </c>
      <c r="M1552" t="s">
        <v>84</v>
      </c>
      <c r="P1552" t="s">
        <v>28</v>
      </c>
      <c r="Q1552" t="s">
        <v>7013</v>
      </c>
      <c r="R1552" t="s">
        <v>7014</v>
      </c>
      <c r="S1552" t="s">
        <v>31</v>
      </c>
      <c r="T1552">
        <v>1</v>
      </c>
    </row>
    <row r="1553" spans="1:20" x14ac:dyDescent="0.25">
      <c r="A1553" t="s">
        <v>7015</v>
      </c>
      <c r="B1553" s="1">
        <v>45888</v>
      </c>
      <c r="C1553" s="5">
        <v>0.16692129629629629</v>
      </c>
      <c r="D1553">
        <v>158.53</v>
      </c>
      <c r="E1553" t="s">
        <v>44</v>
      </c>
      <c r="F1553" t="s">
        <v>5824</v>
      </c>
      <c r="G1553" t="s">
        <v>71</v>
      </c>
      <c r="H1553" t="s">
        <v>66</v>
      </c>
      <c r="I1553" t="s">
        <v>7016</v>
      </c>
      <c r="J1553">
        <v>61</v>
      </c>
      <c r="K1553" t="s">
        <v>37</v>
      </c>
      <c r="L1553" t="s">
        <v>97</v>
      </c>
      <c r="M1553" t="s">
        <v>105</v>
      </c>
      <c r="P1553" t="s">
        <v>28</v>
      </c>
      <c r="Q1553" t="s">
        <v>7017</v>
      </c>
      <c r="R1553" t="s">
        <v>7018</v>
      </c>
      <c r="S1553" t="s">
        <v>31</v>
      </c>
      <c r="T1553">
        <v>0</v>
      </c>
    </row>
    <row r="1554" spans="1:20" x14ac:dyDescent="0.25">
      <c r="A1554" t="s">
        <v>7019</v>
      </c>
      <c r="B1554" s="1">
        <v>45876</v>
      </c>
      <c r="C1554" s="5">
        <v>1.7071759259259259E-2</v>
      </c>
      <c r="D1554">
        <v>896.91</v>
      </c>
      <c r="E1554" t="s">
        <v>44</v>
      </c>
      <c r="F1554" t="s">
        <v>3375</v>
      </c>
      <c r="G1554" t="s">
        <v>22</v>
      </c>
      <c r="H1554" t="s">
        <v>248</v>
      </c>
      <c r="I1554" t="s">
        <v>7020</v>
      </c>
      <c r="J1554">
        <v>59</v>
      </c>
      <c r="K1554" t="s">
        <v>25</v>
      </c>
      <c r="L1554" t="s">
        <v>119</v>
      </c>
      <c r="M1554" t="s">
        <v>112</v>
      </c>
      <c r="P1554" t="s">
        <v>28</v>
      </c>
      <c r="Q1554" t="s">
        <v>7021</v>
      </c>
      <c r="R1554" t="s">
        <v>7022</v>
      </c>
      <c r="S1554" t="s">
        <v>31</v>
      </c>
      <c r="T1554">
        <v>0</v>
      </c>
    </row>
    <row r="1555" spans="1:20" x14ac:dyDescent="0.25">
      <c r="A1555" t="s">
        <v>7023</v>
      </c>
      <c r="B1555" s="1">
        <v>45837</v>
      </c>
      <c r="C1555" s="5">
        <v>8.8773148148148143E-2</v>
      </c>
      <c r="D1555">
        <v>102.37</v>
      </c>
      <c r="E1555" t="s">
        <v>44</v>
      </c>
      <c r="F1555" t="s">
        <v>384</v>
      </c>
      <c r="G1555" t="s">
        <v>96</v>
      </c>
      <c r="H1555" t="s">
        <v>91</v>
      </c>
      <c r="I1555" t="s">
        <v>7024</v>
      </c>
      <c r="J1555">
        <v>35</v>
      </c>
      <c r="K1555" t="s">
        <v>25</v>
      </c>
      <c r="L1555" t="s">
        <v>91</v>
      </c>
      <c r="M1555" t="s">
        <v>105</v>
      </c>
      <c r="P1555" t="s">
        <v>113</v>
      </c>
      <c r="Q1555" t="s">
        <v>7025</v>
      </c>
      <c r="R1555" t="s">
        <v>7026</v>
      </c>
      <c r="S1555" t="s">
        <v>31</v>
      </c>
      <c r="T1555">
        <v>0</v>
      </c>
    </row>
    <row r="1556" spans="1:20" x14ac:dyDescent="0.25">
      <c r="A1556" t="s">
        <v>7027</v>
      </c>
      <c r="B1556" s="1">
        <v>45797</v>
      </c>
      <c r="C1556" s="5">
        <v>2.6377314814814815E-2</v>
      </c>
      <c r="D1556">
        <v>49.11</v>
      </c>
      <c r="E1556" t="s">
        <v>44</v>
      </c>
      <c r="F1556" t="s">
        <v>7028</v>
      </c>
      <c r="G1556" t="s">
        <v>34</v>
      </c>
      <c r="H1556" t="s">
        <v>130</v>
      </c>
      <c r="I1556" t="s">
        <v>7029</v>
      </c>
      <c r="J1556">
        <v>25</v>
      </c>
      <c r="K1556" t="s">
        <v>25</v>
      </c>
      <c r="L1556" t="s">
        <v>91</v>
      </c>
      <c r="M1556" t="s">
        <v>84</v>
      </c>
      <c r="P1556" t="s">
        <v>28</v>
      </c>
      <c r="Q1556" t="s">
        <v>7030</v>
      </c>
      <c r="R1556" t="s">
        <v>7031</v>
      </c>
      <c r="S1556" t="s">
        <v>31</v>
      </c>
      <c r="T1556">
        <v>0</v>
      </c>
    </row>
    <row r="1557" spans="1:20" x14ac:dyDescent="0.25">
      <c r="A1557" t="s">
        <v>7032</v>
      </c>
      <c r="B1557" s="1">
        <v>45803</v>
      </c>
      <c r="C1557" s="5">
        <v>0.18557870370370369</v>
      </c>
      <c r="D1557">
        <v>166.07</v>
      </c>
      <c r="E1557" t="s">
        <v>44</v>
      </c>
      <c r="F1557" t="s">
        <v>988</v>
      </c>
      <c r="G1557" t="s">
        <v>34</v>
      </c>
      <c r="H1557" t="s">
        <v>50</v>
      </c>
      <c r="I1557" t="s">
        <v>7033</v>
      </c>
      <c r="J1557">
        <v>26</v>
      </c>
      <c r="K1557" t="s">
        <v>37</v>
      </c>
      <c r="L1557" t="s">
        <v>47</v>
      </c>
      <c r="M1557" t="s">
        <v>39</v>
      </c>
      <c r="P1557" t="s">
        <v>28</v>
      </c>
      <c r="Q1557" t="s">
        <v>7034</v>
      </c>
      <c r="R1557" t="s">
        <v>7035</v>
      </c>
      <c r="S1557" t="s">
        <v>31</v>
      </c>
      <c r="T1557">
        <v>0</v>
      </c>
    </row>
    <row r="1558" spans="1:20" x14ac:dyDescent="0.25">
      <c r="A1558" t="s">
        <v>7036</v>
      </c>
      <c r="B1558" s="1">
        <v>45893</v>
      </c>
      <c r="C1558" s="5">
        <v>0.15122685185185186</v>
      </c>
      <c r="D1558">
        <v>42.72</v>
      </c>
      <c r="E1558" t="s">
        <v>44</v>
      </c>
      <c r="F1558" t="s">
        <v>4696</v>
      </c>
      <c r="G1558" t="s">
        <v>71</v>
      </c>
      <c r="H1558" t="s">
        <v>23</v>
      </c>
      <c r="I1558" t="s">
        <v>7037</v>
      </c>
      <c r="J1558">
        <v>31</v>
      </c>
      <c r="K1558" t="s">
        <v>37</v>
      </c>
      <c r="L1558" t="s">
        <v>35</v>
      </c>
      <c r="M1558" t="s">
        <v>112</v>
      </c>
      <c r="P1558" t="s">
        <v>28</v>
      </c>
      <c r="Q1558" t="s">
        <v>7038</v>
      </c>
      <c r="R1558" t="s">
        <v>7039</v>
      </c>
      <c r="S1558" t="s">
        <v>31</v>
      </c>
      <c r="T1558">
        <v>0</v>
      </c>
    </row>
    <row r="1559" spans="1:20" x14ac:dyDescent="0.25">
      <c r="A1559" t="s">
        <v>7040</v>
      </c>
      <c r="B1559" s="1">
        <v>45868</v>
      </c>
      <c r="C1559" s="5">
        <v>0.61824074074074076</v>
      </c>
      <c r="D1559">
        <v>31.12</v>
      </c>
      <c r="E1559" t="s">
        <v>44</v>
      </c>
      <c r="F1559" t="s">
        <v>2335</v>
      </c>
      <c r="G1559" t="s">
        <v>64</v>
      </c>
      <c r="H1559" t="s">
        <v>110</v>
      </c>
      <c r="I1559" t="s">
        <v>7041</v>
      </c>
      <c r="J1559">
        <v>56</v>
      </c>
      <c r="K1559" t="s">
        <v>49</v>
      </c>
      <c r="L1559" t="s">
        <v>91</v>
      </c>
      <c r="M1559" t="s">
        <v>51</v>
      </c>
      <c r="N1559" t="s">
        <v>870</v>
      </c>
      <c r="O1559">
        <v>447121</v>
      </c>
      <c r="P1559" t="s">
        <v>28</v>
      </c>
      <c r="Q1559" t="s">
        <v>7042</v>
      </c>
      <c r="R1559" t="s">
        <v>7043</v>
      </c>
      <c r="S1559" t="s">
        <v>31</v>
      </c>
      <c r="T1559">
        <v>0</v>
      </c>
    </row>
    <row r="1560" spans="1:20" x14ac:dyDescent="0.25">
      <c r="A1560" t="s">
        <v>7044</v>
      </c>
      <c r="B1560" s="1">
        <v>45797</v>
      </c>
      <c r="C1560" s="5">
        <v>0.27074074074074073</v>
      </c>
      <c r="D1560">
        <v>146.78</v>
      </c>
      <c r="E1560" t="s">
        <v>44</v>
      </c>
      <c r="F1560" t="s">
        <v>1115</v>
      </c>
      <c r="G1560" t="s">
        <v>96</v>
      </c>
      <c r="H1560" t="s">
        <v>26</v>
      </c>
      <c r="I1560" t="s">
        <v>7045</v>
      </c>
      <c r="J1560">
        <v>67</v>
      </c>
      <c r="K1560" t="s">
        <v>25</v>
      </c>
      <c r="L1560" t="s">
        <v>47</v>
      </c>
      <c r="M1560" t="s">
        <v>39</v>
      </c>
      <c r="P1560" t="s">
        <v>28</v>
      </c>
      <c r="Q1560" t="s">
        <v>7046</v>
      </c>
      <c r="R1560" t="s">
        <v>7047</v>
      </c>
      <c r="S1560" t="s">
        <v>31</v>
      </c>
      <c r="T1560">
        <v>0</v>
      </c>
    </row>
    <row r="1561" spans="1:20" x14ac:dyDescent="0.25">
      <c r="A1561" t="s">
        <v>7048</v>
      </c>
      <c r="B1561" s="1">
        <v>45824</v>
      </c>
      <c r="C1561" s="5">
        <v>0.16189814814814815</v>
      </c>
      <c r="D1561">
        <v>35.08</v>
      </c>
      <c r="E1561" t="s">
        <v>44</v>
      </c>
      <c r="F1561" t="s">
        <v>997</v>
      </c>
      <c r="G1561" t="s">
        <v>46</v>
      </c>
      <c r="H1561" t="s">
        <v>130</v>
      </c>
      <c r="I1561" t="s">
        <v>7049</v>
      </c>
      <c r="J1561">
        <v>72</v>
      </c>
      <c r="K1561" t="s">
        <v>25</v>
      </c>
      <c r="L1561" t="s">
        <v>38</v>
      </c>
      <c r="M1561" t="s">
        <v>51</v>
      </c>
      <c r="N1561" t="s">
        <v>52</v>
      </c>
      <c r="O1561">
        <v>558053</v>
      </c>
      <c r="P1561" t="s">
        <v>28</v>
      </c>
      <c r="Q1561" t="s">
        <v>7050</v>
      </c>
      <c r="R1561" t="s">
        <v>7051</v>
      </c>
      <c r="S1561" t="s">
        <v>31</v>
      </c>
      <c r="T1561">
        <v>0</v>
      </c>
    </row>
    <row r="1562" spans="1:20" x14ac:dyDescent="0.25">
      <c r="A1562" t="s">
        <v>7052</v>
      </c>
      <c r="B1562" s="1">
        <v>45959</v>
      </c>
      <c r="C1562" s="5">
        <v>5.6631944444444443E-2</v>
      </c>
      <c r="D1562">
        <v>119.32</v>
      </c>
      <c r="E1562" t="s">
        <v>44</v>
      </c>
      <c r="F1562" t="s">
        <v>2860</v>
      </c>
      <c r="G1562" t="s">
        <v>124</v>
      </c>
      <c r="H1562" t="s">
        <v>130</v>
      </c>
      <c r="I1562" t="s">
        <v>7053</v>
      </c>
      <c r="J1562">
        <v>70</v>
      </c>
      <c r="K1562" t="s">
        <v>49</v>
      </c>
      <c r="L1562" t="s">
        <v>119</v>
      </c>
      <c r="M1562" t="s">
        <v>39</v>
      </c>
      <c r="P1562" t="s">
        <v>28</v>
      </c>
      <c r="Q1562" t="s">
        <v>7054</v>
      </c>
      <c r="R1562" t="s">
        <v>7055</v>
      </c>
      <c r="S1562" t="s">
        <v>101</v>
      </c>
      <c r="T1562">
        <v>0</v>
      </c>
    </row>
    <row r="1563" spans="1:20" x14ac:dyDescent="0.25">
      <c r="A1563" t="s">
        <v>7056</v>
      </c>
      <c r="B1563" s="1">
        <v>45795</v>
      </c>
      <c r="C1563" s="5">
        <v>0.91347222222222224</v>
      </c>
      <c r="D1563">
        <v>177.26</v>
      </c>
      <c r="E1563" t="s">
        <v>44</v>
      </c>
      <c r="F1563" t="s">
        <v>2023</v>
      </c>
      <c r="G1563" t="s">
        <v>57</v>
      </c>
      <c r="H1563" t="s">
        <v>47</v>
      </c>
      <c r="I1563" t="s">
        <v>7057</v>
      </c>
      <c r="J1563">
        <v>60</v>
      </c>
      <c r="K1563" t="s">
        <v>37</v>
      </c>
      <c r="L1563" t="s">
        <v>146</v>
      </c>
      <c r="M1563" t="s">
        <v>105</v>
      </c>
      <c r="P1563" t="s">
        <v>28</v>
      </c>
      <c r="Q1563" t="s">
        <v>7058</v>
      </c>
      <c r="R1563" t="s">
        <v>7059</v>
      </c>
      <c r="S1563" t="s">
        <v>31</v>
      </c>
      <c r="T1563">
        <v>0</v>
      </c>
    </row>
    <row r="1564" spans="1:20" x14ac:dyDescent="0.25">
      <c r="A1564" t="s">
        <v>7060</v>
      </c>
      <c r="B1564" s="1">
        <v>45948</v>
      </c>
      <c r="C1564" s="5">
        <v>0.54629629629629628</v>
      </c>
      <c r="D1564">
        <v>130.86000000000001</v>
      </c>
      <c r="E1564" t="s">
        <v>44</v>
      </c>
      <c r="F1564" t="s">
        <v>3225</v>
      </c>
      <c r="G1564" t="s">
        <v>124</v>
      </c>
      <c r="H1564" t="s">
        <v>66</v>
      </c>
      <c r="I1564" t="s">
        <v>7061</v>
      </c>
      <c r="J1564">
        <v>46</v>
      </c>
      <c r="K1564" t="s">
        <v>25</v>
      </c>
      <c r="L1564" t="s">
        <v>66</v>
      </c>
      <c r="M1564" t="s">
        <v>105</v>
      </c>
      <c r="P1564" t="s">
        <v>113</v>
      </c>
      <c r="Q1564" t="s">
        <v>7062</v>
      </c>
      <c r="R1564" t="s">
        <v>7063</v>
      </c>
      <c r="S1564" t="s">
        <v>31</v>
      </c>
      <c r="T1564">
        <v>0</v>
      </c>
    </row>
    <row r="1565" spans="1:20" x14ac:dyDescent="0.25">
      <c r="A1565" t="s">
        <v>7064</v>
      </c>
      <c r="B1565" s="1">
        <v>45809</v>
      </c>
      <c r="C1565" s="5">
        <v>0.38372685185185185</v>
      </c>
      <c r="D1565">
        <v>167.22</v>
      </c>
      <c r="E1565" t="s">
        <v>44</v>
      </c>
      <c r="F1565" t="s">
        <v>2927</v>
      </c>
      <c r="G1565" t="s">
        <v>57</v>
      </c>
      <c r="H1565" t="s">
        <v>248</v>
      </c>
      <c r="I1565" t="s">
        <v>7065</v>
      </c>
      <c r="J1565">
        <v>55</v>
      </c>
      <c r="K1565" t="s">
        <v>49</v>
      </c>
      <c r="L1565" t="s">
        <v>26</v>
      </c>
      <c r="M1565" t="s">
        <v>27</v>
      </c>
      <c r="P1565" t="s">
        <v>28</v>
      </c>
      <c r="Q1565" t="s">
        <v>7066</v>
      </c>
      <c r="R1565" t="s">
        <v>7067</v>
      </c>
      <c r="S1565" t="s">
        <v>31</v>
      </c>
      <c r="T1565">
        <v>0</v>
      </c>
    </row>
    <row r="1566" spans="1:20" x14ac:dyDescent="0.25">
      <c r="A1566" t="s">
        <v>7068</v>
      </c>
      <c r="B1566" s="1">
        <v>45883</v>
      </c>
      <c r="C1566" s="5">
        <v>0.62416666666666665</v>
      </c>
      <c r="D1566">
        <v>148.16999999999999</v>
      </c>
      <c r="E1566" t="s">
        <v>44</v>
      </c>
      <c r="F1566" t="s">
        <v>7069</v>
      </c>
      <c r="G1566" t="s">
        <v>34</v>
      </c>
      <c r="H1566" t="s">
        <v>66</v>
      </c>
      <c r="I1566" t="s">
        <v>7070</v>
      </c>
      <c r="J1566">
        <v>31</v>
      </c>
      <c r="K1566" t="s">
        <v>49</v>
      </c>
      <c r="L1566" t="s">
        <v>58</v>
      </c>
      <c r="M1566" t="s">
        <v>84</v>
      </c>
      <c r="P1566" t="s">
        <v>28</v>
      </c>
      <c r="Q1566" t="s">
        <v>7071</v>
      </c>
      <c r="R1566" t="s">
        <v>7072</v>
      </c>
      <c r="S1566" t="s">
        <v>31</v>
      </c>
      <c r="T1566">
        <v>1</v>
      </c>
    </row>
    <row r="1567" spans="1:20" x14ac:dyDescent="0.25">
      <c r="A1567" t="s">
        <v>7073</v>
      </c>
      <c r="B1567" s="1">
        <v>45957</v>
      </c>
      <c r="C1567" s="5">
        <v>0.33188657407407407</v>
      </c>
      <c r="D1567">
        <v>101.85</v>
      </c>
      <c r="E1567" t="s">
        <v>44</v>
      </c>
      <c r="F1567" t="s">
        <v>5300</v>
      </c>
      <c r="G1567" t="s">
        <v>71</v>
      </c>
      <c r="H1567" t="s">
        <v>26</v>
      </c>
      <c r="I1567" t="s">
        <v>7074</v>
      </c>
      <c r="J1567">
        <v>36</v>
      </c>
      <c r="K1567" t="s">
        <v>49</v>
      </c>
      <c r="L1567" t="s">
        <v>38</v>
      </c>
      <c r="M1567" t="s">
        <v>39</v>
      </c>
      <c r="P1567" t="s">
        <v>28</v>
      </c>
      <c r="Q1567" t="s">
        <v>7075</v>
      </c>
      <c r="R1567" t="s">
        <v>4970</v>
      </c>
      <c r="S1567" t="s">
        <v>31</v>
      </c>
      <c r="T1567">
        <v>0</v>
      </c>
    </row>
    <row r="1568" spans="1:20" x14ac:dyDescent="0.25">
      <c r="A1568" t="s">
        <v>7076</v>
      </c>
      <c r="B1568" s="1">
        <v>45906</v>
      </c>
      <c r="C1568" s="5">
        <v>0.71511574074074069</v>
      </c>
      <c r="D1568">
        <v>97.22</v>
      </c>
      <c r="E1568" t="s">
        <v>44</v>
      </c>
      <c r="F1568" t="s">
        <v>472</v>
      </c>
      <c r="G1568" t="s">
        <v>96</v>
      </c>
      <c r="H1568" t="s">
        <v>130</v>
      </c>
      <c r="I1568" t="s">
        <v>7077</v>
      </c>
      <c r="J1568">
        <v>75</v>
      </c>
      <c r="K1568" t="s">
        <v>25</v>
      </c>
      <c r="L1568" t="s">
        <v>248</v>
      </c>
      <c r="M1568" t="s">
        <v>27</v>
      </c>
      <c r="P1568" t="s">
        <v>28</v>
      </c>
      <c r="Q1568" t="s">
        <v>7078</v>
      </c>
      <c r="R1568" t="s">
        <v>7079</v>
      </c>
      <c r="S1568" t="s">
        <v>31</v>
      </c>
      <c r="T1568">
        <v>0</v>
      </c>
    </row>
    <row r="1569" spans="1:20" x14ac:dyDescent="0.25">
      <c r="A1569" t="s">
        <v>7080</v>
      </c>
      <c r="B1569" s="1">
        <v>45950</v>
      </c>
      <c r="C1569" s="5">
        <v>0.38172453703703701</v>
      </c>
      <c r="D1569">
        <v>188.85</v>
      </c>
      <c r="E1569" t="s">
        <v>44</v>
      </c>
      <c r="F1569" t="s">
        <v>1897</v>
      </c>
      <c r="G1569" t="s">
        <v>57</v>
      </c>
      <c r="H1569" t="s">
        <v>23</v>
      </c>
      <c r="I1569" t="s">
        <v>7081</v>
      </c>
      <c r="J1569">
        <v>55</v>
      </c>
      <c r="K1569" t="s">
        <v>25</v>
      </c>
      <c r="L1569" t="s">
        <v>66</v>
      </c>
      <c r="M1569" t="s">
        <v>112</v>
      </c>
      <c r="P1569" t="s">
        <v>28</v>
      </c>
      <c r="Q1569" t="s">
        <v>7082</v>
      </c>
      <c r="R1569" t="s">
        <v>7083</v>
      </c>
      <c r="S1569" t="s">
        <v>31</v>
      </c>
      <c r="T1569">
        <v>0</v>
      </c>
    </row>
    <row r="1570" spans="1:20" x14ac:dyDescent="0.25">
      <c r="A1570" t="s">
        <v>7084</v>
      </c>
      <c r="B1570" s="1">
        <v>45947</v>
      </c>
      <c r="C1570" s="5">
        <v>0.39706018518518521</v>
      </c>
      <c r="D1570">
        <v>824.83</v>
      </c>
      <c r="E1570" t="s">
        <v>44</v>
      </c>
      <c r="F1570" t="s">
        <v>1968</v>
      </c>
      <c r="G1570" t="s">
        <v>34</v>
      </c>
      <c r="H1570" t="s">
        <v>47</v>
      </c>
      <c r="I1570" t="s">
        <v>7085</v>
      </c>
      <c r="J1570">
        <v>36</v>
      </c>
      <c r="K1570" t="s">
        <v>37</v>
      </c>
      <c r="L1570" t="s">
        <v>47</v>
      </c>
      <c r="M1570" t="s">
        <v>112</v>
      </c>
      <c r="P1570" t="s">
        <v>113</v>
      </c>
      <c r="Q1570" t="s">
        <v>7086</v>
      </c>
      <c r="R1570" t="s">
        <v>7087</v>
      </c>
      <c r="S1570" t="s">
        <v>31</v>
      </c>
      <c r="T1570">
        <v>0</v>
      </c>
    </row>
    <row r="1571" spans="1:20" x14ac:dyDescent="0.25">
      <c r="A1571" t="s">
        <v>7088</v>
      </c>
      <c r="B1571" s="1">
        <v>45957</v>
      </c>
      <c r="C1571" s="5">
        <v>0.70917824074074076</v>
      </c>
      <c r="D1571">
        <v>88.08</v>
      </c>
      <c r="E1571" t="s">
        <v>44</v>
      </c>
      <c r="F1571" t="s">
        <v>4661</v>
      </c>
      <c r="G1571" t="s">
        <v>64</v>
      </c>
      <c r="H1571" t="s">
        <v>58</v>
      </c>
      <c r="I1571" t="s">
        <v>7089</v>
      </c>
      <c r="J1571">
        <v>68</v>
      </c>
      <c r="K1571" t="s">
        <v>25</v>
      </c>
      <c r="L1571" t="s">
        <v>130</v>
      </c>
      <c r="M1571" t="s">
        <v>27</v>
      </c>
      <c r="P1571" t="s">
        <v>28</v>
      </c>
      <c r="Q1571" t="s">
        <v>7090</v>
      </c>
      <c r="R1571" t="s">
        <v>7091</v>
      </c>
      <c r="S1571" t="s">
        <v>31</v>
      </c>
      <c r="T1571">
        <v>0</v>
      </c>
    </row>
    <row r="1572" spans="1:20" x14ac:dyDescent="0.25">
      <c r="A1572" t="s">
        <v>7092</v>
      </c>
      <c r="B1572" s="1">
        <v>45899</v>
      </c>
      <c r="C1572" s="5">
        <v>0.35793981481481479</v>
      </c>
      <c r="D1572">
        <v>172.74</v>
      </c>
      <c r="E1572" t="s">
        <v>44</v>
      </c>
      <c r="F1572" t="s">
        <v>2904</v>
      </c>
      <c r="G1572" t="s">
        <v>77</v>
      </c>
      <c r="H1572" t="s">
        <v>47</v>
      </c>
      <c r="I1572" t="s">
        <v>7093</v>
      </c>
      <c r="J1572">
        <v>37</v>
      </c>
      <c r="K1572" t="s">
        <v>37</v>
      </c>
      <c r="L1572" t="s">
        <v>23</v>
      </c>
      <c r="M1572" t="s">
        <v>39</v>
      </c>
      <c r="P1572" t="s">
        <v>28</v>
      </c>
      <c r="Q1572" t="s">
        <v>7094</v>
      </c>
      <c r="R1572" t="s">
        <v>7095</v>
      </c>
      <c r="S1572" t="s">
        <v>31</v>
      </c>
      <c r="T1572">
        <v>0</v>
      </c>
    </row>
    <row r="1573" spans="1:20" x14ac:dyDescent="0.25">
      <c r="A1573" t="s">
        <v>7096</v>
      </c>
      <c r="B1573" s="1">
        <v>45893</v>
      </c>
      <c r="C1573" s="5">
        <v>0.68614583333333334</v>
      </c>
      <c r="D1573">
        <v>108.52</v>
      </c>
      <c r="E1573" t="s">
        <v>44</v>
      </c>
      <c r="F1573" t="s">
        <v>7097</v>
      </c>
      <c r="G1573" t="s">
        <v>22</v>
      </c>
      <c r="H1573" t="s">
        <v>38</v>
      </c>
      <c r="I1573" t="s">
        <v>7098</v>
      </c>
      <c r="J1573">
        <v>24</v>
      </c>
      <c r="K1573" t="s">
        <v>25</v>
      </c>
      <c r="L1573" t="s">
        <v>146</v>
      </c>
      <c r="M1573" t="s">
        <v>84</v>
      </c>
      <c r="P1573" t="s">
        <v>28</v>
      </c>
      <c r="Q1573" t="s">
        <v>7099</v>
      </c>
      <c r="R1573" t="s">
        <v>7100</v>
      </c>
      <c r="S1573" t="s">
        <v>31</v>
      </c>
      <c r="T1573">
        <v>0</v>
      </c>
    </row>
    <row r="1574" spans="1:20" x14ac:dyDescent="0.25">
      <c r="A1574" t="s">
        <v>7101</v>
      </c>
      <c r="B1574" s="1">
        <v>45796</v>
      </c>
      <c r="C1574" s="5">
        <v>0.17598379629629629</v>
      </c>
      <c r="D1574">
        <v>57.08</v>
      </c>
      <c r="E1574" t="s">
        <v>44</v>
      </c>
      <c r="F1574" t="s">
        <v>56</v>
      </c>
      <c r="G1574" t="s">
        <v>57</v>
      </c>
      <c r="H1574" t="s">
        <v>50</v>
      </c>
      <c r="I1574" t="s">
        <v>7102</v>
      </c>
      <c r="J1574">
        <v>19</v>
      </c>
      <c r="K1574" t="s">
        <v>37</v>
      </c>
      <c r="L1574" t="s">
        <v>38</v>
      </c>
      <c r="M1574" t="s">
        <v>105</v>
      </c>
      <c r="P1574" t="s">
        <v>28</v>
      </c>
      <c r="Q1574" t="s">
        <v>7103</v>
      </c>
      <c r="R1574" t="s">
        <v>7104</v>
      </c>
      <c r="S1574" t="s">
        <v>31</v>
      </c>
      <c r="T1574">
        <v>0</v>
      </c>
    </row>
    <row r="1575" spans="1:20" x14ac:dyDescent="0.25">
      <c r="A1575" t="s">
        <v>7105</v>
      </c>
      <c r="B1575" s="1">
        <v>45805</v>
      </c>
      <c r="C1575" s="5">
        <v>0.31222222222222223</v>
      </c>
      <c r="D1575">
        <v>30.17</v>
      </c>
      <c r="E1575" t="s">
        <v>44</v>
      </c>
      <c r="F1575" t="s">
        <v>5922</v>
      </c>
      <c r="G1575" t="s">
        <v>96</v>
      </c>
      <c r="H1575" t="s">
        <v>23</v>
      </c>
      <c r="I1575" t="s">
        <v>7106</v>
      </c>
      <c r="J1575">
        <v>49</v>
      </c>
      <c r="K1575" t="s">
        <v>49</v>
      </c>
      <c r="L1575" t="s">
        <v>26</v>
      </c>
      <c r="M1575" t="s">
        <v>39</v>
      </c>
      <c r="P1575" t="s">
        <v>28</v>
      </c>
      <c r="Q1575" t="s">
        <v>7107</v>
      </c>
      <c r="R1575" t="s">
        <v>7108</v>
      </c>
      <c r="S1575" t="s">
        <v>101</v>
      </c>
      <c r="T1575">
        <v>0</v>
      </c>
    </row>
    <row r="1576" spans="1:20" x14ac:dyDescent="0.25">
      <c r="A1576" t="s">
        <v>7109</v>
      </c>
      <c r="B1576" s="1">
        <v>45813</v>
      </c>
      <c r="C1576" s="5">
        <v>0.11077546296296296</v>
      </c>
      <c r="D1576">
        <v>76.88</v>
      </c>
      <c r="E1576" t="s">
        <v>44</v>
      </c>
      <c r="F1576" t="s">
        <v>2819</v>
      </c>
      <c r="G1576" t="s">
        <v>124</v>
      </c>
      <c r="H1576" t="s">
        <v>248</v>
      </c>
      <c r="I1576" t="s">
        <v>7110</v>
      </c>
      <c r="J1576">
        <v>23</v>
      </c>
      <c r="K1576" t="s">
        <v>25</v>
      </c>
      <c r="L1576" t="s">
        <v>248</v>
      </c>
      <c r="M1576" t="s">
        <v>39</v>
      </c>
      <c r="P1576" t="s">
        <v>113</v>
      </c>
      <c r="Q1576" t="s">
        <v>7111</v>
      </c>
      <c r="R1576" t="s">
        <v>7112</v>
      </c>
      <c r="S1576" t="s">
        <v>31</v>
      </c>
      <c r="T1576">
        <v>0</v>
      </c>
    </row>
    <row r="1577" spans="1:20" x14ac:dyDescent="0.25">
      <c r="A1577" t="s">
        <v>7113</v>
      </c>
      <c r="B1577" s="1">
        <v>45853</v>
      </c>
      <c r="C1577" s="5">
        <v>4.0428240740740744E-2</v>
      </c>
      <c r="D1577">
        <v>566.33000000000004</v>
      </c>
      <c r="E1577" t="s">
        <v>44</v>
      </c>
      <c r="F1577" t="s">
        <v>1446</v>
      </c>
      <c r="G1577" t="s">
        <v>64</v>
      </c>
      <c r="H1577" t="s">
        <v>146</v>
      </c>
      <c r="I1577" t="s">
        <v>7114</v>
      </c>
      <c r="J1577">
        <v>50</v>
      </c>
      <c r="K1577" t="s">
        <v>49</v>
      </c>
      <c r="L1577" t="s">
        <v>47</v>
      </c>
      <c r="M1577" t="s">
        <v>112</v>
      </c>
      <c r="P1577" t="s">
        <v>28</v>
      </c>
      <c r="Q1577" t="s">
        <v>7115</v>
      </c>
      <c r="R1577" t="s">
        <v>7116</v>
      </c>
      <c r="S1577" t="s">
        <v>31</v>
      </c>
      <c r="T1577">
        <v>0</v>
      </c>
    </row>
    <row r="1578" spans="1:20" x14ac:dyDescent="0.25">
      <c r="A1578" t="s">
        <v>7117</v>
      </c>
      <c r="B1578" s="1">
        <v>45826</v>
      </c>
      <c r="C1578" s="5">
        <v>0.65314814814814814</v>
      </c>
      <c r="D1578">
        <v>112.69</v>
      </c>
      <c r="E1578" t="s">
        <v>44</v>
      </c>
      <c r="F1578" t="s">
        <v>7118</v>
      </c>
      <c r="G1578" t="s">
        <v>34</v>
      </c>
      <c r="H1578" t="s">
        <v>58</v>
      </c>
      <c r="I1578" t="s">
        <v>7119</v>
      </c>
      <c r="J1578">
        <v>34</v>
      </c>
      <c r="K1578" t="s">
        <v>49</v>
      </c>
      <c r="L1578" t="s">
        <v>91</v>
      </c>
      <c r="M1578" t="s">
        <v>39</v>
      </c>
      <c r="P1578" t="s">
        <v>28</v>
      </c>
      <c r="Q1578" t="s">
        <v>7120</v>
      </c>
      <c r="R1578" t="s">
        <v>7121</v>
      </c>
      <c r="S1578" t="s">
        <v>31</v>
      </c>
      <c r="T1578">
        <v>0</v>
      </c>
    </row>
    <row r="1579" spans="1:20" x14ac:dyDescent="0.25">
      <c r="A1579" t="s">
        <v>7122</v>
      </c>
      <c r="B1579" s="1">
        <v>45799</v>
      </c>
      <c r="C1579" s="5">
        <v>0.76938657407407407</v>
      </c>
      <c r="D1579">
        <v>143.63999999999999</v>
      </c>
      <c r="E1579" t="s">
        <v>44</v>
      </c>
      <c r="F1579" t="s">
        <v>3924</v>
      </c>
      <c r="G1579" t="s">
        <v>71</v>
      </c>
      <c r="H1579" t="s">
        <v>130</v>
      </c>
      <c r="I1579" t="s">
        <v>7123</v>
      </c>
      <c r="J1579">
        <v>54</v>
      </c>
      <c r="K1579" t="s">
        <v>49</v>
      </c>
      <c r="L1579" t="s">
        <v>23</v>
      </c>
      <c r="M1579" t="s">
        <v>39</v>
      </c>
      <c r="P1579" t="s">
        <v>28</v>
      </c>
      <c r="Q1579" t="s">
        <v>7124</v>
      </c>
      <c r="R1579" t="s">
        <v>7125</v>
      </c>
      <c r="S1579" t="s">
        <v>101</v>
      </c>
      <c r="T1579">
        <v>0</v>
      </c>
    </row>
    <row r="1580" spans="1:20" x14ac:dyDescent="0.25">
      <c r="A1580" t="s">
        <v>7126</v>
      </c>
      <c r="B1580" s="1">
        <v>45883</v>
      </c>
      <c r="C1580" s="5">
        <v>0.3402662037037037</v>
      </c>
      <c r="D1580">
        <v>75.760000000000005</v>
      </c>
      <c r="E1580" t="s">
        <v>44</v>
      </c>
      <c r="F1580" t="s">
        <v>649</v>
      </c>
      <c r="G1580" t="s">
        <v>64</v>
      </c>
      <c r="H1580" t="s">
        <v>146</v>
      </c>
      <c r="I1580" t="s">
        <v>7127</v>
      </c>
      <c r="J1580">
        <v>61</v>
      </c>
      <c r="K1580" t="s">
        <v>49</v>
      </c>
      <c r="L1580" t="s">
        <v>146</v>
      </c>
      <c r="M1580" t="s">
        <v>51</v>
      </c>
      <c r="N1580" t="s">
        <v>52</v>
      </c>
      <c r="O1580">
        <v>478973</v>
      </c>
      <c r="P1580" t="s">
        <v>113</v>
      </c>
      <c r="Q1580" t="s">
        <v>7128</v>
      </c>
      <c r="R1580" t="s">
        <v>7129</v>
      </c>
      <c r="S1580" t="s">
        <v>31</v>
      </c>
      <c r="T1580">
        <v>0</v>
      </c>
    </row>
    <row r="1581" spans="1:20" x14ac:dyDescent="0.25">
      <c r="A1581" t="s">
        <v>7130</v>
      </c>
      <c r="B1581" s="1">
        <v>45835</v>
      </c>
      <c r="C1581" s="5">
        <v>0.46184027777777775</v>
      </c>
      <c r="D1581">
        <v>151.75</v>
      </c>
      <c r="E1581" t="s">
        <v>44</v>
      </c>
      <c r="F1581" t="s">
        <v>2433</v>
      </c>
      <c r="G1581" t="s">
        <v>124</v>
      </c>
      <c r="H1581" t="s">
        <v>47</v>
      </c>
      <c r="I1581" t="s">
        <v>7131</v>
      </c>
      <c r="J1581">
        <v>33</v>
      </c>
      <c r="K1581" t="s">
        <v>25</v>
      </c>
      <c r="L1581" t="s">
        <v>26</v>
      </c>
      <c r="M1581" t="s">
        <v>84</v>
      </c>
      <c r="P1581" t="s">
        <v>28</v>
      </c>
      <c r="Q1581" t="s">
        <v>7132</v>
      </c>
      <c r="R1581" t="s">
        <v>7133</v>
      </c>
      <c r="S1581" t="s">
        <v>31</v>
      </c>
      <c r="T1581">
        <v>0</v>
      </c>
    </row>
    <row r="1582" spans="1:20" x14ac:dyDescent="0.25">
      <c r="A1582" t="s">
        <v>7134</v>
      </c>
      <c r="B1582" s="1">
        <v>45849</v>
      </c>
      <c r="C1582" s="5">
        <v>0.30180555555555555</v>
      </c>
      <c r="D1582">
        <v>955.75</v>
      </c>
      <c r="E1582" t="s">
        <v>44</v>
      </c>
      <c r="F1582" t="s">
        <v>7135</v>
      </c>
      <c r="G1582" t="s">
        <v>124</v>
      </c>
      <c r="H1582" t="s">
        <v>66</v>
      </c>
      <c r="I1582" t="s">
        <v>7136</v>
      </c>
      <c r="J1582">
        <v>18</v>
      </c>
      <c r="K1582" t="s">
        <v>25</v>
      </c>
      <c r="L1582" t="s">
        <v>110</v>
      </c>
      <c r="M1582" t="s">
        <v>51</v>
      </c>
      <c r="N1582" t="s">
        <v>304</v>
      </c>
      <c r="O1582">
        <v>505205</v>
      </c>
      <c r="P1582" t="s">
        <v>28</v>
      </c>
      <c r="Q1582" t="s">
        <v>7137</v>
      </c>
      <c r="R1582" t="s">
        <v>7138</v>
      </c>
      <c r="S1582" t="s">
        <v>101</v>
      </c>
      <c r="T1582">
        <v>0</v>
      </c>
    </row>
    <row r="1583" spans="1:20" x14ac:dyDescent="0.25">
      <c r="A1583" t="s">
        <v>7139</v>
      </c>
      <c r="B1583" s="1">
        <v>45867</v>
      </c>
      <c r="C1583" s="5">
        <v>0.90574074074074074</v>
      </c>
      <c r="D1583">
        <v>0</v>
      </c>
      <c r="E1583" t="s">
        <v>44</v>
      </c>
      <c r="F1583" t="s">
        <v>151</v>
      </c>
      <c r="G1583" t="s">
        <v>77</v>
      </c>
      <c r="H1583" t="s">
        <v>58</v>
      </c>
      <c r="I1583" t="s">
        <v>7140</v>
      </c>
      <c r="J1583">
        <v>44</v>
      </c>
      <c r="K1583" t="s">
        <v>37</v>
      </c>
      <c r="L1583" t="s">
        <v>119</v>
      </c>
      <c r="M1583" t="s">
        <v>27</v>
      </c>
      <c r="P1583" t="s">
        <v>28</v>
      </c>
      <c r="Q1583" t="s">
        <v>7141</v>
      </c>
      <c r="R1583" t="s">
        <v>7142</v>
      </c>
      <c r="S1583" t="s">
        <v>31</v>
      </c>
      <c r="T1583">
        <v>0</v>
      </c>
    </row>
    <row r="1584" spans="1:20" x14ac:dyDescent="0.25">
      <c r="A1584" t="s">
        <v>7143</v>
      </c>
      <c r="B1584" s="1">
        <v>45955</v>
      </c>
      <c r="C1584" s="5">
        <v>3.5520833333333335E-2</v>
      </c>
      <c r="D1584">
        <v>79.2</v>
      </c>
      <c r="E1584" t="s">
        <v>44</v>
      </c>
      <c r="F1584" t="s">
        <v>7144</v>
      </c>
      <c r="G1584" t="s">
        <v>46</v>
      </c>
      <c r="H1584" t="s">
        <v>38</v>
      </c>
      <c r="I1584" t="s">
        <v>7145</v>
      </c>
      <c r="J1584">
        <v>49</v>
      </c>
      <c r="K1584" t="s">
        <v>49</v>
      </c>
      <c r="L1584" t="s">
        <v>35</v>
      </c>
      <c r="M1584" t="s">
        <v>39</v>
      </c>
      <c r="P1584" t="s">
        <v>28</v>
      </c>
      <c r="Q1584" t="s">
        <v>7146</v>
      </c>
      <c r="R1584" t="s">
        <v>7147</v>
      </c>
      <c r="S1584" t="s">
        <v>31</v>
      </c>
      <c r="T1584">
        <v>0</v>
      </c>
    </row>
    <row r="1585" spans="1:20" x14ac:dyDescent="0.25">
      <c r="A1585" t="s">
        <v>7148</v>
      </c>
      <c r="B1585" s="1">
        <v>45781</v>
      </c>
      <c r="C1585" s="5">
        <v>0.79129629629629628</v>
      </c>
      <c r="D1585">
        <v>33.74</v>
      </c>
      <c r="E1585" t="s">
        <v>44</v>
      </c>
      <c r="F1585" t="s">
        <v>4350</v>
      </c>
      <c r="G1585" t="s">
        <v>34</v>
      </c>
      <c r="H1585" t="s">
        <v>119</v>
      </c>
      <c r="I1585" t="s">
        <v>7149</v>
      </c>
      <c r="J1585">
        <v>21</v>
      </c>
      <c r="K1585" t="s">
        <v>49</v>
      </c>
      <c r="L1585" t="s">
        <v>97</v>
      </c>
      <c r="M1585" t="s">
        <v>105</v>
      </c>
      <c r="P1585" t="s">
        <v>28</v>
      </c>
      <c r="Q1585" t="s">
        <v>7150</v>
      </c>
      <c r="R1585" t="s">
        <v>7151</v>
      </c>
      <c r="S1585" t="s">
        <v>31</v>
      </c>
      <c r="T1585">
        <v>0</v>
      </c>
    </row>
    <row r="1586" spans="1:20" x14ac:dyDescent="0.25">
      <c r="A1586" t="s">
        <v>7152</v>
      </c>
      <c r="B1586" s="1">
        <v>45898</v>
      </c>
      <c r="C1586" s="5">
        <v>0.40968749999999998</v>
      </c>
      <c r="D1586">
        <v>182.79</v>
      </c>
      <c r="E1586" t="s">
        <v>44</v>
      </c>
      <c r="F1586" t="s">
        <v>2099</v>
      </c>
      <c r="G1586" t="s">
        <v>77</v>
      </c>
      <c r="H1586" t="s">
        <v>47</v>
      </c>
      <c r="I1586" t="s">
        <v>7153</v>
      </c>
      <c r="J1586">
        <v>44</v>
      </c>
      <c r="K1586" t="s">
        <v>49</v>
      </c>
      <c r="L1586" t="s">
        <v>38</v>
      </c>
      <c r="M1586" t="s">
        <v>27</v>
      </c>
      <c r="P1586" t="s">
        <v>28</v>
      </c>
      <c r="Q1586" t="s">
        <v>7154</v>
      </c>
      <c r="R1586" t="s">
        <v>7155</v>
      </c>
      <c r="S1586" t="s">
        <v>31</v>
      </c>
      <c r="T1586">
        <v>0</v>
      </c>
    </row>
    <row r="1587" spans="1:20" x14ac:dyDescent="0.25">
      <c r="A1587" t="s">
        <v>7156</v>
      </c>
      <c r="B1587" s="1">
        <v>45825</v>
      </c>
      <c r="C1587" s="5">
        <v>0.85576388888888888</v>
      </c>
      <c r="D1587">
        <v>13.6</v>
      </c>
      <c r="E1587" t="s">
        <v>44</v>
      </c>
      <c r="F1587" t="s">
        <v>2126</v>
      </c>
      <c r="G1587" t="s">
        <v>34</v>
      </c>
      <c r="H1587" t="s">
        <v>91</v>
      </c>
      <c r="I1587" t="s">
        <v>7157</v>
      </c>
      <c r="J1587">
        <v>19</v>
      </c>
      <c r="K1587" t="s">
        <v>49</v>
      </c>
      <c r="L1587" t="s">
        <v>97</v>
      </c>
      <c r="M1587" t="s">
        <v>84</v>
      </c>
      <c r="P1587" t="s">
        <v>28</v>
      </c>
      <c r="Q1587" t="s">
        <v>7158</v>
      </c>
      <c r="R1587" t="s">
        <v>7159</v>
      </c>
      <c r="S1587" t="s">
        <v>42</v>
      </c>
      <c r="T1587">
        <v>0</v>
      </c>
    </row>
    <row r="1588" spans="1:20" x14ac:dyDescent="0.25">
      <c r="A1588" t="s">
        <v>7160</v>
      </c>
      <c r="B1588" s="1">
        <v>45866</v>
      </c>
      <c r="C1588" s="5">
        <v>0.39765046296296297</v>
      </c>
      <c r="D1588">
        <v>147.80000000000001</v>
      </c>
      <c r="E1588" t="s">
        <v>44</v>
      </c>
      <c r="F1588" t="s">
        <v>2999</v>
      </c>
      <c r="G1588" t="s">
        <v>22</v>
      </c>
      <c r="H1588" t="s">
        <v>35</v>
      </c>
      <c r="I1588" t="s">
        <v>7161</v>
      </c>
      <c r="J1588">
        <v>72</v>
      </c>
      <c r="K1588" t="s">
        <v>49</v>
      </c>
      <c r="L1588" t="s">
        <v>97</v>
      </c>
      <c r="M1588" t="s">
        <v>27</v>
      </c>
      <c r="P1588" t="s">
        <v>28</v>
      </c>
      <c r="Q1588" t="s">
        <v>7162</v>
      </c>
      <c r="R1588" t="s">
        <v>7163</v>
      </c>
      <c r="S1588" t="s">
        <v>31</v>
      </c>
      <c r="T1588">
        <v>0</v>
      </c>
    </row>
    <row r="1589" spans="1:20" x14ac:dyDescent="0.25">
      <c r="A1589" t="s">
        <v>7164</v>
      </c>
      <c r="B1589" s="1">
        <v>45937</v>
      </c>
      <c r="C1589" s="5">
        <v>0.43171296296296297</v>
      </c>
      <c r="D1589">
        <v>133.72999999999999</v>
      </c>
      <c r="E1589" t="s">
        <v>44</v>
      </c>
      <c r="F1589" t="s">
        <v>4246</v>
      </c>
      <c r="G1589" t="s">
        <v>71</v>
      </c>
      <c r="H1589" t="s">
        <v>26</v>
      </c>
      <c r="I1589" t="s">
        <v>7165</v>
      </c>
      <c r="J1589">
        <v>29</v>
      </c>
      <c r="K1589" t="s">
        <v>49</v>
      </c>
      <c r="L1589" t="s">
        <v>146</v>
      </c>
      <c r="M1589" t="s">
        <v>39</v>
      </c>
      <c r="P1589" t="s">
        <v>28</v>
      </c>
      <c r="Q1589" t="s">
        <v>7166</v>
      </c>
      <c r="R1589" t="s">
        <v>7167</v>
      </c>
      <c r="S1589" t="s">
        <v>31</v>
      </c>
      <c r="T1589">
        <v>0</v>
      </c>
    </row>
    <row r="1590" spans="1:20" x14ac:dyDescent="0.25">
      <c r="A1590" t="s">
        <v>7168</v>
      </c>
      <c r="B1590" s="1">
        <v>45840</v>
      </c>
      <c r="C1590" s="5">
        <v>0.52822916666666664</v>
      </c>
      <c r="D1590">
        <v>135.56</v>
      </c>
      <c r="E1590" t="s">
        <v>44</v>
      </c>
      <c r="F1590" t="s">
        <v>7169</v>
      </c>
      <c r="G1590" t="s">
        <v>89</v>
      </c>
      <c r="H1590" t="s">
        <v>58</v>
      </c>
      <c r="I1590" t="s">
        <v>7170</v>
      </c>
      <c r="J1590">
        <v>61</v>
      </c>
      <c r="K1590" t="s">
        <v>37</v>
      </c>
      <c r="L1590" t="s">
        <v>35</v>
      </c>
      <c r="M1590" t="s">
        <v>105</v>
      </c>
      <c r="P1590" t="s">
        <v>28</v>
      </c>
      <c r="Q1590" t="s">
        <v>7171</v>
      </c>
      <c r="R1590" t="s">
        <v>7172</v>
      </c>
      <c r="S1590" t="s">
        <v>31</v>
      </c>
      <c r="T1590">
        <v>0</v>
      </c>
    </row>
    <row r="1591" spans="1:20" x14ac:dyDescent="0.25">
      <c r="A1591" t="s">
        <v>7173</v>
      </c>
      <c r="B1591" s="1">
        <v>45893</v>
      </c>
      <c r="C1591" s="5">
        <v>0.94633101851851853</v>
      </c>
      <c r="D1591">
        <v>199.78</v>
      </c>
      <c r="E1591" t="s">
        <v>44</v>
      </c>
      <c r="F1591" t="s">
        <v>4806</v>
      </c>
      <c r="G1591" t="s">
        <v>34</v>
      </c>
      <c r="H1591" t="s">
        <v>66</v>
      </c>
      <c r="I1591" t="s">
        <v>7174</v>
      </c>
      <c r="J1591">
        <v>30</v>
      </c>
      <c r="K1591" t="s">
        <v>49</v>
      </c>
      <c r="L1591" t="s">
        <v>38</v>
      </c>
      <c r="M1591" t="s">
        <v>51</v>
      </c>
      <c r="N1591" t="s">
        <v>304</v>
      </c>
      <c r="O1591">
        <v>527838</v>
      </c>
      <c r="P1591" t="s">
        <v>28</v>
      </c>
      <c r="Q1591" t="s">
        <v>7175</v>
      </c>
      <c r="R1591" t="s">
        <v>7176</v>
      </c>
      <c r="S1591" t="s">
        <v>31</v>
      </c>
      <c r="T1591">
        <v>0</v>
      </c>
    </row>
    <row r="1592" spans="1:20" x14ac:dyDescent="0.25">
      <c r="A1592" t="s">
        <v>7177</v>
      </c>
      <c r="B1592" s="1">
        <v>45872</v>
      </c>
      <c r="C1592" s="5">
        <v>0.48579861111111111</v>
      </c>
      <c r="D1592">
        <v>176.31</v>
      </c>
      <c r="E1592" t="s">
        <v>44</v>
      </c>
      <c r="F1592" t="s">
        <v>1804</v>
      </c>
      <c r="G1592" t="s">
        <v>96</v>
      </c>
      <c r="H1592" t="s">
        <v>50</v>
      </c>
      <c r="I1592" t="s">
        <v>7178</v>
      </c>
      <c r="J1592">
        <v>37</v>
      </c>
      <c r="K1592" t="s">
        <v>49</v>
      </c>
      <c r="L1592" t="s">
        <v>66</v>
      </c>
      <c r="M1592" t="s">
        <v>39</v>
      </c>
      <c r="P1592" t="s">
        <v>28</v>
      </c>
      <c r="Q1592" t="s">
        <v>7179</v>
      </c>
      <c r="R1592" t="s">
        <v>7180</v>
      </c>
      <c r="S1592" t="s">
        <v>31</v>
      </c>
      <c r="T1592">
        <v>0</v>
      </c>
    </row>
    <row r="1593" spans="1:20" x14ac:dyDescent="0.25">
      <c r="A1593" t="s">
        <v>7181</v>
      </c>
      <c r="B1593" s="1">
        <v>45959</v>
      </c>
      <c r="C1593" s="5">
        <v>0.53840277777777779</v>
      </c>
      <c r="D1593">
        <v>37.33</v>
      </c>
      <c r="E1593" t="s">
        <v>44</v>
      </c>
      <c r="F1593" t="s">
        <v>7182</v>
      </c>
      <c r="G1593" t="s">
        <v>71</v>
      </c>
      <c r="H1593" t="s">
        <v>91</v>
      </c>
      <c r="I1593" t="s">
        <v>7183</v>
      </c>
      <c r="J1593">
        <v>36</v>
      </c>
      <c r="K1593" t="s">
        <v>49</v>
      </c>
      <c r="L1593" t="s">
        <v>91</v>
      </c>
      <c r="M1593" t="s">
        <v>84</v>
      </c>
      <c r="P1593" t="s">
        <v>113</v>
      </c>
      <c r="Q1593" t="s">
        <v>7184</v>
      </c>
      <c r="R1593" t="s">
        <v>7185</v>
      </c>
      <c r="S1593" t="s">
        <v>31</v>
      </c>
      <c r="T1593">
        <v>0</v>
      </c>
    </row>
    <row r="1594" spans="1:20" x14ac:dyDescent="0.25">
      <c r="A1594" t="s">
        <v>7186</v>
      </c>
      <c r="B1594" s="1">
        <v>45873</v>
      </c>
      <c r="C1594" s="5">
        <v>0.45089120370370372</v>
      </c>
      <c r="D1594">
        <v>100.4</v>
      </c>
      <c r="E1594" t="s">
        <v>44</v>
      </c>
      <c r="F1594" t="s">
        <v>7187</v>
      </c>
      <c r="G1594" t="s">
        <v>46</v>
      </c>
      <c r="H1594" t="s">
        <v>66</v>
      </c>
      <c r="I1594" t="s">
        <v>7188</v>
      </c>
      <c r="J1594">
        <v>71</v>
      </c>
      <c r="K1594" t="s">
        <v>37</v>
      </c>
      <c r="L1594" t="s">
        <v>97</v>
      </c>
      <c r="M1594" t="s">
        <v>39</v>
      </c>
      <c r="P1594" t="s">
        <v>28</v>
      </c>
      <c r="Q1594" t="s">
        <v>7189</v>
      </c>
      <c r="R1594" t="s">
        <v>7190</v>
      </c>
      <c r="S1594" t="s">
        <v>31</v>
      </c>
      <c r="T1594">
        <v>0</v>
      </c>
    </row>
    <row r="1595" spans="1:20" x14ac:dyDescent="0.25">
      <c r="A1595" t="s">
        <v>7191</v>
      </c>
      <c r="B1595" s="1">
        <v>45925</v>
      </c>
      <c r="C1595" s="5">
        <v>0.58505787037037038</v>
      </c>
      <c r="D1595">
        <v>345.72</v>
      </c>
      <c r="E1595" t="s">
        <v>44</v>
      </c>
      <c r="F1595" t="s">
        <v>7192</v>
      </c>
      <c r="G1595" t="s">
        <v>22</v>
      </c>
      <c r="H1595" t="s">
        <v>66</v>
      </c>
      <c r="I1595" t="s">
        <v>7193</v>
      </c>
      <c r="J1595">
        <v>57</v>
      </c>
      <c r="K1595" t="s">
        <v>37</v>
      </c>
      <c r="L1595" t="s">
        <v>50</v>
      </c>
      <c r="M1595" t="s">
        <v>105</v>
      </c>
      <c r="P1595" t="s">
        <v>28</v>
      </c>
      <c r="Q1595" t="s">
        <v>7194</v>
      </c>
      <c r="R1595" t="s">
        <v>7195</v>
      </c>
      <c r="S1595" t="s">
        <v>31</v>
      </c>
      <c r="T1595">
        <v>0</v>
      </c>
    </row>
    <row r="1596" spans="1:20" x14ac:dyDescent="0.25">
      <c r="A1596" t="s">
        <v>7196</v>
      </c>
      <c r="B1596" s="1">
        <v>45802</v>
      </c>
      <c r="C1596" s="5">
        <v>0.7415856481481482</v>
      </c>
      <c r="D1596">
        <v>175.95</v>
      </c>
      <c r="E1596" t="s">
        <v>44</v>
      </c>
      <c r="F1596" t="s">
        <v>2556</v>
      </c>
      <c r="G1596" t="s">
        <v>77</v>
      </c>
      <c r="H1596" t="s">
        <v>248</v>
      </c>
      <c r="I1596" t="s">
        <v>7197</v>
      </c>
      <c r="J1596">
        <v>25</v>
      </c>
      <c r="K1596" t="s">
        <v>25</v>
      </c>
      <c r="L1596" t="s">
        <v>47</v>
      </c>
      <c r="M1596" t="s">
        <v>51</v>
      </c>
      <c r="N1596" t="s">
        <v>507</v>
      </c>
      <c r="O1596">
        <v>462447</v>
      </c>
      <c r="P1596" t="s">
        <v>28</v>
      </c>
      <c r="Q1596" t="s">
        <v>7198</v>
      </c>
      <c r="R1596" t="s">
        <v>7199</v>
      </c>
      <c r="S1596" t="s">
        <v>101</v>
      </c>
      <c r="T1596">
        <v>0</v>
      </c>
    </row>
    <row r="1597" spans="1:20" x14ac:dyDescent="0.25">
      <c r="A1597" t="s">
        <v>7200</v>
      </c>
      <c r="B1597" s="1">
        <v>45919</v>
      </c>
      <c r="C1597" s="5">
        <v>0.74405092592592592</v>
      </c>
      <c r="D1597">
        <v>715.57</v>
      </c>
      <c r="E1597" t="s">
        <v>44</v>
      </c>
      <c r="F1597" t="s">
        <v>1666</v>
      </c>
      <c r="G1597" t="s">
        <v>64</v>
      </c>
      <c r="H1597" t="s">
        <v>97</v>
      </c>
      <c r="I1597" t="s">
        <v>7201</v>
      </c>
      <c r="J1597">
        <v>42</v>
      </c>
      <c r="K1597" t="s">
        <v>49</v>
      </c>
      <c r="L1597" t="s">
        <v>50</v>
      </c>
      <c r="M1597" t="s">
        <v>105</v>
      </c>
      <c r="P1597" t="s">
        <v>28</v>
      </c>
      <c r="Q1597" t="s">
        <v>7202</v>
      </c>
      <c r="R1597" t="s">
        <v>7203</v>
      </c>
      <c r="S1597" t="s">
        <v>31</v>
      </c>
      <c r="T1597">
        <v>0</v>
      </c>
    </row>
    <row r="1598" spans="1:20" x14ac:dyDescent="0.25">
      <c r="A1598" t="s">
        <v>7204</v>
      </c>
      <c r="B1598" s="1">
        <v>45793</v>
      </c>
      <c r="C1598" s="5">
        <v>1.3657407407407407E-3</v>
      </c>
      <c r="D1598">
        <v>93.67</v>
      </c>
      <c r="E1598" t="s">
        <v>44</v>
      </c>
      <c r="F1598" t="s">
        <v>1983</v>
      </c>
      <c r="G1598" t="s">
        <v>71</v>
      </c>
      <c r="H1598" t="s">
        <v>130</v>
      </c>
      <c r="I1598" t="s">
        <v>7205</v>
      </c>
      <c r="J1598">
        <v>48</v>
      </c>
      <c r="K1598" t="s">
        <v>25</v>
      </c>
      <c r="L1598" t="s">
        <v>47</v>
      </c>
      <c r="M1598" t="s">
        <v>84</v>
      </c>
      <c r="P1598" t="s">
        <v>28</v>
      </c>
      <c r="Q1598" t="s">
        <v>7206</v>
      </c>
      <c r="R1598" t="s">
        <v>7207</v>
      </c>
      <c r="S1598" t="s">
        <v>31</v>
      </c>
      <c r="T1598">
        <v>0</v>
      </c>
    </row>
    <row r="1599" spans="1:20" x14ac:dyDescent="0.25">
      <c r="A1599" t="s">
        <v>7208</v>
      </c>
      <c r="B1599" s="1">
        <v>45840</v>
      </c>
      <c r="C1599" s="5">
        <v>0.64420138888888889</v>
      </c>
      <c r="D1599">
        <v>69.400000000000006</v>
      </c>
      <c r="E1599" t="s">
        <v>44</v>
      </c>
      <c r="F1599" t="s">
        <v>1168</v>
      </c>
      <c r="G1599" t="s">
        <v>64</v>
      </c>
      <c r="H1599" t="s">
        <v>130</v>
      </c>
      <c r="I1599" t="s">
        <v>7209</v>
      </c>
      <c r="J1599">
        <v>64</v>
      </c>
      <c r="K1599" t="s">
        <v>37</v>
      </c>
      <c r="L1599" t="s">
        <v>97</v>
      </c>
      <c r="M1599" t="s">
        <v>27</v>
      </c>
      <c r="P1599" t="s">
        <v>28</v>
      </c>
      <c r="Q1599" t="s">
        <v>7210</v>
      </c>
      <c r="R1599" t="s">
        <v>7211</v>
      </c>
      <c r="S1599" t="s">
        <v>101</v>
      </c>
      <c r="T1599">
        <v>0</v>
      </c>
    </row>
    <row r="1600" spans="1:20" x14ac:dyDescent="0.25">
      <c r="A1600" t="s">
        <v>7212</v>
      </c>
      <c r="B1600" s="1">
        <v>45900</v>
      </c>
      <c r="C1600" s="5">
        <v>0.8334259259259259</v>
      </c>
      <c r="D1600">
        <v>132.81</v>
      </c>
      <c r="E1600" t="s">
        <v>44</v>
      </c>
      <c r="F1600" t="s">
        <v>7213</v>
      </c>
      <c r="G1600" t="s">
        <v>22</v>
      </c>
      <c r="H1600" t="s">
        <v>47</v>
      </c>
      <c r="I1600" t="s">
        <v>7214</v>
      </c>
      <c r="J1600">
        <v>45</v>
      </c>
      <c r="K1600" t="s">
        <v>37</v>
      </c>
      <c r="L1600" t="s">
        <v>119</v>
      </c>
      <c r="M1600" t="s">
        <v>39</v>
      </c>
      <c r="P1600" t="s">
        <v>28</v>
      </c>
      <c r="Q1600" t="s">
        <v>7215</v>
      </c>
      <c r="R1600" t="s">
        <v>7216</v>
      </c>
      <c r="S1600" t="s">
        <v>31</v>
      </c>
      <c r="T1600">
        <v>0</v>
      </c>
    </row>
    <row r="1601" spans="1:20" x14ac:dyDescent="0.25">
      <c r="A1601" t="s">
        <v>7217</v>
      </c>
      <c r="B1601" s="1">
        <v>45853</v>
      </c>
      <c r="C1601" s="5">
        <v>0.13622685185185185</v>
      </c>
      <c r="D1601">
        <v>91.94</v>
      </c>
      <c r="E1601" t="s">
        <v>44</v>
      </c>
      <c r="F1601" t="s">
        <v>4556</v>
      </c>
      <c r="G1601" t="s">
        <v>64</v>
      </c>
      <c r="H1601" t="s">
        <v>35</v>
      </c>
      <c r="I1601" t="s">
        <v>7218</v>
      </c>
      <c r="J1601">
        <v>46</v>
      </c>
      <c r="K1601" t="s">
        <v>25</v>
      </c>
      <c r="L1601" t="s">
        <v>130</v>
      </c>
      <c r="M1601" t="s">
        <v>51</v>
      </c>
      <c r="N1601" t="s">
        <v>304</v>
      </c>
      <c r="O1601">
        <v>537258</v>
      </c>
      <c r="P1601" t="s">
        <v>28</v>
      </c>
      <c r="Q1601" t="s">
        <v>7219</v>
      </c>
      <c r="R1601" t="s">
        <v>7220</v>
      </c>
      <c r="S1601" t="s">
        <v>31</v>
      </c>
      <c r="T1601">
        <v>0</v>
      </c>
    </row>
    <row r="1602" spans="1:20" x14ac:dyDescent="0.25">
      <c r="A1602" t="s">
        <v>7221</v>
      </c>
      <c r="B1602" s="1">
        <v>45887</v>
      </c>
      <c r="C1602" s="5">
        <v>0.70108796296296294</v>
      </c>
      <c r="D1602">
        <v>501.32</v>
      </c>
      <c r="E1602" t="s">
        <v>44</v>
      </c>
      <c r="F1602" t="s">
        <v>3942</v>
      </c>
      <c r="G1602" t="s">
        <v>77</v>
      </c>
      <c r="H1602" t="s">
        <v>119</v>
      </c>
      <c r="I1602" t="s">
        <v>7222</v>
      </c>
      <c r="J1602">
        <v>58</v>
      </c>
      <c r="K1602" t="s">
        <v>25</v>
      </c>
      <c r="L1602" t="s">
        <v>130</v>
      </c>
      <c r="M1602" t="s">
        <v>84</v>
      </c>
      <c r="P1602" t="s">
        <v>28</v>
      </c>
      <c r="Q1602" t="s">
        <v>7223</v>
      </c>
      <c r="R1602" t="s">
        <v>7224</v>
      </c>
      <c r="S1602" t="s">
        <v>31</v>
      </c>
      <c r="T1602">
        <v>0</v>
      </c>
    </row>
    <row r="1603" spans="1:20" x14ac:dyDescent="0.25">
      <c r="A1603" t="s">
        <v>7225</v>
      </c>
      <c r="B1603" s="1">
        <v>45882</v>
      </c>
      <c r="C1603" s="5">
        <v>0.29337962962962966</v>
      </c>
      <c r="D1603">
        <v>4.4000000000000004</v>
      </c>
      <c r="E1603" t="s">
        <v>44</v>
      </c>
      <c r="F1603" t="s">
        <v>3743</v>
      </c>
      <c r="G1603" t="s">
        <v>57</v>
      </c>
      <c r="H1603" t="s">
        <v>130</v>
      </c>
      <c r="I1603" t="s">
        <v>7226</v>
      </c>
      <c r="J1603">
        <v>60</v>
      </c>
      <c r="K1603" t="s">
        <v>25</v>
      </c>
      <c r="L1603" t="s">
        <v>50</v>
      </c>
      <c r="M1603" t="s">
        <v>112</v>
      </c>
      <c r="P1603" t="s">
        <v>28</v>
      </c>
      <c r="Q1603" t="s">
        <v>7227</v>
      </c>
      <c r="R1603" t="s">
        <v>7228</v>
      </c>
      <c r="S1603" t="s">
        <v>31</v>
      </c>
      <c r="T1603">
        <v>0</v>
      </c>
    </row>
    <row r="1604" spans="1:20" x14ac:dyDescent="0.25">
      <c r="A1604" t="s">
        <v>7229</v>
      </c>
      <c r="B1604" s="1">
        <v>45848</v>
      </c>
      <c r="C1604" s="5">
        <v>0.8122800925925926</v>
      </c>
      <c r="D1604">
        <v>186.35</v>
      </c>
      <c r="E1604" t="s">
        <v>44</v>
      </c>
      <c r="F1604" t="s">
        <v>349</v>
      </c>
      <c r="G1604" t="s">
        <v>71</v>
      </c>
      <c r="H1604" t="s">
        <v>110</v>
      </c>
      <c r="I1604" t="s">
        <v>7230</v>
      </c>
      <c r="J1604">
        <v>27</v>
      </c>
      <c r="K1604" t="s">
        <v>49</v>
      </c>
      <c r="L1604" t="s">
        <v>146</v>
      </c>
      <c r="M1604" t="s">
        <v>27</v>
      </c>
      <c r="P1604" t="s">
        <v>28</v>
      </c>
      <c r="Q1604" t="s">
        <v>7231</v>
      </c>
      <c r="R1604" t="s">
        <v>7232</v>
      </c>
      <c r="S1604" t="s">
        <v>31</v>
      </c>
      <c r="T1604">
        <v>0</v>
      </c>
    </row>
    <row r="1605" spans="1:20" x14ac:dyDescent="0.25">
      <c r="A1605" t="s">
        <v>7233</v>
      </c>
      <c r="B1605" s="1">
        <v>45793</v>
      </c>
      <c r="C1605" s="5">
        <v>0.32817129629629632</v>
      </c>
      <c r="D1605">
        <v>22.83</v>
      </c>
      <c r="E1605" t="s">
        <v>44</v>
      </c>
      <c r="F1605" t="s">
        <v>4678</v>
      </c>
      <c r="G1605" t="s">
        <v>34</v>
      </c>
      <c r="H1605" t="s">
        <v>50</v>
      </c>
      <c r="I1605" t="s">
        <v>7234</v>
      </c>
      <c r="J1605">
        <v>43</v>
      </c>
      <c r="K1605" t="s">
        <v>49</v>
      </c>
      <c r="L1605" t="s">
        <v>50</v>
      </c>
      <c r="M1605" t="s">
        <v>105</v>
      </c>
      <c r="P1605" t="s">
        <v>113</v>
      </c>
      <c r="Q1605" t="s">
        <v>7235</v>
      </c>
      <c r="R1605" t="s">
        <v>7236</v>
      </c>
      <c r="S1605" t="s">
        <v>31</v>
      </c>
      <c r="T1605">
        <v>0</v>
      </c>
    </row>
    <row r="1606" spans="1:20" x14ac:dyDescent="0.25">
      <c r="A1606" t="s">
        <v>7237</v>
      </c>
      <c r="B1606" s="1">
        <v>45819</v>
      </c>
      <c r="C1606" s="5">
        <v>4.1180555555555554E-2</v>
      </c>
      <c r="D1606">
        <v>117.51</v>
      </c>
      <c r="E1606" t="s">
        <v>44</v>
      </c>
      <c r="F1606" t="s">
        <v>399</v>
      </c>
      <c r="G1606" t="s">
        <v>64</v>
      </c>
      <c r="H1606" t="s">
        <v>50</v>
      </c>
      <c r="I1606" t="s">
        <v>7238</v>
      </c>
      <c r="J1606">
        <v>28</v>
      </c>
      <c r="K1606" t="s">
        <v>25</v>
      </c>
      <c r="L1606" t="s">
        <v>58</v>
      </c>
      <c r="M1606" t="s">
        <v>27</v>
      </c>
      <c r="P1606" t="s">
        <v>28</v>
      </c>
      <c r="Q1606" t="s">
        <v>7239</v>
      </c>
      <c r="R1606" t="s">
        <v>7240</v>
      </c>
      <c r="S1606" t="s">
        <v>101</v>
      </c>
      <c r="T1606">
        <v>0</v>
      </c>
    </row>
    <row r="1607" spans="1:20" x14ac:dyDescent="0.25">
      <c r="A1607" t="s">
        <v>7241</v>
      </c>
      <c r="B1607" s="1">
        <v>45878</v>
      </c>
      <c r="C1607" s="5">
        <v>6.4629629629629634E-2</v>
      </c>
      <c r="D1607">
        <v>180.74</v>
      </c>
      <c r="E1607" t="s">
        <v>44</v>
      </c>
      <c r="F1607" t="s">
        <v>7242</v>
      </c>
      <c r="G1607" t="s">
        <v>71</v>
      </c>
      <c r="H1607" t="s">
        <v>50</v>
      </c>
      <c r="I1607" t="s">
        <v>7243</v>
      </c>
      <c r="J1607">
        <v>63</v>
      </c>
      <c r="K1607" t="s">
        <v>49</v>
      </c>
      <c r="L1607" t="s">
        <v>146</v>
      </c>
      <c r="M1607" t="s">
        <v>112</v>
      </c>
      <c r="P1607" t="s">
        <v>28</v>
      </c>
      <c r="Q1607" t="s">
        <v>7244</v>
      </c>
      <c r="R1607" t="s">
        <v>7245</v>
      </c>
      <c r="S1607" t="s">
        <v>31</v>
      </c>
      <c r="T1607">
        <v>0</v>
      </c>
    </row>
    <row r="1608" spans="1:20" x14ac:dyDescent="0.25">
      <c r="A1608" t="s">
        <v>7246</v>
      </c>
      <c r="B1608" s="1">
        <v>45852</v>
      </c>
      <c r="C1608" s="5">
        <v>0.13109953703703703</v>
      </c>
      <c r="D1608">
        <v>5.0599999999999996</v>
      </c>
      <c r="E1608" t="s">
        <v>44</v>
      </c>
      <c r="F1608" t="s">
        <v>4523</v>
      </c>
      <c r="G1608" t="s">
        <v>46</v>
      </c>
      <c r="H1608" t="s">
        <v>38</v>
      </c>
      <c r="I1608" t="s">
        <v>7247</v>
      </c>
      <c r="J1608">
        <v>51</v>
      </c>
      <c r="K1608" t="s">
        <v>37</v>
      </c>
      <c r="L1608" t="s">
        <v>119</v>
      </c>
      <c r="M1608" t="s">
        <v>27</v>
      </c>
      <c r="P1608" t="s">
        <v>28</v>
      </c>
      <c r="Q1608" t="s">
        <v>7248</v>
      </c>
      <c r="R1608" t="s">
        <v>7249</v>
      </c>
      <c r="S1608" t="s">
        <v>31</v>
      </c>
      <c r="T1608">
        <v>0</v>
      </c>
    </row>
    <row r="1609" spans="1:20" x14ac:dyDescent="0.25">
      <c r="A1609" t="s">
        <v>7250</v>
      </c>
      <c r="B1609" s="1">
        <v>45852</v>
      </c>
      <c r="C1609" s="5">
        <v>0.41137731481481482</v>
      </c>
      <c r="D1609">
        <v>79.64</v>
      </c>
      <c r="E1609" t="s">
        <v>44</v>
      </c>
      <c r="F1609" t="s">
        <v>4852</v>
      </c>
      <c r="G1609" t="s">
        <v>124</v>
      </c>
      <c r="H1609" t="s">
        <v>35</v>
      </c>
      <c r="I1609" t="s">
        <v>7251</v>
      </c>
      <c r="J1609">
        <v>24</v>
      </c>
      <c r="K1609" t="s">
        <v>49</v>
      </c>
      <c r="L1609" t="s">
        <v>50</v>
      </c>
      <c r="M1609" t="s">
        <v>84</v>
      </c>
      <c r="P1609" t="s">
        <v>28</v>
      </c>
      <c r="Q1609" t="s">
        <v>7252</v>
      </c>
      <c r="R1609" t="s">
        <v>7253</v>
      </c>
      <c r="S1609" t="s">
        <v>31</v>
      </c>
      <c r="T1609">
        <v>0</v>
      </c>
    </row>
    <row r="1610" spans="1:20" x14ac:dyDescent="0.25">
      <c r="A1610" t="s">
        <v>7254</v>
      </c>
      <c r="B1610" s="1">
        <v>45926</v>
      </c>
      <c r="C1610" s="5">
        <v>0.38591435185185186</v>
      </c>
      <c r="D1610">
        <v>132.16</v>
      </c>
      <c r="E1610" t="s">
        <v>44</v>
      </c>
      <c r="F1610" t="s">
        <v>536</v>
      </c>
      <c r="G1610" t="s">
        <v>57</v>
      </c>
      <c r="H1610" t="s">
        <v>50</v>
      </c>
      <c r="I1610" t="s">
        <v>7255</v>
      </c>
      <c r="J1610">
        <v>115</v>
      </c>
      <c r="K1610" t="s">
        <v>25</v>
      </c>
      <c r="L1610" t="s">
        <v>119</v>
      </c>
      <c r="M1610" t="s">
        <v>84</v>
      </c>
      <c r="P1610" t="s">
        <v>28</v>
      </c>
      <c r="Q1610" t="s">
        <v>7256</v>
      </c>
      <c r="R1610" t="s">
        <v>7257</v>
      </c>
      <c r="S1610" t="s">
        <v>31</v>
      </c>
      <c r="T1610">
        <v>0</v>
      </c>
    </row>
    <row r="1611" spans="1:20" x14ac:dyDescent="0.25">
      <c r="A1611" t="s">
        <v>7258</v>
      </c>
      <c r="B1611" s="1">
        <v>45911</v>
      </c>
      <c r="C1611" s="5">
        <v>0.64262731481481483</v>
      </c>
      <c r="D1611">
        <v>950.34</v>
      </c>
      <c r="E1611" t="s">
        <v>44</v>
      </c>
      <c r="F1611" t="s">
        <v>5192</v>
      </c>
      <c r="G1611" t="s">
        <v>96</v>
      </c>
      <c r="H1611" t="s">
        <v>119</v>
      </c>
      <c r="I1611" t="s">
        <v>7259</v>
      </c>
      <c r="J1611">
        <v>65</v>
      </c>
      <c r="K1611" t="s">
        <v>25</v>
      </c>
      <c r="L1611" t="s">
        <v>26</v>
      </c>
      <c r="M1611" t="s">
        <v>112</v>
      </c>
      <c r="P1611" t="s">
        <v>28</v>
      </c>
      <c r="Q1611" t="s">
        <v>7260</v>
      </c>
      <c r="R1611" t="s">
        <v>7261</v>
      </c>
      <c r="S1611" t="s">
        <v>31</v>
      </c>
      <c r="T1611">
        <v>0</v>
      </c>
    </row>
    <row r="1612" spans="1:20" x14ac:dyDescent="0.25">
      <c r="A1612" t="s">
        <v>7262</v>
      </c>
      <c r="B1612" s="1">
        <v>45818</v>
      </c>
      <c r="C1612" s="5">
        <v>0.28493055555555558</v>
      </c>
      <c r="D1612">
        <v>86.53</v>
      </c>
      <c r="E1612" t="s">
        <v>44</v>
      </c>
      <c r="F1612" t="s">
        <v>3293</v>
      </c>
      <c r="G1612" t="s">
        <v>89</v>
      </c>
      <c r="H1612" t="s">
        <v>58</v>
      </c>
      <c r="I1612" t="s">
        <v>7263</v>
      </c>
      <c r="J1612">
        <v>27</v>
      </c>
      <c r="K1612" t="s">
        <v>25</v>
      </c>
      <c r="L1612" t="s">
        <v>110</v>
      </c>
      <c r="M1612" t="s">
        <v>105</v>
      </c>
      <c r="P1612" t="s">
        <v>28</v>
      </c>
      <c r="Q1612" t="s">
        <v>7264</v>
      </c>
      <c r="R1612" t="s">
        <v>7265</v>
      </c>
      <c r="S1612" t="s">
        <v>31</v>
      </c>
      <c r="T1612">
        <v>0</v>
      </c>
    </row>
    <row r="1613" spans="1:20" x14ac:dyDescent="0.25">
      <c r="A1613" t="s">
        <v>7266</v>
      </c>
      <c r="B1613" s="1">
        <v>45871</v>
      </c>
      <c r="C1613" s="5">
        <v>0.21655092592592592</v>
      </c>
      <c r="D1613">
        <v>10.199999999999999</v>
      </c>
      <c r="E1613" t="s">
        <v>44</v>
      </c>
      <c r="F1613" t="s">
        <v>1277</v>
      </c>
      <c r="G1613" t="s">
        <v>124</v>
      </c>
      <c r="H1613" t="s">
        <v>38</v>
      </c>
      <c r="I1613" t="s">
        <v>7267</v>
      </c>
      <c r="J1613">
        <v>74</v>
      </c>
      <c r="K1613" t="s">
        <v>37</v>
      </c>
      <c r="L1613" t="s">
        <v>110</v>
      </c>
      <c r="M1613" t="s">
        <v>105</v>
      </c>
      <c r="P1613" t="s">
        <v>28</v>
      </c>
      <c r="Q1613" t="s">
        <v>7268</v>
      </c>
      <c r="R1613" t="s">
        <v>7269</v>
      </c>
      <c r="S1613" t="s">
        <v>31</v>
      </c>
      <c r="T1613">
        <v>0</v>
      </c>
    </row>
    <row r="1614" spans="1:20" x14ac:dyDescent="0.25">
      <c r="A1614" t="s">
        <v>7270</v>
      </c>
      <c r="B1614" s="1">
        <v>45868</v>
      </c>
      <c r="C1614" s="5">
        <v>0.63376157407407407</v>
      </c>
      <c r="D1614">
        <v>31.07</v>
      </c>
      <c r="E1614" t="s">
        <v>44</v>
      </c>
      <c r="F1614" t="s">
        <v>4737</v>
      </c>
      <c r="G1614" t="s">
        <v>124</v>
      </c>
      <c r="H1614" t="s">
        <v>91</v>
      </c>
      <c r="I1614" t="s">
        <v>7271</v>
      </c>
      <c r="J1614">
        <v>31</v>
      </c>
      <c r="K1614" t="s">
        <v>49</v>
      </c>
      <c r="L1614" t="s">
        <v>58</v>
      </c>
      <c r="M1614" t="s">
        <v>105</v>
      </c>
      <c r="P1614" t="s">
        <v>28</v>
      </c>
      <c r="Q1614" t="s">
        <v>7272</v>
      </c>
      <c r="R1614" t="s">
        <v>7273</v>
      </c>
      <c r="S1614" t="s">
        <v>42</v>
      </c>
      <c r="T1614">
        <v>0</v>
      </c>
    </row>
    <row r="1615" spans="1:20" x14ac:dyDescent="0.25">
      <c r="A1615" t="s">
        <v>7274</v>
      </c>
      <c r="B1615" s="1">
        <v>45804</v>
      </c>
      <c r="C1615" s="5">
        <v>0.86540509259259257</v>
      </c>
      <c r="D1615">
        <v>14.18</v>
      </c>
      <c r="E1615" t="s">
        <v>44</v>
      </c>
      <c r="F1615" t="s">
        <v>7275</v>
      </c>
      <c r="G1615" t="s">
        <v>77</v>
      </c>
      <c r="H1615" t="s">
        <v>47</v>
      </c>
      <c r="I1615" t="s">
        <v>7276</v>
      </c>
      <c r="J1615">
        <v>69</v>
      </c>
      <c r="K1615" t="s">
        <v>37</v>
      </c>
      <c r="L1615" t="s">
        <v>130</v>
      </c>
      <c r="M1615" t="s">
        <v>105</v>
      </c>
      <c r="P1615" t="s">
        <v>28</v>
      </c>
      <c r="Q1615" t="s">
        <v>7277</v>
      </c>
      <c r="R1615" t="s">
        <v>7278</v>
      </c>
      <c r="S1615" t="s">
        <v>31</v>
      </c>
      <c r="T1615">
        <v>1</v>
      </c>
    </row>
    <row r="1616" spans="1:20" x14ac:dyDescent="0.25">
      <c r="A1616" t="s">
        <v>7279</v>
      </c>
      <c r="B1616" s="1">
        <v>45841</v>
      </c>
      <c r="C1616" s="5">
        <v>5.8657407407407408E-2</v>
      </c>
      <c r="D1616">
        <v>77.38</v>
      </c>
      <c r="E1616" t="s">
        <v>44</v>
      </c>
      <c r="F1616" t="s">
        <v>263</v>
      </c>
      <c r="G1616" t="s">
        <v>89</v>
      </c>
      <c r="H1616" t="s">
        <v>58</v>
      </c>
      <c r="I1616" t="s">
        <v>7280</v>
      </c>
      <c r="J1616">
        <v>55</v>
      </c>
      <c r="K1616" t="s">
        <v>37</v>
      </c>
      <c r="L1616" t="s">
        <v>38</v>
      </c>
      <c r="M1616" t="s">
        <v>84</v>
      </c>
      <c r="P1616" t="s">
        <v>28</v>
      </c>
      <c r="Q1616" t="s">
        <v>7281</v>
      </c>
      <c r="R1616" t="s">
        <v>7282</v>
      </c>
      <c r="S1616" t="s">
        <v>31</v>
      </c>
      <c r="T1616">
        <v>0</v>
      </c>
    </row>
    <row r="1617" spans="1:20" x14ac:dyDescent="0.25">
      <c r="A1617" t="s">
        <v>7283</v>
      </c>
      <c r="B1617" s="1">
        <v>45837</v>
      </c>
      <c r="C1617" s="5">
        <v>0.79282407407407407</v>
      </c>
      <c r="D1617">
        <v>83.68</v>
      </c>
      <c r="E1617" t="s">
        <v>44</v>
      </c>
      <c r="F1617" t="s">
        <v>6108</v>
      </c>
      <c r="G1617" t="s">
        <v>124</v>
      </c>
      <c r="H1617" t="s">
        <v>146</v>
      </c>
      <c r="I1617" t="s">
        <v>7284</v>
      </c>
      <c r="J1617">
        <v>30</v>
      </c>
      <c r="K1617" t="s">
        <v>37</v>
      </c>
      <c r="L1617" t="s">
        <v>58</v>
      </c>
      <c r="M1617" t="s">
        <v>105</v>
      </c>
      <c r="P1617" t="s">
        <v>28</v>
      </c>
      <c r="Q1617" t="s">
        <v>7285</v>
      </c>
      <c r="R1617" t="s">
        <v>7286</v>
      </c>
      <c r="S1617" t="s">
        <v>31</v>
      </c>
      <c r="T1617">
        <v>0</v>
      </c>
    </row>
    <row r="1618" spans="1:20" x14ac:dyDescent="0.25">
      <c r="A1618" t="s">
        <v>7287</v>
      </c>
      <c r="B1618" s="1">
        <v>45802</v>
      </c>
      <c r="C1618" s="5">
        <v>0.92650462962962965</v>
      </c>
      <c r="D1618">
        <v>159.94</v>
      </c>
      <c r="E1618" t="s">
        <v>44</v>
      </c>
      <c r="F1618" t="s">
        <v>4737</v>
      </c>
      <c r="G1618" t="s">
        <v>57</v>
      </c>
      <c r="H1618" t="s">
        <v>26</v>
      </c>
      <c r="I1618" t="s">
        <v>7288</v>
      </c>
      <c r="J1618">
        <v>48</v>
      </c>
      <c r="K1618" t="s">
        <v>25</v>
      </c>
      <c r="L1618" t="s">
        <v>130</v>
      </c>
      <c r="M1618" t="s">
        <v>105</v>
      </c>
      <c r="P1618" t="s">
        <v>28</v>
      </c>
      <c r="Q1618" t="s">
        <v>7289</v>
      </c>
      <c r="R1618" t="s">
        <v>7290</v>
      </c>
      <c r="S1618" t="s">
        <v>42</v>
      </c>
      <c r="T1618">
        <v>0</v>
      </c>
    </row>
    <row r="1619" spans="1:20" x14ac:dyDescent="0.25">
      <c r="A1619" t="s">
        <v>7291</v>
      </c>
      <c r="B1619" s="1">
        <v>45896</v>
      </c>
      <c r="C1619" s="5">
        <v>0.53135416666666668</v>
      </c>
      <c r="D1619">
        <v>164.47</v>
      </c>
      <c r="E1619" t="s">
        <v>44</v>
      </c>
      <c r="F1619" t="s">
        <v>541</v>
      </c>
      <c r="G1619" t="s">
        <v>64</v>
      </c>
      <c r="H1619" t="s">
        <v>97</v>
      </c>
      <c r="I1619" t="s">
        <v>7292</v>
      </c>
      <c r="J1619">
        <v>47</v>
      </c>
      <c r="K1619" t="s">
        <v>49</v>
      </c>
      <c r="L1619" t="s">
        <v>248</v>
      </c>
      <c r="M1619" t="s">
        <v>112</v>
      </c>
      <c r="P1619" t="s">
        <v>28</v>
      </c>
      <c r="Q1619" t="s">
        <v>7293</v>
      </c>
      <c r="R1619" t="s">
        <v>7294</v>
      </c>
      <c r="S1619" t="s">
        <v>31</v>
      </c>
      <c r="T1619">
        <v>0</v>
      </c>
    </row>
    <row r="1620" spans="1:20" x14ac:dyDescent="0.25">
      <c r="A1620" t="s">
        <v>7295</v>
      </c>
      <c r="B1620" s="1">
        <v>45910</v>
      </c>
      <c r="C1620" s="5">
        <v>2.7118055555555555E-2</v>
      </c>
      <c r="D1620">
        <v>170.21</v>
      </c>
      <c r="E1620" t="s">
        <v>44</v>
      </c>
      <c r="F1620" t="s">
        <v>2181</v>
      </c>
      <c r="G1620" t="s">
        <v>64</v>
      </c>
      <c r="H1620" t="s">
        <v>38</v>
      </c>
      <c r="I1620" t="s">
        <v>7296</v>
      </c>
      <c r="J1620">
        <v>42</v>
      </c>
      <c r="K1620" t="s">
        <v>25</v>
      </c>
      <c r="L1620" t="s">
        <v>248</v>
      </c>
      <c r="M1620" t="s">
        <v>84</v>
      </c>
      <c r="P1620" t="s">
        <v>28</v>
      </c>
      <c r="Q1620" t="s">
        <v>7297</v>
      </c>
      <c r="R1620" t="s">
        <v>7298</v>
      </c>
      <c r="S1620" t="s">
        <v>42</v>
      </c>
      <c r="T1620">
        <v>0</v>
      </c>
    </row>
    <row r="1621" spans="1:20" x14ac:dyDescent="0.25">
      <c r="A1621" t="s">
        <v>7299</v>
      </c>
      <c r="B1621" s="1">
        <v>45817</v>
      </c>
      <c r="C1621" s="5">
        <v>8.1840277777777776E-2</v>
      </c>
      <c r="D1621">
        <v>57.03</v>
      </c>
      <c r="E1621" t="s">
        <v>44</v>
      </c>
      <c r="F1621" t="s">
        <v>1282</v>
      </c>
      <c r="G1621" t="s">
        <v>22</v>
      </c>
      <c r="H1621" t="s">
        <v>35</v>
      </c>
      <c r="I1621" t="s">
        <v>7300</v>
      </c>
      <c r="J1621">
        <v>110</v>
      </c>
      <c r="K1621" t="s">
        <v>25</v>
      </c>
      <c r="L1621" t="s">
        <v>35</v>
      </c>
      <c r="M1621" t="s">
        <v>105</v>
      </c>
      <c r="P1621" t="s">
        <v>113</v>
      </c>
      <c r="Q1621" t="s">
        <v>7301</v>
      </c>
      <c r="R1621" t="s">
        <v>7302</v>
      </c>
      <c r="S1621" t="s">
        <v>31</v>
      </c>
      <c r="T1621">
        <v>0</v>
      </c>
    </row>
    <row r="1622" spans="1:20" x14ac:dyDescent="0.25">
      <c r="A1622" t="s">
        <v>7303</v>
      </c>
      <c r="B1622" s="1">
        <v>45896</v>
      </c>
      <c r="C1622" s="5">
        <v>0.1547337962962963</v>
      </c>
      <c r="D1622">
        <v>66.73</v>
      </c>
      <c r="E1622" t="s">
        <v>44</v>
      </c>
      <c r="F1622" t="s">
        <v>323</v>
      </c>
      <c r="G1622" t="s">
        <v>46</v>
      </c>
      <c r="H1622" t="s">
        <v>23</v>
      </c>
      <c r="I1622" t="s">
        <v>7304</v>
      </c>
      <c r="J1622">
        <v>20</v>
      </c>
      <c r="K1622" t="s">
        <v>49</v>
      </c>
      <c r="L1622" t="s">
        <v>248</v>
      </c>
      <c r="M1622" t="s">
        <v>27</v>
      </c>
      <c r="P1622" t="s">
        <v>28</v>
      </c>
      <c r="Q1622" t="s">
        <v>7305</v>
      </c>
      <c r="R1622" t="s">
        <v>7306</v>
      </c>
      <c r="S1622" t="s">
        <v>31</v>
      </c>
      <c r="T1622">
        <v>0</v>
      </c>
    </row>
    <row r="1623" spans="1:20" x14ac:dyDescent="0.25">
      <c r="A1623" t="s">
        <v>7307</v>
      </c>
      <c r="B1623" s="1">
        <v>45826</v>
      </c>
      <c r="C1623" s="5">
        <v>0.11722222222222223</v>
      </c>
      <c r="D1623">
        <v>48.12</v>
      </c>
      <c r="E1623" t="s">
        <v>44</v>
      </c>
      <c r="F1623" t="s">
        <v>1612</v>
      </c>
      <c r="G1623" t="s">
        <v>64</v>
      </c>
      <c r="H1623" t="s">
        <v>47</v>
      </c>
      <c r="I1623" t="s">
        <v>7308</v>
      </c>
      <c r="J1623">
        <v>59</v>
      </c>
      <c r="K1623" t="s">
        <v>25</v>
      </c>
      <c r="L1623" t="s">
        <v>35</v>
      </c>
      <c r="M1623" t="s">
        <v>105</v>
      </c>
      <c r="P1623" t="s">
        <v>28</v>
      </c>
      <c r="Q1623" t="s">
        <v>7309</v>
      </c>
      <c r="R1623" t="s">
        <v>7310</v>
      </c>
      <c r="S1623" t="s">
        <v>31</v>
      </c>
      <c r="T1623">
        <v>0</v>
      </c>
    </row>
    <row r="1624" spans="1:20" x14ac:dyDescent="0.25">
      <c r="A1624" t="s">
        <v>7311</v>
      </c>
      <c r="B1624" s="1">
        <v>45831</v>
      </c>
      <c r="C1624" s="5">
        <v>0.92043981481481485</v>
      </c>
      <c r="D1624">
        <v>12.37</v>
      </c>
      <c r="E1624" t="s">
        <v>44</v>
      </c>
      <c r="F1624" t="s">
        <v>7312</v>
      </c>
      <c r="G1624" t="s">
        <v>89</v>
      </c>
      <c r="H1624" t="s">
        <v>26</v>
      </c>
      <c r="I1624" t="s">
        <v>7313</v>
      </c>
      <c r="J1624">
        <v>71</v>
      </c>
      <c r="K1624" t="s">
        <v>37</v>
      </c>
      <c r="L1624" t="s">
        <v>146</v>
      </c>
      <c r="M1624" t="s">
        <v>27</v>
      </c>
      <c r="P1624" t="s">
        <v>28</v>
      </c>
      <c r="Q1624" t="s">
        <v>7314</v>
      </c>
      <c r="R1624" t="s">
        <v>7315</v>
      </c>
      <c r="S1624" t="s">
        <v>31</v>
      </c>
      <c r="T1624">
        <v>0</v>
      </c>
    </row>
    <row r="1625" spans="1:20" x14ac:dyDescent="0.25">
      <c r="A1625" t="s">
        <v>7316</v>
      </c>
      <c r="B1625" s="1">
        <v>45945</v>
      </c>
      <c r="C1625" s="5">
        <v>0.9156481481481481</v>
      </c>
      <c r="D1625">
        <v>138.30000000000001</v>
      </c>
      <c r="E1625" t="s">
        <v>44</v>
      </c>
      <c r="F1625" t="s">
        <v>7317</v>
      </c>
      <c r="G1625" t="s">
        <v>46</v>
      </c>
      <c r="H1625" t="s">
        <v>97</v>
      </c>
      <c r="I1625" t="s">
        <v>7318</v>
      </c>
      <c r="J1625">
        <v>70</v>
      </c>
      <c r="K1625" t="s">
        <v>25</v>
      </c>
      <c r="L1625" t="s">
        <v>130</v>
      </c>
      <c r="M1625" t="s">
        <v>27</v>
      </c>
      <c r="P1625" t="s">
        <v>28</v>
      </c>
      <c r="Q1625" t="s">
        <v>7319</v>
      </c>
      <c r="R1625" t="s">
        <v>7320</v>
      </c>
      <c r="S1625" t="s">
        <v>31</v>
      </c>
      <c r="T1625">
        <v>0</v>
      </c>
    </row>
    <row r="1626" spans="1:20" x14ac:dyDescent="0.25">
      <c r="A1626" t="s">
        <v>7321</v>
      </c>
      <c r="B1626" s="1">
        <v>45823</v>
      </c>
      <c r="C1626" s="5">
        <v>0.72170138888888891</v>
      </c>
      <c r="D1626">
        <v>135.97999999999999</v>
      </c>
      <c r="E1626" t="s">
        <v>44</v>
      </c>
      <c r="F1626" t="s">
        <v>1846</v>
      </c>
      <c r="G1626" t="s">
        <v>77</v>
      </c>
      <c r="H1626" t="s">
        <v>248</v>
      </c>
      <c r="I1626" t="s">
        <v>7322</v>
      </c>
      <c r="J1626">
        <v>54</v>
      </c>
      <c r="K1626" t="s">
        <v>25</v>
      </c>
      <c r="L1626" t="s">
        <v>97</v>
      </c>
      <c r="M1626" t="s">
        <v>112</v>
      </c>
      <c r="P1626" t="s">
        <v>28</v>
      </c>
      <c r="Q1626" t="s">
        <v>7323</v>
      </c>
      <c r="R1626" t="s">
        <v>7324</v>
      </c>
      <c r="S1626" t="s">
        <v>101</v>
      </c>
      <c r="T1626">
        <v>0</v>
      </c>
    </row>
    <row r="1627" spans="1:20" x14ac:dyDescent="0.25">
      <c r="A1627" t="s">
        <v>7325</v>
      </c>
      <c r="B1627" s="1">
        <v>45926</v>
      </c>
      <c r="C1627" s="5">
        <v>0.80394675925925929</v>
      </c>
      <c r="D1627">
        <v>159.27000000000001</v>
      </c>
      <c r="E1627" t="s">
        <v>44</v>
      </c>
      <c r="F1627" t="s">
        <v>2654</v>
      </c>
      <c r="G1627" t="s">
        <v>57</v>
      </c>
      <c r="H1627" t="s">
        <v>23</v>
      </c>
      <c r="I1627" t="s">
        <v>7326</v>
      </c>
      <c r="J1627">
        <v>52</v>
      </c>
      <c r="K1627" t="s">
        <v>25</v>
      </c>
      <c r="L1627" t="s">
        <v>47</v>
      </c>
      <c r="M1627" t="s">
        <v>39</v>
      </c>
      <c r="P1627" t="s">
        <v>28</v>
      </c>
      <c r="Q1627" t="s">
        <v>7327</v>
      </c>
      <c r="R1627" t="s">
        <v>7328</v>
      </c>
      <c r="S1627" t="s">
        <v>31</v>
      </c>
      <c r="T1627">
        <v>0</v>
      </c>
    </row>
    <row r="1628" spans="1:20" x14ac:dyDescent="0.25">
      <c r="A1628" t="s">
        <v>7329</v>
      </c>
      <c r="B1628" s="1">
        <v>45790</v>
      </c>
      <c r="C1628" s="5">
        <v>0.2807986111111111</v>
      </c>
      <c r="D1628">
        <v>149.83000000000001</v>
      </c>
      <c r="E1628" t="s">
        <v>44</v>
      </c>
      <c r="F1628" t="s">
        <v>6165</v>
      </c>
      <c r="G1628" t="s">
        <v>57</v>
      </c>
      <c r="H1628" t="s">
        <v>35</v>
      </c>
      <c r="I1628" t="s">
        <v>7330</v>
      </c>
      <c r="J1628">
        <v>65</v>
      </c>
      <c r="K1628" t="s">
        <v>37</v>
      </c>
      <c r="L1628" t="s">
        <v>119</v>
      </c>
      <c r="M1628" t="s">
        <v>51</v>
      </c>
      <c r="N1628" t="s">
        <v>304</v>
      </c>
      <c r="O1628">
        <v>443754</v>
      </c>
      <c r="P1628" t="s">
        <v>28</v>
      </c>
      <c r="Q1628" t="s">
        <v>7331</v>
      </c>
      <c r="R1628" t="s">
        <v>7332</v>
      </c>
      <c r="S1628" t="s">
        <v>31</v>
      </c>
      <c r="T1628">
        <v>1</v>
      </c>
    </row>
    <row r="1629" spans="1:20" x14ac:dyDescent="0.25">
      <c r="A1629" t="s">
        <v>7333</v>
      </c>
      <c r="B1629" s="1">
        <v>45926</v>
      </c>
      <c r="C1629" s="5">
        <v>0.98692129629629632</v>
      </c>
      <c r="D1629">
        <v>192.35</v>
      </c>
      <c r="E1629" t="s">
        <v>44</v>
      </c>
      <c r="F1629" t="s">
        <v>1361</v>
      </c>
      <c r="G1629" t="s">
        <v>77</v>
      </c>
      <c r="H1629" t="s">
        <v>119</v>
      </c>
      <c r="I1629" t="s">
        <v>7334</v>
      </c>
      <c r="J1629">
        <v>75</v>
      </c>
      <c r="K1629" t="s">
        <v>37</v>
      </c>
      <c r="L1629" t="s">
        <v>38</v>
      </c>
      <c r="M1629" t="s">
        <v>39</v>
      </c>
      <c r="P1629" t="s">
        <v>28</v>
      </c>
      <c r="Q1629" t="s">
        <v>7335</v>
      </c>
      <c r="R1629" t="s">
        <v>7336</v>
      </c>
      <c r="S1629" t="s">
        <v>31</v>
      </c>
      <c r="T1629">
        <v>1</v>
      </c>
    </row>
    <row r="1630" spans="1:20" x14ac:dyDescent="0.25">
      <c r="A1630" t="s">
        <v>7337</v>
      </c>
      <c r="B1630" s="1">
        <v>45819</v>
      </c>
      <c r="C1630" s="5">
        <v>0.40013888888888888</v>
      </c>
      <c r="D1630">
        <v>19.54</v>
      </c>
      <c r="E1630" t="s">
        <v>44</v>
      </c>
      <c r="F1630" t="s">
        <v>7338</v>
      </c>
      <c r="G1630" t="s">
        <v>64</v>
      </c>
      <c r="H1630" t="s">
        <v>248</v>
      </c>
      <c r="I1630" t="s">
        <v>7339</v>
      </c>
      <c r="J1630">
        <v>44</v>
      </c>
      <c r="K1630" t="s">
        <v>25</v>
      </c>
      <c r="L1630" t="s">
        <v>50</v>
      </c>
      <c r="M1630" t="s">
        <v>105</v>
      </c>
      <c r="P1630" t="s">
        <v>28</v>
      </c>
      <c r="Q1630" t="s">
        <v>7340</v>
      </c>
      <c r="R1630" t="s">
        <v>7341</v>
      </c>
      <c r="S1630" t="s">
        <v>31</v>
      </c>
      <c r="T1630">
        <v>1</v>
      </c>
    </row>
    <row r="1631" spans="1:20" x14ac:dyDescent="0.25">
      <c r="A1631" t="s">
        <v>7342</v>
      </c>
      <c r="B1631" s="1">
        <v>45801</v>
      </c>
      <c r="C1631" s="5">
        <v>2.2974537037037036E-2</v>
      </c>
      <c r="D1631">
        <v>474.58</v>
      </c>
      <c r="E1631" t="s">
        <v>44</v>
      </c>
      <c r="F1631" t="s">
        <v>516</v>
      </c>
      <c r="G1631" t="s">
        <v>46</v>
      </c>
      <c r="H1631" t="s">
        <v>38</v>
      </c>
      <c r="I1631" t="s">
        <v>7343</v>
      </c>
      <c r="J1631">
        <v>32</v>
      </c>
      <c r="K1631" t="s">
        <v>25</v>
      </c>
      <c r="L1631" t="s">
        <v>248</v>
      </c>
      <c r="M1631" t="s">
        <v>51</v>
      </c>
      <c r="N1631" t="s">
        <v>345</v>
      </c>
      <c r="O1631">
        <v>422984</v>
      </c>
      <c r="P1631" t="s">
        <v>28</v>
      </c>
      <c r="Q1631" t="s">
        <v>7344</v>
      </c>
      <c r="R1631" t="s">
        <v>7345</v>
      </c>
      <c r="S1631" t="s">
        <v>101</v>
      </c>
      <c r="T1631">
        <v>0</v>
      </c>
    </row>
    <row r="1632" spans="1:20" x14ac:dyDescent="0.25">
      <c r="A1632" t="s">
        <v>7346</v>
      </c>
      <c r="B1632" s="1">
        <v>45804</v>
      </c>
      <c r="C1632" s="5">
        <v>0.25041666666666668</v>
      </c>
      <c r="D1632">
        <v>18.84</v>
      </c>
      <c r="E1632" t="s">
        <v>44</v>
      </c>
      <c r="F1632" t="s">
        <v>1593</v>
      </c>
      <c r="G1632" t="s">
        <v>46</v>
      </c>
      <c r="H1632" t="s">
        <v>130</v>
      </c>
      <c r="I1632" t="s">
        <v>7347</v>
      </c>
      <c r="J1632">
        <v>58</v>
      </c>
      <c r="K1632" t="s">
        <v>49</v>
      </c>
      <c r="L1632" t="s">
        <v>110</v>
      </c>
      <c r="M1632" t="s">
        <v>105</v>
      </c>
      <c r="P1632" t="s">
        <v>28</v>
      </c>
      <c r="Q1632" t="s">
        <v>7348</v>
      </c>
      <c r="R1632" t="s">
        <v>7349</v>
      </c>
      <c r="S1632" t="s">
        <v>31</v>
      </c>
      <c r="T1632">
        <v>0</v>
      </c>
    </row>
    <row r="1633" spans="1:20" x14ac:dyDescent="0.25">
      <c r="A1633" t="s">
        <v>7350</v>
      </c>
      <c r="B1633" s="1">
        <v>45935</v>
      </c>
      <c r="C1633" s="5">
        <v>0.74069444444444443</v>
      </c>
      <c r="D1633">
        <v>26.7</v>
      </c>
      <c r="E1633" t="s">
        <v>44</v>
      </c>
      <c r="F1633" t="s">
        <v>3942</v>
      </c>
      <c r="G1633" t="s">
        <v>64</v>
      </c>
      <c r="H1633" t="s">
        <v>66</v>
      </c>
      <c r="I1633" t="s">
        <v>7351</v>
      </c>
      <c r="J1633">
        <v>44</v>
      </c>
      <c r="K1633" t="s">
        <v>37</v>
      </c>
      <c r="L1633" t="s">
        <v>23</v>
      </c>
      <c r="M1633" t="s">
        <v>27</v>
      </c>
      <c r="P1633" t="s">
        <v>28</v>
      </c>
      <c r="Q1633" t="s">
        <v>7352</v>
      </c>
      <c r="R1633" t="s">
        <v>7353</v>
      </c>
      <c r="S1633" t="s">
        <v>31</v>
      </c>
      <c r="T1633">
        <v>0</v>
      </c>
    </row>
    <row r="1634" spans="1:20" x14ac:dyDescent="0.25">
      <c r="A1634" t="s">
        <v>7354</v>
      </c>
      <c r="B1634" s="1">
        <v>45848</v>
      </c>
      <c r="C1634" s="5">
        <v>9.6689814814814812E-2</v>
      </c>
      <c r="D1634">
        <v>166.21</v>
      </c>
      <c r="E1634" t="s">
        <v>44</v>
      </c>
      <c r="F1634" t="s">
        <v>5824</v>
      </c>
      <c r="G1634" t="s">
        <v>77</v>
      </c>
      <c r="H1634" t="s">
        <v>58</v>
      </c>
      <c r="I1634" t="s">
        <v>7355</v>
      </c>
      <c r="J1634">
        <v>31</v>
      </c>
      <c r="K1634" t="s">
        <v>25</v>
      </c>
      <c r="L1634" t="s">
        <v>248</v>
      </c>
      <c r="M1634" t="s">
        <v>39</v>
      </c>
      <c r="P1634" t="s">
        <v>28</v>
      </c>
      <c r="Q1634" t="s">
        <v>7356</v>
      </c>
      <c r="R1634" t="s">
        <v>7357</v>
      </c>
      <c r="S1634" t="s">
        <v>31</v>
      </c>
      <c r="T1634">
        <v>0</v>
      </c>
    </row>
    <row r="1635" spans="1:20" x14ac:dyDescent="0.25">
      <c r="A1635" t="s">
        <v>7358</v>
      </c>
      <c r="B1635" s="1">
        <v>45885</v>
      </c>
      <c r="C1635" s="5">
        <v>0.89399305555555553</v>
      </c>
      <c r="D1635">
        <v>10.46</v>
      </c>
      <c r="E1635" t="s">
        <v>44</v>
      </c>
      <c r="F1635" t="s">
        <v>7359</v>
      </c>
      <c r="G1635" t="s">
        <v>57</v>
      </c>
      <c r="H1635" t="s">
        <v>130</v>
      </c>
      <c r="I1635" t="s">
        <v>1187</v>
      </c>
      <c r="J1635">
        <v>70</v>
      </c>
      <c r="K1635" t="s">
        <v>25</v>
      </c>
      <c r="L1635" t="s">
        <v>50</v>
      </c>
      <c r="M1635" t="s">
        <v>105</v>
      </c>
      <c r="P1635" t="s">
        <v>28</v>
      </c>
      <c r="Q1635" t="s">
        <v>7360</v>
      </c>
      <c r="R1635" t="s">
        <v>7361</v>
      </c>
      <c r="S1635" t="s">
        <v>31</v>
      </c>
      <c r="T1635">
        <v>0</v>
      </c>
    </row>
    <row r="1636" spans="1:20" x14ac:dyDescent="0.25">
      <c r="A1636" t="s">
        <v>7362</v>
      </c>
      <c r="B1636" s="1">
        <v>45941</v>
      </c>
      <c r="C1636" s="5">
        <v>0.91501157407407407</v>
      </c>
      <c r="D1636">
        <v>176.59</v>
      </c>
      <c r="E1636" t="s">
        <v>44</v>
      </c>
      <c r="F1636" t="s">
        <v>1846</v>
      </c>
      <c r="G1636" t="s">
        <v>96</v>
      </c>
      <c r="H1636" t="s">
        <v>66</v>
      </c>
      <c r="I1636" t="s">
        <v>7363</v>
      </c>
      <c r="J1636">
        <v>23</v>
      </c>
      <c r="K1636" t="s">
        <v>25</v>
      </c>
      <c r="L1636" t="s">
        <v>47</v>
      </c>
      <c r="M1636" t="s">
        <v>105</v>
      </c>
      <c r="P1636" t="s">
        <v>28</v>
      </c>
      <c r="Q1636" t="s">
        <v>7364</v>
      </c>
      <c r="R1636" t="s">
        <v>7365</v>
      </c>
      <c r="S1636" t="s">
        <v>31</v>
      </c>
      <c r="T1636">
        <v>0</v>
      </c>
    </row>
    <row r="1637" spans="1:20" x14ac:dyDescent="0.25">
      <c r="A1637" t="s">
        <v>7366</v>
      </c>
      <c r="B1637" s="1">
        <v>45825</v>
      </c>
      <c r="C1637" s="5">
        <v>6.076388888888889E-3</v>
      </c>
      <c r="D1637">
        <v>104.27</v>
      </c>
      <c r="E1637" t="s">
        <v>44</v>
      </c>
      <c r="F1637" t="s">
        <v>343</v>
      </c>
      <c r="G1637" t="s">
        <v>96</v>
      </c>
      <c r="H1637" t="s">
        <v>66</v>
      </c>
      <c r="I1637" t="s">
        <v>7367</v>
      </c>
      <c r="J1637">
        <v>70</v>
      </c>
      <c r="K1637" t="s">
        <v>49</v>
      </c>
      <c r="L1637" t="s">
        <v>47</v>
      </c>
      <c r="M1637" t="s">
        <v>51</v>
      </c>
      <c r="N1637" t="s">
        <v>304</v>
      </c>
      <c r="O1637">
        <v>480378</v>
      </c>
      <c r="P1637" t="s">
        <v>28</v>
      </c>
      <c r="Q1637" t="s">
        <v>7368</v>
      </c>
      <c r="R1637" t="s">
        <v>7369</v>
      </c>
      <c r="S1637" t="s">
        <v>101</v>
      </c>
      <c r="T1637">
        <v>0</v>
      </c>
    </row>
    <row r="1638" spans="1:20" x14ac:dyDescent="0.25">
      <c r="A1638" t="s">
        <v>7370</v>
      </c>
      <c r="B1638" s="1">
        <v>45843</v>
      </c>
      <c r="C1638" s="5">
        <v>0.86780092592592595</v>
      </c>
      <c r="D1638">
        <v>123.78</v>
      </c>
      <c r="E1638" t="s">
        <v>44</v>
      </c>
      <c r="F1638" t="s">
        <v>1301</v>
      </c>
      <c r="G1638" t="s">
        <v>64</v>
      </c>
      <c r="H1638" t="s">
        <v>146</v>
      </c>
      <c r="I1638" t="s">
        <v>7371</v>
      </c>
      <c r="J1638">
        <v>66</v>
      </c>
      <c r="K1638" t="s">
        <v>25</v>
      </c>
      <c r="L1638" t="s">
        <v>26</v>
      </c>
      <c r="M1638" t="s">
        <v>105</v>
      </c>
      <c r="P1638" t="s">
        <v>28</v>
      </c>
      <c r="Q1638" t="s">
        <v>7372</v>
      </c>
      <c r="R1638" t="s">
        <v>7373</v>
      </c>
      <c r="S1638" t="s">
        <v>31</v>
      </c>
      <c r="T1638">
        <v>0</v>
      </c>
    </row>
    <row r="1639" spans="1:20" x14ac:dyDescent="0.25">
      <c r="A1639" t="s">
        <v>7374</v>
      </c>
      <c r="B1639" s="1">
        <v>45914</v>
      </c>
      <c r="C1639" s="5">
        <v>0.71206018518518521</v>
      </c>
      <c r="D1639">
        <v>180.67</v>
      </c>
      <c r="E1639" t="s">
        <v>44</v>
      </c>
      <c r="F1639" t="s">
        <v>1504</v>
      </c>
      <c r="G1639" t="s">
        <v>89</v>
      </c>
      <c r="H1639" t="s">
        <v>66</v>
      </c>
      <c r="I1639" t="s">
        <v>7375</v>
      </c>
      <c r="J1639">
        <v>48</v>
      </c>
      <c r="K1639" t="s">
        <v>37</v>
      </c>
      <c r="L1639" t="s">
        <v>47</v>
      </c>
      <c r="M1639" t="s">
        <v>27</v>
      </c>
      <c r="P1639" t="s">
        <v>28</v>
      </c>
      <c r="Q1639" t="s">
        <v>7376</v>
      </c>
      <c r="R1639" t="s">
        <v>7377</v>
      </c>
      <c r="S1639" t="s">
        <v>31</v>
      </c>
      <c r="T1639">
        <v>0</v>
      </c>
    </row>
    <row r="1640" spans="1:20" x14ac:dyDescent="0.25">
      <c r="A1640" t="s">
        <v>7378</v>
      </c>
      <c r="B1640" s="1">
        <v>45934</v>
      </c>
      <c r="C1640" s="5">
        <v>0.21910879629629629</v>
      </c>
      <c r="D1640">
        <v>251.37</v>
      </c>
      <c r="E1640" t="s">
        <v>44</v>
      </c>
      <c r="F1640" t="s">
        <v>663</v>
      </c>
      <c r="G1640" t="s">
        <v>124</v>
      </c>
      <c r="H1640" t="s">
        <v>248</v>
      </c>
      <c r="I1640" t="s">
        <v>7379</v>
      </c>
      <c r="J1640">
        <v>36</v>
      </c>
      <c r="K1640" t="s">
        <v>37</v>
      </c>
      <c r="L1640" t="s">
        <v>50</v>
      </c>
      <c r="M1640" t="s">
        <v>51</v>
      </c>
      <c r="N1640" t="s">
        <v>304</v>
      </c>
      <c r="O1640">
        <v>455459</v>
      </c>
      <c r="P1640" t="s">
        <v>28</v>
      </c>
      <c r="Q1640" t="s">
        <v>7380</v>
      </c>
      <c r="R1640" t="s">
        <v>7381</v>
      </c>
      <c r="S1640" t="s">
        <v>31</v>
      </c>
      <c r="T1640">
        <v>0</v>
      </c>
    </row>
    <row r="1641" spans="1:20" x14ac:dyDescent="0.25">
      <c r="A1641" t="s">
        <v>7382</v>
      </c>
      <c r="B1641" s="1">
        <v>45935</v>
      </c>
      <c r="C1641" s="5">
        <v>0.12508101851851852</v>
      </c>
      <c r="D1641">
        <v>38.01</v>
      </c>
      <c r="E1641" t="s">
        <v>44</v>
      </c>
      <c r="F1641" t="s">
        <v>2603</v>
      </c>
      <c r="G1641" t="s">
        <v>71</v>
      </c>
      <c r="H1641" t="s">
        <v>91</v>
      </c>
      <c r="I1641" t="s">
        <v>7383</v>
      </c>
      <c r="J1641">
        <v>45</v>
      </c>
      <c r="K1641" t="s">
        <v>49</v>
      </c>
      <c r="L1641" t="s">
        <v>47</v>
      </c>
      <c r="M1641" t="s">
        <v>39</v>
      </c>
      <c r="P1641" t="s">
        <v>28</v>
      </c>
      <c r="Q1641" t="s">
        <v>7384</v>
      </c>
      <c r="R1641" t="s">
        <v>7385</v>
      </c>
      <c r="S1641" t="s">
        <v>31</v>
      </c>
      <c r="T1641">
        <v>0</v>
      </c>
    </row>
    <row r="1642" spans="1:20" x14ac:dyDescent="0.25">
      <c r="A1642" t="s">
        <v>7386</v>
      </c>
      <c r="B1642" s="1">
        <v>45874</v>
      </c>
      <c r="C1642" s="5">
        <v>0.55140046296296297</v>
      </c>
      <c r="D1642">
        <v>100.34</v>
      </c>
      <c r="E1642" t="s">
        <v>44</v>
      </c>
      <c r="F1642" t="s">
        <v>4797</v>
      </c>
      <c r="G1642" t="s">
        <v>96</v>
      </c>
      <c r="H1642" t="s">
        <v>97</v>
      </c>
      <c r="I1642" t="s">
        <v>7387</v>
      </c>
      <c r="J1642">
        <v>31</v>
      </c>
      <c r="K1642" t="s">
        <v>37</v>
      </c>
      <c r="L1642" t="s">
        <v>66</v>
      </c>
      <c r="M1642" t="s">
        <v>112</v>
      </c>
      <c r="P1642" t="s">
        <v>28</v>
      </c>
      <c r="Q1642" t="s">
        <v>7388</v>
      </c>
      <c r="R1642" t="s">
        <v>7389</v>
      </c>
      <c r="S1642" t="s">
        <v>31</v>
      </c>
      <c r="T1642">
        <v>0</v>
      </c>
    </row>
    <row r="1643" spans="1:20" x14ac:dyDescent="0.25">
      <c r="A1643" t="s">
        <v>7390</v>
      </c>
      <c r="B1643" s="1">
        <v>45945</v>
      </c>
      <c r="C1643" s="5">
        <v>0.53204861111111112</v>
      </c>
      <c r="D1643">
        <v>107.86</v>
      </c>
      <c r="E1643" t="s">
        <v>44</v>
      </c>
      <c r="F1643" t="s">
        <v>7391</v>
      </c>
      <c r="G1643" t="s">
        <v>46</v>
      </c>
      <c r="H1643" t="s">
        <v>23</v>
      </c>
      <c r="I1643" t="s">
        <v>7392</v>
      </c>
      <c r="J1643">
        <v>20</v>
      </c>
      <c r="K1643" t="s">
        <v>37</v>
      </c>
      <c r="L1643" t="s">
        <v>97</v>
      </c>
      <c r="M1643" t="s">
        <v>39</v>
      </c>
      <c r="P1643" t="s">
        <v>28</v>
      </c>
      <c r="Q1643" t="s">
        <v>7393</v>
      </c>
      <c r="R1643" t="s">
        <v>7394</v>
      </c>
      <c r="S1643" t="s">
        <v>31</v>
      </c>
      <c r="T1643">
        <v>0</v>
      </c>
    </row>
    <row r="1644" spans="1:20" x14ac:dyDescent="0.25">
      <c r="A1644" t="s">
        <v>7395</v>
      </c>
      <c r="B1644" s="1">
        <v>45876</v>
      </c>
      <c r="C1644" s="5">
        <v>0.52788194444444447</v>
      </c>
      <c r="D1644">
        <v>860.19</v>
      </c>
      <c r="E1644" t="s">
        <v>44</v>
      </c>
      <c r="F1644" t="s">
        <v>6265</v>
      </c>
      <c r="G1644" t="s">
        <v>89</v>
      </c>
      <c r="H1644" t="s">
        <v>248</v>
      </c>
      <c r="I1644" t="s">
        <v>4068</v>
      </c>
      <c r="J1644">
        <v>34</v>
      </c>
      <c r="K1644" t="s">
        <v>49</v>
      </c>
      <c r="L1644" t="s">
        <v>97</v>
      </c>
      <c r="M1644" t="s">
        <v>39</v>
      </c>
      <c r="P1644" t="s">
        <v>28</v>
      </c>
      <c r="Q1644" t="s">
        <v>7396</v>
      </c>
      <c r="R1644" t="s">
        <v>7397</v>
      </c>
      <c r="S1644" t="s">
        <v>31</v>
      </c>
      <c r="T1644">
        <v>0</v>
      </c>
    </row>
    <row r="1645" spans="1:20" x14ac:dyDescent="0.25">
      <c r="A1645" t="s">
        <v>7398</v>
      </c>
      <c r="B1645" s="1">
        <v>45930</v>
      </c>
      <c r="C1645" s="5">
        <v>0.9155092592592593</v>
      </c>
      <c r="D1645">
        <v>107.4</v>
      </c>
      <c r="E1645" t="s">
        <v>44</v>
      </c>
      <c r="F1645" t="s">
        <v>6005</v>
      </c>
      <c r="G1645" t="s">
        <v>124</v>
      </c>
      <c r="H1645" t="s">
        <v>97</v>
      </c>
      <c r="I1645" t="s">
        <v>7399</v>
      </c>
      <c r="J1645">
        <v>42</v>
      </c>
      <c r="K1645" t="s">
        <v>37</v>
      </c>
      <c r="L1645" t="s">
        <v>35</v>
      </c>
      <c r="M1645" t="s">
        <v>105</v>
      </c>
      <c r="P1645" t="s">
        <v>28</v>
      </c>
      <c r="Q1645" t="s">
        <v>7400</v>
      </c>
      <c r="R1645" t="s">
        <v>7401</v>
      </c>
      <c r="S1645" t="s">
        <v>31</v>
      </c>
      <c r="T1645">
        <v>0</v>
      </c>
    </row>
    <row r="1646" spans="1:20" x14ac:dyDescent="0.25">
      <c r="A1646" t="s">
        <v>7402</v>
      </c>
      <c r="B1646" s="1">
        <v>45848</v>
      </c>
      <c r="C1646" s="5">
        <v>0.41204861111111113</v>
      </c>
      <c r="D1646">
        <v>118.15</v>
      </c>
      <c r="E1646" t="s">
        <v>44</v>
      </c>
      <c r="F1646" t="s">
        <v>7403</v>
      </c>
      <c r="G1646" t="s">
        <v>89</v>
      </c>
      <c r="H1646" t="s">
        <v>248</v>
      </c>
      <c r="I1646" t="s">
        <v>7404</v>
      </c>
      <c r="J1646">
        <v>58</v>
      </c>
      <c r="K1646" t="s">
        <v>25</v>
      </c>
      <c r="L1646" t="s">
        <v>26</v>
      </c>
      <c r="M1646" t="s">
        <v>51</v>
      </c>
      <c r="N1646" t="s">
        <v>870</v>
      </c>
      <c r="O1646">
        <v>551675</v>
      </c>
      <c r="P1646" t="s">
        <v>28</v>
      </c>
      <c r="Q1646" t="s">
        <v>7405</v>
      </c>
      <c r="R1646" t="s">
        <v>7406</v>
      </c>
      <c r="S1646" t="s">
        <v>101</v>
      </c>
      <c r="T1646">
        <v>0</v>
      </c>
    </row>
    <row r="1647" spans="1:20" x14ac:dyDescent="0.25">
      <c r="A1647" t="s">
        <v>7407</v>
      </c>
      <c r="B1647" s="1">
        <v>45808</v>
      </c>
      <c r="C1647" s="5">
        <v>0.62497685185185181</v>
      </c>
      <c r="D1647">
        <v>65.150000000000006</v>
      </c>
      <c r="E1647" t="s">
        <v>44</v>
      </c>
      <c r="F1647" t="s">
        <v>7408</v>
      </c>
      <c r="G1647" t="s">
        <v>57</v>
      </c>
      <c r="H1647" t="s">
        <v>248</v>
      </c>
      <c r="I1647" t="s">
        <v>7409</v>
      </c>
      <c r="J1647">
        <v>41</v>
      </c>
      <c r="K1647" t="s">
        <v>37</v>
      </c>
      <c r="L1647" t="s">
        <v>58</v>
      </c>
      <c r="M1647" t="s">
        <v>112</v>
      </c>
      <c r="P1647" t="s">
        <v>28</v>
      </c>
      <c r="Q1647" t="s">
        <v>7410</v>
      </c>
      <c r="R1647" t="s">
        <v>7411</v>
      </c>
      <c r="S1647" t="s">
        <v>101</v>
      </c>
      <c r="T1647">
        <v>0</v>
      </c>
    </row>
    <row r="1648" spans="1:20" x14ac:dyDescent="0.25">
      <c r="A1648" t="s">
        <v>7412</v>
      </c>
      <c r="B1648" s="1">
        <v>45874</v>
      </c>
      <c r="C1648" s="5">
        <v>0.41526620370370371</v>
      </c>
      <c r="D1648">
        <v>160.16999999999999</v>
      </c>
      <c r="E1648" t="s">
        <v>44</v>
      </c>
      <c r="F1648" t="s">
        <v>5782</v>
      </c>
      <c r="G1648" t="s">
        <v>22</v>
      </c>
      <c r="H1648" t="s">
        <v>146</v>
      </c>
      <c r="I1648" t="s">
        <v>7413</v>
      </c>
      <c r="J1648">
        <v>58</v>
      </c>
      <c r="K1648" t="s">
        <v>37</v>
      </c>
      <c r="L1648" t="s">
        <v>38</v>
      </c>
      <c r="M1648" t="s">
        <v>105</v>
      </c>
      <c r="P1648" t="s">
        <v>28</v>
      </c>
      <c r="Q1648" t="s">
        <v>7414</v>
      </c>
      <c r="R1648" t="s">
        <v>7415</v>
      </c>
      <c r="S1648" t="s">
        <v>101</v>
      </c>
      <c r="T1648">
        <v>0</v>
      </c>
    </row>
    <row r="1649" spans="1:20" x14ac:dyDescent="0.25">
      <c r="A1649" t="s">
        <v>7416</v>
      </c>
      <c r="B1649" s="1">
        <v>45854</v>
      </c>
      <c r="C1649" s="5">
        <v>0.81159722222222219</v>
      </c>
      <c r="D1649">
        <v>132.13999999999999</v>
      </c>
      <c r="E1649" t="s">
        <v>44</v>
      </c>
      <c r="F1649" t="s">
        <v>1115</v>
      </c>
      <c r="G1649" t="s">
        <v>57</v>
      </c>
      <c r="H1649" t="s">
        <v>91</v>
      </c>
      <c r="I1649" t="s">
        <v>7417</v>
      </c>
      <c r="J1649">
        <v>24</v>
      </c>
      <c r="K1649" t="s">
        <v>37</v>
      </c>
      <c r="L1649" t="s">
        <v>35</v>
      </c>
      <c r="M1649" t="s">
        <v>84</v>
      </c>
      <c r="P1649" t="s">
        <v>28</v>
      </c>
      <c r="Q1649" t="s">
        <v>7418</v>
      </c>
      <c r="R1649" t="s">
        <v>7419</v>
      </c>
      <c r="S1649" t="s">
        <v>31</v>
      </c>
      <c r="T1649">
        <v>0</v>
      </c>
    </row>
    <row r="1650" spans="1:20" x14ac:dyDescent="0.25">
      <c r="A1650" t="s">
        <v>7420</v>
      </c>
      <c r="B1650" s="1">
        <v>45898</v>
      </c>
      <c r="C1650" s="5">
        <v>0.50831018518518523</v>
      </c>
      <c r="D1650">
        <v>186.66</v>
      </c>
      <c r="E1650" t="s">
        <v>44</v>
      </c>
      <c r="F1650" t="s">
        <v>5913</v>
      </c>
      <c r="G1650" t="s">
        <v>22</v>
      </c>
      <c r="H1650" t="s">
        <v>35</v>
      </c>
      <c r="I1650" t="s">
        <v>1337</v>
      </c>
      <c r="J1650">
        <v>62</v>
      </c>
      <c r="K1650" t="s">
        <v>37</v>
      </c>
      <c r="L1650" t="s">
        <v>35</v>
      </c>
      <c r="M1650" t="s">
        <v>51</v>
      </c>
      <c r="N1650" t="s">
        <v>304</v>
      </c>
      <c r="O1650">
        <v>537113</v>
      </c>
      <c r="P1650" t="s">
        <v>113</v>
      </c>
      <c r="Q1650" t="s">
        <v>7421</v>
      </c>
      <c r="R1650" t="s">
        <v>7422</v>
      </c>
      <c r="S1650" t="s">
        <v>31</v>
      </c>
      <c r="T1650">
        <v>0</v>
      </c>
    </row>
    <row r="1651" spans="1:20" x14ac:dyDescent="0.25">
      <c r="A1651" t="s">
        <v>7423</v>
      </c>
      <c r="B1651" s="1">
        <v>45958</v>
      </c>
      <c r="C1651" s="5">
        <v>0.49190972222222223</v>
      </c>
      <c r="D1651">
        <v>173.44</v>
      </c>
      <c r="E1651" t="s">
        <v>44</v>
      </c>
      <c r="F1651" t="s">
        <v>486</v>
      </c>
      <c r="G1651" t="s">
        <v>89</v>
      </c>
      <c r="H1651" t="s">
        <v>50</v>
      </c>
      <c r="I1651" t="s">
        <v>7424</v>
      </c>
      <c r="J1651">
        <v>61</v>
      </c>
      <c r="K1651" t="s">
        <v>49</v>
      </c>
      <c r="L1651" t="s">
        <v>47</v>
      </c>
      <c r="M1651" t="s">
        <v>27</v>
      </c>
      <c r="P1651" t="s">
        <v>28</v>
      </c>
      <c r="Q1651" t="s">
        <v>7425</v>
      </c>
      <c r="R1651" t="s">
        <v>7426</v>
      </c>
      <c r="S1651" t="s">
        <v>31</v>
      </c>
      <c r="T1651">
        <v>0</v>
      </c>
    </row>
    <row r="1652" spans="1:20" x14ac:dyDescent="0.25">
      <c r="A1652" t="s">
        <v>7427</v>
      </c>
      <c r="B1652" s="1">
        <v>45920</v>
      </c>
      <c r="C1652" s="5">
        <v>0.50258101851851855</v>
      </c>
      <c r="D1652">
        <v>190.76</v>
      </c>
      <c r="E1652" t="s">
        <v>44</v>
      </c>
      <c r="F1652" t="s">
        <v>1499</v>
      </c>
      <c r="G1652" t="s">
        <v>124</v>
      </c>
      <c r="H1652" t="s">
        <v>50</v>
      </c>
      <c r="I1652" t="s">
        <v>7428</v>
      </c>
      <c r="K1652" t="s">
        <v>37</v>
      </c>
      <c r="L1652" t="s">
        <v>130</v>
      </c>
      <c r="M1652" t="s">
        <v>39</v>
      </c>
      <c r="P1652" t="s">
        <v>28</v>
      </c>
      <c r="Q1652" t="s">
        <v>7429</v>
      </c>
      <c r="R1652" t="s">
        <v>7430</v>
      </c>
      <c r="S1652" t="s">
        <v>31</v>
      </c>
      <c r="T1652">
        <v>0</v>
      </c>
    </row>
    <row r="1653" spans="1:20" x14ac:dyDescent="0.25">
      <c r="A1653" t="s">
        <v>7431</v>
      </c>
      <c r="B1653" s="1">
        <v>45870</v>
      </c>
      <c r="C1653" s="5">
        <v>0.82111111111111112</v>
      </c>
      <c r="D1653">
        <v>103.35</v>
      </c>
      <c r="E1653" t="s">
        <v>44</v>
      </c>
      <c r="F1653" t="s">
        <v>3835</v>
      </c>
      <c r="G1653" t="s">
        <v>89</v>
      </c>
      <c r="H1653" t="s">
        <v>146</v>
      </c>
      <c r="I1653" t="s">
        <v>7432</v>
      </c>
      <c r="J1653">
        <v>49</v>
      </c>
      <c r="K1653" t="s">
        <v>25</v>
      </c>
      <c r="L1653" t="s">
        <v>119</v>
      </c>
      <c r="M1653" t="s">
        <v>112</v>
      </c>
      <c r="P1653" t="s">
        <v>28</v>
      </c>
      <c r="Q1653" t="s">
        <v>7433</v>
      </c>
      <c r="R1653" t="s">
        <v>7434</v>
      </c>
      <c r="S1653" t="s">
        <v>31</v>
      </c>
      <c r="T1653">
        <v>0</v>
      </c>
    </row>
    <row r="1654" spans="1:20" x14ac:dyDescent="0.25">
      <c r="A1654" t="s">
        <v>7435</v>
      </c>
      <c r="B1654" s="1">
        <v>45847</v>
      </c>
      <c r="C1654" s="5">
        <v>0.63155092592592588</v>
      </c>
      <c r="D1654">
        <v>129.96</v>
      </c>
      <c r="E1654" t="s">
        <v>44</v>
      </c>
      <c r="F1654" t="s">
        <v>5624</v>
      </c>
      <c r="G1654" t="s">
        <v>96</v>
      </c>
      <c r="H1654" t="s">
        <v>50</v>
      </c>
      <c r="I1654" t="s">
        <v>7436</v>
      </c>
      <c r="J1654">
        <v>50</v>
      </c>
      <c r="K1654" t="s">
        <v>37</v>
      </c>
      <c r="L1654" t="s">
        <v>26</v>
      </c>
      <c r="M1654" t="s">
        <v>112</v>
      </c>
      <c r="P1654" t="s">
        <v>28</v>
      </c>
      <c r="Q1654" t="s">
        <v>7437</v>
      </c>
      <c r="R1654" t="s">
        <v>7438</v>
      </c>
      <c r="S1654" t="s">
        <v>31</v>
      </c>
      <c r="T1654">
        <v>0</v>
      </c>
    </row>
    <row r="1655" spans="1:20" x14ac:dyDescent="0.25">
      <c r="A1655" t="s">
        <v>7439</v>
      </c>
      <c r="B1655" s="1">
        <v>45900</v>
      </c>
      <c r="C1655" s="5">
        <v>0.77788194444444447</v>
      </c>
      <c r="D1655">
        <v>130.53</v>
      </c>
      <c r="E1655" t="s">
        <v>44</v>
      </c>
      <c r="F1655" t="s">
        <v>2781</v>
      </c>
      <c r="G1655" t="s">
        <v>96</v>
      </c>
      <c r="H1655" t="s">
        <v>38</v>
      </c>
      <c r="I1655" t="s">
        <v>7440</v>
      </c>
      <c r="J1655">
        <v>20</v>
      </c>
      <c r="K1655" t="s">
        <v>37</v>
      </c>
      <c r="L1655" t="s">
        <v>58</v>
      </c>
      <c r="M1655" t="s">
        <v>39</v>
      </c>
      <c r="P1655" t="s">
        <v>28</v>
      </c>
      <c r="Q1655" t="s">
        <v>7441</v>
      </c>
      <c r="R1655" t="s">
        <v>7442</v>
      </c>
      <c r="S1655" t="s">
        <v>31</v>
      </c>
      <c r="T1655">
        <v>0</v>
      </c>
    </row>
    <row r="1656" spans="1:20" x14ac:dyDescent="0.25">
      <c r="A1656" t="s">
        <v>7443</v>
      </c>
      <c r="B1656" s="1">
        <v>45801</v>
      </c>
      <c r="C1656" s="5">
        <v>0.23936342592592594</v>
      </c>
      <c r="D1656">
        <v>57.32</v>
      </c>
      <c r="E1656" t="s">
        <v>44</v>
      </c>
      <c r="F1656" t="s">
        <v>2999</v>
      </c>
      <c r="G1656" t="s">
        <v>77</v>
      </c>
      <c r="H1656" t="s">
        <v>50</v>
      </c>
      <c r="I1656" t="s">
        <v>7444</v>
      </c>
      <c r="J1656">
        <v>69</v>
      </c>
      <c r="K1656" t="s">
        <v>25</v>
      </c>
      <c r="L1656" t="s">
        <v>35</v>
      </c>
      <c r="M1656" t="s">
        <v>27</v>
      </c>
      <c r="P1656" t="s">
        <v>28</v>
      </c>
      <c r="Q1656" t="s">
        <v>7445</v>
      </c>
      <c r="R1656" t="s">
        <v>7446</v>
      </c>
      <c r="S1656" t="s">
        <v>31</v>
      </c>
      <c r="T1656">
        <v>0</v>
      </c>
    </row>
    <row r="1657" spans="1:20" x14ac:dyDescent="0.25">
      <c r="A1657" t="s">
        <v>7447</v>
      </c>
      <c r="B1657" s="1">
        <v>45794</v>
      </c>
      <c r="C1657" s="5">
        <v>0.6711921296296296</v>
      </c>
      <c r="D1657">
        <v>100.79</v>
      </c>
      <c r="E1657" t="s">
        <v>44</v>
      </c>
      <c r="F1657" t="s">
        <v>7448</v>
      </c>
      <c r="G1657" t="s">
        <v>77</v>
      </c>
      <c r="H1657" t="s">
        <v>91</v>
      </c>
      <c r="I1657" t="s">
        <v>7449</v>
      </c>
      <c r="J1657">
        <v>62</v>
      </c>
      <c r="K1657" t="s">
        <v>25</v>
      </c>
      <c r="L1657" t="s">
        <v>47</v>
      </c>
      <c r="M1657" t="s">
        <v>39</v>
      </c>
      <c r="P1657" t="s">
        <v>28</v>
      </c>
      <c r="Q1657" t="s">
        <v>7450</v>
      </c>
      <c r="R1657" t="s">
        <v>7451</v>
      </c>
      <c r="S1657" t="s">
        <v>31</v>
      </c>
      <c r="T1657">
        <v>0</v>
      </c>
    </row>
    <row r="1658" spans="1:20" x14ac:dyDescent="0.25">
      <c r="A1658" t="s">
        <v>7452</v>
      </c>
      <c r="B1658" s="1">
        <v>45878</v>
      </c>
      <c r="C1658" s="5">
        <v>0.11938657407407408</v>
      </c>
      <c r="D1658">
        <v>145.16</v>
      </c>
      <c r="E1658" t="s">
        <v>44</v>
      </c>
      <c r="F1658" t="s">
        <v>1470</v>
      </c>
      <c r="G1658" t="s">
        <v>57</v>
      </c>
      <c r="H1658" t="s">
        <v>23</v>
      </c>
      <c r="I1658" t="s">
        <v>7453</v>
      </c>
      <c r="J1658">
        <v>24</v>
      </c>
      <c r="K1658" t="s">
        <v>37</v>
      </c>
      <c r="L1658" t="s">
        <v>119</v>
      </c>
      <c r="M1658" t="s">
        <v>105</v>
      </c>
      <c r="P1658" t="s">
        <v>28</v>
      </c>
      <c r="Q1658" t="s">
        <v>7454</v>
      </c>
      <c r="R1658" t="s">
        <v>7455</v>
      </c>
      <c r="S1658" t="s">
        <v>31</v>
      </c>
      <c r="T1658">
        <v>0</v>
      </c>
    </row>
    <row r="1659" spans="1:20" x14ac:dyDescent="0.25">
      <c r="A1659" t="s">
        <v>7456</v>
      </c>
      <c r="B1659" s="1">
        <v>45942</v>
      </c>
      <c r="C1659" s="5">
        <v>2.883101851851852E-2</v>
      </c>
      <c r="D1659">
        <v>15.93</v>
      </c>
      <c r="E1659" t="s">
        <v>44</v>
      </c>
      <c r="F1659" t="s">
        <v>6143</v>
      </c>
      <c r="G1659" t="s">
        <v>34</v>
      </c>
      <c r="H1659" t="s">
        <v>97</v>
      </c>
      <c r="I1659" t="s">
        <v>7457</v>
      </c>
      <c r="J1659">
        <v>61</v>
      </c>
      <c r="K1659" t="s">
        <v>49</v>
      </c>
      <c r="L1659" t="s">
        <v>248</v>
      </c>
      <c r="M1659" t="s">
        <v>27</v>
      </c>
      <c r="P1659" t="s">
        <v>28</v>
      </c>
      <c r="Q1659" t="s">
        <v>7458</v>
      </c>
      <c r="R1659" t="s">
        <v>7459</v>
      </c>
      <c r="S1659" t="s">
        <v>101</v>
      </c>
      <c r="T1659">
        <v>0</v>
      </c>
    </row>
    <row r="1660" spans="1:20" x14ac:dyDescent="0.25">
      <c r="A1660" t="s">
        <v>7460</v>
      </c>
      <c r="B1660" s="1">
        <v>45930</v>
      </c>
      <c r="C1660" s="5">
        <v>0.54328703703703707</v>
      </c>
      <c r="D1660">
        <v>12.75</v>
      </c>
      <c r="E1660" t="s">
        <v>44</v>
      </c>
      <c r="F1660" t="s">
        <v>6279</v>
      </c>
      <c r="G1660" t="s">
        <v>96</v>
      </c>
      <c r="H1660" t="s">
        <v>50</v>
      </c>
      <c r="I1660" t="s">
        <v>7461</v>
      </c>
      <c r="J1660">
        <v>57</v>
      </c>
      <c r="K1660" t="s">
        <v>25</v>
      </c>
      <c r="L1660" t="s">
        <v>119</v>
      </c>
      <c r="M1660" t="s">
        <v>51</v>
      </c>
      <c r="N1660" t="s">
        <v>507</v>
      </c>
      <c r="O1660">
        <v>535720</v>
      </c>
      <c r="P1660" t="s">
        <v>28</v>
      </c>
      <c r="Q1660" t="s">
        <v>7462</v>
      </c>
      <c r="R1660" t="s">
        <v>7463</v>
      </c>
      <c r="S1660" t="s">
        <v>101</v>
      </c>
      <c r="T1660">
        <v>0</v>
      </c>
    </row>
    <row r="1661" spans="1:20" x14ac:dyDescent="0.25">
      <c r="A1661" t="s">
        <v>7464</v>
      </c>
      <c r="B1661" s="1">
        <v>45948</v>
      </c>
      <c r="C1661" s="5">
        <v>0.30674768518518519</v>
      </c>
      <c r="D1661">
        <v>80.59</v>
      </c>
      <c r="E1661" t="s">
        <v>44</v>
      </c>
      <c r="F1661" t="s">
        <v>2990</v>
      </c>
      <c r="G1661" t="s">
        <v>96</v>
      </c>
      <c r="H1661" t="s">
        <v>58</v>
      </c>
      <c r="I1661" t="s">
        <v>7465</v>
      </c>
      <c r="J1661">
        <v>55</v>
      </c>
      <c r="K1661" t="s">
        <v>49</v>
      </c>
      <c r="L1661" t="s">
        <v>35</v>
      </c>
      <c r="M1661" t="s">
        <v>39</v>
      </c>
      <c r="P1661" t="s">
        <v>28</v>
      </c>
      <c r="Q1661" t="s">
        <v>7466</v>
      </c>
      <c r="R1661" t="s">
        <v>7467</v>
      </c>
      <c r="S1661" t="s">
        <v>31</v>
      </c>
      <c r="T1661">
        <v>0</v>
      </c>
    </row>
    <row r="1662" spans="1:20" x14ac:dyDescent="0.25">
      <c r="A1662" t="s">
        <v>7468</v>
      </c>
      <c r="B1662" s="1">
        <v>45876</v>
      </c>
      <c r="C1662" s="5">
        <v>0.47737268518518516</v>
      </c>
      <c r="D1662">
        <v>42.37</v>
      </c>
      <c r="E1662" t="s">
        <v>44</v>
      </c>
      <c r="F1662" t="s">
        <v>5282</v>
      </c>
      <c r="G1662" t="s">
        <v>77</v>
      </c>
      <c r="H1662" t="s">
        <v>26</v>
      </c>
      <c r="I1662" t="s">
        <v>7469</v>
      </c>
      <c r="J1662">
        <v>55</v>
      </c>
      <c r="K1662" t="s">
        <v>25</v>
      </c>
      <c r="L1662" t="s">
        <v>97</v>
      </c>
      <c r="M1662" t="s">
        <v>51</v>
      </c>
      <c r="N1662" t="s">
        <v>52</v>
      </c>
      <c r="O1662">
        <v>466627</v>
      </c>
      <c r="P1662" t="s">
        <v>28</v>
      </c>
      <c r="Q1662" t="s">
        <v>7470</v>
      </c>
      <c r="R1662" t="s">
        <v>7471</v>
      </c>
      <c r="S1662" t="s">
        <v>31</v>
      </c>
      <c r="T1662">
        <v>0</v>
      </c>
    </row>
    <row r="1663" spans="1:20" x14ac:dyDescent="0.25">
      <c r="A1663" t="s">
        <v>7472</v>
      </c>
      <c r="B1663" s="1">
        <v>45891</v>
      </c>
      <c r="C1663" s="5">
        <v>0.62738425925925922</v>
      </c>
      <c r="D1663">
        <v>181.91</v>
      </c>
      <c r="E1663" t="s">
        <v>44</v>
      </c>
      <c r="F1663" t="s">
        <v>7473</v>
      </c>
      <c r="G1663" t="s">
        <v>124</v>
      </c>
      <c r="H1663" t="s">
        <v>35</v>
      </c>
      <c r="I1663" t="s">
        <v>7474</v>
      </c>
      <c r="J1663">
        <v>67</v>
      </c>
      <c r="K1663" t="s">
        <v>49</v>
      </c>
      <c r="L1663" t="s">
        <v>66</v>
      </c>
      <c r="M1663" t="s">
        <v>105</v>
      </c>
      <c r="P1663" t="s">
        <v>28</v>
      </c>
      <c r="Q1663" t="s">
        <v>7475</v>
      </c>
      <c r="R1663" t="s">
        <v>7476</v>
      </c>
      <c r="S1663" t="s">
        <v>31</v>
      </c>
      <c r="T1663">
        <v>0</v>
      </c>
    </row>
    <row r="1664" spans="1:20" x14ac:dyDescent="0.25">
      <c r="A1664" t="s">
        <v>7477</v>
      </c>
      <c r="B1664" s="1">
        <v>45938</v>
      </c>
      <c r="C1664" s="5">
        <v>8.9340277777777782E-2</v>
      </c>
      <c r="D1664">
        <v>364.18</v>
      </c>
      <c r="E1664" t="s">
        <v>44</v>
      </c>
      <c r="F1664" t="s">
        <v>4374</v>
      </c>
      <c r="G1664" t="s">
        <v>46</v>
      </c>
      <c r="H1664" t="s">
        <v>50</v>
      </c>
      <c r="I1664" t="s">
        <v>7478</v>
      </c>
      <c r="J1664">
        <v>70</v>
      </c>
      <c r="K1664" t="s">
        <v>49</v>
      </c>
      <c r="L1664" t="s">
        <v>146</v>
      </c>
      <c r="M1664" t="s">
        <v>112</v>
      </c>
      <c r="P1664" t="s">
        <v>28</v>
      </c>
      <c r="Q1664" t="s">
        <v>7479</v>
      </c>
      <c r="R1664" t="s">
        <v>7480</v>
      </c>
      <c r="S1664" t="s">
        <v>42</v>
      </c>
      <c r="T1664">
        <v>0</v>
      </c>
    </row>
    <row r="1665" spans="1:20" x14ac:dyDescent="0.25">
      <c r="A1665" t="s">
        <v>7481</v>
      </c>
      <c r="B1665" s="1">
        <v>45940</v>
      </c>
      <c r="C1665" s="5">
        <v>0.22695601851851852</v>
      </c>
      <c r="D1665">
        <v>111.25</v>
      </c>
      <c r="E1665" t="s">
        <v>44</v>
      </c>
      <c r="F1665" t="s">
        <v>297</v>
      </c>
      <c r="G1665" t="s">
        <v>46</v>
      </c>
      <c r="H1665" t="s">
        <v>35</v>
      </c>
      <c r="I1665" t="s">
        <v>7482</v>
      </c>
      <c r="J1665">
        <v>66</v>
      </c>
      <c r="K1665" t="s">
        <v>37</v>
      </c>
      <c r="L1665" t="s">
        <v>119</v>
      </c>
      <c r="M1665" t="s">
        <v>112</v>
      </c>
      <c r="P1665" t="s">
        <v>28</v>
      </c>
      <c r="Q1665" t="s">
        <v>7483</v>
      </c>
      <c r="R1665" t="s">
        <v>7484</v>
      </c>
      <c r="S1665" t="s">
        <v>31</v>
      </c>
      <c r="T1665">
        <v>0</v>
      </c>
    </row>
    <row r="1666" spans="1:20" x14ac:dyDescent="0.25">
      <c r="A1666" t="s">
        <v>7485</v>
      </c>
      <c r="B1666" s="1">
        <v>45831</v>
      </c>
      <c r="C1666" s="5">
        <v>0.39603009259259259</v>
      </c>
      <c r="D1666">
        <v>143.96</v>
      </c>
      <c r="E1666" t="s">
        <v>44</v>
      </c>
      <c r="F1666" t="s">
        <v>7486</v>
      </c>
      <c r="G1666" t="s">
        <v>46</v>
      </c>
      <c r="H1666" t="s">
        <v>47</v>
      </c>
      <c r="I1666" t="s">
        <v>7487</v>
      </c>
      <c r="J1666">
        <v>61</v>
      </c>
      <c r="K1666" t="s">
        <v>25</v>
      </c>
      <c r="L1666" t="s">
        <v>66</v>
      </c>
      <c r="M1666" t="s">
        <v>105</v>
      </c>
      <c r="P1666" t="s">
        <v>28</v>
      </c>
      <c r="Q1666" t="s">
        <v>7488</v>
      </c>
      <c r="R1666" t="s">
        <v>7489</v>
      </c>
      <c r="S1666" t="s">
        <v>31</v>
      </c>
      <c r="T1666">
        <v>0</v>
      </c>
    </row>
    <row r="1667" spans="1:20" x14ac:dyDescent="0.25">
      <c r="A1667" t="s">
        <v>7490</v>
      </c>
      <c r="B1667" s="1">
        <v>45845</v>
      </c>
      <c r="C1667" s="5">
        <v>0.29961805555555554</v>
      </c>
      <c r="D1667">
        <v>21.52</v>
      </c>
      <c r="E1667" t="s">
        <v>44</v>
      </c>
      <c r="F1667" t="s">
        <v>7491</v>
      </c>
      <c r="G1667" t="s">
        <v>89</v>
      </c>
      <c r="H1667" t="s">
        <v>58</v>
      </c>
      <c r="I1667" t="s">
        <v>7492</v>
      </c>
      <c r="K1667" t="s">
        <v>49</v>
      </c>
      <c r="L1667" t="s">
        <v>50</v>
      </c>
      <c r="M1667" t="s">
        <v>84</v>
      </c>
      <c r="P1667" t="s">
        <v>28</v>
      </c>
      <c r="Q1667" t="s">
        <v>7493</v>
      </c>
      <c r="R1667" t="s">
        <v>7494</v>
      </c>
      <c r="S1667" t="s">
        <v>31</v>
      </c>
      <c r="T1667">
        <v>1</v>
      </c>
    </row>
    <row r="1668" spans="1:20" x14ac:dyDescent="0.25">
      <c r="A1668" t="s">
        <v>7495</v>
      </c>
      <c r="B1668" s="1">
        <v>45938</v>
      </c>
      <c r="C1668" s="5">
        <v>0.9853587962962963</v>
      </c>
      <c r="D1668">
        <v>39.880000000000003</v>
      </c>
      <c r="E1668" t="s">
        <v>44</v>
      </c>
      <c r="F1668" t="s">
        <v>263</v>
      </c>
      <c r="G1668" t="s">
        <v>71</v>
      </c>
      <c r="H1668" t="s">
        <v>50</v>
      </c>
      <c r="I1668" t="s">
        <v>7496</v>
      </c>
      <c r="J1668">
        <v>39</v>
      </c>
      <c r="K1668" t="s">
        <v>25</v>
      </c>
      <c r="L1668" t="s">
        <v>110</v>
      </c>
      <c r="M1668" t="s">
        <v>84</v>
      </c>
      <c r="P1668" t="s">
        <v>28</v>
      </c>
      <c r="Q1668" t="s">
        <v>7497</v>
      </c>
      <c r="R1668" t="s">
        <v>7498</v>
      </c>
      <c r="S1668" t="s">
        <v>31</v>
      </c>
      <c r="T1668">
        <v>0</v>
      </c>
    </row>
    <row r="1669" spans="1:20" x14ac:dyDescent="0.25">
      <c r="A1669" t="s">
        <v>7499</v>
      </c>
      <c r="B1669" s="1">
        <v>45797</v>
      </c>
      <c r="C1669" s="5">
        <v>0.57663194444444443</v>
      </c>
      <c r="D1669">
        <v>177.63</v>
      </c>
      <c r="E1669" t="s">
        <v>44</v>
      </c>
      <c r="F1669" t="s">
        <v>1040</v>
      </c>
      <c r="G1669" t="s">
        <v>96</v>
      </c>
      <c r="H1669" t="s">
        <v>91</v>
      </c>
      <c r="I1669" t="s">
        <v>7500</v>
      </c>
      <c r="J1669">
        <v>20</v>
      </c>
      <c r="K1669" t="s">
        <v>37</v>
      </c>
      <c r="L1669" t="s">
        <v>26</v>
      </c>
      <c r="M1669" t="s">
        <v>39</v>
      </c>
      <c r="P1669" t="s">
        <v>28</v>
      </c>
      <c r="Q1669" t="s">
        <v>7501</v>
      </c>
      <c r="R1669" t="s">
        <v>7502</v>
      </c>
      <c r="S1669" t="s">
        <v>31</v>
      </c>
      <c r="T1669">
        <v>0</v>
      </c>
    </row>
    <row r="1670" spans="1:20" x14ac:dyDescent="0.25">
      <c r="A1670" t="s">
        <v>7503</v>
      </c>
      <c r="B1670" s="1">
        <v>45914</v>
      </c>
      <c r="C1670" s="5">
        <v>0.15715277777777778</v>
      </c>
      <c r="D1670">
        <v>52.67</v>
      </c>
      <c r="E1670" t="s">
        <v>44</v>
      </c>
      <c r="F1670" t="s">
        <v>2575</v>
      </c>
      <c r="G1670" t="s">
        <v>96</v>
      </c>
      <c r="H1670" t="s">
        <v>47</v>
      </c>
      <c r="I1670" t="s">
        <v>7504</v>
      </c>
      <c r="J1670">
        <v>67</v>
      </c>
      <c r="K1670" t="s">
        <v>37</v>
      </c>
      <c r="L1670" t="s">
        <v>248</v>
      </c>
      <c r="M1670" t="s">
        <v>51</v>
      </c>
      <c r="N1670" t="s">
        <v>173</v>
      </c>
      <c r="O1670">
        <v>501677</v>
      </c>
      <c r="P1670" t="s">
        <v>28</v>
      </c>
      <c r="Q1670" t="s">
        <v>7505</v>
      </c>
      <c r="R1670" t="s">
        <v>7506</v>
      </c>
      <c r="S1670" t="s">
        <v>31</v>
      </c>
      <c r="T1670">
        <v>0</v>
      </c>
    </row>
    <row r="1671" spans="1:20" x14ac:dyDescent="0.25">
      <c r="A1671" t="s">
        <v>7507</v>
      </c>
      <c r="B1671" s="1">
        <v>45833</v>
      </c>
      <c r="C1671" s="5">
        <v>0.86569444444444443</v>
      </c>
      <c r="D1671">
        <v>162.44999999999999</v>
      </c>
      <c r="E1671" t="s">
        <v>44</v>
      </c>
      <c r="F1671" t="s">
        <v>76</v>
      </c>
      <c r="G1671" t="s">
        <v>71</v>
      </c>
      <c r="H1671" t="s">
        <v>130</v>
      </c>
      <c r="I1671" t="s">
        <v>7508</v>
      </c>
      <c r="J1671">
        <v>18</v>
      </c>
      <c r="K1671" t="s">
        <v>25</v>
      </c>
      <c r="L1671" t="s">
        <v>47</v>
      </c>
      <c r="M1671" t="s">
        <v>84</v>
      </c>
      <c r="P1671" t="s">
        <v>28</v>
      </c>
      <c r="Q1671" t="s">
        <v>7509</v>
      </c>
      <c r="R1671" t="s">
        <v>7510</v>
      </c>
      <c r="S1671" t="s">
        <v>31</v>
      </c>
      <c r="T1671">
        <v>0</v>
      </c>
    </row>
    <row r="1672" spans="1:20" x14ac:dyDescent="0.25">
      <c r="A1672" t="s">
        <v>7511</v>
      </c>
      <c r="B1672" s="1">
        <v>45788</v>
      </c>
      <c r="C1672" s="5">
        <v>0.1844675925925926</v>
      </c>
      <c r="D1672">
        <v>69.709999999999994</v>
      </c>
      <c r="E1672" t="s">
        <v>44</v>
      </c>
      <c r="F1672" t="s">
        <v>1326</v>
      </c>
      <c r="G1672" t="s">
        <v>57</v>
      </c>
      <c r="H1672" t="s">
        <v>110</v>
      </c>
      <c r="I1672" t="s">
        <v>7512</v>
      </c>
      <c r="J1672">
        <v>40</v>
      </c>
      <c r="K1672" t="s">
        <v>37</v>
      </c>
      <c r="L1672" t="s">
        <v>23</v>
      </c>
      <c r="M1672" t="s">
        <v>105</v>
      </c>
      <c r="P1672" t="s">
        <v>28</v>
      </c>
      <c r="Q1672" t="s">
        <v>7513</v>
      </c>
      <c r="R1672" t="s">
        <v>7514</v>
      </c>
      <c r="S1672" t="s">
        <v>31</v>
      </c>
      <c r="T1672">
        <v>0</v>
      </c>
    </row>
    <row r="1673" spans="1:20" x14ac:dyDescent="0.25">
      <c r="A1673" t="s">
        <v>7515</v>
      </c>
      <c r="B1673" s="1">
        <v>45870</v>
      </c>
      <c r="C1673" s="5">
        <v>0.62010416666666668</v>
      </c>
      <c r="D1673">
        <v>170.09</v>
      </c>
      <c r="E1673" t="s">
        <v>44</v>
      </c>
      <c r="F1673" t="s">
        <v>1752</v>
      </c>
      <c r="G1673" t="s">
        <v>34</v>
      </c>
      <c r="H1673" t="s">
        <v>66</v>
      </c>
      <c r="I1673" t="s">
        <v>7516</v>
      </c>
      <c r="J1673">
        <v>35</v>
      </c>
      <c r="K1673" t="s">
        <v>25</v>
      </c>
      <c r="L1673" t="s">
        <v>146</v>
      </c>
      <c r="M1673" t="s">
        <v>84</v>
      </c>
      <c r="P1673" t="s">
        <v>28</v>
      </c>
      <c r="Q1673" t="s">
        <v>7517</v>
      </c>
      <c r="R1673" t="s">
        <v>7518</v>
      </c>
      <c r="S1673" t="s">
        <v>31</v>
      </c>
      <c r="T1673">
        <v>0</v>
      </c>
    </row>
    <row r="1674" spans="1:20" x14ac:dyDescent="0.25">
      <c r="A1674" t="s">
        <v>7519</v>
      </c>
      <c r="B1674" s="1">
        <v>45909</v>
      </c>
      <c r="C1674" s="5">
        <v>0.10325231481481481</v>
      </c>
      <c r="D1674">
        <v>3864.02</v>
      </c>
      <c r="E1674" t="s">
        <v>44</v>
      </c>
      <c r="F1674" t="s">
        <v>3074</v>
      </c>
      <c r="G1674" t="s">
        <v>64</v>
      </c>
      <c r="H1674" t="s">
        <v>26</v>
      </c>
      <c r="I1674" t="s">
        <v>7520</v>
      </c>
      <c r="J1674">
        <v>44</v>
      </c>
      <c r="K1674" t="s">
        <v>37</v>
      </c>
      <c r="L1674" t="s">
        <v>58</v>
      </c>
      <c r="M1674" t="s">
        <v>84</v>
      </c>
      <c r="P1674" t="s">
        <v>28</v>
      </c>
      <c r="Q1674" t="s">
        <v>7521</v>
      </c>
      <c r="R1674" t="s">
        <v>7522</v>
      </c>
      <c r="S1674" t="s">
        <v>101</v>
      </c>
      <c r="T1674">
        <v>0</v>
      </c>
    </row>
    <row r="1675" spans="1:20" x14ac:dyDescent="0.25">
      <c r="A1675" t="s">
        <v>7523</v>
      </c>
      <c r="B1675" s="1">
        <v>45792</v>
      </c>
      <c r="C1675" s="5">
        <v>0.29916666666666669</v>
      </c>
      <c r="D1675">
        <v>121.05</v>
      </c>
      <c r="E1675" t="s">
        <v>44</v>
      </c>
      <c r="F1675" t="s">
        <v>3582</v>
      </c>
      <c r="G1675" t="s">
        <v>64</v>
      </c>
      <c r="H1675" t="s">
        <v>130</v>
      </c>
      <c r="I1675" t="s">
        <v>7524</v>
      </c>
      <c r="J1675">
        <v>60</v>
      </c>
      <c r="K1675" t="s">
        <v>37</v>
      </c>
      <c r="L1675" t="s">
        <v>119</v>
      </c>
      <c r="M1675" t="s">
        <v>105</v>
      </c>
      <c r="P1675" t="s">
        <v>28</v>
      </c>
      <c r="Q1675" t="s">
        <v>7525</v>
      </c>
      <c r="R1675" t="s">
        <v>7526</v>
      </c>
      <c r="S1675" t="s">
        <v>31</v>
      </c>
      <c r="T1675">
        <v>1</v>
      </c>
    </row>
    <row r="1676" spans="1:20" x14ac:dyDescent="0.25">
      <c r="A1676" t="s">
        <v>7527</v>
      </c>
      <c r="B1676" s="1">
        <v>45788</v>
      </c>
      <c r="C1676" s="5">
        <v>0.49517361111111113</v>
      </c>
      <c r="D1676">
        <v>75.62</v>
      </c>
      <c r="E1676" t="s">
        <v>44</v>
      </c>
      <c r="F1676" t="s">
        <v>7528</v>
      </c>
      <c r="G1676" t="s">
        <v>22</v>
      </c>
      <c r="H1676" t="s">
        <v>91</v>
      </c>
      <c r="I1676" t="s">
        <v>7529</v>
      </c>
      <c r="J1676">
        <v>28</v>
      </c>
      <c r="K1676" t="s">
        <v>37</v>
      </c>
      <c r="L1676" t="s">
        <v>110</v>
      </c>
      <c r="M1676" t="s">
        <v>51</v>
      </c>
      <c r="N1676" t="s">
        <v>173</v>
      </c>
      <c r="O1676">
        <v>417163</v>
      </c>
      <c r="P1676" t="s">
        <v>28</v>
      </c>
      <c r="Q1676" t="s">
        <v>7530</v>
      </c>
      <c r="R1676" t="s">
        <v>7531</v>
      </c>
      <c r="S1676" t="s">
        <v>31</v>
      </c>
      <c r="T1676">
        <v>0</v>
      </c>
    </row>
    <row r="1677" spans="1:20" x14ac:dyDescent="0.25">
      <c r="A1677" t="s">
        <v>7532</v>
      </c>
      <c r="B1677" s="1">
        <v>45904</v>
      </c>
      <c r="C1677" s="5">
        <v>0.24450231481481483</v>
      </c>
      <c r="D1677">
        <v>84.85</v>
      </c>
      <c r="E1677" t="s">
        <v>44</v>
      </c>
      <c r="F1677" t="s">
        <v>7533</v>
      </c>
      <c r="G1677" t="s">
        <v>46</v>
      </c>
      <c r="H1677" t="s">
        <v>50</v>
      </c>
      <c r="I1677" t="s">
        <v>7534</v>
      </c>
      <c r="J1677">
        <v>19</v>
      </c>
      <c r="K1677" t="s">
        <v>49</v>
      </c>
      <c r="L1677" t="s">
        <v>47</v>
      </c>
      <c r="M1677" t="s">
        <v>39</v>
      </c>
      <c r="P1677" t="s">
        <v>28</v>
      </c>
      <c r="Q1677" t="s">
        <v>7535</v>
      </c>
      <c r="R1677" t="s">
        <v>7536</v>
      </c>
      <c r="S1677" t="s">
        <v>42</v>
      </c>
      <c r="T1677">
        <v>0</v>
      </c>
    </row>
    <row r="1678" spans="1:20" x14ac:dyDescent="0.25">
      <c r="A1678" t="s">
        <v>7537</v>
      </c>
      <c r="B1678" s="1">
        <v>45871</v>
      </c>
      <c r="C1678" s="5">
        <v>0.6215046296296296</v>
      </c>
      <c r="D1678">
        <v>90.42</v>
      </c>
      <c r="E1678" t="s">
        <v>44</v>
      </c>
      <c r="F1678" t="s">
        <v>5913</v>
      </c>
      <c r="G1678" t="s">
        <v>96</v>
      </c>
      <c r="H1678" t="s">
        <v>35</v>
      </c>
      <c r="I1678" t="s">
        <v>7538</v>
      </c>
      <c r="J1678">
        <v>118</v>
      </c>
      <c r="K1678" t="s">
        <v>49</v>
      </c>
      <c r="L1678" t="s">
        <v>26</v>
      </c>
      <c r="M1678" t="s">
        <v>51</v>
      </c>
      <c r="N1678" t="s">
        <v>173</v>
      </c>
      <c r="O1678">
        <v>434541</v>
      </c>
      <c r="P1678" t="s">
        <v>28</v>
      </c>
      <c r="Q1678" t="s">
        <v>7539</v>
      </c>
      <c r="R1678" t="s">
        <v>7540</v>
      </c>
      <c r="S1678" t="s">
        <v>31</v>
      </c>
      <c r="T1678">
        <v>0</v>
      </c>
    </row>
    <row r="1679" spans="1:20" x14ac:dyDescent="0.25">
      <c r="A1679" t="s">
        <v>7541</v>
      </c>
      <c r="B1679" s="1">
        <v>45959</v>
      </c>
      <c r="C1679" s="5">
        <v>0.93509259259259259</v>
      </c>
      <c r="D1679">
        <v>95.44</v>
      </c>
      <c r="E1679" t="s">
        <v>44</v>
      </c>
      <c r="F1679" t="s">
        <v>581</v>
      </c>
      <c r="G1679" t="s">
        <v>46</v>
      </c>
      <c r="H1679" t="s">
        <v>130</v>
      </c>
      <c r="I1679" t="s">
        <v>7542</v>
      </c>
      <c r="J1679">
        <v>66</v>
      </c>
      <c r="K1679" t="s">
        <v>49</v>
      </c>
      <c r="L1679" t="s">
        <v>91</v>
      </c>
      <c r="M1679" t="s">
        <v>39</v>
      </c>
      <c r="P1679" t="s">
        <v>28</v>
      </c>
      <c r="Q1679" t="s">
        <v>7543</v>
      </c>
      <c r="R1679" t="s">
        <v>7544</v>
      </c>
      <c r="S1679" t="s">
        <v>31</v>
      </c>
      <c r="T1679">
        <v>0</v>
      </c>
    </row>
    <row r="1680" spans="1:20" x14ac:dyDescent="0.25">
      <c r="A1680" t="s">
        <v>7545</v>
      </c>
      <c r="B1680" s="1">
        <v>45911</v>
      </c>
      <c r="C1680" s="5">
        <v>0.85840277777777774</v>
      </c>
      <c r="D1680">
        <v>22.17</v>
      </c>
      <c r="E1680" t="s">
        <v>44</v>
      </c>
      <c r="F1680" t="s">
        <v>3483</v>
      </c>
      <c r="G1680" t="s">
        <v>64</v>
      </c>
      <c r="H1680" t="s">
        <v>248</v>
      </c>
      <c r="I1680" t="s">
        <v>7546</v>
      </c>
      <c r="J1680">
        <v>33</v>
      </c>
      <c r="K1680" t="s">
        <v>25</v>
      </c>
      <c r="L1680" t="s">
        <v>248</v>
      </c>
      <c r="M1680" t="s">
        <v>112</v>
      </c>
      <c r="P1680" t="s">
        <v>113</v>
      </c>
      <c r="Q1680" t="s">
        <v>7547</v>
      </c>
      <c r="R1680" t="s">
        <v>7548</v>
      </c>
      <c r="S1680" t="s">
        <v>31</v>
      </c>
      <c r="T1680">
        <v>0</v>
      </c>
    </row>
    <row r="1681" spans="1:20" x14ac:dyDescent="0.25">
      <c r="A1681" t="s">
        <v>7549</v>
      </c>
      <c r="B1681" s="1">
        <v>45925</v>
      </c>
      <c r="C1681" s="5">
        <v>0.12969907407407408</v>
      </c>
      <c r="D1681">
        <v>835.04</v>
      </c>
      <c r="E1681" t="s">
        <v>44</v>
      </c>
      <c r="F1681" t="s">
        <v>997</v>
      </c>
      <c r="G1681" t="s">
        <v>89</v>
      </c>
      <c r="H1681" t="s">
        <v>23</v>
      </c>
      <c r="I1681" t="s">
        <v>7550</v>
      </c>
      <c r="J1681">
        <v>61</v>
      </c>
      <c r="K1681" t="s">
        <v>37</v>
      </c>
      <c r="L1681" t="s">
        <v>26</v>
      </c>
      <c r="M1681" t="s">
        <v>105</v>
      </c>
      <c r="P1681" t="s">
        <v>28</v>
      </c>
      <c r="Q1681" t="s">
        <v>7551</v>
      </c>
      <c r="R1681" t="s">
        <v>7552</v>
      </c>
      <c r="S1681" t="s">
        <v>31</v>
      </c>
      <c r="T1681">
        <v>0</v>
      </c>
    </row>
    <row r="1682" spans="1:20" x14ac:dyDescent="0.25">
      <c r="A1682" t="s">
        <v>7553</v>
      </c>
      <c r="B1682" s="1">
        <v>45887</v>
      </c>
      <c r="C1682" s="5">
        <v>0.57442129629629635</v>
      </c>
      <c r="D1682">
        <v>67.61</v>
      </c>
      <c r="E1682" t="s">
        <v>44</v>
      </c>
      <c r="F1682" t="s">
        <v>683</v>
      </c>
      <c r="G1682" t="s">
        <v>124</v>
      </c>
      <c r="H1682" t="s">
        <v>23</v>
      </c>
      <c r="I1682" t="s">
        <v>7554</v>
      </c>
      <c r="J1682">
        <v>41</v>
      </c>
      <c r="K1682" t="s">
        <v>25</v>
      </c>
      <c r="L1682" t="s">
        <v>35</v>
      </c>
      <c r="M1682" t="s">
        <v>105</v>
      </c>
      <c r="P1682" t="s">
        <v>28</v>
      </c>
      <c r="Q1682" t="s">
        <v>7555</v>
      </c>
      <c r="R1682" t="s">
        <v>7556</v>
      </c>
      <c r="S1682" t="s">
        <v>31</v>
      </c>
      <c r="T1682">
        <v>0</v>
      </c>
    </row>
    <row r="1683" spans="1:20" x14ac:dyDescent="0.25">
      <c r="A1683" t="s">
        <v>7557</v>
      </c>
      <c r="B1683" s="1">
        <v>45921</v>
      </c>
      <c r="C1683" s="5">
        <v>0.66271990740740738</v>
      </c>
      <c r="D1683">
        <v>64.849999999999994</v>
      </c>
      <c r="E1683" t="s">
        <v>44</v>
      </c>
      <c r="F1683" t="s">
        <v>2308</v>
      </c>
      <c r="G1683" t="s">
        <v>34</v>
      </c>
      <c r="H1683" t="s">
        <v>35</v>
      </c>
      <c r="I1683" t="s">
        <v>7558</v>
      </c>
      <c r="J1683">
        <v>50</v>
      </c>
      <c r="K1683" t="s">
        <v>37</v>
      </c>
      <c r="L1683" t="s">
        <v>47</v>
      </c>
      <c r="M1683" t="s">
        <v>27</v>
      </c>
      <c r="P1683" t="s">
        <v>28</v>
      </c>
      <c r="Q1683" t="s">
        <v>7559</v>
      </c>
      <c r="R1683" t="s">
        <v>7560</v>
      </c>
      <c r="S1683" t="s">
        <v>31</v>
      </c>
      <c r="T1683">
        <v>0</v>
      </c>
    </row>
    <row r="1684" spans="1:20" x14ac:dyDescent="0.25">
      <c r="A1684" t="s">
        <v>7561</v>
      </c>
      <c r="B1684" s="1">
        <v>45898</v>
      </c>
      <c r="C1684" s="5">
        <v>0.94182870370370375</v>
      </c>
      <c r="D1684">
        <v>132.29</v>
      </c>
      <c r="E1684" t="s">
        <v>44</v>
      </c>
      <c r="F1684" t="s">
        <v>232</v>
      </c>
      <c r="G1684" t="s">
        <v>89</v>
      </c>
      <c r="H1684" t="s">
        <v>146</v>
      </c>
      <c r="I1684" t="s">
        <v>7562</v>
      </c>
      <c r="J1684">
        <v>30</v>
      </c>
      <c r="K1684" t="s">
        <v>37</v>
      </c>
      <c r="L1684" t="s">
        <v>248</v>
      </c>
      <c r="M1684" t="s">
        <v>51</v>
      </c>
      <c r="N1684" t="s">
        <v>507</v>
      </c>
      <c r="O1684">
        <v>436990</v>
      </c>
      <c r="P1684" t="s">
        <v>28</v>
      </c>
      <c r="Q1684" t="s">
        <v>7563</v>
      </c>
      <c r="R1684" t="s">
        <v>7564</v>
      </c>
      <c r="S1684" t="s">
        <v>31</v>
      </c>
      <c r="T1684">
        <v>0</v>
      </c>
    </row>
    <row r="1685" spans="1:20" x14ac:dyDescent="0.25">
      <c r="A1685" t="s">
        <v>7565</v>
      </c>
      <c r="B1685" s="1">
        <v>45914</v>
      </c>
      <c r="C1685" s="5">
        <v>0.54583333333333328</v>
      </c>
      <c r="D1685">
        <v>54.6</v>
      </c>
      <c r="E1685" t="s">
        <v>44</v>
      </c>
      <c r="F1685" t="s">
        <v>2913</v>
      </c>
      <c r="G1685" t="s">
        <v>89</v>
      </c>
      <c r="H1685" t="s">
        <v>110</v>
      </c>
      <c r="I1685" t="s">
        <v>7566</v>
      </c>
      <c r="J1685">
        <v>34</v>
      </c>
      <c r="K1685" t="s">
        <v>37</v>
      </c>
      <c r="L1685" t="s">
        <v>50</v>
      </c>
      <c r="M1685" t="s">
        <v>84</v>
      </c>
      <c r="P1685" t="s">
        <v>28</v>
      </c>
      <c r="Q1685" t="s">
        <v>7567</v>
      </c>
      <c r="R1685" t="s">
        <v>2271</v>
      </c>
      <c r="S1685" t="s">
        <v>31</v>
      </c>
      <c r="T1685">
        <v>0</v>
      </c>
    </row>
    <row r="1686" spans="1:20" x14ac:dyDescent="0.25">
      <c r="A1686" t="s">
        <v>7568</v>
      </c>
      <c r="B1686" s="1">
        <v>45920</v>
      </c>
      <c r="C1686" s="5">
        <v>0.19850694444444444</v>
      </c>
      <c r="D1686">
        <v>96.8</v>
      </c>
      <c r="E1686" t="s">
        <v>44</v>
      </c>
      <c r="F1686" t="s">
        <v>333</v>
      </c>
      <c r="G1686" t="s">
        <v>46</v>
      </c>
      <c r="H1686" t="s">
        <v>38</v>
      </c>
      <c r="I1686" t="s">
        <v>7569</v>
      </c>
      <c r="J1686">
        <v>73</v>
      </c>
      <c r="K1686" t="s">
        <v>37</v>
      </c>
      <c r="L1686" t="s">
        <v>26</v>
      </c>
      <c r="M1686" t="s">
        <v>51</v>
      </c>
      <c r="N1686" t="s">
        <v>870</v>
      </c>
      <c r="O1686">
        <v>498435</v>
      </c>
      <c r="P1686" t="s">
        <v>28</v>
      </c>
      <c r="Q1686" t="s">
        <v>7570</v>
      </c>
      <c r="R1686" t="s">
        <v>7571</v>
      </c>
      <c r="S1686" t="s">
        <v>31</v>
      </c>
      <c r="T1686">
        <v>0</v>
      </c>
    </row>
    <row r="1687" spans="1:20" x14ac:dyDescent="0.25">
      <c r="A1687" t="s">
        <v>7572</v>
      </c>
      <c r="B1687" s="1">
        <v>45934</v>
      </c>
      <c r="C1687" s="5">
        <v>7.5995370370370366E-2</v>
      </c>
      <c r="D1687">
        <v>638.65</v>
      </c>
      <c r="E1687" t="s">
        <v>44</v>
      </c>
      <c r="F1687" t="s">
        <v>5255</v>
      </c>
      <c r="G1687" t="s">
        <v>57</v>
      </c>
      <c r="H1687" t="s">
        <v>97</v>
      </c>
      <c r="I1687" t="s">
        <v>7573</v>
      </c>
      <c r="J1687">
        <v>54</v>
      </c>
      <c r="K1687" t="s">
        <v>25</v>
      </c>
      <c r="L1687" t="s">
        <v>119</v>
      </c>
      <c r="M1687" t="s">
        <v>105</v>
      </c>
      <c r="P1687" t="s">
        <v>28</v>
      </c>
      <c r="Q1687" t="s">
        <v>7574</v>
      </c>
      <c r="R1687" t="s">
        <v>7575</v>
      </c>
      <c r="S1687" t="s">
        <v>31</v>
      </c>
      <c r="T1687">
        <v>0</v>
      </c>
    </row>
    <row r="1688" spans="1:20" x14ac:dyDescent="0.25">
      <c r="A1688" t="s">
        <v>7576</v>
      </c>
      <c r="B1688" s="1">
        <v>45910</v>
      </c>
      <c r="C1688" s="5">
        <v>0.65637731481481476</v>
      </c>
      <c r="D1688">
        <v>160.52000000000001</v>
      </c>
      <c r="E1688" t="s">
        <v>44</v>
      </c>
      <c r="F1688" t="s">
        <v>6063</v>
      </c>
      <c r="G1688" t="s">
        <v>96</v>
      </c>
      <c r="H1688" t="s">
        <v>50</v>
      </c>
      <c r="I1688" t="s">
        <v>7577</v>
      </c>
      <c r="J1688">
        <v>50</v>
      </c>
      <c r="K1688" t="s">
        <v>37</v>
      </c>
      <c r="L1688" t="s">
        <v>146</v>
      </c>
      <c r="M1688" t="s">
        <v>84</v>
      </c>
      <c r="P1688" t="s">
        <v>28</v>
      </c>
      <c r="Q1688" t="s">
        <v>7578</v>
      </c>
      <c r="R1688" t="s">
        <v>7579</v>
      </c>
      <c r="S1688" t="s">
        <v>31</v>
      </c>
      <c r="T1688">
        <v>0</v>
      </c>
    </row>
    <row r="1689" spans="1:20" x14ac:dyDescent="0.25">
      <c r="A1689" t="s">
        <v>7580</v>
      </c>
      <c r="B1689" s="1">
        <v>45798</v>
      </c>
      <c r="C1689" s="5">
        <v>0.6713541666666667</v>
      </c>
      <c r="D1689">
        <v>91.23</v>
      </c>
      <c r="E1689" t="s">
        <v>44</v>
      </c>
      <c r="F1689" t="s">
        <v>7581</v>
      </c>
      <c r="G1689" t="s">
        <v>89</v>
      </c>
      <c r="H1689" t="s">
        <v>130</v>
      </c>
      <c r="I1689" t="s">
        <v>7582</v>
      </c>
      <c r="J1689">
        <v>51</v>
      </c>
      <c r="K1689" t="s">
        <v>49</v>
      </c>
      <c r="L1689" t="s">
        <v>58</v>
      </c>
      <c r="M1689" t="s">
        <v>84</v>
      </c>
      <c r="P1689" t="s">
        <v>28</v>
      </c>
      <c r="Q1689" t="s">
        <v>7583</v>
      </c>
      <c r="R1689" t="s">
        <v>7584</v>
      </c>
      <c r="S1689" t="s">
        <v>31</v>
      </c>
      <c r="T1689">
        <v>0</v>
      </c>
    </row>
    <row r="1690" spans="1:20" x14ac:dyDescent="0.25">
      <c r="A1690" t="s">
        <v>7585</v>
      </c>
      <c r="B1690" s="1">
        <v>45825</v>
      </c>
      <c r="C1690" s="5">
        <v>0.21320601851851853</v>
      </c>
      <c r="D1690">
        <v>967.84</v>
      </c>
      <c r="E1690" t="s">
        <v>44</v>
      </c>
      <c r="F1690" t="s">
        <v>7586</v>
      </c>
      <c r="G1690" t="s">
        <v>57</v>
      </c>
      <c r="H1690" t="s">
        <v>119</v>
      </c>
      <c r="I1690" t="s">
        <v>7587</v>
      </c>
      <c r="J1690">
        <v>23</v>
      </c>
      <c r="K1690" t="s">
        <v>25</v>
      </c>
      <c r="L1690" t="s">
        <v>146</v>
      </c>
      <c r="M1690" t="s">
        <v>112</v>
      </c>
      <c r="P1690" t="s">
        <v>28</v>
      </c>
      <c r="Q1690" t="s">
        <v>7588</v>
      </c>
      <c r="R1690" t="s">
        <v>7589</v>
      </c>
      <c r="S1690" t="s">
        <v>101</v>
      </c>
      <c r="T1690">
        <v>0</v>
      </c>
    </row>
    <row r="1691" spans="1:20" x14ac:dyDescent="0.25">
      <c r="A1691" t="s">
        <v>7590</v>
      </c>
      <c r="B1691" s="1">
        <v>45786</v>
      </c>
      <c r="C1691" s="5">
        <v>0.15150462962962963</v>
      </c>
      <c r="D1691">
        <v>1350.51</v>
      </c>
      <c r="E1691" t="s">
        <v>44</v>
      </c>
      <c r="F1691" t="s">
        <v>5499</v>
      </c>
      <c r="G1691" t="s">
        <v>34</v>
      </c>
      <c r="H1691" t="s">
        <v>130</v>
      </c>
      <c r="I1691" t="s">
        <v>7591</v>
      </c>
      <c r="J1691">
        <v>48</v>
      </c>
      <c r="K1691" t="s">
        <v>25</v>
      </c>
      <c r="L1691" t="s">
        <v>248</v>
      </c>
      <c r="M1691" t="s">
        <v>39</v>
      </c>
      <c r="P1691" t="s">
        <v>28</v>
      </c>
      <c r="Q1691" t="s">
        <v>7592</v>
      </c>
      <c r="R1691" t="s">
        <v>7593</v>
      </c>
      <c r="S1691" t="s">
        <v>31</v>
      </c>
      <c r="T1691">
        <v>0</v>
      </c>
    </row>
    <row r="1692" spans="1:20" x14ac:dyDescent="0.25">
      <c r="A1692" t="s">
        <v>7594</v>
      </c>
      <c r="B1692" s="1">
        <v>45943</v>
      </c>
      <c r="C1692" s="5">
        <v>0.9653356481481481</v>
      </c>
      <c r="D1692">
        <v>620.47</v>
      </c>
      <c r="E1692" t="s">
        <v>44</v>
      </c>
      <c r="F1692" t="s">
        <v>7595</v>
      </c>
      <c r="G1692" t="s">
        <v>46</v>
      </c>
      <c r="H1692" t="s">
        <v>119</v>
      </c>
      <c r="I1692" t="s">
        <v>7596</v>
      </c>
      <c r="J1692">
        <v>23</v>
      </c>
      <c r="K1692" t="s">
        <v>49</v>
      </c>
      <c r="L1692" t="s">
        <v>50</v>
      </c>
      <c r="M1692" t="s">
        <v>39</v>
      </c>
      <c r="P1692" t="s">
        <v>28</v>
      </c>
      <c r="Q1692" t="s">
        <v>7597</v>
      </c>
      <c r="R1692" t="s">
        <v>7598</v>
      </c>
      <c r="S1692" t="s">
        <v>31</v>
      </c>
      <c r="T1692">
        <v>0</v>
      </c>
    </row>
    <row r="1693" spans="1:20" x14ac:dyDescent="0.25">
      <c r="A1693" t="s">
        <v>7599</v>
      </c>
      <c r="B1693" s="1">
        <v>45915</v>
      </c>
      <c r="C1693" s="5">
        <v>0.74793981481481486</v>
      </c>
      <c r="D1693">
        <v>100.04</v>
      </c>
      <c r="E1693" t="s">
        <v>44</v>
      </c>
      <c r="F1693" t="s">
        <v>2438</v>
      </c>
      <c r="G1693" t="s">
        <v>96</v>
      </c>
      <c r="H1693" t="s">
        <v>38</v>
      </c>
      <c r="I1693" t="s">
        <v>7600</v>
      </c>
      <c r="J1693">
        <v>11</v>
      </c>
      <c r="K1693" t="s">
        <v>37</v>
      </c>
      <c r="L1693" t="s">
        <v>50</v>
      </c>
      <c r="M1693" t="s">
        <v>112</v>
      </c>
      <c r="P1693" t="s">
        <v>28</v>
      </c>
      <c r="Q1693" t="s">
        <v>7601</v>
      </c>
      <c r="R1693" t="s">
        <v>7602</v>
      </c>
      <c r="S1693" t="s">
        <v>31</v>
      </c>
      <c r="T1693">
        <v>0</v>
      </c>
    </row>
    <row r="1694" spans="1:20" x14ac:dyDescent="0.25">
      <c r="A1694" t="s">
        <v>7603</v>
      </c>
      <c r="B1694" s="1">
        <v>45933</v>
      </c>
      <c r="C1694" s="5">
        <v>0.34534722222222225</v>
      </c>
      <c r="D1694">
        <v>997.99</v>
      </c>
      <c r="E1694" t="s">
        <v>44</v>
      </c>
      <c r="F1694" t="s">
        <v>7604</v>
      </c>
      <c r="G1694" t="s">
        <v>46</v>
      </c>
      <c r="H1694" t="s">
        <v>23</v>
      </c>
      <c r="I1694" t="s">
        <v>7605</v>
      </c>
      <c r="J1694">
        <v>34</v>
      </c>
      <c r="K1694" t="s">
        <v>37</v>
      </c>
      <c r="L1694" t="s">
        <v>97</v>
      </c>
      <c r="M1694" t="s">
        <v>112</v>
      </c>
      <c r="P1694" t="s">
        <v>28</v>
      </c>
      <c r="Q1694" t="s">
        <v>7606</v>
      </c>
      <c r="R1694" t="s">
        <v>7607</v>
      </c>
      <c r="S1694" t="s">
        <v>31</v>
      </c>
      <c r="T1694">
        <v>0</v>
      </c>
    </row>
    <row r="1695" spans="1:20" x14ac:dyDescent="0.25">
      <c r="A1695" t="s">
        <v>7608</v>
      </c>
      <c r="B1695" s="1">
        <v>45952</v>
      </c>
      <c r="C1695" s="5">
        <v>0.81803240740740746</v>
      </c>
      <c r="D1695">
        <v>456.65</v>
      </c>
      <c r="E1695" t="s">
        <v>44</v>
      </c>
      <c r="F1695" t="s">
        <v>1143</v>
      </c>
      <c r="G1695" t="s">
        <v>124</v>
      </c>
      <c r="H1695" t="s">
        <v>66</v>
      </c>
      <c r="I1695" t="s">
        <v>7609</v>
      </c>
      <c r="J1695">
        <v>55</v>
      </c>
      <c r="K1695" t="s">
        <v>49</v>
      </c>
      <c r="L1695" t="s">
        <v>66</v>
      </c>
      <c r="M1695" t="s">
        <v>27</v>
      </c>
      <c r="P1695" t="s">
        <v>113</v>
      </c>
      <c r="Q1695" t="s">
        <v>7610</v>
      </c>
      <c r="R1695" t="s">
        <v>7611</v>
      </c>
      <c r="S1695" t="s">
        <v>31</v>
      </c>
      <c r="T1695">
        <v>0</v>
      </c>
    </row>
    <row r="1696" spans="1:20" x14ac:dyDescent="0.25">
      <c r="A1696" t="s">
        <v>7612</v>
      </c>
      <c r="B1696" s="1">
        <v>45809</v>
      </c>
      <c r="C1696" s="5">
        <v>0.72895833333333337</v>
      </c>
      <c r="D1696">
        <v>171.69</v>
      </c>
      <c r="E1696" t="s">
        <v>44</v>
      </c>
      <c r="F1696" t="s">
        <v>973</v>
      </c>
      <c r="G1696" t="s">
        <v>77</v>
      </c>
      <c r="H1696" t="s">
        <v>35</v>
      </c>
      <c r="I1696" t="s">
        <v>7613</v>
      </c>
      <c r="K1696" t="s">
        <v>25</v>
      </c>
      <c r="L1696" t="s">
        <v>26</v>
      </c>
      <c r="M1696" t="s">
        <v>51</v>
      </c>
      <c r="N1696" t="s">
        <v>870</v>
      </c>
      <c r="O1696">
        <v>544134</v>
      </c>
      <c r="P1696" t="s">
        <v>28</v>
      </c>
      <c r="Q1696" t="s">
        <v>7614</v>
      </c>
      <c r="R1696" t="s">
        <v>7615</v>
      </c>
      <c r="S1696" t="s">
        <v>31</v>
      </c>
      <c r="T1696">
        <v>0</v>
      </c>
    </row>
    <row r="1697" spans="1:20" x14ac:dyDescent="0.25">
      <c r="A1697" t="s">
        <v>7616</v>
      </c>
      <c r="B1697" s="1">
        <v>45924</v>
      </c>
      <c r="C1697" s="5">
        <v>0.35276620370370371</v>
      </c>
      <c r="D1697">
        <v>109.16</v>
      </c>
      <c r="E1697" t="s">
        <v>44</v>
      </c>
      <c r="F1697" t="s">
        <v>481</v>
      </c>
      <c r="G1697" t="s">
        <v>71</v>
      </c>
      <c r="H1697" t="s">
        <v>110</v>
      </c>
      <c r="I1697" t="s">
        <v>7617</v>
      </c>
      <c r="J1697">
        <v>57</v>
      </c>
      <c r="K1697" t="s">
        <v>37</v>
      </c>
      <c r="L1697" t="s">
        <v>146</v>
      </c>
      <c r="M1697" t="s">
        <v>112</v>
      </c>
      <c r="P1697" t="s">
        <v>28</v>
      </c>
      <c r="Q1697" t="s">
        <v>7618</v>
      </c>
      <c r="R1697" t="s">
        <v>7619</v>
      </c>
      <c r="S1697" t="s">
        <v>42</v>
      </c>
      <c r="T1697">
        <v>0</v>
      </c>
    </row>
    <row r="1698" spans="1:20" x14ac:dyDescent="0.25">
      <c r="A1698" t="s">
        <v>7620</v>
      </c>
      <c r="B1698" s="1">
        <v>45872</v>
      </c>
      <c r="C1698" s="5">
        <v>8.1087962962962959E-2</v>
      </c>
      <c r="D1698">
        <v>47.04</v>
      </c>
      <c r="E1698" t="s">
        <v>44</v>
      </c>
      <c r="F1698" t="s">
        <v>2918</v>
      </c>
      <c r="G1698" t="s">
        <v>22</v>
      </c>
      <c r="H1698" t="s">
        <v>119</v>
      </c>
      <c r="I1698" t="s">
        <v>7621</v>
      </c>
      <c r="J1698">
        <v>44</v>
      </c>
      <c r="K1698" t="s">
        <v>49</v>
      </c>
      <c r="L1698" t="s">
        <v>23</v>
      </c>
      <c r="M1698" t="s">
        <v>51</v>
      </c>
      <c r="N1698" t="s">
        <v>870</v>
      </c>
      <c r="O1698">
        <v>552484</v>
      </c>
      <c r="P1698" t="s">
        <v>28</v>
      </c>
      <c r="Q1698" t="s">
        <v>7622</v>
      </c>
      <c r="R1698" t="s">
        <v>7623</v>
      </c>
      <c r="S1698" t="s">
        <v>31</v>
      </c>
      <c r="T1698">
        <v>0</v>
      </c>
    </row>
    <row r="1699" spans="1:20" x14ac:dyDescent="0.25">
      <c r="A1699" t="s">
        <v>7624</v>
      </c>
      <c r="B1699" s="1">
        <v>45957</v>
      </c>
      <c r="C1699" s="5">
        <v>0.17574074074074075</v>
      </c>
      <c r="D1699">
        <v>165.84</v>
      </c>
      <c r="E1699" t="s">
        <v>44</v>
      </c>
      <c r="F1699" t="s">
        <v>4899</v>
      </c>
      <c r="G1699" t="s">
        <v>22</v>
      </c>
      <c r="H1699" t="s">
        <v>110</v>
      </c>
      <c r="I1699" t="s">
        <v>7625</v>
      </c>
      <c r="J1699">
        <v>52</v>
      </c>
      <c r="K1699" t="s">
        <v>37</v>
      </c>
      <c r="L1699" t="s">
        <v>110</v>
      </c>
      <c r="M1699" t="s">
        <v>84</v>
      </c>
      <c r="P1699" t="s">
        <v>113</v>
      </c>
      <c r="Q1699" t="s">
        <v>7626</v>
      </c>
      <c r="R1699" t="s">
        <v>7627</v>
      </c>
      <c r="S1699" t="s">
        <v>31</v>
      </c>
      <c r="T1699">
        <v>0</v>
      </c>
    </row>
    <row r="1700" spans="1:20" x14ac:dyDescent="0.25">
      <c r="A1700" t="s">
        <v>7628</v>
      </c>
      <c r="B1700" s="1">
        <v>45871</v>
      </c>
      <c r="C1700" s="5">
        <v>0.28752314814814817</v>
      </c>
      <c r="D1700">
        <v>168.4</v>
      </c>
      <c r="E1700" t="s">
        <v>44</v>
      </c>
      <c r="F1700" t="s">
        <v>237</v>
      </c>
      <c r="G1700" t="s">
        <v>46</v>
      </c>
      <c r="H1700" t="s">
        <v>248</v>
      </c>
      <c r="I1700" t="s">
        <v>7629</v>
      </c>
      <c r="J1700">
        <v>64</v>
      </c>
      <c r="K1700" t="s">
        <v>25</v>
      </c>
      <c r="L1700" t="s">
        <v>119</v>
      </c>
      <c r="M1700" t="s">
        <v>84</v>
      </c>
      <c r="P1700" t="s">
        <v>28</v>
      </c>
      <c r="Q1700" t="s">
        <v>7630</v>
      </c>
      <c r="R1700" t="s">
        <v>7631</v>
      </c>
      <c r="S1700" t="s">
        <v>31</v>
      </c>
      <c r="T1700">
        <v>0</v>
      </c>
    </row>
    <row r="1701" spans="1:20" x14ac:dyDescent="0.25">
      <c r="A1701" t="s">
        <v>7632</v>
      </c>
      <c r="B1701" s="1">
        <v>45957</v>
      </c>
      <c r="C1701" s="5">
        <v>0.92171296296296301</v>
      </c>
      <c r="D1701">
        <v>742.4</v>
      </c>
      <c r="E1701" t="s">
        <v>44</v>
      </c>
      <c r="F1701" t="s">
        <v>4556</v>
      </c>
      <c r="G1701" t="s">
        <v>96</v>
      </c>
      <c r="H1701" t="s">
        <v>91</v>
      </c>
      <c r="I1701" t="s">
        <v>7633</v>
      </c>
      <c r="J1701">
        <v>35</v>
      </c>
      <c r="K1701" t="s">
        <v>25</v>
      </c>
      <c r="L1701" t="s">
        <v>97</v>
      </c>
      <c r="M1701" t="s">
        <v>84</v>
      </c>
      <c r="P1701" t="s">
        <v>28</v>
      </c>
      <c r="Q1701" t="s">
        <v>7634</v>
      </c>
      <c r="R1701" t="s">
        <v>7635</v>
      </c>
      <c r="S1701" t="s">
        <v>101</v>
      </c>
      <c r="T1701">
        <v>0</v>
      </c>
    </row>
    <row r="1702" spans="1:20" x14ac:dyDescent="0.25">
      <c r="A1702" t="s">
        <v>7636</v>
      </c>
      <c r="B1702" s="1">
        <v>45869</v>
      </c>
      <c r="C1702" s="5">
        <v>0.87131944444444442</v>
      </c>
      <c r="D1702">
        <v>154.80000000000001</v>
      </c>
      <c r="E1702" t="s">
        <v>44</v>
      </c>
      <c r="F1702" t="s">
        <v>6300</v>
      </c>
      <c r="G1702" t="s">
        <v>77</v>
      </c>
      <c r="H1702" t="s">
        <v>47</v>
      </c>
      <c r="I1702" t="s">
        <v>7637</v>
      </c>
      <c r="J1702">
        <v>30</v>
      </c>
      <c r="K1702" t="s">
        <v>25</v>
      </c>
      <c r="L1702" t="s">
        <v>119</v>
      </c>
      <c r="M1702" t="s">
        <v>105</v>
      </c>
      <c r="P1702" t="s">
        <v>28</v>
      </c>
      <c r="Q1702" t="s">
        <v>7638</v>
      </c>
      <c r="R1702" t="s">
        <v>7639</v>
      </c>
      <c r="S1702" t="s">
        <v>31</v>
      </c>
      <c r="T1702">
        <v>0</v>
      </c>
    </row>
    <row r="1703" spans="1:20" x14ac:dyDescent="0.25">
      <c r="A1703" t="s">
        <v>7640</v>
      </c>
      <c r="B1703" s="1">
        <v>45851</v>
      </c>
      <c r="C1703" s="5">
        <v>0.90263888888888888</v>
      </c>
      <c r="D1703">
        <v>783.55</v>
      </c>
      <c r="E1703" t="s">
        <v>44</v>
      </c>
      <c r="F1703" t="s">
        <v>7641</v>
      </c>
      <c r="G1703" t="s">
        <v>22</v>
      </c>
      <c r="H1703" t="s">
        <v>38</v>
      </c>
      <c r="I1703" t="s">
        <v>7642</v>
      </c>
      <c r="J1703">
        <v>74</v>
      </c>
      <c r="K1703" t="s">
        <v>49</v>
      </c>
      <c r="L1703" t="s">
        <v>97</v>
      </c>
      <c r="M1703" t="s">
        <v>39</v>
      </c>
      <c r="P1703" t="s">
        <v>28</v>
      </c>
      <c r="Q1703" t="s">
        <v>7643</v>
      </c>
      <c r="R1703" t="s">
        <v>7644</v>
      </c>
      <c r="S1703" t="s">
        <v>42</v>
      </c>
      <c r="T1703">
        <v>0</v>
      </c>
    </row>
    <row r="1704" spans="1:20" x14ac:dyDescent="0.25">
      <c r="A1704" t="s">
        <v>7645</v>
      </c>
      <c r="B1704" s="1">
        <v>45952</v>
      </c>
      <c r="C1704" s="5">
        <v>0.46703703703703703</v>
      </c>
      <c r="D1704">
        <v>45.2</v>
      </c>
      <c r="E1704" t="s">
        <v>44</v>
      </c>
      <c r="F1704" t="s">
        <v>4509</v>
      </c>
      <c r="G1704" t="s">
        <v>96</v>
      </c>
      <c r="H1704" t="s">
        <v>50</v>
      </c>
      <c r="I1704" t="s">
        <v>7646</v>
      </c>
      <c r="J1704">
        <v>23</v>
      </c>
      <c r="K1704" t="s">
        <v>37</v>
      </c>
      <c r="L1704" t="s">
        <v>66</v>
      </c>
      <c r="M1704" t="s">
        <v>51</v>
      </c>
      <c r="N1704" t="s">
        <v>304</v>
      </c>
      <c r="O1704">
        <v>411707</v>
      </c>
      <c r="P1704" t="s">
        <v>28</v>
      </c>
      <c r="Q1704" t="s">
        <v>7647</v>
      </c>
      <c r="R1704" t="s">
        <v>7648</v>
      </c>
      <c r="S1704" t="s">
        <v>31</v>
      </c>
      <c r="T1704">
        <v>0</v>
      </c>
    </row>
    <row r="1705" spans="1:20" x14ac:dyDescent="0.25">
      <c r="A1705" t="s">
        <v>7649</v>
      </c>
      <c r="B1705" s="1">
        <v>45891</v>
      </c>
      <c r="C1705" s="5">
        <v>5.8402777777777776E-2</v>
      </c>
      <c r="D1705">
        <v>136.76</v>
      </c>
      <c r="E1705" t="s">
        <v>44</v>
      </c>
      <c r="F1705" t="s">
        <v>849</v>
      </c>
      <c r="G1705" t="s">
        <v>46</v>
      </c>
      <c r="H1705" t="s">
        <v>119</v>
      </c>
      <c r="I1705" t="s">
        <v>7650</v>
      </c>
      <c r="J1705">
        <v>60</v>
      </c>
      <c r="K1705" t="s">
        <v>37</v>
      </c>
      <c r="L1705" t="s">
        <v>35</v>
      </c>
      <c r="M1705" t="s">
        <v>105</v>
      </c>
      <c r="P1705" t="s">
        <v>28</v>
      </c>
      <c r="Q1705" t="s">
        <v>7651</v>
      </c>
      <c r="R1705" t="s">
        <v>7652</v>
      </c>
      <c r="S1705" t="s">
        <v>31</v>
      </c>
      <c r="T1705">
        <v>0</v>
      </c>
    </row>
    <row r="1706" spans="1:20" x14ac:dyDescent="0.25">
      <c r="A1706" t="s">
        <v>7653</v>
      </c>
      <c r="B1706" s="1">
        <v>45911</v>
      </c>
      <c r="C1706" s="5">
        <v>0.93136574074074074</v>
      </c>
      <c r="D1706">
        <v>188.54</v>
      </c>
      <c r="E1706" t="s">
        <v>44</v>
      </c>
      <c r="F1706" t="s">
        <v>3256</v>
      </c>
      <c r="G1706" t="s">
        <v>22</v>
      </c>
      <c r="H1706" t="s">
        <v>58</v>
      </c>
      <c r="I1706" t="s">
        <v>7654</v>
      </c>
      <c r="J1706">
        <v>55</v>
      </c>
      <c r="K1706" t="s">
        <v>37</v>
      </c>
      <c r="L1706" t="s">
        <v>110</v>
      </c>
      <c r="M1706" t="s">
        <v>39</v>
      </c>
      <c r="P1706" t="s">
        <v>28</v>
      </c>
      <c r="Q1706" t="s">
        <v>7655</v>
      </c>
      <c r="R1706" t="s">
        <v>7656</v>
      </c>
      <c r="S1706" t="s">
        <v>31</v>
      </c>
      <c r="T1706">
        <v>0</v>
      </c>
    </row>
    <row r="1707" spans="1:20" x14ac:dyDescent="0.25">
      <c r="A1707" t="s">
        <v>7657</v>
      </c>
      <c r="B1707" s="1">
        <v>45912</v>
      </c>
      <c r="C1707" s="5">
        <v>0.40563657407407405</v>
      </c>
      <c r="D1707">
        <v>34.880000000000003</v>
      </c>
      <c r="E1707" t="s">
        <v>44</v>
      </c>
      <c r="F1707" t="s">
        <v>3807</v>
      </c>
      <c r="G1707" t="s">
        <v>34</v>
      </c>
      <c r="H1707" t="s">
        <v>97</v>
      </c>
      <c r="I1707" t="s">
        <v>7658</v>
      </c>
      <c r="J1707">
        <v>57</v>
      </c>
      <c r="K1707" t="s">
        <v>25</v>
      </c>
      <c r="L1707" t="s">
        <v>146</v>
      </c>
      <c r="M1707" t="s">
        <v>84</v>
      </c>
      <c r="P1707" t="s">
        <v>28</v>
      </c>
      <c r="Q1707" t="s">
        <v>7659</v>
      </c>
      <c r="R1707" t="s">
        <v>7660</v>
      </c>
      <c r="S1707" t="s">
        <v>31</v>
      </c>
      <c r="T1707">
        <v>0</v>
      </c>
    </row>
    <row r="1708" spans="1:20" x14ac:dyDescent="0.25">
      <c r="A1708" t="s">
        <v>7661</v>
      </c>
      <c r="B1708" s="1">
        <v>45915</v>
      </c>
      <c r="C1708" s="5">
        <v>0.79401620370370374</v>
      </c>
      <c r="D1708">
        <v>138.83000000000001</v>
      </c>
      <c r="E1708" t="s">
        <v>44</v>
      </c>
      <c r="F1708" t="s">
        <v>5637</v>
      </c>
      <c r="G1708" t="s">
        <v>57</v>
      </c>
      <c r="H1708" t="s">
        <v>110</v>
      </c>
      <c r="I1708" t="s">
        <v>7662</v>
      </c>
      <c r="J1708">
        <v>66</v>
      </c>
      <c r="K1708" t="s">
        <v>49</v>
      </c>
      <c r="L1708" t="s">
        <v>26</v>
      </c>
      <c r="M1708" t="s">
        <v>51</v>
      </c>
      <c r="N1708" t="s">
        <v>173</v>
      </c>
      <c r="O1708">
        <v>442666</v>
      </c>
      <c r="P1708" t="s">
        <v>28</v>
      </c>
      <c r="Q1708" t="s">
        <v>7663</v>
      </c>
      <c r="R1708" t="s">
        <v>7664</v>
      </c>
      <c r="S1708" t="s">
        <v>31</v>
      </c>
      <c r="T1708">
        <v>0</v>
      </c>
    </row>
    <row r="1709" spans="1:20" x14ac:dyDescent="0.25">
      <c r="A1709" t="s">
        <v>7665</v>
      </c>
      <c r="B1709" s="1">
        <v>45805</v>
      </c>
      <c r="C1709" s="5">
        <v>3.9039351851851853E-2</v>
      </c>
      <c r="D1709">
        <v>15.93</v>
      </c>
      <c r="E1709" t="s">
        <v>44</v>
      </c>
      <c r="F1709" t="s">
        <v>688</v>
      </c>
      <c r="G1709" t="s">
        <v>46</v>
      </c>
      <c r="H1709" t="s">
        <v>248</v>
      </c>
      <c r="I1709" t="s">
        <v>7666</v>
      </c>
      <c r="J1709">
        <v>26</v>
      </c>
      <c r="K1709" t="s">
        <v>49</v>
      </c>
      <c r="L1709" t="s">
        <v>35</v>
      </c>
      <c r="M1709" t="s">
        <v>84</v>
      </c>
      <c r="P1709" t="s">
        <v>28</v>
      </c>
      <c r="Q1709" t="s">
        <v>7667</v>
      </c>
      <c r="R1709" t="s">
        <v>7668</v>
      </c>
      <c r="S1709" t="s">
        <v>31</v>
      </c>
      <c r="T1709">
        <v>0</v>
      </c>
    </row>
    <row r="1710" spans="1:20" x14ac:dyDescent="0.25">
      <c r="A1710" t="s">
        <v>7669</v>
      </c>
      <c r="B1710" s="1">
        <v>45827</v>
      </c>
      <c r="C1710" s="5">
        <v>0.50908564814814816</v>
      </c>
      <c r="D1710">
        <v>161.59</v>
      </c>
      <c r="E1710" t="s">
        <v>44</v>
      </c>
      <c r="F1710" t="s">
        <v>7670</v>
      </c>
      <c r="G1710" t="s">
        <v>89</v>
      </c>
      <c r="H1710" t="s">
        <v>248</v>
      </c>
      <c r="I1710" t="s">
        <v>7671</v>
      </c>
      <c r="J1710">
        <v>61</v>
      </c>
      <c r="K1710" t="s">
        <v>49</v>
      </c>
      <c r="L1710" t="s">
        <v>146</v>
      </c>
      <c r="M1710" t="s">
        <v>27</v>
      </c>
      <c r="P1710" t="s">
        <v>28</v>
      </c>
      <c r="Q1710" t="s">
        <v>7672</v>
      </c>
      <c r="R1710" t="s">
        <v>7673</v>
      </c>
      <c r="S1710" t="s">
        <v>31</v>
      </c>
      <c r="T1710">
        <v>0</v>
      </c>
    </row>
    <row r="1711" spans="1:20" x14ac:dyDescent="0.25">
      <c r="A1711" t="s">
        <v>7674</v>
      </c>
      <c r="B1711" s="1">
        <v>45945</v>
      </c>
      <c r="C1711" s="5">
        <v>0.50057870370370372</v>
      </c>
      <c r="D1711">
        <v>65.06</v>
      </c>
      <c r="E1711" t="s">
        <v>44</v>
      </c>
      <c r="F1711" t="s">
        <v>161</v>
      </c>
      <c r="G1711" t="s">
        <v>46</v>
      </c>
      <c r="H1711" t="s">
        <v>66</v>
      </c>
      <c r="I1711" t="s">
        <v>7675</v>
      </c>
      <c r="J1711">
        <v>26</v>
      </c>
      <c r="K1711" t="s">
        <v>37</v>
      </c>
      <c r="L1711" t="s">
        <v>23</v>
      </c>
      <c r="M1711" t="s">
        <v>84</v>
      </c>
      <c r="P1711" t="s">
        <v>28</v>
      </c>
      <c r="Q1711" t="s">
        <v>7676</v>
      </c>
      <c r="R1711" t="s">
        <v>7677</v>
      </c>
      <c r="S1711" t="s">
        <v>31</v>
      </c>
      <c r="T1711">
        <v>0</v>
      </c>
    </row>
    <row r="1712" spans="1:20" x14ac:dyDescent="0.25">
      <c r="A1712" t="s">
        <v>7678</v>
      </c>
      <c r="B1712" s="1">
        <v>45910</v>
      </c>
      <c r="C1712" s="5">
        <v>0.72487268518518522</v>
      </c>
      <c r="D1712">
        <v>43.89</v>
      </c>
      <c r="E1712" t="s">
        <v>44</v>
      </c>
      <c r="F1712" t="s">
        <v>1215</v>
      </c>
      <c r="G1712" t="s">
        <v>89</v>
      </c>
      <c r="H1712" t="s">
        <v>110</v>
      </c>
      <c r="I1712" t="s">
        <v>7679</v>
      </c>
      <c r="J1712">
        <v>71</v>
      </c>
      <c r="K1712" t="s">
        <v>25</v>
      </c>
      <c r="L1712" t="s">
        <v>130</v>
      </c>
      <c r="M1712" t="s">
        <v>112</v>
      </c>
      <c r="P1712" t="s">
        <v>28</v>
      </c>
      <c r="Q1712" t="s">
        <v>7680</v>
      </c>
      <c r="R1712" t="s">
        <v>7681</v>
      </c>
      <c r="S1712" t="s">
        <v>101</v>
      </c>
      <c r="T1712">
        <v>0</v>
      </c>
    </row>
    <row r="1713" spans="1:20" x14ac:dyDescent="0.25">
      <c r="A1713" t="s">
        <v>7682</v>
      </c>
      <c r="B1713" s="1">
        <v>45894</v>
      </c>
      <c r="C1713" s="5">
        <v>0.19590277777777779</v>
      </c>
      <c r="D1713">
        <v>119.75</v>
      </c>
      <c r="E1713" t="s">
        <v>44</v>
      </c>
      <c r="F1713" t="s">
        <v>4224</v>
      </c>
      <c r="G1713" t="s">
        <v>64</v>
      </c>
      <c r="H1713" t="s">
        <v>130</v>
      </c>
      <c r="I1713" t="s">
        <v>7683</v>
      </c>
      <c r="J1713">
        <v>73</v>
      </c>
      <c r="K1713" t="s">
        <v>25</v>
      </c>
      <c r="L1713" t="s">
        <v>26</v>
      </c>
      <c r="M1713" t="s">
        <v>27</v>
      </c>
      <c r="P1713" t="s">
        <v>28</v>
      </c>
      <c r="Q1713" t="s">
        <v>7684</v>
      </c>
      <c r="R1713" t="s">
        <v>7685</v>
      </c>
      <c r="S1713" t="s">
        <v>31</v>
      </c>
      <c r="T1713">
        <v>0</v>
      </c>
    </row>
    <row r="1714" spans="1:20" x14ac:dyDescent="0.25">
      <c r="A1714" t="s">
        <v>7686</v>
      </c>
      <c r="B1714" s="1">
        <v>45787</v>
      </c>
      <c r="C1714" s="5">
        <v>0.95817129629629627</v>
      </c>
      <c r="D1714">
        <v>91.79</v>
      </c>
      <c r="E1714" t="s">
        <v>44</v>
      </c>
      <c r="F1714" t="s">
        <v>3418</v>
      </c>
      <c r="G1714" t="s">
        <v>64</v>
      </c>
      <c r="H1714" t="s">
        <v>35</v>
      </c>
      <c r="I1714" t="s">
        <v>7687</v>
      </c>
      <c r="J1714">
        <v>56</v>
      </c>
      <c r="K1714" t="s">
        <v>49</v>
      </c>
      <c r="L1714" t="s">
        <v>119</v>
      </c>
      <c r="M1714" t="s">
        <v>27</v>
      </c>
      <c r="P1714" t="s">
        <v>28</v>
      </c>
      <c r="Q1714" t="s">
        <v>7688</v>
      </c>
      <c r="R1714" t="s">
        <v>7689</v>
      </c>
      <c r="S1714" t="s">
        <v>31</v>
      </c>
      <c r="T1714">
        <v>1</v>
      </c>
    </row>
    <row r="1715" spans="1:20" x14ac:dyDescent="0.25">
      <c r="A1715" t="s">
        <v>7690</v>
      </c>
      <c r="B1715" s="1">
        <v>45862</v>
      </c>
      <c r="C1715" s="5">
        <v>5.1388888888888887E-2</v>
      </c>
      <c r="D1715">
        <v>21.71</v>
      </c>
      <c r="E1715" t="s">
        <v>44</v>
      </c>
      <c r="F1715" t="s">
        <v>1627</v>
      </c>
      <c r="G1715" t="s">
        <v>77</v>
      </c>
      <c r="H1715" t="s">
        <v>248</v>
      </c>
      <c r="I1715" t="s">
        <v>7691</v>
      </c>
      <c r="J1715">
        <v>18</v>
      </c>
      <c r="K1715" t="s">
        <v>37</v>
      </c>
      <c r="L1715" t="s">
        <v>66</v>
      </c>
      <c r="M1715" t="s">
        <v>112</v>
      </c>
      <c r="P1715" t="s">
        <v>28</v>
      </c>
      <c r="Q1715" t="s">
        <v>7692</v>
      </c>
      <c r="R1715" t="s">
        <v>7693</v>
      </c>
      <c r="S1715" t="s">
        <v>31</v>
      </c>
      <c r="T1715">
        <v>0</v>
      </c>
    </row>
    <row r="1716" spans="1:20" x14ac:dyDescent="0.25">
      <c r="A1716" t="s">
        <v>7694</v>
      </c>
      <c r="B1716" s="1">
        <v>45959</v>
      </c>
      <c r="C1716" s="5">
        <v>0.64828703703703705</v>
      </c>
      <c r="D1716">
        <v>547.41999999999996</v>
      </c>
      <c r="E1716" t="s">
        <v>44</v>
      </c>
      <c r="F1716" t="s">
        <v>1110</v>
      </c>
      <c r="G1716" t="s">
        <v>124</v>
      </c>
      <c r="H1716" t="s">
        <v>66</v>
      </c>
      <c r="I1716" t="s">
        <v>7695</v>
      </c>
      <c r="J1716">
        <v>28</v>
      </c>
      <c r="K1716" t="s">
        <v>49</v>
      </c>
      <c r="L1716" t="s">
        <v>130</v>
      </c>
      <c r="M1716" t="s">
        <v>84</v>
      </c>
      <c r="P1716" t="s">
        <v>28</v>
      </c>
      <c r="Q1716" t="s">
        <v>7696</v>
      </c>
      <c r="R1716" t="s">
        <v>7697</v>
      </c>
      <c r="S1716" t="s">
        <v>31</v>
      </c>
      <c r="T1716">
        <v>0</v>
      </c>
    </row>
    <row r="1717" spans="1:20" x14ac:dyDescent="0.25">
      <c r="A1717" t="s">
        <v>7698</v>
      </c>
      <c r="B1717" s="1">
        <v>45826</v>
      </c>
      <c r="C1717" s="5">
        <v>0.8501967592592593</v>
      </c>
      <c r="D1717">
        <v>103.6</v>
      </c>
      <c r="E1717" t="s">
        <v>44</v>
      </c>
      <c r="F1717" t="s">
        <v>6537</v>
      </c>
      <c r="G1717" t="s">
        <v>124</v>
      </c>
      <c r="H1717" t="s">
        <v>130</v>
      </c>
      <c r="I1717" t="s">
        <v>7699</v>
      </c>
      <c r="J1717">
        <v>19</v>
      </c>
      <c r="K1717" t="s">
        <v>37</v>
      </c>
      <c r="L1717" t="s">
        <v>146</v>
      </c>
      <c r="M1717" t="s">
        <v>27</v>
      </c>
      <c r="P1717" t="s">
        <v>28</v>
      </c>
      <c r="Q1717" t="s">
        <v>7700</v>
      </c>
      <c r="R1717" t="s">
        <v>7701</v>
      </c>
      <c r="S1717" t="s">
        <v>101</v>
      </c>
      <c r="T1717">
        <v>0</v>
      </c>
    </row>
    <row r="1718" spans="1:20" x14ac:dyDescent="0.25">
      <c r="A1718" t="s">
        <v>7702</v>
      </c>
      <c r="B1718" s="1">
        <v>45830</v>
      </c>
      <c r="C1718" s="5">
        <v>0.23346064814814815</v>
      </c>
      <c r="D1718">
        <v>180.72</v>
      </c>
      <c r="E1718" t="s">
        <v>44</v>
      </c>
      <c r="F1718" t="s">
        <v>7703</v>
      </c>
      <c r="G1718" t="s">
        <v>34</v>
      </c>
      <c r="H1718" t="s">
        <v>97</v>
      </c>
      <c r="I1718" t="s">
        <v>7704</v>
      </c>
      <c r="J1718">
        <v>23</v>
      </c>
      <c r="K1718" t="s">
        <v>49</v>
      </c>
      <c r="L1718" t="s">
        <v>38</v>
      </c>
      <c r="M1718" t="s">
        <v>27</v>
      </c>
      <c r="P1718" t="s">
        <v>28</v>
      </c>
      <c r="Q1718" t="s">
        <v>7705</v>
      </c>
      <c r="R1718" t="s">
        <v>7706</v>
      </c>
      <c r="S1718" t="s">
        <v>31</v>
      </c>
      <c r="T1718">
        <v>1</v>
      </c>
    </row>
    <row r="1719" spans="1:20" x14ac:dyDescent="0.25">
      <c r="A1719" t="s">
        <v>7707</v>
      </c>
      <c r="B1719" s="1">
        <v>45946</v>
      </c>
      <c r="C1719" s="5">
        <v>0.13179398148148147</v>
      </c>
      <c r="D1719">
        <v>185.68</v>
      </c>
      <c r="E1719" t="s">
        <v>44</v>
      </c>
      <c r="F1719" t="s">
        <v>4448</v>
      </c>
      <c r="G1719" t="s">
        <v>57</v>
      </c>
      <c r="H1719" t="s">
        <v>23</v>
      </c>
      <c r="I1719" t="s">
        <v>7708</v>
      </c>
      <c r="J1719">
        <v>69</v>
      </c>
      <c r="K1719" t="s">
        <v>49</v>
      </c>
      <c r="L1719" t="s">
        <v>23</v>
      </c>
      <c r="M1719" t="s">
        <v>105</v>
      </c>
      <c r="P1719" t="s">
        <v>113</v>
      </c>
      <c r="Q1719" t="s">
        <v>7709</v>
      </c>
      <c r="R1719" t="s">
        <v>7710</v>
      </c>
      <c r="S1719" t="s">
        <v>31</v>
      </c>
      <c r="T1719">
        <v>0</v>
      </c>
    </row>
    <row r="1720" spans="1:20" x14ac:dyDescent="0.25">
      <c r="A1720" t="s">
        <v>7711</v>
      </c>
      <c r="B1720" s="1">
        <v>45958</v>
      </c>
      <c r="C1720" s="5">
        <v>2.0057870370370372E-2</v>
      </c>
      <c r="D1720">
        <v>198.72</v>
      </c>
      <c r="E1720" t="s">
        <v>44</v>
      </c>
      <c r="F1720" t="s">
        <v>5718</v>
      </c>
      <c r="G1720" t="s">
        <v>64</v>
      </c>
      <c r="H1720" t="s">
        <v>248</v>
      </c>
      <c r="I1720" t="s">
        <v>7712</v>
      </c>
      <c r="J1720">
        <v>17</v>
      </c>
      <c r="K1720" t="s">
        <v>37</v>
      </c>
      <c r="L1720" t="s">
        <v>119</v>
      </c>
      <c r="M1720" t="s">
        <v>105</v>
      </c>
      <c r="P1720" t="s">
        <v>28</v>
      </c>
      <c r="Q1720" t="s">
        <v>7713</v>
      </c>
      <c r="R1720" t="s">
        <v>7714</v>
      </c>
      <c r="S1720" t="s">
        <v>31</v>
      </c>
      <c r="T1720">
        <v>0</v>
      </c>
    </row>
    <row r="1721" spans="1:20" x14ac:dyDescent="0.25">
      <c r="A1721" t="s">
        <v>7715</v>
      </c>
      <c r="B1721" s="1">
        <v>45929</v>
      </c>
      <c r="C1721" s="5">
        <v>0.61776620370370372</v>
      </c>
      <c r="D1721">
        <v>9.33</v>
      </c>
      <c r="E1721" t="s">
        <v>44</v>
      </c>
      <c r="F1721" t="s">
        <v>7716</v>
      </c>
      <c r="G1721" t="s">
        <v>89</v>
      </c>
      <c r="H1721" t="s">
        <v>66</v>
      </c>
      <c r="I1721" t="s">
        <v>7717</v>
      </c>
      <c r="J1721">
        <v>43</v>
      </c>
      <c r="K1721" t="s">
        <v>37</v>
      </c>
      <c r="L1721" t="s">
        <v>38</v>
      </c>
      <c r="M1721" t="s">
        <v>112</v>
      </c>
      <c r="P1721" t="s">
        <v>28</v>
      </c>
      <c r="Q1721" t="s">
        <v>7718</v>
      </c>
      <c r="R1721" t="s">
        <v>7719</v>
      </c>
      <c r="S1721" t="s">
        <v>31</v>
      </c>
      <c r="T1721">
        <v>0</v>
      </c>
    </row>
    <row r="1722" spans="1:20" x14ac:dyDescent="0.25">
      <c r="A1722" t="s">
        <v>7720</v>
      </c>
      <c r="B1722" s="1">
        <v>45872</v>
      </c>
      <c r="C1722" s="5">
        <v>0.37223379629629627</v>
      </c>
      <c r="D1722">
        <v>177.98</v>
      </c>
      <c r="E1722" t="s">
        <v>44</v>
      </c>
      <c r="F1722" t="s">
        <v>7721</v>
      </c>
      <c r="G1722" t="s">
        <v>64</v>
      </c>
      <c r="H1722" t="s">
        <v>110</v>
      </c>
      <c r="I1722" t="s">
        <v>7722</v>
      </c>
      <c r="J1722">
        <v>42</v>
      </c>
      <c r="K1722" t="s">
        <v>49</v>
      </c>
      <c r="L1722" t="s">
        <v>119</v>
      </c>
      <c r="M1722" t="s">
        <v>27</v>
      </c>
      <c r="P1722" t="s">
        <v>28</v>
      </c>
      <c r="Q1722" t="s">
        <v>7723</v>
      </c>
      <c r="R1722" t="s">
        <v>7724</v>
      </c>
      <c r="S1722" t="s">
        <v>42</v>
      </c>
      <c r="T1722">
        <v>0</v>
      </c>
    </row>
    <row r="1723" spans="1:20" x14ac:dyDescent="0.25">
      <c r="A1723" t="s">
        <v>7725</v>
      </c>
      <c r="B1723" s="1">
        <v>45906</v>
      </c>
      <c r="C1723" s="5">
        <v>0.36534722222222221</v>
      </c>
      <c r="D1723">
        <v>95.17</v>
      </c>
      <c r="E1723" t="s">
        <v>44</v>
      </c>
      <c r="F1723" t="s">
        <v>1790</v>
      </c>
      <c r="G1723" t="s">
        <v>96</v>
      </c>
      <c r="H1723" t="s">
        <v>146</v>
      </c>
      <c r="I1723" t="s">
        <v>7726</v>
      </c>
      <c r="J1723">
        <v>34</v>
      </c>
      <c r="K1723" t="s">
        <v>25</v>
      </c>
      <c r="L1723" t="s">
        <v>35</v>
      </c>
      <c r="M1723" t="s">
        <v>51</v>
      </c>
      <c r="N1723" t="s">
        <v>507</v>
      </c>
      <c r="O1723">
        <v>445694</v>
      </c>
      <c r="P1723" t="s">
        <v>28</v>
      </c>
      <c r="Q1723" t="s">
        <v>7727</v>
      </c>
      <c r="R1723" t="s">
        <v>7728</v>
      </c>
      <c r="S1723" t="s">
        <v>31</v>
      </c>
      <c r="T1723">
        <v>1</v>
      </c>
    </row>
    <row r="1724" spans="1:20" x14ac:dyDescent="0.25">
      <c r="A1724" t="s">
        <v>7729</v>
      </c>
      <c r="B1724" s="1">
        <v>45901</v>
      </c>
      <c r="C1724" s="5">
        <v>0.97168981481481487</v>
      </c>
      <c r="D1724">
        <v>135.56</v>
      </c>
      <c r="E1724" t="s">
        <v>44</v>
      </c>
      <c r="F1724" t="s">
        <v>2671</v>
      </c>
      <c r="G1724" t="s">
        <v>96</v>
      </c>
      <c r="H1724" t="s">
        <v>97</v>
      </c>
      <c r="I1724" t="s">
        <v>5986</v>
      </c>
      <c r="J1724">
        <v>64</v>
      </c>
      <c r="K1724" t="s">
        <v>37</v>
      </c>
      <c r="L1724" t="s">
        <v>146</v>
      </c>
      <c r="M1724" t="s">
        <v>39</v>
      </c>
      <c r="P1724" t="s">
        <v>28</v>
      </c>
      <c r="Q1724" t="s">
        <v>7730</v>
      </c>
      <c r="R1724" t="s">
        <v>7731</v>
      </c>
      <c r="S1724" t="s">
        <v>31</v>
      </c>
      <c r="T1724">
        <v>0</v>
      </c>
    </row>
    <row r="1725" spans="1:20" x14ac:dyDescent="0.25">
      <c r="A1725" t="s">
        <v>7732</v>
      </c>
      <c r="B1725" s="1">
        <v>45790</v>
      </c>
      <c r="C1725" s="5">
        <v>0.74497685185185181</v>
      </c>
      <c r="D1725">
        <v>285.64</v>
      </c>
      <c r="E1725" t="s">
        <v>44</v>
      </c>
      <c r="F1725" t="s">
        <v>7733</v>
      </c>
      <c r="G1725" t="s">
        <v>89</v>
      </c>
      <c r="H1725" t="s">
        <v>38</v>
      </c>
      <c r="I1725" t="s">
        <v>7734</v>
      </c>
      <c r="J1725">
        <v>34</v>
      </c>
      <c r="K1725" t="s">
        <v>25</v>
      </c>
      <c r="L1725" t="s">
        <v>26</v>
      </c>
      <c r="M1725" t="s">
        <v>84</v>
      </c>
      <c r="P1725" t="s">
        <v>28</v>
      </c>
      <c r="Q1725" t="s">
        <v>7735</v>
      </c>
      <c r="R1725" t="s">
        <v>7736</v>
      </c>
      <c r="S1725" t="s">
        <v>31</v>
      </c>
      <c r="T1725">
        <v>0</v>
      </c>
    </row>
    <row r="1726" spans="1:20" x14ac:dyDescent="0.25">
      <c r="A1726" t="s">
        <v>7737</v>
      </c>
      <c r="B1726" s="1">
        <v>45887</v>
      </c>
      <c r="C1726" s="5">
        <v>0.8190856481481481</v>
      </c>
      <c r="D1726">
        <v>186.48</v>
      </c>
      <c r="E1726" t="s">
        <v>44</v>
      </c>
      <c r="F1726" t="s">
        <v>2299</v>
      </c>
      <c r="G1726" t="s">
        <v>57</v>
      </c>
      <c r="H1726" t="s">
        <v>146</v>
      </c>
      <c r="I1726" t="s">
        <v>7738</v>
      </c>
      <c r="J1726">
        <v>35</v>
      </c>
      <c r="K1726" t="s">
        <v>37</v>
      </c>
      <c r="L1726" t="s">
        <v>110</v>
      </c>
      <c r="M1726" t="s">
        <v>39</v>
      </c>
      <c r="P1726" t="s">
        <v>28</v>
      </c>
      <c r="Q1726" t="s">
        <v>7739</v>
      </c>
      <c r="R1726" t="s">
        <v>7740</v>
      </c>
      <c r="S1726" t="s">
        <v>31</v>
      </c>
      <c r="T1726">
        <v>0</v>
      </c>
    </row>
    <row r="1727" spans="1:20" x14ac:dyDescent="0.25">
      <c r="A1727" t="s">
        <v>7741</v>
      </c>
      <c r="B1727" s="1">
        <v>45913</v>
      </c>
      <c r="C1727" s="5">
        <v>0.42657407407407405</v>
      </c>
      <c r="D1727">
        <v>174.56</v>
      </c>
      <c r="E1727" t="s">
        <v>44</v>
      </c>
      <c r="F1727" t="s">
        <v>1529</v>
      </c>
      <c r="G1727" t="s">
        <v>64</v>
      </c>
      <c r="H1727" t="s">
        <v>38</v>
      </c>
      <c r="I1727" t="s">
        <v>7742</v>
      </c>
      <c r="J1727">
        <v>57</v>
      </c>
      <c r="K1727" t="s">
        <v>49</v>
      </c>
      <c r="L1727" t="s">
        <v>58</v>
      </c>
      <c r="M1727" t="s">
        <v>105</v>
      </c>
      <c r="P1727" t="s">
        <v>28</v>
      </c>
      <c r="Q1727" t="s">
        <v>7743</v>
      </c>
      <c r="R1727" t="s">
        <v>7744</v>
      </c>
      <c r="S1727" t="s">
        <v>31</v>
      </c>
      <c r="T1727">
        <v>0</v>
      </c>
    </row>
    <row r="1728" spans="1:20" x14ac:dyDescent="0.25">
      <c r="A1728" t="s">
        <v>7745</v>
      </c>
      <c r="B1728" s="1">
        <v>45898</v>
      </c>
      <c r="C1728" s="5">
        <v>3.5682870370370372E-2</v>
      </c>
      <c r="D1728">
        <v>381.32</v>
      </c>
      <c r="E1728" t="s">
        <v>44</v>
      </c>
      <c r="F1728" t="s">
        <v>1509</v>
      </c>
      <c r="G1728" t="s">
        <v>77</v>
      </c>
      <c r="H1728" t="s">
        <v>66</v>
      </c>
      <c r="I1728" t="s">
        <v>7746</v>
      </c>
      <c r="J1728">
        <v>23</v>
      </c>
      <c r="K1728" t="s">
        <v>37</v>
      </c>
      <c r="L1728" t="s">
        <v>248</v>
      </c>
      <c r="M1728" t="s">
        <v>105</v>
      </c>
      <c r="P1728" t="s">
        <v>28</v>
      </c>
      <c r="Q1728" t="s">
        <v>7747</v>
      </c>
      <c r="R1728" t="s">
        <v>7748</v>
      </c>
      <c r="S1728" t="s">
        <v>31</v>
      </c>
      <c r="T1728">
        <v>1</v>
      </c>
    </row>
    <row r="1729" spans="1:20" x14ac:dyDescent="0.25">
      <c r="A1729" t="s">
        <v>7749</v>
      </c>
      <c r="B1729" s="1">
        <v>45861</v>
      </c>
      <c r="C1729" s="5">
        <v>5.8217592592592592E-3</v>
      </c>
      <c r="D1729">
        <v>112.72</v>
      </c>
      <c r="E1729" t="s">
        <v>44</v>
      </c>
      <c r="F1729" t="s">
        <v>7750</v>
      </c>
      <c r="G1729" t="s">
        <v>77</v>
      </c>
      <c r="H1729" t="s">
        <v>58</v>
      </c>
      <c r="I1729" t="s">
        <v>7751</v>
      </c>
      <c r="J1729">
        <v>75</v>
      </c>
      <c r="K1729" t="s">
        <v>37</v>
      </c>
      <c r="L1729" t="s">
        <v>47</v>
      </c>
      <c r="M1729" t="s">
        <v>39</v>
      </c>
      <c r="P1729" t="s">
        <v>28</v>
      </c>
      <c r="Q1729" t="s">
        <v>7752</v>
      </c>
      <c r="R1729" t="s">
        <v>7753</v>
      </c>
      <c r="S1729" t="s">
        <v>101</v>
      </c>
      <c r="T1729">
        <v>0</v>
      </c>
    </row>
    <row r="1730" spans="1:20" x14ac:dyDescent="0.25">
      <c r="A1730" t="s">
        <v>7754</v>
      </c>
      <c r="B1730" s="1">
        <v>45824</v>
      </c>
      <c r="C1730" s="5">
        <v>7.3391203703703708E-2</v>
      </c>
      <c r="D1730">
        <v>33.68</v>
      </c>
      <c r="E1730" t="s">
        <v>44</v>
      </c>
      <c r="F1730" t="s">
        <v>7755</v>
      </c>
      <c r="G1730" t="s">
        <v>77</v>
      </c>
      <c r="H1730" t="s">
        <v>50</v>
      </c>
      <c r="I1730" t="s">
        <v>7756</v>
      </c>
      <c r="J1730">
        <v>21</v>
      </c>
      <c r="K1730" t="s">
        <v>25</v>
      </c>
      <c r="L1730" t="s">
        <v>35</v>
      </c>
      <c r="M1730" t="s">
        <v>39</v>
      </c>
      <c r="P1730" t="s">
        <v>28</v>
      </c>
      <c r="Q1730" t="s">
        <v>7757</v>
      </c>
      <c r="R1730" t="s">
        <v>7758</v>
      </c>
      <c r="S1730" t="s">
        <v>31</v>
      </c>
      <c r="T1730">
        <v>0</v>
      </c>
    </row>
    <row r="1731" spans="1:20" x14ac:dyDescent="0.25">
      <c r="A1731" t="s">
        <v>7759</v>
      </c>
      <c r="B1731" s="1">
        <v>45831</v>
      </c>
      <c r="C1731" s="5">
        <v>0.54871527777777773</v>
      </c>
      <c r="D1731">
        <v>33.56</v>
      </c>
      <c r="E1731" t="s">
        <v>44</v>
      </c>
      <c r="F1731" t="s">
        <v>4443</v>
      </c>
      <c r="G1731" t="s">
        <v>77</v>
      </c>
      <c r="H1731" t="s">
        <v>50</v>
      </c>
      <c r="I1731" t="s">
        <v>7760</v>
      </c>
      <c r="J1731">
        <v>46</v>
      </c>
      <c r="K1731" t="s">
        <v>49</v>
      </c>
      <c r="L1731" t="s">
        <v>23</v>
      </c>
      <c r="M1731" t="s">
        <v>84</v>
      </c>
      <c r="P1731" t="s">
        <v>28</v>
      </c>
      <c r="Q1731" t="s">
        <v>7761</v>
      </c>
      <c r="R1731" t="s">
        <v>7762</v>
      </c>
      <c r="S1731" t="s">
        <v>31</v>
      </c>
      <c r="T1731">
        <v>0</v>
      </c>
    </row>
    <row r="1732" spans="1:20" x14ac:dyDescent="0.25">
      <c r="A1732" t="s">
        <v>7763</v>
      </c>
      <c r="B1732" s="1">
        <v>45885</v>
      </c>
      <c r="C1732" s="5">
        <v>0.27414351851851854</v>
      </c>
      <c r="D1732">
        <v>1.19</v>
      </c>
      <c r="E1732" t="s">
        <v>44</v>
      </c>
      <c r="F1732" t="s">
        <v>7764</v>
      </c>
      <c r="G1732" t="s">
        <v>57</v>
      </c>
      <c r="H1732" t="s">
        <v>26</v>
      </c>
      <c r="I1732" t="s">
        <v>7765</v>
      </c>
      <c r="J1732">
        <v>50</v>
      </c>
      <c r="K1732" t="s">
        <v>49</v>
      </c>
      <c r="L1732" t="s">
        <v>248</v>
      </c>
      <c r="M1732" t="s">
        <v>112</v>
      </c>
      <c r="P1732" t="s">
        <v>28</v>
      </c>
      <c r="Q1732" t="s">
        <v>7766</v>
      </c>
      <c r="R1732" t="s">
        <v>7767</v>
      </c>
      <c r="S1732" t="s">
        <v>31</v>
      </c>
      <c r="T1732">
        <v>0</v>
      </c>
    </row>
    <row r="1733" spans="1:20" x14ac:dyDescent="0.25">
      <c r="A1733" t="s">
        <v>7768</v>
      </c>
      <c r="B1733" s="1">
        <v>45864</v>
      </c>
      <c r="C1733" s="5">
        <v>0.9864236111111111</v>
      </c>
      <c r="D1733">
        <v>163.08000000000001</v>
      </c>
      <c r="E1733" t="s">
        <v>44</v>
      </c>
      <c r="F1733" t="s">
        <v>6279</v>
      </c>
      <c r="G1733" t="s">
        <v>124</v>
      </c>
      <c r="H1733" t="s">
        <v>146</v>
      </c>
      <c r="I1733" t="s">
        <v>7769</v>
      </c>
      <c r="J1733">
        <v>19</v>
      </c>
      <c r="K1733" t="s">
        <v>25</v>
      </c>
      <c r="L1733" t="s">
        <v>35</v>
      </c>
      <c r="M1733" t="s">
        <v>39</v>
      </c>
      <c r="P1733" t="s">
        <v>28</v>
      </c>
      <c r="Q1733" t="s">
        <v>7770</v>
      </c>
      <c r="R1733" t="s">
        <v>7771</v>
      </c>
      <c r="S1733" t="s">
        <v>31</v>
      </c>
      <c r="T1733">
        <v>0</v>
      </c>
    </row>
    <row r="1734" spans="1:20" x14ac:dyDescent="0.25">
      <c r="A1734" t="s">
        <v>7772</v>
      </c>
      <c r="B1734" s="1">
        <v>45916</v>
      </c>
      <c r="C1734" s="5">
        <v>0.40416666666666667</v>
      </c>
      <c r="D1734">
        <v>102.87</v>
      </c>
      <c r="E1734" t="s">
        <v>44</v>
      </c>
      <c r="F1734" t="s">
        <v>2089</v>
      </c>
      <c r="G1734" t="s">
        <v>34</v>
      </c>
      <c r="H1734" t="s">
        <v>119</v>
      </c>
      <c r="I1734" t="s">
        <v>7773</v>
      </c>
      <c r="J1734">
        <v>73</v>
      </c>
      <c r="K1734" t="s">
        <v>25</v>
      </c>
      <c r="L1734" t="s">
        <v>130</v>
      </c>
      <c r="M1734" t="s">
        <v>105</v>
      </c>
      <c r="P1734" t="s">
        <v>28</v>
      </c>
      <c r="Q1734" t="s">
        <v>7774</v>
      </c>
      <c r="R1734" t="s">
        <v>7775</v>
      </c>
      <c r="S1734" t="s">
        <v>31</v>
      </c>
      <c r="T1734">
        <v>0</v>
      </c>
    </row>
    <row r="1735" spans="1:20" x14ac:dyDescent="0.25">
      <c r="A1735" t="s">
        <v>7776</v>
      </c>
      <c r="B1735" s="1">
        <v>45904</v>
      </c>
      <c r="C1735" s="5">
        <v>0.59894675925925922</v>
      </c>
      <c r="D1735">
        <v>36.85</v>
      </c>
      <c r="E1735" t="s">
        <v>44</v>
      </c>
      <c r="F1735" t="s">
        <v>2561</v>
      </c>
      <c r="G1735" t="s">
        <v>57</v>
      </c>
      <c r="H1735" t="s">
        <v>35</v>
      </c>
      <c r="I1735" t="s">
        <v>7777</v>
      </c>
      <c r="J1735">
        <v>18</v>
      </c>
      <c r="K1735" t="s">
        <v>49</v>
      </c>
      <c r="L1735" t="s">
        <v>119</v>
      </c>
      <c r="M1735" t="s">
        <v>105</v>
      </c>
      <c r="P1735" t="s">
        <v>28</v>
      </c>
      <c r="Q1735" t="s">
        <v>7778</v>
      </c>
      <c r="R1735" t="s">
        <v>7779</v>
      </c>
      <c r="S1735" t="s">
        <v>31</v>
      </c>
      <c r="T1735">
        <v>0</v>
      </c>
    </row>
    <row r="1736" spans="1:20" x14ac:dyDescent="0.25">
      <c r="A1736" t="s">
        <v>7780</v>
      </c>
      <c r="B1736" s="1">
        <v>45877</v>
      </c>
      <c r="C1736" s="5">
        <v>0.11201388888888889</v>
      </c>
      <c r="D1736">
        <v>128.11000000000001</v>
      </c>
      <c r="E1736" t="s">
        <v>44</v>
      </c>
      <c r="F1736" t="s">
        <v>2126</v>
      </c>
      <c r="G1736" t="s">
        <v>57</v>
      </c>
      <c r="H1736" t="s">
        <v>119</v>
      </c>
      <c r="I1736" t="s">
        <v>7781</v>
      </c>
      <c r="J1736">
        <v>65</v>
      </c>
      <c r="K1736" t="s">
        <v>37</v>
      </c>
      <c r="L1736" t="s">
        <v>97</v>
      </c>
      <c r="M1736" t="s">
        <v>51</v>
      </c>
      <c r="N1736" t="s">
        <v>345</v>
      </c>
      <c r="O1736">
        <v>431376</v>
      </c>
      <c r="P1736" t="s">
        <v>28</v>
      </c>
      <c r="Q1736" t="s">
        <v>7782</v>
      </c>
      <c r="R1736" t="s">
        <v>7783</v>
      </c>
      <c r="S1736" t="s">
        <v>31</v>
      </c>
      <c r="T1736">
        <v>0</v>
      </c>
    </row>
    <row r="1737" spans="1:20" x14ac:dyDescent="0.25">
      <c r="A1737" t="s">
        <v>7784</v>
      </c>
      <c r="B1737" s="1">
        <v>45957</v>
      </c>
      <c r="C1737" s="5">
        <v>0.35363425925925923</v>
      </c>
      <c r="D1737">
        <v>10.78</v>
      </c>
      <c r="E1737" t="s">
        <v>44</v>
      </c>
      <c r="F1737" t="s">
        <v>7785</v>
      </c>
      <c r="G1737" t="s">
        <v>124</v>
      </c>
      <c r="H1737" t="s">
        <v>248</v>
      </c>
      <c r="I1737" t="s">
        <v>7786</v>
      </c>
      <c r="J1737">
        <v>58</v>
      </c>
      <c r="K1737" t="s">
        <v>49</v>
      </c>
      <c r="L1737" t="s">
        <v>91</v>
      </c>
      <c r="M1737" t="s">
        <v>105</v>
      </c>
      <c r="P1737" t="s">
        <v>28</v>
      </c>
      <c r="Q1737" t="s">
        <v>7787</v>
      </c>
      <c r="R1737" t="s">
        <v>7788</v>
      </c>
      <c r="S1737" t="s">
        <v>31</v>
      </c>
      <c r="T1737">
        <v>0</v>
      </c>
    </row>
    <row r="1738" spans="1:20" x14ac:dyDescent="0.25">
      <c r="A1738" t="s">
        <v>7789</v>
      </c>
      <c r="B1738" s="1">
        <v>45927</v>
      </c>
      <c r="C1738" s="5">
        <v>0.28769675925925925</v>
      </c>
      <c r="D1738">
        <v>76.98</v>
      </c>
      <c r="E1738" t="s">
        <v>44</v>
      </c>
      <c r="F1738" t="s">
        <v>2942</v>
      </c>
      <c r="G1738" t="s">
        <v>57</v>
      </c>
      <c r="H1738" t="s">
        <v>146</v>
      </c>
      <c r="I1738" t="s">
        <v>7790</v>
      </c>
      <c r="J1738">
        <v>71</v>
      </c>
      <c r="K1738" t="s">
        <v>25</v>
      </c>
      <c r="L1738" t="s">
        <v>146</v>
      </c>
      <c r="M1738" t="s">
        <v>51</v>
      </c>
      <c r="N1738" t="s">
        <v>52</v>
      </c>
      <c r="O1738">
        <v>554860</v>
      </c>
      <c r="P1738" t="s">
        <v>113</v>
      </c>
      <c r="Q1738" t="s">
        <v>7791</v>
      </c>
      <c r="R1738" t="s">
        <v>7792</v>
      </c>
      <c r="S1738" t="s">
        <v>31</v>
      </c>
      <c r="T1738">
        <v>0</v>
      </c>
    </row>
    <row r="1739" spans="1:20" x14ac:dyDescent="0.25">
      <c r="A1739" t="s">
        <v>7793</v>
      </c>
      <c r="B1739" s="1">
        <v>45824</v>
      </c>
      <c r="C1739" s="5">
        <v>0.4450925925925926</v>
      </c>
      <c r="D1739">
        <v>81.61</v>
      </c>
      <c r="E1739" t="s">
        <v>44</v>
      </c>
      <c r="F1739" t="s">
        <v>7794</v>
      </c>
      <c r="G1739" t="s">
        <v>64</v>
      </c>
      <c r="H1739" t="s">
        <v>26</v>
      </c>
      <c r="I1739" t="s">
        <v>7795</v>
      </c>
      <c r="J1739">
        <v>28</v>
      </c>
      <c r="K1739" t="s">
        <v>25</v>
      </c>
      <c r="L1739" t="s">
        <v>47</v>
      </c>
      <c r="M1739" t="s">
        <v>27</v>
      </c>
      <c r="P1739" t="s">
        <v>28</v>
      </c>
      <c r="Q1739" t="s">
        <v>7796</v>
      </c>
      <c r="R1739" t="s">
        <v>7797</v>
      </c>
      <c r="S1739" t="s">
        <v>31</v>
      </c>
      <c r="T1739">
        <v>0</v>
      </c>
    </row>
    <row r="1740" spans="1:20" x14ac:dyDescent="0.25">
      <c r="A1740" t="s">
        <v>7798</v>
      </c>
      <c r="B1740" s="1">
        <v>45925</v>
      </c>
      <c r="C1740" s="5">
        <v>0.58511574074074069</v>
      </c>
      <c r="D1740">
        <v>121.73</v>
      </c>
      <c r="E1740" t="s">
        <v>44</v>
      </c>
      <c r="F1740" t="s">
        <v>7799</v>
      </c>
      <c r="G1740" t="s">
        <v>124</v>
      </c>
      <c r="H1740" t="s">
        <v>58</v>
      </c>
      <c r="I1740" t="s">
        <v>7800</v>
      </c>
      <c r="J1740">
        <v>53</v>
      </c>
      <c r="K1740" t="s">
        <v>37</v>
      </c>
      <c r="L1740" t="s">
        <v>23</v>
      </c>
      <c r="M1740" t="s">
        <v>112</v>
      </c>
      <c r="P1740" t="s">
        <v>28</v>
      </c>
      <c r="Q1740" t="s">
        <v>7801</v>
      </c>
      <c r="R1740" t="s">
        <v>7802</v>
      </c>
      <c r="S1740" t="s">
        <v>31</v>
      </c>
      <c r="T1740">
        <v>0</v>
      </c>
    </row>
    <row r="1741" spans="1:20" x14ac:dyDescent="0.25">
      <c r="A1741" t="s">
        <v>7803</v>
      </c>
      <c r="B1741" s="1">
        <v>45939</v>
      </c>
      <c r="C1741" s="5">
        <v>9.4745370370370369E-2</v>
      </c>
      <c r="D1741">
        <v>12.62</v>
      </c>
      <c r="E1741" t="s">
        <v>44</v>
      </c>
      <c r="F1741" t="s">
        <v>2918</v>
      </c>
      <c r="G1741" t="s">
        <v>34</v>
      </c>
      <c r="H1741" t="s">
        <v>23</v>
      </c>
      <c r="I1741" t="s">
        <v>7804</v>
      </c>
      <c r="J1741">
        <v>32</v>
      </c>
      <c r="K1741" t="s">
        <v>25</v>
      </c>
      <c r="L1741" t="s">
        <v>130</v>
      </c>
      <c r="M1741" t="s">
        <v>112</v>
      </c>
      <c r="P1741" t="s">
        <v>28</v>
      </c>
      <c r="Q1741" t="s">
        <v>7805</v>
      </c>
      <c r="R1741" t="s">
        <v>7806</v>
      </c>
      <c r="S1741" t="s">
        <v>31</v>
      </c>
      <c r="T1741">
        <v>0</v>
      </c>
    </row>
    <row r="1742" spans="1:20" x14ac:dyDescent="0.25">
      <c r="A1742" t="s">
        <v>7807</v>
      </c>
      <c r="B1742" s="1">
        <v>45836</v>
      </c>
      <c r="C1742" s="5">
        <v>0.74763888888888885</v>
      </c>
      <c r="D1742">
        <v>23.77</v>
      </c>
      <c r="E1742" t="s">
        <v>44</v>
      </c>
      <c r="F1742" t="s">
        <v>7808</v>
      </c>
      <c r="G1742" t="s">
        <v>89</v>
      </c>
      <c r="H1742" t="s">
        <v>97</v>
      </c>
      <c r="I1742" t="s">
        <v>7809</v>
      </c>
      <c r="J1742">
        <v>23</v>
      </c>
      <c r="K1742" t="s">
        <v>25</v>
      </c>
      <c r="L1742" t="s">
        <v>110</v>
      </c>
      <c r="M1742" t="s">
        <v>84</v>
      </c>
      <c r="P1742" t="s">
        <v>28</v>
      </c>
      <c r="Q1742" t="s">
        <v>7810</v>
      </c>
      <c r="R1742" t="s">
        <v>7811</v>
      </c>
      <c r="S1742" t="s">
        <v>31</v>
      </c>
      <c r="T1742">
        <v>0</v>
      </c>
    </row>
    <row r="1743" spans="1:20" x14ac:dyDescent="0.25">
      <c r="A1743" t="s">
        <v>7812</v>
      </c>
      <c r="B1743" s="1">
        <v>45866</v>
      </c>
      <c r="C1743" s="5">
        <v>0.57336805555555559</v>
      </c>
      <c r="D1743">
        <v>194.04</v>
      </c>
      <c r="E1743" t="s">
        <v>44</v>
      </c>
      <c r="F1743" t="s">
        <v>4518</v>
      </c>
      <c r="G1743" t="s">
        <v>71</v>
      </c>
      <c r="H1743" t="s">
        <v>248</v>
      </c>
      <c r="I1743" t="s">
        <v>7746</v>
      </c>
      <c r="J1743">
        <v>18</v>
      </c>
      <c r="K1743" t="s">
        <v>25</v>
      </c>
      <c r="L1743" t="s">
        <v>23</v>
      </c>
      <c r="M1743" t="s">
        <v>105</v>
      </c>
      <c r="P1743" t="s">
        <v>28</v>
      </c>
      <c r="Q1743" t="s">
        <v>7813</v>
      </c>
      <c r="R1743" t="s">
        <v>7814</v>
      </c>
      <c r="S1743" t="s">
        <v>31</v>
      </c>
      <c r="T1743">
        <v>0</v>
      </c>
    </row>
    <row r="1744" spans="1:20" x14ac:dyDescent="0.25">
      <c r="A1744" t="s">
        <v>7815</v>
      </c>
      <c r="B1744" s="1">
        <v>45884</v>
      </c>
      <c r="C1744" s="5">
        <v>0.24810185185185185</v>
      </c>
      <c r="D1744">
        <v>139.69999999999999</v>
      </c>
      <c r="E1744" t="s">
        <v>44</v>
      </c>
      <c r="F1744" t="s">
        <v>7816</v>
      </c>
      <c r="G1744" t="s">
        <v>89</v>
      </c>
      <c r="H1744" t="s">
        <v>146</v>
      </c>
      <c r="I1744" t="s">
        <v>7817</v>
      </c>
      <c r="J1744">
        <v>67</v>
      </c>
      <c r="K1744" t="s">
        <v>49</v>
      </c>
      <c r="L1744" t="s">
        <v>130</v>
      </c>
      <c r="M1744" t="s">
        <v>84</v>
      </c>
      <c r="P1744" t="s">
        <v>28</v>
      </c>
      <c r="Q1744" t="s">
        <v>7818</v>
      </c>
      <c r="R1744" t="s">
        <v>7819</v>
      </c>
      <c r="S1744" t="s">
        <v>31</v>
      </c>
      <c r="T1744">
        <v>0</v>
      </c>
    </row>
    <row r="1745" spans="1:20" x14ac:dyDescent="0.25">
      <c r="A1745" t="s">
        <v>7820</v>
      </c>
      <c r="B1745" s="1">
        <v>45836</v>
      </c>
      <c r="C1745" s="5">
        <v>1.2256944444444445E-2</v>
      </c>
      <c r="D1745">
        <v>943.97</v>
      </c>
      <c r="E1745" t="s">
        <v>44</v>
      </c>
      <c r="F1745" t="s">
        <v>7821</v>
      </c>
      <c r="G1745" t="s">
        <v>34</v>
      </c>
      <c r="H1745" t="s">
        <v>50</v>
      </c>
      <c r="I1745" t="s">
        <v>7822</v>
      </c>
      <c r="J1745">
        <v>44</v>
      </c>
      <c r="K1745" t="s">
        <v>37</v>
      </c>
      <c r="L1745" t="s">
        <v>58</v>
      </c>
      <c r="M1745" t="s">
        <v>51</v>
      </c>
      <c r="N1745" t="s">
        <v>52</v>
      </c>
      <c r="O1745">
        <v>488857</v>
      </c>
      <c r="P1745" t="s">
        <v>28</v>
      </c>
      <c r="Q1745" t="s">
        <v>7823</v>
      </c>
      <c r="R1745" t="s">
        <v>7824</v>
      </c>
      <c r="S1745" t="s">
        <v>31</v>
      </c>
      <c r="T1745">
        <v>0</v>
      </c>
    </row>
    <row r="1746" spans="1:20" x14ac:dyDescent="0.25">
      <c r="A1746" t="s">
        <v>7825</v>
      </c>
      <c r="B1746" s="1">
        <v>45807</v>
      </c>
      <c r="C1746" s="5">
        <v>0.86165509259259254</v>
      </c>
      <c r="D1746">
        <v>97.42</v>
      </c>
      <c r="E1746" t="s">
        <v>44</v>
      </c>
      <c r="F1746" t="s">
        <v>4518</v>
      </c>
      <c r="G1746" t="s">
        <v>22</v>
      </c>
      <c r="H1746" t="s">
        <v>97</v>
      </c>
      <c r="I1746" t="s">
        <v>7826</v>
      </c>
      <c r="J1746">
        <v>64</v>
      </c>
      <c r="K1746" t="s">
        <v>37</v>
      </c>
      <c r="L1746" t="s">
        <v>47</v>
      </c>
      <c r="M1746" t="s">
        <v>51</v>
      </c>
      <c r="N1746" t="s">
        <v>870</v>
      </c>
      <c r="O1746">
        <v>417632</v>
      </c>
      <c r="P1746" t="s">
        <v>28</v>
      </c>
      <c r="Q1746" t="s">
        <v>7827</v>
      </c>
      <c r="R1746" t="s">
        <v>7828</v>
      </c>
      <c r="S1746" t="s">
        <v>31</v>
      </c>
      <c r="T1746">
        <v>0</v>
      </c>
    </row>
    <row r="1747" spans="1:20" x14ac:dyDescent="0.25">
      <c r="A1747" t="s">
        <v>7829</v>
      </c>
      <c r="B1747" s="1">
        <v>45905</v>
      </c>
      <c r="C1747" s="5">
        <v>0.71116898148148144</v>
      </c>
      <c r="D1747">
        <v>40.81</v>
      </c>
      <c r="E1747" t="s">
        <v>44</v>
      </c>
      <c r="F1747" t="s">
        <v>3934</v>
      </c>
      <c r="G1747" t="s">
        <v>96</v>
      </c>
      <c r="H1747" t="s">
        <v>50</v>
      </c>
      <c r="I1747" t="s">
        <v>7830</v>
      </c>
      <c r="J1747">
        <v>46</v>
      </c>
      <c r="K1747" t="s">
        <v>37</v>
      </c>
      <c r="L1747" t="s">
        <v>38</v>
      </c>
      <c r="M1747" t="s">
        <v>84</v>
      </c>
      <c r="P1747" t="s">
        <v>28</v>
      </c>
      <c r="Q1747" t="s">
        <v>7831</v>
      </c>
      <c r="R1747" t="s">
        <v>7832</v>
      </c>
      <c r="S1747" t="s">
        <v>31</v>
      </c>
      <c r="T1747">
        <v>0</v>
      </c>
    </row>
    <row r="1748" spans="1:20" x14ac:dyDescent="0.25">
      <c r="A1748" t="s">
        <v>7833</v>
      </c>
      <c r="B1748" s="1">
        <v>45917</v>
      </c>
      <c r="C1748" s="5">
        <v>0.87506944444444446</v>
      </c>
      <c r="D1748">
        <v>190.48</v>
      </c>
      <c r="E1748" t="s">
        <v>44</v>
      </c>
      <c r="F1748" t="s">
        <v>1568</v>
      </c>
      <c r="G1748" t="s">
        <v>96</v>
      </c>
      <c r="H1748" t="s">
        <v>47</v>
      </c>
      <c r="I1748" t="s">
        <v>7834</v>
      </c>
      <c r="J1748">
        <v>28</v>
      </c>
      <c r="K1748" t="s">
        <v>25</v>
      </c>
      <c r="L1748" t="s">
        <v>23</v>
      </c>
      <c r="M1748" t="s">
        <v>84</v>
      </c>
      <c r="P1748" t="s">
        <v>28</v>
      </c>
      <c r="Q1748" t="s">
        <v>7835</v>
      </c>
      <c r="R1748" t="s">
        <v>7836</v>
      </c>
      <c r="S1748" t="s">
        <v>31</v>
      </c>
      <c r="T1748">
        <v>0</v>
      </c>
    </row>
    <row r="1749" spans="1:20" x14ac:dyDescent="0.25">
      <c r="A1749" t="s">
        <v>7837</v>
      </c>
      <c r="B1749" s="1">
        <v>45956</v>
      </c>
      <c r="C1749" s="5">
        <v>0.85054398148148147</v>
      </c>
      <c r="D1749">
        <v>163.54</v>
      </c>
      <c r="E1749" t="s">
        <v>44</v>
      </c>
      <c r="F1749" t="s">
        <v>2654</v>
      </c>
      <c r="G1749" t="s">
        <v>96</v>
      </c>
      <c r="H1749" t="s">
        <v>23</v>
      </c>
      <c r="I1749" t="s">
        <v>7838</v>
      </c>
      <c r="J1749">
        <v>65</v>
      </c>
      <c r="K1749" t="s">
        <v>37</v>
      </c>
      <c r="L1749" t="s">
        <v>119</v>
      </c>
      <c r="M1749" t="s">
        <v>27</v>
      </c>
      <c r="P1749" t="s">
        <v>28</v>
      </c>
      <c r="Q1749" t="s">
        <v>7839</v>
      </c>
      <c r="R1749" t="s">
        <v>7840</v>
      </c>
      <c r="S1749" t="s">
        <v>31</v>
      </c>
      <c r="T1749">
        <v>0</v>
      </c>
    </row>
    <row r="1750" spans="1:20" x14ac:dyDescent="0.25">
      <c r="A1750" t="s">
        <v>7841</v>
      </c>
      <c r="B1750" s="1">
        <v>45792</v>
      </c>
      <c r="C1750" s="5">
        <v>0.10991898148148148</v>
      </c>
      <c r="D1750">
        <v>123.01</v>
      </c>
      <c r="E1750" t="s">
        <v>44</v>
      </c>
      <c r="F1750" t="s">
        <v>1002</v>
      </c>
      <c r="G1750" t="s">
        <v>57</v>
      </c>
      <c r="H1750" t="s">
        <v>23</v>
      </c>
      <c r="I1750" t="s">
        <v>7842</v>
      </c>
      <c r="J1750">
        <v>67</v>
      </c>
      <c r="K1750" t="s">
        <v>37</v>
      </c>
      <c r="L1750" t="s">
        <v>91</v>
      </c>
      <c r="M1750" t="s">
        <v>27</v>
      </c>
      <c r="P1750" t="s">
        <v>28</v>
      </c>
      <c r="Q1750" t="s">
        <v>7843</v>
      </c>
      <c r="R1750" t="s">
        <v>7844</v>
      </c>
      <c r="S1750" t="s">
        <v>31</v>
      </c>
      <c r="T1750">
        <v>0</v>
      </c>
    </row>
    <row r="1751" spans="1:20" x14ac:dyDescent="0.25">
      <c r="A1751" t="s">
        <v>7845</v>
      </c>
      <c r="B1751" s="1">
        <v>45826</v>
      </c>
      <c r="C1751" s="5">
        <v>0.31291666666666668</v>
      </c>
      <c r="D1751">
        <v>42.47</v>
      </c>
      <c r="E1751" t="s">
        <v>44</v>
      </c>
      <c r="F1751" t="s">
        <v>4838</v>
      </c>
      <c r="G1751" t="s">
        <v>71</v>
      </c>
      <c r="H1751" t="s">
        <v>38</v>
      </c>
      <c r="I1751" t="s">
        <v>7846</v>
      </c>
      <c r="J1751">
        <v>66</v>
      </c>
      <c r="K1751" t="s">
        <v>49</v>
      </c>
      <c r="L1751" t="s">
        <v>97</v>
      </c>
      <c r="M1751" t="s">
        <v>51</v>
      </c>
      <c r="N1751" t="s">
        <v>52</v>
      </c>
      <c r="O1751">
        <v>474566</v>
      </c>
      <c r="P1751" t="s">
        <v>28</v>
      </c>
      <c r="Q1751" t="s">
        <v>7847</v>
      </c>
      <c r="R1751" t="s">
        <v>7848</v>
      </c>
      <c r="S1751" t="s">
        <v>31</v>
      </c>
      <c r="T1751">
        <v>0</v>
      </c>
    </row>
    <row r="1752" spans="1:20" x14ac:dyDescent="0.25">
      <c r="A1752" t="s">
        <v>7849</v>
      </c>
      <c r="B1752" s="1">
        <v>45947</v>
      </c>
      <c r="C1752" s="5">
        <v>0.86739583333333337</v>
      </c>
      <c r="D1752">
        <v>500.92</v>
      </c>
      <c r="E1752" t="s">
        <v>44</v>
      </c>
      <c r="F1752" t="s">
        <v>7850</v>
      </c>
      <c r="G1752" t="s">
        <v>57</v>
      </c>
      <c r="H1752" t="s">
        <v>130</v>
      </c>
      <c r="I1752" t="s">
        <v>7851</v>
      </c>
      <c r="J1752">
        <v>73</v>
      </c>
      <c r="K1752" t="s">
        <v>37</v>
      </c>
      <c r="L1752" t="s">
        <v>91</v>
      </c>
      <c r="M1752" t="s">
        <v>39</v>
      </c>
      <c r="P1752" t="s">
        <v>28</v>
      </c>
      <c r="Q1752" t="s">
        <v>7852</v>
      </c>
      <c r="R1752" t="s">
        <v>7853</v>
      </c>
      <c r="S1752" t="s">
        <v>31</v>
      </c>
      <c r="T1752">
        <v>0</v>
      </c>
    </row>
    <row r="1753" spans="1:20" x14ac:dyDescent="0.25">
      <c r="A1753" t="s">
        <v>7854</v>
      </c>
      <c r="B1753" s="1">
        <v>45860</v>
      </c>
      <c r="C1753" s="5">
        <v>0.541875</v>
      </c>
      <c r="D1753">
        <v>43.07</v>
      </c>
      <c r="E1753" t="s">
        <v>44</v>
      </c>
      <c r="F1753" t="s">
        <v>3065</v>
      </c>
      <c r="G1753" t="s">
        <v>34</v>
      </c>
      <c r="H1753" t="s">
        <v>248</v>
      </c>
      <c r="I1753" t="s">
        <v>7855</v>
      </c>
      <c r="J1753">
        <v>24</v>
      </c>
      <c r="K1753" t="s">
        <v>25</v>
      </c>
      <c r="L1753" t="s">
        <v>35</v>
      </c>
      <c r="M1753" t="s">
        <v>105</v>
      </c>
      <c r="P1753" t="s">
        <v>28</v>
      </c>
      <c r="Q1753" t="s">
        <v>7856</v>
      </c>
      <c r="R1753" t="s">
        <v>7857</v>
      </c>
      <c r="S1753" t="s">
        <v>101</v>
      </c>
      <c r="T1753">
        <v>0</v>
      </c>
    </row>
    <row r="1754" spans="1:20" x14ac:dyDescent="0.25">
      <c r="A1754" t="s">
        <v>7858</v>
      </c>
      <c r="B1754" s="1">
        <v>45782</v>
      </c>
      <c r="C1754" s="5">
        <v>0.91106481481481483</v>
      </c>
      <c r="D1754">
        <v>16.72</v>
      </c>
      <c r="E1754" t="s">
        <v>44</v>
      </c>
      <c r="F1754" t="s">
        <v>4486</v>
      </c>
      <c r="G1754" t="s">
        <v>34</v>
      </c>
      <c r="H1754" t="s">
        <v>248</v>
      </c>
      <c r="I1754" t="s">
        <v>7859</v>
      </c>
      <c r="J1754">
        <v>59</v>
      </c>
      <c r="K1754" t="s">
        <v>25</v>
      </c>
      <c r="L1754" t="s">
        <v>130</v>
      </c>
      <c r="M1754" t="s">
        <v>39</v>
      </c>
      <c r="P1754" t="s">
        <v>28</v>
      </c>
      <c r="Q1754" t="s">
        <v>7860</v>
      </c>
      <c r="R1754" t="s">
        <v>7861</v>
      </c>
      <c r="S1754" t="s">
        <v>31</v>
      </c>
      <c r="T1754">
        <v>0</v>
      </c>
    </row>
    <row r="1755" spans="1:20" x14ac:dyDescent="0.25">
      <c r="A1755" t="s">
        <v>7862</v>
      </c>
      <c r="B1755" s="1">
        <v>45915</v>
      </c>
      <c r="C1755" s="5">
        <v>0.18810185185185185</v>
      </c>
      <c r="D1755">
        <v>136.63999999999999</v>
      </c>
      <c r="E1755" t="s">
        <v>44</v>
      </c>
      <c r="F1755" t="s">
        <v>1553</v>
      </c>
      <c r="G1755" t="s">
        <v>71</v>
      </c>
      <c r="H1755" t="s">
        <v>119</v>
      </c>
      <c r="I1755" t="s">
        <v>7863</v>
      </c>
      <c r="J1755">
        <v>62</v>
      </c>
      <c r="K1755" t="s">
        <v>49</v>
      </c>
      <c r="L1755" t="s">
        <v>97</v>
      </c>
      <c r="M1755" t="s">
        <v>112</v>
      </c>
      <c r="P1755" t="s">
        <v>28</v>
      </c>
      <c r="Q1755" t="s">
        <v>7864</v>
      </c>
      <c r="R1755" t="s">
        <v>7865</v>
      </c>
      <c r="S1755" t="s">
        <v>31</v>
      </c>
      <c r="T1755">
        <v>0</v>
      </c>
    </row>
    <row r="1756" spans="1:20" x14ac:dyDescent="0.25">
      <c r="A1756" t="s">
        <v>7866</v>
      </c>
      <c r="B1756" s="1">
        <v>45880</v>
      </c>
      <c r="C1756" s="5">
        <v>0.36857638888888888</v>
      </c>
      <c r="D1756">
        <v>125.79</v>
      </c>
      <c r="E1756" t="s">
        <v>44</v>
      </c>
      <c r="F1756" t="s">
        <v>5124</v>
      </c>
      <c r="G1756" t="s">
        <v>34</v>
      </c>
      <c r="H1756" t="s">
        <v>97</v>
      </c>
      <c r="I1756" t="s">
        <v>7867</v>
      </c>
      <c r="J1756">
        <v>73</v>
      </c>
      <c r="K1756" t="s">
        <v>37</v>
      </c>
      <c r="L1756" t="s">
        <v>35</v>
      </c>
      <c r="M1756" t="s">
        <v>27</v>
      </c>
      <c r="P1756" t="s">
        <v>28</v>
      </c>
      <c r="Q1756" t="s">
        <v>7868</v>
      </c>
      <c r="R1756" t="s">
        <v>7869</v>
      </c>
      <c r="S1756" t="s">
        <v>31</v>
      </c>
      <c r="T1756">
        <v>0</v>
      </c>
    </row>
    <row r="1757" spans="1:20" x14ac:dyDescent="0.25">
      <c r="A1757" t="s">
        <v>7870</v>
      </c>
      <c r="B1757" s="1">
        <v>45878</v>
      </c>
      <c r="C1757" s="5">
        <v>0.65961805555555553</v>
      </c>
      <c r="D1757">
        <v>71.739999999999995</v>
      </c>
      <c r="E1757" t="s">
        <v>44</v>
      </c>
      <c r="F1757" t="s">
        <v>7871</v>
      </c>
      <c r="G1757" t="s">
        <v>22</v>
      </c>
      <c r="H1757" t="s">
        <v>47</v>
      </c>
      <c r="I1757" t="s">
        <v>7872</v>
      </c>
      <c r="J1757">
        <v>63</v>
      </c>
      <c r="K1757" t="s">
        <v>37</v>
      </c>
      <c r="L1757" t="s">
        <v>47</v>
      </c>
      <c r="M1757" t="s">
        <v>112</v>
      </c>
      <c r="P1757" t="s">
        <v>113</v>
      </c>
      <c r="Q1757" t="s">
        <v>7873</v>
      </c>
      <c r="R1757" t="s">
        <v>7874</v>
      </c>
      <c r="S1757" t="s">
        <v>31</v>
      </c>
      <c r="T1757">
        <v>0</v>
      </c>
    </row>
    <row r="1758" spans="1:20" x14ac:dyDescent="0.25">
      <c r="A1758" t="s">
        <v>7875</v>
      </c>
      <c r="B1758" s="1">
        <v>45816</v>
      </c>
      <c r="C1758" s="5">
        <v>0.48188657407407409</v>
      </c>
      <c r="D1758">
        <v>165.98</v>
      </c>
      <c r="E1758" t="s">
        <v>44</v>
      </c>
      <c r="F1758" t="s">
        <v>5152</v>
      </c>
      <c r="G1758" t="s">
        <v>89</v>
      </c>
      <c r="H1758" t="s">
        <v>248</v>
      </c>
      <c r="I1758" t="s">
        <v>7876</v>
      </c>
      <c r="J1758">
        <v>30</v>
      </c>
      <c r="K1758" t="s">
        <v>37</v>
      </c>
      <c r="L1758" t="s">
        <v>248</v>
      </c>
      <c r="M1758" t="s">
        <v>112</v>
      </c>
      <c r="P1758" t="s">
        <v>113</v>
      </c>
      <c r="Q1758" t="s">
        <v>7877</v>
      </c>
      <c r="R1758" t="s">
        <v>7878</v>
      </c>
      <c r="S1758" t="s">
        <v>31</v>
      </c>
      <c r="T1758">
        <v>0</v>
      </c>
    </row>
    <row r="1759" spans="1:20" x14ac:dyDescent="0.25">
      <c r="A1759" t="s">
        <v>7879</v>
      </c>
      <c r="B1759" s="1">
        <v>45902</v>
      </c>
      <c r="C1759" s="5">
        <v>0.32775462962962965</v>
      </c>
      <c r="D1759">
        <v>744.57</v>
      </c>
      <c r="E1759" t="s">
        <v>44</v>
      </c>
      <c r="F1759" t="s">
        <v>1427</v>
      </c>
      <c r="G1759" t="s">
        <v>46</v>
      </c>
      <c r="H1759" t="s">
        <v>119</v>
      </c>
      <c r="I1759" t="s">
        <v>7880</v>
      </c>
      <c r="J1759">
        <v>33</v>
      </c>
      <c r="K1759" t="s">
        <v>37</v>
      </c>
      <c r="L1759" t="s">
        <v>66</v>
      </c>
      <c r="M1759" t="s">
        <v>51</v>
      </c>
      <c r="N1759" t="s">
        <v>304</v>
      </c>
      <c r="O1759">
        <v>419725</v>
      </c>
      <c r="P1759" t="s">
        <v>28</v>
      </c>
      <c r="Q1759" t="s">
        <v>7881</v>
      </c>
      <c r="R1759" t="s">
        <v>7882</v>
      </c>
      <c r="S1759" t="s">
        <v>31</v>
      </c>
      <c r="T1759">
        <v>0</v>
      </c>
    </row>
    <row r="1760" spans="1:20" x14ac:dyDescent="0.25">
      <c r="A1760" t="s">
        <v>7883</v>
      </c>
      <c r="B1760" s="1">
        <v>45841</v>
      </c>
      <c r="C1760" s="5">
        <v>0.21541666666666667</v>
      </c>
      <c r="D1760">
        <v>44.33</v>
      </c>
      <c r="E1760" t="s">
        <v>44</v>
      </c>
      <c r="F1760" t="s">
        <v>1757</v>
      </c>
      <c r="G1760" t="s">
        <v>77</v>
      </c>
      <c r="H1760" t="s">
        <v>146</v>
      </c>
      <c r="I1760" t="s">
        <v>7884</v>
      </c>
      <c r="J1760">
        <v>52</v>
      </c>
      <c r="K1760" t="s">
        <v>49</v>
      </c>
      <c r="L1760" t="s">
        <v>97</v>
      </c>
      <c r="M1760" t="s">
        <v>51</v>
      </c>
      <c r="N1760" t="s">
        <v>507</v>
      </c>
      <c r="O1760">
        <v>541596</v>
      </c>
      <c r="P1760" t="s">
        <v>28</v>
      </c>
      <c r="Q1760" t="s">
        <v>7885</v>
      </c>
      <c r="R1760" t="s">
        <v>7886</v>
      </c>
      <c r="S1760" t="s">
        <v>31</v>
      </c>
      <c r="T1760">
        <v>0</v>
      </c>
    </row>
    <row r="1761" spans="1:20" x14ac:dyDescent="0.25">
      <c r="A1761" t="s">
        <v>7887</v>
      </c>
      <c r="B1761" s="1">
        <v>45852</v>
      </c>
      <c r="C1761" s="5">
        <v>0.16170138888888888</v>
      </c>
      <c r="D1761">
        <v>27.83</v>
      </c>
      <c r="E1761" t="s">
        <v>44</v>
      </c>
      <c r="F1761" t="s">
        <v>2640</v>
      </c>
      <c r="G1761" t="s">
        <v>46</v>
      </c>
      <c r="H1761" t="s">
        <v>146</v>
      </c>
      <c r="I1761" t="s">
        <v>7888</v>
      </c>
      <c r="J1761">
        <v>53</v>
      </c>
      <c r="K1761" t="s">
        <v>37</v>
      </c>
      <c r="L1761" t="s">
        <v>110</v>
      </c>
      <c r="M1761" t="s">
        <v>27</v>
      </c>
      <c r="P1761" t="s">
        <v>28</v>
      </c>
      <c r="Q1761" t="s">
        <v>7889</v>
      </c>
      <c r="R1761" t="s">
        <v>7890</v>
      </c>
      <c r="S1761" t="s">
        <v>31</v>
      </c>
      <c r="T1761">
        <v>0</v>
      </c>
    </row>
    <row r="1762" spans="1:20" x14ac:dyDescent="0.25">
      <c r="A1762" t="s">
        <v>7891</v>
      </c>
      <c r="B1762" s="1">
        <v>45883</v>
      </c>
      <c r="C1762" s="5">
        <v>0.67163194444444441</v>
      </c>
      <c r="D1762">
        <v>94.29</v>
      </c>
      <c r="E1762" t="s">
        <v>44</v>
      </c>
      <c r="F1762" t="s">
        <v>5824</v>
      </c>
      <c r="G1762" t="s">
        <v>57</v>
      </c>
      <c r="H1762" t="s">
        <v>248</v>
      </c>
      <c r="I1762" t="s">
        <v>7892</v>
      </c>
      <c r="J1762">
        <v>42</v>
      </c>
      <c r="K1762" t="s">
        <v>25</v>
      </c>
      <c r="L1762" t="s">
        <v>119</v>
      </c>
      <c r="M1762" t="s">
        <v>112</v>
      </c>
      <c r="P1762" t="s">
        <v>28</v>
      </c>
      <c r="Q1762" t="s">
        <v>7893</v>
      </c>
      <c r="R1762" t="s">
        <v>7894</v>
      </c>
      <c r="S1762" t="s">
        <v>31</v>
      </c>
      <c r="T1762">
        <v>0</v>
      </c>
    </row>
    <row r="1763" spans="1:20" x14ac:dyDescent="0.25">
      <c r="A1763" t="s">
        <v>7895</v>
      </c>
      <c r="B1763" s="1">
        <v>45843</v>
      </c>
      <c r="C1763" s="5">
        <v>0.97192129629629631</v>
      </c>
      <c r="D1763">
        <v>57.85</v>
      </c>
      <c r="E1763" t="s">
        <v>44</v>
      </c>
      <c r="F1763" t="s">
        <v>683</v>
      </c>
      <c r="G1763" t="s">
        <v>124</v>
      </c>
      <c r="H1763" t="s">
        <v>38</v>
      </c>
      <c r="I1763" t="s">
        <v>7896</v>
      </c>
      <c r="J1763">
        <v>61</v>
      </c>
      <c r="K1763" t="s">
        <v>37</v>
      </c>
      <c r="L1763" t="s">
        <v>119</v>
      </c>
      <c r="M1763" t="s">
        <v>84</v>
      </c>
      <c r="P1763" t="s">
        <v>28</v>
      </c>
      <c r="Q1763" t="s">
        <v>7897</v>
      </c>
      <c r="R1763" t="s">
        <v>7898</v>
      </c>
      <c r="S1763" t="s">
        <v>31</v>
      </c>
      <c r="T1763">
        <v>0</v>
      </c>
    </row>
    <row r="1764" spans="1:20" x14ac:dyDescent="0.25">
      <c r="A1764" t="s">
        <v>7899</v>
      </c>
      <c r="B1764" s="1">
        <v>45783</v>
      </c>
      <c r="C1764" s="5">
        <v>0.5095601851851852</v>
      </c>
      <c r="D1764">
        <v>121.04</v>
      </c>
      <c r="E1764" t="s">
        <v>44</v>
      </c>
      <c r="F1764" t="s">
        <v>4622</v>
      </c>
      <c r="G1764" t="s">
        <v>46</v>
      </c>
      <c r="H1764" t="s">
        <v>26</v>
      </c>
      <c r="I1764" t="s">
        <v>7900</v>
      </c>
      <c r="J1764">
        <v>68</v>
      </c>
      <c r="K1764" t="s">
        <v>25</v>
      </c>
      <c r="L1764" t="s">
        <v>26</v>
      </c>
      <c r="M1764" t="s">
        <v>39</v>
      </c>
      <c r="P1764" t="s">
        <v>113</v>
      </c>
      <c r="Q1764" t="s">
        <v>7901</v>
      </c>
      <c r="R1764" t="s">
        <v>7902</v>
      </c>
      <c r="S1764" t="s">
        <v>31</v>
      </c>
      <c r="T1764">
        <v>0</v>
      </c>
    </row>
    <row r="1765" spans="1:20" x14ac:dyDescent="0.25">
      <c r="A1765" t="s">
        <v>7903</v>
      </c>
      <c r="B1765" s="1">
        <v>45889</v>
      </c>
      <c r="C1765" s="5">
        <v>0.85187500000000005</v>
      </c>
      <c r="D1765">
        <v>592.07000000000005</v>
      </c>
      <c r="E1765" t="s">
        <v>44</v>
      </c>
      <c r="F1765" t="s">
        <v>3128</v>
      </c>
      <c r="G1765" t="s">
        <v>71</v>
      </c>
      <c r="H1765" t="s">
        <v>110</v>
      </c>
      <c r="I1765" t="s">
        <v>7904</v>
      </c>
      <c r="J1765">
        <v>48</v>
      </c>
      <c r="K1765" t="s">
        <v>25</v>
      </c>
      <c r="L1765" t="s">
        <v>23</v>
      </c>
      <c r="M1765" t="s">
        <v>39</v>
      </c>
      <c r="P1765" t="s">
        <v>28</v>
      </c>
      <c r="Q1765" t="s">
        <v>7905</v>
      </c>
      <c r="R1765" t="s">
        <v>7906</v>
      </c>
      <c r="S1765" t="s">
        <v>31</v>
      </c>
      <c r="T1765">
        <v>0</v>
      </c>
    </row>
    <row r="1766" spans="1:20" x14ac:dyDescent="0.25">
      <c r="A1766" t="s">
        <v>7907</v>
      </c>
      <c r="B1766" s="1">
        <v>45921</v>
      </c>
      <c r="C1766" s="5">
        <v>0.93440972222222218</v>
      </c>
      <c r="D1766">
        <v>0</v>
      </c>
      <c r="E1766" t="s">
        <v>44</v>
      </c>
      <c r="F1766" t="s">
        <v>7908</v>
      </c>
      <c r="G1766" t="s">
        <v>89</v>
      </c>
      <c r="H1766" t="s">
        <v>58</v>
      </c>
      <c r="I1766" t="s">
        <v>7909</v>
      </c>
      <c r="J1766">
        <v>56</v>
      </c>
      <c r="K1766" t="s">
        <v>25</v>
      </c>
      <c r="L1766" t="s">
        <v>23</v>
      </c>
      <c r="M1766" t="s">
        <v>39</v>
      </c>
      <c r="P1766" t="s">
        <v>28</v>
      </c>
      <c r="Q1766" t="s">
        <v>7910</v>
      </c>
      <c r="R1766" t="s">
        <v>7911</v>
      </c>
      <c r="S1766" t="s">
        <v>42</v>
      </c>
      <c r="T1766">
        <v>0</v>
      </c>
    </row>
    <row r="1767" spans="1:20" x14ac:dyDescent="0.25">
      <c r="A1767" t="s">
        <v>7912</v>
      </c>
      <c r="B1767" s="1">
        <v>45864</v>
      </c>
      <c r="C1767" s="5">
        <v>0.39145833333333335</v>
      </c>
      <c r="D1767">
        <v>91.54</v>
      </c>
      <c r="E1767" t="s">
        <v>44</v>
      </c>
      <c r="F1767" t="s">
        <v>4081</v>
      </c>
      <c r="G1767" t="s">
        <v>71</v>
      </c>
      <c r="H1767" t="s">
        <v>26</v>
      </c>
      <c r="I1767" t="s">
        <v>7913</v>
      </c>
      <c r="J1767">
        <v>66</v>
      </c>
      <c r="K1767" t="s">
        <v>49</v>
      </c>
      <c r="L1767" t="s">
        <v>130</v>
      </c>
      <c r="M1767" t="s">
        <v>84</v>
      </c>
      <c r="P1767" t="s">
        <v>28</v>
      </c>
      <c r="Q1767" t="s">
        <v>7914</v>
      </c>
      <c r="R1767" t="s">
        <v>7915</v>
      </c>
      <c r="S1767" t="s">
        <v>101</v>
      </c>
      <c r="T1767">
        <v>0</v>
      </c>
    </row>
    <row r="1768" spans="1:20" x14ac:dyDescent="0.25">
      <c r="A1768" t="s">
        <v>7916</v>
      </c>
      <c r="B1768" s="1">
        <v>45784</v>
      </c>
      <c r="C1768" s="5">
        <v>0.29321759259259261</v>
      </c>
      <c r="D1768">
        <v>2.91</v>
      </c>
      <c r="E1768" t="s">
        <v>44</v>
      </c>
      <c r="F1768" t="s">
        <v>7917</v>
      </c>
      <c r="G1768" t="s">
        <v>46</v>
      </c>
      <c r="H1768" t="s">
        <v>110</v>
      </c>
      <c r="I1768" t="s">
        <v>7918</v>
      </c>
      <c r="J1768">
        <v>63</v>
      </c>
      <c r="K1768" t="s">
        <v>49</v>
      </c>
      <c r="L1768" t="s">
        <v>23</v>
      </c>
      <c r="M1768" t="s">
        <v>84</v>
      </c>
      <c r="P1768" t="s">
        <v>28</v>
      </c>
      <c r="Q1768" t="s">
        <v>7919</v>
      </c>
      <c r="R1768" t="s">
        <v>7920</v>
      </c>
      <c r="S1768" t="s">
        <v>31</v>
      </c>
      <c r="T1768">
        <v>0</v>
      </c>
    </row>
    <row r="1769" spans="1:20" x14ac:dyDescent="0.25">
      <c r="A1769" t="s">
        <v>7921</v>
      </c>
      <c r="B1769" s="1">
        <v>45946</v>
      </c>
      <c r="C1769" s="5">
        <v>0.11113425925925927</v>
      </c>
      <c r="D1769">
        <v>174.6</v>
      </c>
      <c r="E1769" t="s">
        <v>44</v>
      </c>
      <c r="F1769" t="s">
        <v>2927</v>
      </c>
      <c r="G1769" t="s">
        <v>46</v>
      </c>
      <c r="H1769" t="s">
        <v>130</v>
      </c>
      <c r="I1769" t="s">
        <v>7922</v>
      </c>
      <c r="J1769">
        <v>56</v>
      </c>
      <c r="K1769" t="s">
        <v>25</v>
      </c>
      <c r="L1769" t="s">
        <v>248</v>
      </c>
      <c r="M1769" t="s">
        <v>84</v>
      </c>
      <c r="P1769" t="s">
        <v>28</v>
      </c>
      <c r="Q1769" t="s">
        <v>7923</v>
      </c>
      <c r="R1769" t="s">
        <v>7924</v>
      </c>
      <c r="S1769" t="s">
        <v>31</v>
      </c>
      <c r="T1769">
        <v>0</v>
      </c>
    </row>
    <row r="1770" spans="1:20" x14ac:dyDescent="0.25">
      <c r="A1770" t="s">
        <v>7925</v>
      </c>
      <c r="B1770" s="1">
        <v>45944</v>
      </c>
      <c r="C1770" s="5">
        <v>0.71329861111111115</v>
      </c>
      <c r="D1770">
        <v>65.069999999999993</v>
      </c>
      <c r="E1770" t="s">
        <v>44</v>
      </c>
      <c r="F1770" t="s">
        <v>7581</v>
      </c>
      <c r="G1770" t="s">
        <v>57</v>
      </c>
      <c r="H1770" t="s">
        <v>50</v>
      </c>
      <c r="I1770" t="s">
        <v>7926</v>
      </c>
      <c r="J1770">
        <v>27</v>
      </c>
      <c r="K1770" t="s">
        <v>37</v>
      </c>
      <c r="L1770" t="s">
        <v>50</v>
      </c>
      <c r="M1770" t="s">
        <v>39</v>
      </c>
      <c r="P1770" t="s">
        <v>113</v>
      </c>
      <c r="Q1770" t="s">
        <v>7927</v>
      </c>
      <c r="R1770" t="s">
        <v>7928</v>
      </c>
      <c r="S1770" t="s">
        <v>31</v>
      </c>
      <c r="T1770">
        <v>0</v>
      </c>
    </row>
    <row r="1771" spans="1:20" x14ac:dyDescent="0.25">
      <c r="A1771" t="s">
        <v>7929</v>
      </c>
      <c r="B1771" s="1">
        <v>45935</v>
      </c>
      <c r="C1771" s="5">
        <v>0.85201388888888885</v>
      </c>
      <c r="D1771">
        <v>117.16</v>
      </c>
      <c r="E1771" t="s">
        <v>44</v>
      </c>
      <c r="F1771" t="s">
        <v>2556</v>
      </c>
      <c r="G1771" t="s">
        <v>124</v>
      </c>
      <c r="H1771" t="s">
        <v>146</v>
      </c>
      <c r="I1771" t="s">
        <v>7930</v>
      </c>
      <c r="J1771">
        <v>25</v>
      </c>
      <c r="K1771" t="s">
        <v>25</v>
      </c>
      <c r="L1771" t="s">
        <v>38</v>
      </c>
      <c r="M1771" t="s">
        <v>84</v>
      </c>
      <c r="P1771" t="s">
        <v>28</v>
      </c>
      <c r="Q1771" t="s">
        <v>7931</v>
      </c>
      <c r="R1771" t="s">
        <v>7932</v>
      </c>
      <c r="S1771" t="s">
        <v>31</v>
      </c>
      <c r="T1771">
        <v>0</v>
      </c>
    </row>
    <row r="1772" spans="1:20" x14ac:dyDescent="0.25">
      <c r="A1772" t="s">
        <v>7933</v>
      </c>
      <c r="B1772" s="1">
        <v>45957</v>
      </c>
      <c r="C1772" s="5">
        <v>0.78317129629629634</v>
      </c>
      <c r="D1772">
        <v>34.68</v>
      </c>
      <c r="E1772" t="s">
        <v>44</v>
      </c>
      <c r="F1772" t="s">
        <v>1063</v>
      </c>
      <c r="G1772" t="s">
        <v>77</v>
      </c>
      <c r="H1772" t="s">
        <v>35</v>
      </c>
      <c r="I1772" t="s">
        <v>7934</v>
      </c>
      <c r="J1772">
        <v>62</v>
      </c>
      <c r="K1772" t="s">
        <v>37</v>
      </c>
      <c r="L1772" t="s">
        <v>248</v>
      </c>
      <c r="M1772" t="s">
        <v>39</v>
      </c>
      <c r="P1772" t="s">
        <v>28</v>
      </c>
      <c r="Q1772" t="s">
        <v>7935</v>
      </c>
      <c r="R1772" t="s">
        <v>7936</v>
      </c>
      <c r="S1772" t="s">
        <v>31</v>
      </c>
      <c r="T1772">
        <v>0</v>
      </c>
    </row>
    <row r="1773" spans="1:20" x14ac:dyDescent="0.25">
      <c r="A1773" t="s">
        <v>7937</v>
      </c>
      <c r="B1773" s="1">
        <v>45889</v>
      </c>
      <c r="C1773" s="5">
        <v>0.97312500000000002</v>
      </c>
      <c r="D1773">
        <v>82.97</v>
      </c>
      <c r="E1773" t="s">
        <v>44</v>
      </c>
      <c r="F1773" t="s">
        <v>364</v>
      </c>
      <c r="G1773" t="s">
        <v>77</v>
      </c>
      <c r="H1773" t="s">
        <v>146</v>
      </c>
      <c r="I1773" t="s">
        <v>7938</v>
      </c>
      <c r="J1773">
        <v>66</v>
      </c>
      <c r="K1773" t="s">
        <v>25</v>
      </c>
      <c r="L1773" t="s">
        <v>38</v>
      </c>
      <c r="M1773" t="s">
        <v>27</v>
      </c>
      <c r="P1773" t="s">
        <v>28</v>
      </c>
      <c r="Q1773" t="s">
        <v>7939</v>
      </c>
      <c r="R1773" t="s">
        <v>7940</v>
      </c>
      <c r="S1773" t="s">
        <v>31</v>
      </c>
      <c r="T1773">
        <v>0</v>
      </c>
    </row>
    <row r="1774" spans="1:20" x14ac:dyDescent="0.25">
      <c r="A1774" t="s">
        <v>7941</v>
      </c>
      <c r="B1774" s="1">
        <v>45888</v>
      </c>
      <c r="C1774" s="5">
        <v>0.74873842592592588</v>
      </c>
      <c r="D1774">
        <v>134.37</v>
      </c>
      <c r="E1774" t="s">
        <v>44</v>
      </c>
      <c r="F1774" t="s">
        <v>531</v>
      </c>
      <c r="G1774" t="s">
        <v>89</v>
      </c>
      <c r="H1774" t="s">
        <v>50</v>
      </c>
      <c r="I1774" t="s">
        <v>7942</v>
      </c>
      <c r="J1774">
        <v>62</v>
      </c>
      <c r="K1774" t="s">
        <v>49</v>
      </c>
      <c r="L1774" t="s">
        <v>248</v>
      </c>
      <c r="M1774" t="s">
        <v>84</v>
      </c>
      <c r="P1774" t="s">
        <v>28</v>
      </c>
      <c r="Q1774" t="s">
        <v>7943</v>
      </c>
      <c r="R1774" t="s">
        <v>7944</v>
      </c>
      <c r="S1774" t="s">
        <v>31</v>
      </c>
      <c r="T1774">
        <v>0</v>
      </c>
    </row>
    <row r="1775" spans="1:20" x14ac:dyDescent="0.25">
      <c r="A1775" t="s">
        <v>7945</v>
      </c>
      <c r="B1775" s="1">
        <v>45817</v>
      </c>
      <c r="C1775" s="5">
        <v>0.92552083333333335</v>
      </c>
      <c r="D1775">
        <v>184.77</v>
      </c>
      <c r="E1775" t="s">
        <v>44</v>
      </c>
      <c r="F1775" t="s">
        <v>3807</v>
      </c>
      <c r="G1775" t="s">
        <v>57</v>
      </c>
      <c r="H1775" t="s">
        <v>23</v>
      </c>
      <c r="I1775" t="s">
        <v>7946</v>
      </c>
      <c r="J1775">
        <v>51</v>
      </c>
      <c r="K1775" t="s">
        <v>37</v>
      </c>
      <c r="L1775" t="s">
        <v>38</v>
      </c>
      <c r="M1775" t="s">
        <v>51</v>
      </c>
      <c r="N1775" t="s">
        <v>345</v>
      </c>
      <c r="O1775">
        <v>470310</v>
      </c>
      <c r="P1775" t="s">
        <v>28</v>
      </c>
      <c r="Q1775" t="s">
        <v>7947</v>
      </c>
      <c r="R1775" t="s">
        <v>7948</v>
      </c>
      <c r="S1775" t="s">
        <v>31</v>
      </c>
      <c r="T1775">
        <v>0</v>
      </c>
    </row>
    <row r="1776" spans="1:20" x14ac:dyDescent="0.25">
      <c r="A1776" t="s">
        <v>7949</v>
      </c>
      <c r="B1776" s="1">
        <v>45849</v>
      </c>
      <c r="C1776" s="5">
        <v>0.32711805555555556</v>
      </c>
      <c r="D1776">
        <v>102.01</v>
      </c>
      <c r="E1776" t="s">
        <v>44</v>
      </c>
      <c r="F1776" t="s">
        <v>4648</v>
      </c>
      <c r="G1776" t="s">
        <v>124</v>
      </c>
      <c r="H1776" t="s">
        <v>58</v>
      </c>
      <c r="I1776" t="s">
        <v>7950</v>
      </c>
      <c r="J1776">
        <v>23</v>
      </c>
      <c r="K1776" t="s">
        <v>49</v>
      </c>
      <c r="L1776" t="s">
        <v>50</v>
      </c>
      <c r="M1776" t="s">
        <v>84</v>
      </c>
      <c r="P1776" t="s">
        <v>28</v>
      </c>
      <c r="Q1776" t="s">
        <v>7951</v>
      </c>
      <c r="R1776" t="s">
        <v>7952</v>
      </c>
      <c r="S1776" t="s">
        <v>31</v>
      </c>
      <c r="T1776">
        <v>0</v>
      </c>
    </row>
    <row r="1777" spans="1:20" x14ac:dyDescent="0.25">
      <c r="A1777" t="s">
        <v>7953</v>
      </c>
      <c r="B1777" s="1">
        <v>45783</v>
      </c>
      <c r="C1777" s="5">
        <v>0.18467592592592594</v>
      </c>
      <c r="D1777">
        <v>60.56</v>
      </c>
      <c r="E1777" t="s">
        <v>44</v>
      </c>
      <c r="F1777" t="s">
        <v>2472</v>
      </c>
      <c r="G1777" t="s">
        <v>46</v>
      </c>
      <c r="H1777" t="s">
        <v>38</v>
      </c>
      <c r="I1777" t="s">
        <v>7954</v>
      </c>
      <c r="J1777">
        <v>62</v>
      </c>
      <c r="K1777" t="s">
        <v>37</v>
      </c>
      <c r="L1777" t="s">
        <v>130</v>
      </c>
      <c r="M1777" t="s">
        <v>105</v>
      </c>
      <c r="P1777" t="s">
        <v>28</v>
      </c>
      <c r="Q1777" t="s">
        <v>7955</v>
      </c>
      <c r="R1777" t="s">
        <v>7956</v>
      </c>
      <c r="S1777" t="s">
        <v>31</v>
      </c>
      <c r="T1777">
        <v>0</v>
      </c>
    </row>
    <row r="1778" spans="1:20" x14ac:dyDescent="0.25">
      <c r="A1778" t="s">
        <v>7957</v>
      </c>
      <c r="B1778" s="1">
        <v>45807</v>
      </c>
      <c r="C1778" s="5">
        <v>0.17770833333333333</v>
      </c>
      <c r="D1778">
        <v>127.91</v>
      </c>
      <c r="E1778" t="s">
        <v>44</v>
      </c>
      <c r="F1778" t="s">
        <v>663</v>
      </c>
      <c r="G1778" t="s">
        <v>124</v>
      </c>
      <c r="H1778" t="s">
        <v>248</v>
      </c>
      <c r="I1778" t="s">
        <v>4711</v>
      </c>
      <c r="J1778">
        <v>34</v>
      </c>
      <c r="K1778" t="s">
        <v>49</v>
      </c>
      <c r="L1778" t="s">
        <v>248</v>
      </c>
      <c r="M1778" t="s">
        <v>39</v>
      </c>
      <c r="P1778" t="s">
        <v>113</v>
      </c>
      <c r="Q1778" t="s">
        <v>7958</v>
      </c>
      <c r="R1778" t="s">
        <v>7959</v>
      </c>
      <c r="S1778" t="s">
        <v>31</v>
      </c>
      <c r="T1778">
        <v>0</v>
      </c>
    </row>
    <row r="1779" spans="1:20" x14ac:dyDescent="0.25">
      <c r="A1779" t="s">
        <v>7960</v>
      </c>
      <c r="B1779" s="1">
        <v>45898</v>
      </c>
      <c r="C1779" s="5">
        <v>0.18204861111111112</v>
      </c>
      <c r="D1779">
        <v>276.87</v>
      </c>
      <c r="E1779" t="s">
        <v>44</v>
      </c>
      <c r="F1779" t="s">
        <v>693</v>
      </c>
      <c r="G1779" t="s">
        <v>46</v>
      </c>
      <c r="H1779" t="s">
        <v>97</v>
      </c>
      <c r="I1779" t="s">
        <v>7961</v>
      </c>
      <c r="J1779">
        <v>66</v>
      </c>
      <c r="K1779" t="s">
        <v>37</v>
      </c>
      <c r="L1779" t="s">
        <v>119</v>
      </c>
      <c r="M1779" t="s">
        <v>84</v>
      </c>
      <c r="P1779" t="s">
        <v>28</v>
      </c>
      <c r="Q1779" t="s">
        <v>7962</v>
      </c>
      <c r="R1779" t="s">
        <v>7963</v>
      </c>
      <c r="S1779" t="s">
        <v>31</v>
      </c>
      <c r="T1779">
        <v>0</v>
      </c>
    </row>
    <row r="1780" spans="1:20" x14ac:dyDescent="0.25">
      <c r="A1780" t="s">
        <v>7964</v>
      </c>
      <c r="B1780" s="1">
        <v>45909</v>
      </c>
      <c r="C1780" s="5">
        <v>0.53746527777777775</v>
      </c>
      <c r="D1780">
        <v>4781.71</v>
      </c>
      <c r="E1780" t="s">
        <v>44</v>
      </c>
      <c r="F1780" t="s">
        <v>7965</v>
      </c>
      <c r="G1780" t="s">
        <v>89</v>
      </c>
      <c r="H1780" t="s">
        <v>23</v>
      </c>
      <c r="I1780" t="s">
        <v>7966</v>
      </c>
      <c r="J1780">
        <v>41</v>
      </c>
      <c r="K1780" t="s">
        <v>49</v>
      </c>
      <c r="L1780" t="s">
        <v>26</v>
      </c>
      <c r="M1780" t="s">
        <v>105</v>
      </c>
      <c r="P1780" t="s">
        <v>28</v>
      </c>
      <c r="Q1780" t="s">
        <v>7967</v>
      </c>
      <c r="R1780" t="s">
        <v>7968</v>
      </c>
      <c r="S1780" t="s">
        <v>31</v>
      </c>
      <c r="T1780">
        <v>1</v>
      </c>
    </row>
    <row r="1781" spans="1:20" x14ac:dyDescent="0.25">
      <c r="A1781" t="s">
        <v>7969</v>
      </c>
      <c r="B1781" s="1">
        <v>45810</v>
      </c>
      <c r="C1781" s="5">
        <v>0.23729166666666668</v>
      </c>
      <c r="D1781">
        <v>978.69</v>
      </c>
      <c r="E1781" t="s">
        <v>44</v>
      </c>
      <c r="F1781" t="s">
        <v>5178</v>
      </c>
      <c r="G1781" t="s">
        <v>46</v>
      </c>
      <c r="H1781" t="s">
        <v>91</v>
      </c>
      <c r="I1781" t="s">
        <v>7970</v>
      </c>
      <c r="J1781">
        <v>24</v>
      </c>
      <c r="K1781" t="s">
        <v>49</v>
      </c>
      <c r="L1781" t="s">
        <v>47</v>
      </c>
      <c r="M1781" t="s">
        <v>84</v>
      </c>
      <c r="P1781" t="s">
        <v>28</v>
      </c>
      <c r="Q1781" t="s">
        <v>7971</v>
      </c>
      <c r="R1781" t="s">
        <v>7972</v>
      </c>
      <c r="S1781" t="s">
        <v>31</v>
      </c>
      <c r="T1781">
        <v>0</v>
      </c>
    </row>
    <row r="1782" spans="1:20" x14ac:dyDescent="0.25">
      <c r="A1782" t="s">
        <v>7973</v>
      </c>
      <c r="B1782" s="1">
        <v>45857</v>
      </c>
      <c r="C1782" s="5">
        <v>0.69901620370370365</v>
      </c>
      <c r="D1782">
        <v>47.15</v>
      </c>
      <c r="E1782" t="s">
        <v>44</v>
      </c>
      <c r="F1782" t="s">
        <v>272</v>
      </c>
      <c r="G1782" t="s">
        <v>77</v>
      </c>
      <c r="H1782" t="s">
        <v>35</v>
      </c>
      <c r="I1782" t="s">
        <v>7974</v>
      </c>
      <c r="J1782">
        <v>18</v>
      </c>
      <c r="K1782" t="s">
        <v>49</v>
      </c>
      <c r="L1782" t="s">
        <v>26</v>
      </c>
      <c r="M1782" t="s">
        <v>39</v>
      </c>
      <c r="P1782" t="s">
        <v>28</v>
      </c>
      <c r="Q1782" t="s">
        <v>7975</v>
      </c>
      <c r="R1782" t="s">
        <v>7976</v>
      </c>
      <c r="S1782" t="s">
        <v>31</v>
      </c>
      <c r="T1782">
        <v>0</v>
      </c>
    </row>
    <row r="1783" spans="1:20" x14ac:dyDescent="0.25">
      <c r="A1783" t="s">
        <v>7977</v>
      </c>
      <c r="B1783" s="1">
        <v>45860</v>
      </c>
      <c r="C1783" s="5">
        <v>3.3460648148148149E-2</v>
      </c>
      <c r="D1783">
        <v>1129.49</v>
      </c>
      <c r="E1783" t="s">
        <v>44</v>
      </c>
      <c r="F1783" t="s">
        <v>1451</v>
      </c>
      <c r="G1783" t="s">
        <v>96</v>
      </c>
      <c r="H1783" t="s">
        <v>50</v>
      </c>
      <c r="I1783" t="s">
        <v>7978</v>
      </c>
      <c r="J1783">
        <v>63</v>
      </c>
      <c r="K1783" t="s">
        <v>49</v>
      </c>
      <c r="L1783" t="s">
        <v>23</v>
      </c>
      <c r="M1783" t="s">
        <v>84</v>
      </c>
      <c r="P1783" t="s">
        <v>28</v>
      </c>
      <c r="Q1783" t="s">
        <v>7979</v>
      </c>
      <c r="R1783" t="s">
        <v>7980</v>
      </c>
      <c r="S1783" t="s">
        <v>31</v>
      </c>
      <c r="T1783">
        <v>0</v>
      </c>
    </row>
    <row r="1784" spans="1:20" x14ac:dyDescent="0.25">
      <c r="A1784" t="s">
        <v>7981</v>
      </c>
      <c r="B1784" s="1">
        <v>45931</v>
      </c>
      <c r="C1784" s="5">
        <v>0.81903935185185184</v>
      </c>
      <c r="D1784">
        <v>132.29</v>
      </c>
      <c r="E1784" t="s">
        <v>44</v>
      </c>
      <c r="F1784" t="s">
        <v>5295</v>
      </c>
      <c r="G1784" t="s">
        <v>57</v>
      </c>
      <c r="H1784" t="s">
        <v>47</v>
      </c>
      <c r="I1784" t="s">
        <v>7982</v>
      </c>
      <c r="J1784">
        <v>30</v>
      </c>
      <c r="K1784" t="s">
        <v>49</v>
      </c>
      <c r="L1784" t="s">
        <v>35</v>
      </c>
      <c r="M1784" t="s">
        <v>105</v>
      </c>
      <c r="P1784" t="s">
        <v>28</v>
      </c>
      <c r="Q1784" t="s">
        <v>7983</v>
      </c>
      <c r="R1784" t="s">
        <v>7984</v>
      </c>
      <c r="S1784" t="s">
        <v>31</v>
      </c>
      <c r="T1784">
        <v>0</v>
      </c>
    </row>
    <row r="1785" spans="1:20" x14ac:dyDescent="0.25">
      <c r="A1785" t="s">
        <v>7985</v>
      </c>
      <c r="B1785" s="1">
        <v>45921</v>
      </c>
      <c r="C1785" s="5">
        <v>0.74435185185185182</v>
      </c>
      <c r="D1785">
        <v>907.55</v>
      </c>
      <c r="E1785" t="s">
        <v>44</v>
      </c>
      <c r="F1785" t="s">
        <v>5335</v>
      </c>
      <c r="G1785" t="s">
        <v>71</v>
      </c>
      <c r="H1785" t="s">
        <v>35</v>
      </c>
      <c r="I1785" t="s">
        <v>7986</v>
      </c>
      <c r="J1785">
        <v>74</v>
      </c>
      <c r="K1785" t="s">
        <v>49</v>
      </c>
      <c r="L1785" t="s">
        <v>58</v>
      </c>
      <c r="M1785" t="s">
        <v>27</v>
      </c>
      <c r="P1785" t="s">
        <v>28</v>
      </c>
      <c r="Q1785" t="s">
        <v>7987</v>
      </c>
      <c r="R1785" t="s">
        <v>7988</v>
      </c>
      <c r="S1785" t="s">
        <v>31</v>
      </c>
      <c r="T1785">
        <v>0</v>
      </c>
    </row>
    <row r="1786" spans="1:20" x14ac:dyDescent="0.25">
      <c r="A1786" t="s">
        <v>7989</v>
      </c>
      <c r="B1786" s="1">
        <v>45864</v>
      </c>
      <c r="C1786" s="5">
        <v>0.71125000000000005</v>
      </c>
      <c r="D1786">
        <v>193.59</v>
      </c>
      <c r="E1786" t="s">
        <v>44</v>
      </c>
      <c r="F1786" t="s">
        <v>3318</v>
      </c>
      <c r="G1786" t="s">
        <v>57</v>
      </c>
      <c r="H1786" t="s">
        <v>119</v>
      </c>
      <c r="I1786" t="s">
        <v>7990</v>
      </c>
      <c r="J1786">
        <v>21</v>
      </c>
      <c r="K1786" t="s">
        <v>25</v>
      </c>
      <c r="L1786" t="s">
        <v>35</v>
      </c>
      <c r="M1786" t="s">
        <v>39</v>
      </c>
      <c r="P1786" t="s">
        <v>28</v>
      </c>
      <c r="Q1786" t="s">
        <v>7991</v>
      </c>
      <c r="R1786" t="s">
        <v>7992</v>
      </c>
      <c r="S1786" t="s">
        <v>31</v>
      </c>
      <c r="T1786">
        <v>0</v>
      </c>
    </row>
    <row r="1787" spans="1:20" x14ac:dyDescent="0.25">
      <c r="A1787" t="s">
        <v>7993</v>
      </c>
      <c r="B1787" s="1">
        <v>45860</v>
      </c>
      <c r="C1787" s="5">
        <v>0.2978587962962963</v>
      </c>
      <c r="D1787">
        <v>63.26</v>
      </c>
      <c r="E1787" t="s">
        <v>44</v>
      </c>
      <c r="F1787" t="s">
        <v>4176</v>
      </c>
      <c r="G1787" t="s">
        <v>64</v>
      </c>
      <c r="H1787" t="s">
        <v>23</v>
      </c>
      <c r="I1787" t="s">
        <v>7994</v>
      </c>
      <c r="J1787">
        <v>54</v>
      </c>
      <c r="K1787" t="s">
        <v>37</v>
      </c>
      <c r="L1787" t="s">
        <v>38</v>
      </c>
      <c r="M1787" t="s">
        <v>39</v>
      </c>
      <c r="P1787" t="s">
        <v>28</v>
      </c>
      <c r="Q1787" t="s">
        <v>7995</v>
      </c>
      <c r="R1787" t="s">
        <v>7996</v>
      </c>
      <c r="S1787" t="s">
        <v>31</v>
      </c>
      <c r="T1787">
        <v>0</v>
      </c>
    </row>
    <row r="1788" spans="1:20" x14ac:dyDescent="0.25">
      <c r="A1788" t="s">
        <v>7997</v>
      </c>
      <c r="B1788" s="1">
        <v>45795</v>
      </c>
      <c r="C1788" s="5">
        <v>0.57512731481481483</v>
      </c>
      <c r="D1788">
        <v>33.659999999999997</v>
      </c>
      <c r="E1788" t="s">
        <v>44</v>
      </c>
      <c r="F1788" t="s">
        <v>1456</v>
      </c>
      <c r="G1788" t="s">
        <v>71</v>
      </c>
      <c r="H1788" t="s">
        <v>146</v>
      </c>
      <c r="I1788" t="s">
        <v>7998</v>
      </c>
      <c r="J1788">
        <v>52</v>
      </c>
      <c r="K1788" t="s">
        <v>37</v>
      </c>
      <c r="L1788" t="s">
        <v>23</v>
      </c>
      <c r="M1788" t="s">
        <v>39</v>
      </c>
      <c r="P1788" t="s">
        <v>28</v>
      </c>
      <c r="Q1788" t="s">
        <v>7999</v>
      </c>
      <c r="R1788" t="s">
        <v>8000</v>
      </c>
      <c r="S1788" t="s">
        <v>31</v>
      </c>
      <c r="T1788">
        <v>0</v>
      </c>
    </row>
    <row r="1789" spans="1:20" x14ac:dyDescent="0.25">
      <c r="A1789" t="s">
        <v>8001</v>
      </c>
      <c r="B1789" s="1">
        <v>45813</v>
      </c>
      <c r="C1789" s="5">
        <v>0.7732175925925926</v>
      </c>
      <c r="D1789">
        <v>148.11000000000001</v>
      </c>
      <c r="E1789" t="s">
        <v>44</v>
      </c>
      <c r="F1789" t="s">
        <v>8002</v>
      </c>
      <c r="G1789" t="s">
        <v>46</v>
      </c>
      <c r="H1789" t="s">
        <v>47</v>
      </c>
      <c r="I1789" t="s">
        <v>8003</v>
      </c>
      <c r="J1789">
        <v>73</v>
      </c>
      <c r="K1789" t="s">
        <v>49</v>
      </c>
      <c r="L1789" t="s">
        <v>119</v>
      </c>
      <c r="M1789" t="s">
        <v>105</v>
      </c>
      <c r="P1789" t="s">
        <v>28</v>
      </c>
      <c r="Q1789" t="s">
        <v>8004</v>
      </c>
      <c r="R1789" t="s">
        <v>8005</v>
      </c>
      <c r="S1789" t="s">
        <v>31</v>
      </c>
      <c r="T1789">
        <v>0</v>
      </c>
    </row>
    <row r="1790" spans="1:20" x14ac:dyDescent="0.25">
      <c r="A1790" t="s">
        <v>8006</v>
      </c>
      <c r="B1790" s="1">
        <v>45811</v>
      </c>
      <c r="C1790" s="5">
        <v>0.4425115740740741</v>
      </c>
      <c r="D1790">
        <v>192.35</v>
      </c>
      <c r="E1790" t="s">
        <v>44</v>
      </c>
      <c r="F1790" t="s">
        <v>810</v>
      </c>
      <c r="G1790" t="s">
        <v>22</v>
      </c>
      <c r="H1790" t="s">
        <v>35</v>
      </c>
      <c r="I1790" t="s">
        <v>8007</v>
      </c>
      <c r="J1790">
        <v>62</v>
      </c>
      <c r="K1790" t="s">
        <v>25</v>
      </c>
      <c r="L1790" t="s">
        <v>38</v>
      </c>
      <c r="M1790" t="s">
        <v>27</v>
      </c>
      <c r="P1790" t="s">
        <v>28</v>
      </c>
      <c r="Q1790" t="s">
        <v>8008</v>
      </c>
      <c r="R1790" t="s">
        <v>8009</v>
      </c>
      <c r="S1790" t="s">
        <v>31</v>
      </c>
      <c r="T1790">
        <v>0</v>
      </c>
    </row>
    <row r="1791" spans="1:20" x14ac:dyDescent="0.25">
      <c r="A1791" t="s">
        <v>8010</v>
      </c>
      <c r="B1791" s="1">
        <v>45912</v>
      </c>
      <c r="C1791" s="5">
        <v>0.45781250000000001</v>
      </c>
      <c r="D1791">
        <v>144.44</v>
      </c>
      <c r="E1791" t="s">
        <v>44</v>
      </c>
      <c r="F1791" t="s">
        <v>763</v>
      </c>
      <c r="G1791" t="s">
        <v>22</v>
      </c>
      <c r="H1791" t="s">
        <v>248</v>
      </c>
      <c r="I1791" t="s">
        <v>8011</v>
      </c>
      <c r="J1791">
        <v>34</v>
      </c>
      <c r="K1791" t="s">
        <v>25</v>
      </c>
      <c r="L1791" t="s">
        <v>130</v>
      </c>
      <c r="M1791" t="s">
        <v>27</v>
      </c>
      <c r="P1791" t="s">
        <v>28</v>
      </c>
      <c r="Q1791" t="s">
        <v>8012</v>
      </c>
      <c r="R1791" t="s">
        <v>8013</v>
      </c>
      <c r="S1791" t="s">
        <v>31</v>
      </c>
      <c r="T1791">
        <v>0</v>
      </c>
    </row>
    <row r="1792" spans="1:20" x14ac:dyDescent="0.25">
      <c r="A1792" t="s">
        <v>8014</v>
      </c>
      <c r="B1792" s="1">
        <v>45855</v>
      </c>
      <c r="C1792" s="5">
        <v>0.24376157407407406</v>
      </c>
      <c r="D1792">
        <v>266.25</v>
      </c>
      <c r="E1792" t="s">
        <v>44</v>
      </c>
      <c r="F1792" t="s">
        <v>2335</v>
      </c>
      <c r="G1792" t="s">
        <v>22</v>
      </c>
      <c r="H1792" t="s">
        <v>66</v>
      </c>
      <c r="I1792" t="s">
        <v>8015</v>
      </c>
      <c r="J1792">
        <v>116</v>
      </c>
      <c r="K1792" t="s">
        <v>49</v>
      </c>
      <c r="L1792" t="s">
        <v>35</v>
      </c>
      <c r="M1792" t="s">
        <v>84</v>
      </c>
      <c r="P1792" t="s">
        <v>28</v>
      </c>
      <c r="Q1792" t="s">
        <v>8016</v>
      </c>
      <c r="R1792" t="s">
        <v>8017</v>
      </c>
      <c r="S1792" t="s">
        <v>31</v>
      </c>
      <c r="T1792">
        <v>0</v>
      </c>
    </row>
    <row r="1793" spans="1:20" x14ac:dyDescent="0.25">
      <c r="A1793" t="s">
        <v>8018</v>
      </c>
      <c r="B1793" s="1">
        <v>45850</v>
      </c>
      <c r="C1793" s="5">
        <v>9.3113425925925933E-2</v>
      </c>
      <c r="D1793">
        <v>172.77</v>
      </c>
      <c r="E1793" t="s">
        <v>44</v>
      </c>
      <c r="F1793" t="s">
        <v>2378</v>
      </c>
      <c r="G1793" t="s">
        <v>77</v>
      </c>
      <c r="H1793" t="s">
        <v>47</v>
      </c>
      <c r="I1793" t="s">
        <v>8019</v>
      </c>
      <c r="J1793">
        <v>45</v>
      </c>
      <c r="K1793" t="s">
        <v>49</v>
      </c>
      <c r="L1793" t="s">
        <v>91</v>
      </c>
      <c r="M1793" t="s">
        <v>84</v>
      </c>
      <c r="P1793" t="s">
        <v>28</v>
      </c>
      <c r="Q1793" t="s">
        <v>8020</v>
      </c>
      <c r="R1793" t="s">
        <v>8021</v>
      </c>
      <c r="S1793" t="s">
        <v>31</v>
      </c>
      <c r="T1793">
        <v>0</v>
      </c>
    </row>
    <row r="1794" spans="1:20" x14ac:dyDescent="0.25">
      <c r="A1794" t="s">
        <v>8022</v>
      </c>
      <c r="B1794" s="1">
        <v>45825</v>
      </c>
      <c r="C1794" s="5">
        <v>0.7732175925925926</v>
      </c>
      <c r="D1794">
        <v>76.400000000000006</v>
      </c>
      <c r="E1794" t="s">
        <v>44</v>
      </c>
      <c r="F1794" t="s">
        <v>8023</v>
      </c>
      <c r="G1794" t="s">
        <v>57</v>
      </c>
      <c r="H1794" t="s">
        <v>58</v>
      </c>
      <c r="I1794" t="s">
        <v>8024</v>
      </c>
      <c r="J1794">
        <v>47</v>
      </c>
      <c r="K1794" t="s">
        <v>49</v>
      </c>
      <c r="L1794" t="s">
        <v>91</v>
      </c>
      <c r="M1794" t="s">
        <v>27</v>
      </c>
      <c r="P1794" t="s">
        <v>28</v>
      </c>
      <c r="Q1794" t="s">
        <v>8025</v>
      </c>
      <c r="R1794" t="s">
        <v>8026</v>
      </c>
      <c r="S1794" t="s">
        <v>31</v>
      </c>
      <c r="T1794">
        <v>0</v>
      </c>
    </row>
    <row r="1795" spans="1:20" x14ac:dyDescent="0.25">
      <c r="A1795" t="s">
        <v>8027</v>
      </c>
      <c r="B1795" s="1">
        <v>45826</v>
      </c>
      <c r="C1795" s="5">
        <v>0.49896990740740743</v>
      </c>
      <c r="D1795">
        <v>189.21</v>
      </c>
      <c r="E1795" t="s">
        <v>44</v>
      </c>
      <c r="F1795" t="s">
        <v>2685</v>
      </c>
      <c r="G1795" t="s">
        <v>124</v>
      </c>
      <c r="H1795" t="s">
        <v>97</v>
      </c>
      <c r="I1795" t="s">
        <v>8028</v>
      </c>
      <c r="J1795">
        <v>10</v>
      </c>
      <c r="K1795" t="s">
        <v>37</v>
      </c>
      <c r="L1795" t="s">
        <v>66</v>
      </c>
      <c r="M1795" t="s">
        <v>51</v>
      </c>
      <c r="N1795" t="s">
        <v>507</v>
      </c>
      <c r="O1795">
        <v>432148</v>
      </c>
      <c r="P1795" t="s">
        <v>28</v>
      </c>
      <c r="Q1795" t="s">
        <v>8029</v>
      </c>
      <c r="R1795" t="s">
        <v>8030</v>
      </c>
      <c r="S1795" t="s">
        <v>31</v>
      </c>
      <c r="T1795">
        <v>0</v>
      </c>
    </row>
    <row r="1796" spans="1:20" x14ac:dyDescent="0.25">
      <c r="A1796" t="s">
        <v>8031</v>
      </c>
      <c r="B1796" s="1">
        <v>45938</v>
      </c>
      <c r="C1796" s="5">
        <v>0.7938425925925926</v>
      </c>
      <c r="D1796">
        <v>162.74</v>
      </c>
      <c r="E1796" t="s">
        <v>44</v>
      </c>
      <c r="F1796" t="s">
        <v>5183</v>
      </c>
      <c r="G1796" t="s">
        <v>64</v>
      </c>
      <c r="H1796" t="s">
        <v>119</v>
      </c>
      <c r="I1796" t="s">
        <v>8032</v>
      </c>
      <c r="J1796">
        <v>47</v>
      </c>
      <c r="K1796" t="s">
        <v>25</v>
      </c>
      <c r="L1796" t="s">
        <v>66</v>
      </c>
      <c r="M1796" t="s">
        <v>112</v>
      </c>
      <c r="P1796" t="s">
        <v>28</v>
      </c>
      <c r="Q1796" t="s">
        <v>8033</v>
      </c>
      <c r="R1796" t="s">
        <v>8034</v>
      </c>
      <c r="S1796" t="s">
        <v>31</v>
      </c>
      <c r="T1796">
        <v>0</v>
      </c>
    </row>
    <row r="1797" spans="1:20" x14ac:dyDescent="0.25">
      <c r="A1797" t="s">
        <v>8035</v>
      </c>
      <c r="B1797" s="1">
        <v>45886</v>
      </c>
      <c r="C1797" s="5">
        <v>0.47248842592592594</v>
      </c>
      <c r="D1797">
        <v>19.72</v>
      </c>
      <c r="E1797" t="s">
        <v>44</v>
      </c>
      <c r="F1797" t="s">
        <v>561</v>
      </c>
      <c r="G1797" t="s">
        <v>22</v>
      </c>
      <c r="H1797" t="s">
        <v>66</v>
      </c>
      <c r="I1797" t="s">
        <v>8036</v>
      </c>
      <c r="J1797">
        <v>75</v>
      </c>
      <c r="K1797" t="s">
        <v>37</v>
      </c>
      <c r="L1797" t="s">
        <v>58</v>
      </c>
      <c r="M1797" t="s">
        <v>51</v>
      </c>
      <c r="N1797" t="s">
        <v>52</v>
      </c>
      <c r="O1797">
        <v>536023</v>
      </c>
      <c r="P1797" t="s">
        <v>28</v>
      </c>
      <c r="Q1797" t="s">
        <v>8037</v>
      </c>
      <c r="R1797" t="s">
        <v>8038</v>
      </c>
      <c r="S1797" t="s">
        <v>31</v>
      </c>
      <c r="T1797">
        <v>0</v>
      </c>
    </row>
    <row r="1798" spans="1:20" x14ac:dyDescent="0.25">
      <c r="A1798" t="s">
        <v>8039</v>
      </c>
      <c r="B1798" s="1">
        <v>45785</v>
      </c>
      <c r="C1798" s="5">
        <v>0.55181712962962959</v>
      </c>
      <c r="D1798">
        <v>19.510000000000002</v>
      </c>
      <c r="E1798" t="s">
        <v>44</v>
      </c>
      <c r="F1798" t="s">
        <v>763</v>
      </c>
      <c r="G1798" t="s">
        <v>46</v>
      </c>
      <c r="H1798" t="s">
        <v>119</v>
      </c>
      <c r="I1798" t="s">
        <v>8040</v>
      </c>
      <c r="J1798">
        <v>50</v>
      </c>
      <c r="K1798" t="s">
        <v>25</v>
      </c>
      <c r="L1798" t="s">
        <v>38</v>
      </c>
      <c r="M1798" t="s">
        <v>39</v>
      </c>
      <c r="P1798" t="s">
        <v>28</v>
      </c>
      <c r="Q1798" t="s">
        <v>8041</v>
      </c>
      <c r="R1798" t="s">
        <v>8042</v>
      </c>
      <c r="S1798" t="s">
        <v>31</v>
      </c>
      <c r="T1798">
        <v>0</v>
      </c>
    </row>
    <row r="1799" spans="1:20" x14ac:dyDescent="0.25">
      <c r="A1799" t="s">
        <v>8043</v>
      </c>
      <c r="B1799" s="1">
        <v>45819</v>
      </c>
      <c r="C1799" s="5">
        <v>0.58901620370370367</v>
      </c>
      <c r="D1799">
        <v>31.5</v>
      </c>
      <c r="E1799" t="s">
        <v>44</v>
      </c>
      <c r="F1799" t="s">
        <v>7391</v>
      </c>
      <c r="G1799" t="s">
        <v>77</v>
      </c>
      <c r="H1799" t="s">
        <v>26</v>
      </c>
      <c r="I1799" t="s">
        <v>8044</v>
      </c>
      <c r="J1799">
        <v>23</v>
      </c>
      <c r="K1799" t="s">
        <v>25</v>
      </c>
      <c r="L1799" t="s">
        <v>97</v>
      </c>
      <c r="M1799" t="s">
        <v>105</v>
      </c>
      <c r="P1799" t="s">
        <v>28</v>
      </c>
      <c r="Q1799" t="s">
        <v>8045</v>
      </c>
      <c r="R1799" t="s">
        <v>8046</v>
      </c>
      <c r="S1799" t="s">
        <v>31</v>
      </c>
      <c r="T1799">
        <v>0</v>
      </c>
    </row>
    <row r="1800" spans="1:20" x14ac:dyDescent="0.25">
      <c r="A1800" t="s">
        <v>8047</v>
      </c>
      <c r="B1800" s="1">
        <v>45852</v>
      </c>
      <c r="C1800" s="5">
        <v>0.38653935185185184</v>
      </c>
      <c r="D1800">
        <v>680.16</v>
      </c>
      <c r="E1800" t="s">
        <v>44</v>
      </c>
      <c r="F1800" t="s">
        <v>4972</v>
      </c>
      <c r="G1800" t="s">
        <v>124</v>
      </c>
      <c r="H1800" t="s">
        <v>38</v>
      </c>
      <c r="I1800" t="s">
        <v>8048</v>
      </c>
      <c r="J1800">
        <v>71</v>
      </c>
      <c r="K1800" t="s">
        <v>49</v>
      </c>
      <c r="L1800" t="s">
        <v>35</v>
      </c>
      <c r="M1800" t="s">
        <v>39</v>
      </c>
      <c r="P1800" t="s">
        <v>28</v>
      </c>
      <c r="Q1800" t="s">
        <v>8049</v>
      </c>
      <c r="R1800" t="s">
        <v>8050</v>
      </c>
      <c r="S1800" t="s">
        <v>42</v>
      </c>
      <c r="T1800">
        <v>0</v>
      </c>
    </row>
    <row r="1801" spans="1:20" x14ac:dyDescent="0.25">
      <c r="A1801" t="s">
        <v>8051</v>
      </c>
      <c r="B1801" s="1">
        <v>45949</v>
      </c>
      <c r="C1801" s="5">
        <v>0.11934027777777778</v>
      </c>
      <c r="D1801">
        <v>72.52</v>
      </c>
      <c r="E1801" t="s">
        <v>44</v>
      </c>
      <c r="F1801" t="s">
        <v>849</v>
      </c>
      <c r="G1801" t="s">
        <v>57</v>
      </c>
      <c r="H1801" t="s">
        <v>110</v>
      </c>
      <c r="I1801" t="s">
        <v>8052</v>
      </c>
      <c r="K1801" t="s">
        <v>25</v>
      </c>
      <c r="L1801" t="s">
        <v>248</v>
      </c>
      <c r="M1801" t="s">
        <v>39</v>
      </c>
      <c r="P1801" t="s">
        <v>28</v>
      </c>
      <c r="Q1801" t="s">
        <v>8053</v>
      </c>
      <c r="R1801" t="s">
        <v>8054</v>
      </c>
      <c r="S1801" t="s">
        <v>31</v>
      </c>
      <c r="T1801">
        <v>0</v>
      </c>
    </row>
    <row r="1802" spans="1:20" x14ac:dyDescent="0.25">
      <c r="A1802" t="s">
        <v>8055</v>
      </c>
      <c r="B1802" s="1">
        <v>45816</v>
      </c>
      <c r="C1802" s="5">
        <v>0.95427083333333329</v>
      </c>
      <c r="D1802">
        <v>55.35</v>
      </c>
      <c r="E1802" t="s">
        <v>44</v>
      </c>
      <c r="F1802" t="s">
        <v>1804</v>
      </c>
      <c r="G1802" t="s">
        <v>71</v>
      </c>
      <c r="H1802" t="s">
        <v>130</v>
      </c>
      <c r="I1802" t="s">
        <v>8056</v>
      </c>
      <c r="J1802">
        <v>42</v>
      </c>
      <c r="K1802" t="s">
        <v>25</v>
      </c>
      <c r="L1802" t="s">
        <v>66</v>
      </c>
      <c r="M1802" t="s">
        <v>39</v>
      </c>
      <c r="P1802" t="s">
        <v>28</v>
      </c>
      <c r="Q1802" t="s">
        <v>8057</v>
      </c>
      <c r="R1802" t="s">
        <v>8058</v>
      </c>
      <c r="S1802" t="s">
        <v>31</v>
      </c>
      <c r="T1802">
        <v>1</v>
      </c>
    </row>
    <row r="1803" spans="1:20" x14ac:dyDescent="0.25">
      <c r="A1803" t="s">
        <v>8059</v>
      </c>
      <c r="B1803" s="1">
        <v>45860</v>
      </c>
      <c r="C1803" s="5">
        <v>0.29396990740740742</v>
      </c>
      <c r="D1803">
        <v>183.76</v>
      </c>
      <c r="E1803" t="s">
        <v>44</v>
      </c>
      <c r="F1803" t="s">
        <v>3553</v>
      </c>
      <c r="G1803" t="s">
        <v>46</v>
      </c>
      <c r="H1803" t="s">
        <v>38</v>
      </c>
      <c r="I1803" t="s">
        <v>8060</v>
      </c>
      <c r="J1803">
        <v>42</v>
      </c>
      <c r="K1803" t="s">
        <v>25</v>
      </c>
      <c r="L1803" t="s">
        <v>50</v>
      </c>
      <c r="M1803" t="s">
        <v>84</v>
      </c>
      <c r="P1803" t="s">
        <v>28</v>
      </c>
      <c r="Q1803" t="s">
        <v>8061</v>
      </c>
      <c r="R1803" t="s">
        <v>8062</v>
      </c>
      <c r="S1803" t="s">
        <v>31</v>
      </c>
      <c r="T1803">
        <v>0</v>
      </c>
    </row>
    <row r="1804" spans="1:20" x14ac:dyDescent="0.25">
      <c r="A1804" t="s">
        <v>8063</v>
      </c>
      <c r="B1804" s="1">
        <v>45865</v>
      </c>
      <c r="C1804" s="5">
        <v>9.256944444444444E-2</v>
      </c>
      <c r="D1804">
        <v>86.07</v>
      </c>
      <c r="E1804" t="s">
        <v>44</v>
      </c>
      <c r="F1804" t="s">
        <v>546</v>
      </c>
      <c r="G1804" t="s">
        <v>57</v>
      </c>
      <c r="H1804" t="s">
        <v>23</v>
      </c>
      <c r="I1804" t="s">
        <v>8064</v>
      </c>
      <c r="J1804">
        <v>64</v>
      </c>
      <c r="K1804" t="s">
        <v>25</v>
      </c>
      <c r="L1804" t="s">
        <v>97</v>
      </c>
      <c r="M1804" t="s">
        <v>51</v>
      </c>
      <c r="N1804" t="s">
        <v>507</v>
      </c>
      <c r="O1804">
        <v>526646</v>
      </c>
      <c r="P1804" t="s">
        <v>28</v>
      </c>
      <c r="Q1804" t="s">
        <v>8065</v>
      </c>
      <c r="R1804" t="s">
        <v>8066</v>
      </c>
      <c r="S1804" t="s">
        <v>42</v>
      </c>
      <c r="T1804">
        <v>1</v>
      </c>
    </row>
    <row r="1805" spans="1:20" x14ac:dyDescent="0.25">
      <c r="A1805" t="s">
        <v>8067</v>
      </c>
      <c r="B1805" s="1">
        <v>45936</v>
      </c>
      <c r="C1805" s="5">
        <v>0.58498842592592593</v>
      </c>
      <c r="D1805">
        <v>103.46</v>
      </c>
      <c r="E1805" t="s">
        <v>44</v>
      </c>
      <c r="F1805" t="s">
        <v>2354</v>
      </c>
      <c r="G1805" t="s">
        <v>124</v>
      </c>
      <c r="H1805" t="s">
        <v>146</v>
      </c>
      <c r="I1805" t="s">
        <v>8068</v>
      </c>
      <c r="J1805">
        <v>54</v>
      </c>
      <c r="K1805" t="s">
        <v>49</v>
      </c>
      <c r="L1805" t="s">
        <v>47</v>
      </c>
      <c r="M1805" t="s">
        <v>84</v>
      </c>
      <c r="P1805" t="s">
        <v>28</v>
      </c>
      <c r="Q1805" t="s">
        <v>8069</v>
      </c>
      <c r="R1805" t="s">
        <v>8070</v>
      </c>
      <c r="S1805" t="s">
        <v>31</v>
      </c>
      <c r="T1805">
        <v>0</v>
      </c>
    </row>
    <row r="1806" spans="1:20" x14ac:dyDescent="0.25">
      <c r="A1806" t="s">
        <v>8071</v>
      </c>
      <c r="B1806" s="1">
        <v>45937</v>
      </c>
      <c r="C1806" s="5">
        <v>0.25812499999999999</v>
      </c>
      <c r="D1806">
        <v>102.24</v>
      </c>
      <c r="E1806" t="s">
        <v>44</v>
      </c>
      <c r="F1806" t="s">
        <v>145</v>
      </c>
      <c r="G1806" t="s">
        <v>46</v>
      </c>
      <c r="H1806" t="s">
        <v>26</v>
      </c>
      <c r="I1806" t="s">
        <v>8072</v>
      </c>
      <c r="J1806">
        <v>34</v>
      </c>
      <c r="K1806" t="s">
        <v>25</v>
      </c>
      <c r="L1806" t="s">
        <v>26</v>
      </c>
      <c r="M1806" t="s">
        <v>39</v>
      </c>
      <c r="P1806" t="s">
        <v>113</v>
      </c>
      <c r="Q1806" t="s">
        <v>8073</v>
      </c>
      <c r="R1806" t="s">
        <v>8074</v>
      </c>
      <c r="S1806" t="s">
        <v>31</v>
      </c>
      <c r="T1806">
        <v>0</v>
      </c>
    </row>
    <row r="1807" spans="1:20" x14ac:dyDescent="0.25">
      <c r="A1807" t="s">
        <v>8075</v>
      </c>
      <c r="B1807" s="1">
        <v>45939</v>
      </c>
      <c r="C1807" s="5">
        <v>0.11739583333333334</v>
      </c>
      <c r="D1807">
        <v>195.59</v>
      </c>
      <c r="E1807" t="s">
        <v>44</v>
      </c>
      <c r="F1807" t="s">
        <v>2089</v>
      </c>
      <c r="G1807" t="s">
        <v>77</v>
      </c>
      <c r="H1807" t="s">
        <v>26</v>
      </c>
      <c r="I1807" t="s">
        <v>8076</v>
      </c>
      <c r="J1807">
        <v>72</v>
      </c>
      <c r="K1807" t="s">
        <v>25</v>
      </c>
      <c r="L1807" t="s">
        <v>35</v>
      </c>
      <c r="M1807" t="s">
        <v>51</v>
      </c>
      <c r="N1807" t="s">
        <v>173</v>
      </c>
      <c r="O1807">
        <v>405141</v>
      </c>
      <c r="P1807" t="s">
        <v>28</v>
      </c>
      <c r="Q1807" t="s">
        <v>8077</v>
      </c>
      <c r="R1807" t="s">
        <v>8078</v>
      </c>
      <c r="S1807" t="s">
        <v>31</v>
      </c>
      <c r="T1807">
        <v>1</v>
      </c>
    </row>
    <row r="1808" spans="1:20" x14ac:dyDescent="0.25">
      <c r="A1808" t="s">
        <v>8079</v>
      </c>
      <c r="B1808" s="1">
        <v>45837</v>
      </c>
      <c r="C1808" s="5">
        <v>0.93990740740740741</v>
      </c>
      <c r="D1808">
        <v>163</v>
      </c>
      <c r="E1808" t="s">
        <v>44</v>
      </c>
      <c r="F1808" t="s">
        <v>192</v>
      </c>
      <c r="G1808" t="s">
        <v>64</v>
      </c>
      <c r="H1808" t="s">
        <v>97</v>
      </c>
      <c r="I1808" t="s">
        <v>8080</v>
      </c>
      <c r="J1808">
        <v>41</v>
      </c>
      <c r="K1808" t="s">
        <v>37</v>
      </c>
      <c r="L1808" t="s">
        <v>110</v>
      </c>
      <c r="M1808" t="s">
        <v>39</v>
      </c>
      <c r="P1808" t="s">
        <v>28</v>
      </c>
      <c r="Q1808" t="s">
        <v>8081</v>
      </c>
      <c r="R1808" t="s">
        <v>8082</v>
      </c>
      <c r="S1808" t="s">
        <v>31</v>
      </c>
      <c r="T1808">
        <v>0</v>
      </c>
    </row>
    <row r="1809" spans="1:20" x14ac:dyDescent="0.25">
      <c r="A1809" t="s">
        <v>8083</v>
      </c>
      <c r="B1809" s="1">
        <v>45951</v>
      </c>
      <c r="C1809" s="5">
        <v>4.4699074074074072E-2</v>
      </c>
      <c r="D1809">
        <v>166.37</v>
      </c>
      <c r="E1809" t="s">
        <v>44</v>
      </c>
      <c r="F1809" t="s">
        <v>1306</v>
      </c>
      <c r="G1809" t="s">
        <v>71</v>
      </c>
      <c r="H1809" t="s">
        <v>146</v>
      </c>
      <c r="I1809" t="s">
        <v>4119</v>
      </c>
      <c r="J1809">
        <v>39</v>
      </c>
      <c r="K1809" t="s">
        <v>37</v>
      </c>
      <c r="L1809" t="s">
        <v>248</v>
      </c>
      <c r="M1809" t="s">
        <v>105</v>
      </c>
      <c r="P1809" t="s">
        <v>28</v>
      </c>
      <c r="Q1809" t="s">
        <v>8084</v>
      </c>
      <c r="R1809" t="s">
        <v>8085</v>
      </c>
      <c r="S1809" t="s">
        <v>31</v>
      </c>
      <c r="T1809">
        <v>0</v>
      </c>
    </row>
    <row r="1810" spans="1:20" x14ac:dyDescent="0.25">
      <c r="A1810" t="s">
        <v>8086</v>
      </c>
      <c r="B1810" s="1">
        <v>45857</v>
      </c>
      <c r="C1810" s="5">
        <v>0.14813657407407407</v>
      </c>
      <c r="D1810">
        <v>909.08</v>
      </c>
      <c r="E1810" t="s">
        <v>44</v>
      </c>
      <c r="F1810" t="s">
        <v>7192</v>
      </c>
      <c r="G1810" t="s">
        <v>89</v>
      </c>
      <c r="H1810" t="s">
        <v>130</v>
      </c>
      <c r="I1810" t="s">
        <v>8087</v>
      </c>
      <c r="J1810">
        <v>68</v>
      </c>
      <c r="K1810" t="s">
        <v>25</v>
      </c>
      <c r="L1810" t="s">
        <v>130</v>
      </c>
      <c r="M1810" t="s">
        <v>112</v>
      </c>
      <c r="P1810" t="s">
        <v>113</v>
      </c>
      <c r="Q1810" t="s">
        <v>8088</v>
      </c>
      <c r="R1810" t="s">
        <v>8089</v>
      </c>
      <c r="S1810" t="s">
        <v>31</v>
      </c>
      <c r="T1810">
        <v>0</v>
      </c>
    </row>
    <row r="1811" spans="1:20" x14ac:dyDescent="0.25">
      <c r="A1811" t="s">
        <v>8090</v>
      </c>
      <c r="B1811" s="1">
        <v>45835</v>
      </c>
      <c r="C1811" s="5">
        <v>0.98288194444444443</v>
      </c>
      <c r="D1811">
        <v>4329.53</v>
      </c>
      <c r="E1811" t="s">
        <v>44</v>
      </c>
      <c r="F1811" t="s">
        <v>354</v>
      </c>
      <c r="G1811" t="s">
        <v>46</v>
      </c>
      <c r="H1811" t="s">
        <v>130</v>
      </c>
      <c r="I1811" t="s">
        <v>6764</v>
      </c>
      <c r="J1811">
        <v>37</v>
      </c>
      <c r="K1811" t="s">
        <v>49</v>
      </c>
      <c r="L1811" t="s">
        <v>110</v>
      </c>
      <c r="M1811" t="s">
        <v>39</v>
      </c>
      <c r="P1811" t="s">
        <v>28</v>
      </c>
      <c r="Q1811" t="s">
        <v>8091</v>
      </c>
      <c r="R1811" t="s">
        <v>8092</v>
      </c>
      <c r="S1811" t="s">
        <v>31</v>
      </c>
      <c r="T1811">
        <v>0</v>
      </c>
    </row>
    <row r="1812" spans="1:20" x14ac:dyDescent="0.25">
      <c r="A1812" t="s">
        <v>8093</v>
      </c>
      <c r="B1812" s="1">
        <v>45932</v>
      </c>
      <c r="C1812" s="5">
        <v>0.15375</v>
      </c>
      <c r="D1812">
        <v>132.22</v>
      </c>
      <c r="E1812" t="s">
        <v>44</v>
      </c>
      <c r="F1812" t="s">
        <v>8094</v>
      </c>
      <c r="G1812" t="s">
        <v>89</v>
      </c>
      <c r="H1812" t="s">
        <v>35</v>
      </c>
      <c r="I1812" t="s">
        <v>8095</v>
      </c>
      <c r="J1812">
        <v>34</v>
      </c>
      <c r="K1812" t="s">
        <v>37</v>
      </c>
      <c r="L1812" t="s">
        <v>97</v>
      </c>
      <c r="M1812" t="s">
        <v>39</v>
      </c>
      <c r="P1812" t="s">
        <v>28</v>
      </c>
      <c r="Q1812" t="s">
        <v>8096</v>
      </c>
      <c r="R1812" t="s">
        <v>8097</v>
      </c>
      <c r="S1812" t="s">
        <v>31</v>
      </c>
      <c r="T1812">
        <v>0</v>
      </c>
    </row>
    <row r="1813" spans="1:20" x14ac:dyDescent="0.25">
      <c r="A1813" t="s">
        <v>8098</v>
      </c>
      <c r="B1813" s="1">
        <v>45858</v>
      </c>
      <c r="C1813" s="5">
        <v>0.68876157407407412</v>
      </c>
      <c r="D1813">
        <v>681.23</v>
      </c>
      <c r="E1813" t="s">
        <v>44</v>
      </c>
      <c r="F1813" t="s">
        <v>591</v>
      </c>
      <c r="G1813" t="s">
        <v>96</v>
      </c>
      <c r="H1813" t="s">
        <v>35</v>
      </c>
      <c r="I1813" t="s">
        <v>8099</v>
      </c>
      <c r="J1813">
        <v>37</v>
      </c>
      <c r="K1813" t="s">
        <v>25</v>
      </c>
      <c r="L1813" t="s">
        <v>248</v>
      </c>
      <c r="M1813" t="s">
        <v>105</v>
      </c>
      <c r="P1813" t="s">
        <v>28</v>
      </c>
      <c r="Q1813" t="s">
        <v>8100</v>
      </c>
      <c r="R1813" t="s">
        <v>8101</v>
      </c>
      <c r="S1813" t="s">
        <v>31</v>
      </c>
      <c r="T1813">
        <v>0</v>
      </c>
    </row>
    <row r="1814" spans="1:20" x14ac:dyDescent="0.25">
      <c r="A1814" t="s">
        <v>8102</v>
      </c>
      <c r="B1814" s="1">
        <v>45924</v>
      </c>
      <c r="C1814" s="5">
        <v>0.60177083333333337</v>
      </c>
      <c r="D1814">
        <v>76.67</v>
      </c>
      <c r="E1814" t="s">
        <v>44</v>
      </c>
      <c r="F1814" t="s">
        <v>82</v>
      </c>
      <c r="G1814" t="s">
        <v>77</v>
      </c>
      <c r="H1814" t="s">
        <v>97</v>
      </c>
      <c r="I1814" t="s">
        <v>8103</v>
      </c>
      <c r="J1814">
        <v>51</v>
      </c>
      <c r="K1814" t="s">
        <v>49</v>
      </c>
      <c r="L1814" t="s">
        <v>38</v>
      </c>
      <c r="M1814" t="s">
        <v>84</v>
      </c>
      <c r="P1814" t="s">
        <v>28</v>
      </c>
      <c r="Q1814" t="s">
        <v>8104</v>
      </c>
      <c r="R1814" t="s">
        <v>8105</v>
      </c>
      <c r="S1814" t="s">
        <v>31</v>
      </c>
      <c r="T1814">
        <v>0</v>
      </c>
    </row>
    <row r="1815" spans="1:20" x14ac:dyDescent="0.25">
      <c r="A1815" t="s">
        <v>8106</v>
      </c>
      <c r="B1815" s="1">
        <v>45952</v>
      </c>
      <c r="C1815" s="5">
        <v>0.33822916666666669</v>
      </c>
      <c r="D1815">
        <v>93.25</v>
      </c>
      <c r="E1815" t="s">
        <v>44</v>
      </c>
      <c r="F1815" t="s">
        <v>272</v>
      </c>
      <c r="G1815" t="s">
        <v>46</v>
      </c>
      <c r="H1815" t="s">
        <v>38</v>
      </c>
      <c r="I1815" t="s">
        <v>8107</v>
      </c>
      <c r="J1815">
        <v>18</v>
      </c>
      <c r="K1815" t="s">
        <v>49</v>
      </c>
      <c r="L1815" t="s">
        <v>66</v>
      </c>
      <c r="M1815" t="s">
        <v>84</v>
      </c>
      <c r="P1815" t="s">
        <v>28</v>
      </c>
      <c r="Q1815" t="s">
        <v>8108</v>
      </c>
      <c r="R1815" t="s">
        <v>8109</v>
      </c>
      <c r="S1815" t="s">
        <v>31</v>
      </c>
      <c r="T1815">
        <v>0</v>
      </c>
    </row>
    <row r="1816" spans="1:20" x14ac:dyDescent="0.25">
      <c r="A1816" t="s">
        <v>8110</v>
      </c>
      <c r="B1816" s="1">
        <v>45916</v>
      </c>
      <c r="C1816" s="5">
        <v>0.16071759259259261</v>
      </c>
      <c r="D1816">
        <v>76.44</v>
      </c>
      <c r="E1816" t="s">
        <v>44</v>
      </c>
      <c r="F1816" t="s">
        <v>6201</v>
      </c>
      <c r="G1816" t="s">
        <v>46</v>
      </c>
      <c r="H1816" t="s">
        <v>130</v>
      </c>
      <c r="I1816" t="s">
        <v>8111</v>
      </c>
      <c r="J1816">
        <v>41</v>
      </c>
      <c r="K1816" t="s">
        <v>25</v>
      </c>
      <c r="L1816" t="s">
        <v>97</v>
      </c>
      <c r="M1816" t="s">
        <v>105</v>
      </c>
      <c r="P1816" t="s">
        <v>28</v>
      </c>
      <c r="Q1816" t="s">
        <v>8112</v>
      </c>
      <c r="R1816" t="s">
        <v>8113</v>
      </c>
      <c r="S1816" t="s">
        <v>31</v>
      </c>
      <c r="T1816">
        <v>0</v>
      </c>
    </row>
    <row r="1817" spans="1:20" x14ac:dyDescent="0.25">
      <c r="A1817" t="s">
        <v>8114</v>
      </c>
      <c r="B1817" s="1">
        <v>45923</v>
      </c>
      <c r="C1817" s="5">
        <v>0.43890046296296298</v>
      </c>
      <c r="D1817">
        <v>3.59</v>
      </c>
      <c r="E1817" t="s">
        <v>44</v>
      </c>
      <c r="F1817" t="s">
        <v>738</v>
      </c>
      <c r="G1817" t="s">
        <v>124</v>
      </c>
      <c r="H1817" t="s">
        <v>38</v>
      </c>
      <c r="I1817" t="s">
        <v>8115</v>
      </c>
      <c r="J1817">
        <v>20</v>
      </c>
      <c r="K1817" t="s">
        <v>37</v>
      </c>
      <c r="L1817" t="s">
        <v>146</v>
      </c>
      <c r="M1817" t="s">
        <v>105</v>
      </c>
      <c r="P1817" t="s">
        <v>28</v>
      </c>
      <c r="Q1817" t="s">
        <v>8116</v>
      </c>
      <c r="R1817" t="s">
        <v>8117</v>
      </c>
      <c r="S1817" t="s">
        <v>42</v>
      </c>
      <c r="T1817">
        <v>0</v>
      </c>
    </row>
    <row r="1818" spans="1:20" x14ac:dyDescent="0.25">
      <c r="A1818" t="s">
        <v>8118</v>
      </c>
      <c r="B1818" s="1">
        <v>45903</v>
      </c>
      <c r="C1818" s="5">
        <v>0.89206018518518515</v>
      </c>
      <c r="D1818">
        <v>53.53</v>
      </c>
      <c r="E1818" t="s">
        <v>44</v>
      </c>
      <c r="F1818" t="s">
        <v>8119</v>
      </c>
      <c r="G1818" t="s">
        <v>77</v>
      </c>
      <c r="H1818" t="s">
        <v>119</v>
      </c>
      <c r="I1818" t="s">
        <v>8120</v>
      </c>
      <c r="J1818">
        <v>53</v>
      </c>
      <c r="K1818" t="s">
        <v>37</v>
      </c>
      <c r="L1818" t="s">
        <v>110</v>
      </c>
      <c r="M1818" t="s">
        <v>84</v>
      </c>
      <c r="P1818" t="s">
        <v>28</v>
      </c>
      <c r="Q1818" t="s">
        <v>8121</v>
      </c>
      <c r="R1818" t="s">
        <v>8122</v>
      </c>
      <c r="S1818" t="s">
        <v>42</v>
      </c>
      <c r="T1818">
        <v>0</v>
      </c>
    </row>
    <row r="1819" spans="1:20" x14ac:dyDescent="0.25">
      <c r="A1819" t="s">
        <v>8123</v>
      </c>
      <c r="B1819" s="1">
        <v>45850</v>
      </c>
      <c r="C1819" s="5">
        <v>0.23623842592592592</v>
      </c>
      <c r="D1819">
        <v>99.71</v>
      </c>
      <c r="E1819" t="s">
        <v>44</v>
      </c>
      <c r="F1819" t="s">
        <v>4016</v>
      </c>
      <c r="G1819" t="s">
        <v>34</v>
      </c>
      <c r="H1819" t="s">
        <v>91</v>
      </c>
      <c r="I1819" t="s">
        <v>8124</v>
      </c>
      <c r="J1819">
        <v>19</v>
      </c>
      <c r="K1819" t="s">
        <v>25</v>
      </c>
      <c r="L1819" t="s">
        <v>91</v>
      </c>
      <c r="M1819" t="s">
        <v>27</v>
      </c>
      <c r="P1819" t="s">
        <v>113</v>
      </c>
      <c r="Q1819" t="s">
        <v>8125</v>
      </c>
      <c r="R1819" t="s">
        <v>8126</v>
      </c>
      <c r="S1819" t="s">
        <v>31</v>
      </c>
      <c r="T1819">
        <v>0</v>
      </c>
    </row>
    <row r="1820" spans="1:20" x14ac:dyDescent="0.25">
      <c r="A1820" t="s">
        <v>8127</v>
      </c>
      <c r="B1820" s="1">
        <v>45923</v>
      </c>
      <c r="C1820" s="5">
        <v>0.16170138888888888</v>
      </c>
      <c r="D1820">
        <v>118.17</v>
      </c>
      <c r="E1820" t="s">
        <v>44</v>
      </c>
      <c r="F1820" t="s">
        <v>2712</v>
      </c>
      <c r="G1820" t="s">
        <v>89</v>
      </c>
      <c r="H1820" t="s">
        <v>97</v>
      </c>
      <c r="I1820" t="s">
        <v>8128</v>
      </c>
      <c r="J1820">
        <v>38</v>
      </c>
      <c r="K1820" t="s">
        <v>37</v>
      </c>
      <c r="L1820" t="s">
        <v>66</v>
      </c>
      <c r="M1820" t="s">
        <v>112</v>
      </c>
      <c r="P1820" t="s">
        <v>28</v>
      </c>
      <c r="Q1820" t="s">
        <v>8129</v>
      </c>
      <c r="R1820" t="s">
        <v>8130</v>
      </c>
      <c r="S1820" t="s">
        <v>31</v>
      </c>
      <c r="T1820">
        <v>0</v>
      </c>
    </row>
    <row r="1821" spans="1:20" x14ac:dyDescent="0.25">
      <c r="A1821" t="s">
        <v>8131</v>
      </c>
      <c r="B1821" s="1">
        <v>45824</v>
      </c>
      <c r="C1821" s="5">
        <v>0.78281250000000002</v>
      </c>
      <c r="D1821">
        <v>99.29</v>
      </c>
      <c r="E1821" t="s">
        <v>44</v>
      </c>
      <c r="F1821" t="s">
        <v>7448</v>
      </c>
      <c r="G1821" t="s">
        <v>96</v>
      </c>
      <c r="H1821" t="s">
        <v>38</v>
      </c>
      <c r="I1821" t="s">
        <v>8132</v>
      </c>
      <c r="K1821" t="s">
        <v>37</v>
      </c>
      <c r="L1821" t="s">
        <v>97</v>
      </c>
      <c r="M1821" t="s">
        <v>27</v>
      </c>
      <c r="P1821" t="s">
        <v>28</v>
      </c>
      <c r="Q1821" t="s">
        <v>8133</v>
      </c>
      <c r="R1821" t="s">
        <v>8134</v>
      </c>
      <c r="S1821" t="s">
        <v>31</v>
      </c>
      <c r="T1821">
        <v>1</v>
      </c>
    </row>
    <row r="1822" spans="1:20" x14ac:dyDescent="0.25">
      <c r="A1822" t="s">
        <v>8135</v>
      </c>
      <c r="B1822" s="1">
        <v>45937</v>
      </c>
      <c r="C1822" s="5">
        <v>0.96561342592592592</v>
      </c>
      <c r="D1822">
        <v>177.66</v>
      </c>
      <c r="E1822" t="s">
        <v>44</v>
      </c>
      <c r="F1822" t="s">
        <v>8136</v>
      </c>
      <c r="G1822" t="s">
        <v>64</v>
      </c>
      <c r="H1822" t="s">
        <v>35</v>
      </c>
      <c r="I1822" t="s">
        <v>8137</v>
      </c>
      <c r="J1822">
        <v>19</v>
      </c>
      <c r="K1822" t="s">
        <v>25</v>
      </c>
      <c r="L1822" t="s">
        <v>110</v>
      </c>
      <c r="M1822" t="s">
        <v>112</v>
      </c>
      <c r="P1822" t="s">
        <v>28</v>
      </c>
      <c r="Q1822" t="s">
        <v>8138</v>
      </c>
      <c r="R1822" t="s">
        <v>8139</v>
      </c>
      <c r="S1822" t="s">
        <v>31</v>
      </c>
      <c r="T1822">
        <v>0</v>
      </c>
    </row>
    <row r="1823" spans="1:20" x14ac:dyDescent="0.25">
      <c r="A1823" t="s">
        <v>8140</v>
      </c>
      <c r="B1823" s="1">
        <v>45842</v>
      </c>
      <c r="C1823" s="5">
        <v>0.96365740740740746</v>
      </c>
      <c r="D1823">
        <v>179.26</v>
      </c>
      <c r="E1823" t="s">
        <v>44</v>
      </c>
      <c r="F1823" t="s">
        <v>3266</v>
      </c>
      <c r="G1823" t="s">
        <v>57</v>
      </c>
      <c r="H1823" t="s">
        <v>248</v>
      </c>
      <c r="I1823" t="s">
        <v>8141</v>
      </c>
      <c r="J1823">
        <v>63</v>
      </c>
      <c r="K1823" t="s">
        <v>25</v>
      </c>
      <c r="L1823" t="s">
        <v>47</v>
      </c>
      <c r="M1823" t="s">
        <v>27</v>
      </c>
      <c r="P1823" t="s">
        <v>28</v>
      </c>
      <c r="Q1823" t="s">
        <v>8142</v>
      </c>
      <c r="R1823" t="s">
        <v>8143</v>
      </c>
      <c r="S1823" t="s">
        <v>31</v>
      </c>
      <c r="T1823">
        <v>0</v>
      </c>
    </row>
    <row r="1824" spans="1:20" x14ac:dyDescent="0.25">
      <c r="A1824" t="s">
        <v>8144</v>
      </c>
      <c r="B1824" s="1">
        <v>45826</v>
      </c>
      <c r="C1824" s="5">
        <v>0.90079861111111115</v>
      </c>
      <c r="D1824">
        <v>151.81</v>
      </c>
      <c r="E1824" t="s">
        <v>44</v>
      </c>
      <c r="F1824" t="s">
        <v>6978</v>
      </c>
      <c r="G1824" t="s">
        <v>77</v>
      </c>
      <c r="H1824" t="s">
        <v>110</v>
      </c>
      <c r="I1824" t="s">
        <v>8145</v>
      </c>
      <c r="J1824">
        <v>50</v>
      </c>
      <c r="K1824" t="s">
        <v>49</v>
      </c>
      <c r="L1824" t="s">
        <v>23</v>
      </c>
      <c r="M1824" t="s">
        <v>51</v>
      </c>
      <c r="N1824" t="s">
        <v>507</v>
      </c>
      <c r="O1824">
        <v>445239</v>
      </c>
      <c r="P1824" t="s">
        <v>28</v>
      </c>
      <c r="Q1824" t="s">
        <v>8146</v>
      </c>
      <c r="R1824" t="s">
        <v>8147</v>
      </c>
      <c r="S1824" t="s">
        <v>31</v>
      </c>
      <c r="T1824">
        <v>0</v>
      </c>
    </row>
    <row r="1825" spans="1:20" x14ac:dyDescent="0.25">
      <c r="A1825" t="s">
        <v>8148</v>
      </c>
      <c r="B1825" s="1">
        <v>45873</v>
      </c>
      <c r="C1825" s="5">
        <v>7.1527777777777779E-3</v>
      </c>
      <c r="D1825">
        <v>440.52</v>
      </c>
      <c r="E1825" t="s">
        <v>44</v>
      </c>
      <c r="F1825" t="s">
        <v>438</v>
      </c>
      <c r="G1825" t="s">
        <v>22</v>
      </c>
      <c r="H1825" t="s">
        <v>47</v>
      </c>
      <c r="I1825" t="s">
        <v>8149</v>
      </c>
      <c r="J1825">
        <v>62</v>
      </c>
      <c r="K1825" t="s">
        <v>25</v>
      </c>
      <c r="L1825" t="s">
        <v>130</v>
      </c>
      <c r="M1825" t="s">
        <v>27</v>
      </c>
      <c r="P1825" t="s">
        <v>28</v>
      </c>
      <c r="Q1825" t="s">
        <v>8150</v>
      </c>
      <c r="R1825" t="s">
        <v>8151</v>
      </c>
      <c r="S1825" t="s">
        <v>31</v>
      </c>
      <c r="T1825">
        <v>0</v>
      </c>
    </row>
    <row r="1826" spans="1:20" x14ac:dyDescent="0.25">
      <c r="A1826" t="s">
        <v>8152</v>
      </c>
      <c r="B1826" s="1">
        <v>45921</v>
      </c>
      <c r="C1826" s="5">
        <v>6.4490740740740737E-2</v>
      </c>
      <c r="D1826">
        <v>737.01</v>
      </c>
      <c r="E1826" t="s">
        <v>44</v>
      </c>
      <c r="F1826" t="s">
        <v>8153</v>
      </c>
      <c r="G1826" t="s">
        <v>34</v>
      </c>
      <c r="H1826" t="s">
        <v>26</v>
      </c>
      <c r="I1826" t="s">
        <v>8154</v>
      </c>
      <c r="J1826">
        <v>25</v>
      </c>
      <c r="K1826" t="s">
        <v>49</v>
      </c>
      <c r="L1826" t="s">
        <v>47</v>
      </c>
      <c r="M1826" t="s">
        <v>27</v>
      </c>
      <c r="P1826" t="s">
        <v>28</v>
      </c>
      <c r="Q1826" t="s">
        <v>8155</v>
      </c>
      <c r="R1826" t="s">
        <v>8156</v>
      </c>
      <c r="S1826" t="s">
        <v>31</v>
      </c>
      <c r="T1826">
        <v>0</v>
      </c>
    </row>
    <row r="1827" spans="1:20" x14ac:dyDescent="0.25">
      <c r="A1827" t="s">
        <v>8157</v>
      </c>
      <c r="B1827" s="1">
        <v>45944</v>
      </c>
      <c r="C1827" s="5">
        <v>0.51195601851851846</v>
      </c>
      <c r="D1827">
        <v>555.91</v>
      </c>
      <c r="E1827" t="s">
        <v>44</v>
      </c>
      <c r="F1827" t="s">
        <v>2791</v>
      </c>
      <c r="G1827" t="s">
        <v>77</v>
      </c>
      <c r="H1827" t="s">
        <v>91</v>
      </c>
      <c r="I1827" t="s">
        <v>8158</v>
      </c>
      <c r="J1827">
        <v>65</v>
      </c>
      <c r="K1827" t="s">
        <v>49</v>
      </c>
      <c r="L1827" t="s">
        <v>23</v>
      </c>
      <c r="M1827" t="s">
        <v>39</v>
      </c>
      <c r="P1827" t="s">
        <v>28</v>
      </c>
      <c r="Q1827" t="s">
        <v>8159</v>
      </c>
      <c r="R1827" t="s">
        <v>8160</v>
      </c>
      <c r="S1827" t="s">
        <v>31</v>
      </c>
      <c r="T1827">
        <v>0</v>
      </c>
    </row>
    <row r="1828" spans="1:20" x14ac:dyDescent="0.25">
      <c r="A1828" t="s">
        <v>8161</v>
      </c>
      <c r="B1828" s="1">
        <v>45811</v>
      </c>
      <c r="C1828" s="5">
        <v>0.11384259259259259</v>
      </c>
      <c r="D1828">
        <v>163.63999999999999</v>
      </c>
      <c r="E1828" t="s">
        <v>44</v>
      </c>
      <c r="F1828" t="s">
        <v>5050</v>
      </c>
      <c r="G1828" t="s">
        <v>124</v>
      </c>
      <c r="H1828" t="s">
        <v>35</v>
      </c>
      <c r="I1828" t="s">
        <v>8162</v>
      </c>
      <c r="J1828">
        <v>75</v>
      </c>
      <c r="K1828" t="s">
        <v>49</v>
      </c>
      <c r="L1828" t="s">
        <v>119</v>
      </c>
      <c r="M1828" t="s">
        <v>84</v>
      </c>
      <c r="P1828" t="s">
        <v>28</v>
      </c>
      <c r="Q1828" t="s">
        <v>8163</v>
      </c>
      <c r="R1828" t="s">
        <v>8164</v>
      </c>
      <c r="S1828" t="s">
        <v>31</v>
      </c>
      <c r="T1828">
        <v>0</v>
      </c>
    </row>
    <row r="1829" spans="1:20" x14ac:dyDescent="0.25">
      <c r="A1829" t="s">
        <v>8165</v>
      </c>
      <c r="B1829" s="1">
        <v>45786</v>
      </c>
      <c r="C1829" s="5">
        <v>0.70093749999999999</v>
      </c>
      <c r="D1829">
        <v>55.8</v>
      </c>
      <c r="E1829" t="s">
        <v>44</v>
      </c>
      <c r="F1829" t="s">
        <v>819</v>
      </c>
      <c r="G1829" t="s">
        <v>22</v>
      </c>
      <c r="H1829" t="s">
        <v>47</v>
      </c>
      <c r="I1829" t="s">
        <v>8166</v>
      </c>
      <c r="J1829">
        <v>55</v>
      </c>
      <c r="K1829" t="s">
        <v>25</v>
      </c>
      <c r="L1829" t="s">
        <v>66</v>
      </c>
      <c r="M1829" t="s">
        <v>105</v>
      </c>
      <c r="P1829" t="s">
        <v>28</v>
      </c>
      <c r="Q1829" t="s">
        <v>8167</v>
      </c>
      <c r="R1829" t="s">
        <v>8168</v>
      </c>
      <c r="S1829" t="s">
        <v>31</v>
      </c>
      <c r="T1829">
        <v>0</v>
      </c>
    </row>
    <row r="1830" spans="1:20" x14ac:dyDescent="0.25">
      <c r="A1830" t="s">
        <v>8169</v>
      </c>
      <c r="B1830" s="1">
        <v>45939</v>
      </c>
      <c r="C1830" s="5">
        <v>0.45209490740740743</v>
      </c>
      <c r="D1830">
        <v>36.19</v>
      </c>
      <c r="E1830" t="s">
        <v>44</v>
      </c>
      <c r="F1830" t="s">
        <v>3758</v>
      </c>
      <c r="G1830" t="s">
        <v>34</v>
      </c>
      <c r="H1830" t="s">
        <v>110</v>
      </c>
      <c r="I1830" t="s">
        <v>8170</v>
      </c>
      <c r="J1830">
        <v>32</v>
      </c>
      <c r="K1830" t="s">
        <v>25</v>
      </c>
      <c r="L1830" t="s">
        <v>91</v>
      </c>
      <c r="M1830" t="s">
        <v>39</v>
      </c>
      <c r="P1830" t="s">
        <v>28</v>
      </c>
      <c r="Q1830" t="s">
        <v>8171</v>
      </c>
      <c r="R1830" t="s">
        <v>8172</v>
      </c>
      <c r="S1830" t="s">
        <v>31</v>
      </c>
      <c r="T1830">
        <v>0</v>
      </c>
    </row>
    <row r="1831" spans="1:20" x14ac:dyDescent="0.25">
      <c r="A1831" t="s">
        <v>8173</v>
      </c>
      <c r="B1831" s="1">
        <v>45860</v>
      </c>
      <c r="C1831" s="5">
        <v>0.4629050925925926</v>
      </c>
      <c r="D1831">
        <v>15.03</v>
      </c>
      <c r="E1831" t="s">
        <v>44</v>
      </c>
      <c r="F1831" t="s">
        <v>5322</v>
      </c>
      <c r="G1831" t="s">
        <v>22</v>
      </c>
      <c r="H1831" t="s">
        <v>26</v>
      </c>
      <c r="I1831" t="s">
        <v>8174</v>
      </c>
      <c r="J1831">
        <v>25</v>
      </c>
      <c r="K1831" t="s">
        <v>37</v>
      </c>
      <c r="L1831" t="s">
        <v>66</v>
      </c>
      <c r="M1831" t="s">
        <v>27</v>
      </c>
      <c r="P1831" t="s">
        <v>28</v>
      </c>
      <c r="Q1831" t="s">
        <v>8175</v>
      </c>
      <c r="R1831" t="s">
        <v>8176</v>
      </c>
      <c r="S1831" t="s">
        <v>31</v>
      </c>
      <c r="T1831">
        <v>0</v>
      </c>
    </row>
    <row r="1832" spans="1:20" x14ac:dyDescent="0.25">
      <c r="A1832" t="s">
        <v>8177</v>
      </c>
      <c r="B1832" s="1">
        <v>45929</v>
      </c>
      <c r="C1832" s="5">
        <v>0.45802083333333332</v>
      </c>
      <c r="D1832">
        <v>66.64</v>
      </c>
      <c r="E1832" t="s">
        <v>44</v>
      </c>
      <c r="F1832" t="s">
        <v>1229</v>
      </c>
      <c r="G1832" t="s">
        <v>71</v>
      </c>
      <c r="H1832" t="s">
        <v>91</v>
      </c>
      <c r="I1832" t="s">
        <v>8178</v>
      </c>
      <c r="J1832">
        <v>64</v>
      </c>
      <c r="K1832" t="s">
        <v>37</v>
      </c>
      <c r="L1832" t="s">
        <v>38</v>
      </c>
      <c r="M1832" t="s">
        <v>27</v>
      </c>
      <c r="P1832" t="s">
        <v>28</v>
      </c>
      <c r="Q1832" t="s">
        <v>8179</v>
      </c>
      <c r="R1832" t="s">
        <v>8180</v>
      </c>
      <c r="S1832" t="s">
        <v>31</v>
      </c>
      <c r="T1832">
        <v>0</v>
      </c>
    </row>
    <row r="1833" spans="1:20" x14ac:dyDescent="0.25">
      <c r="A1833" t="s">
        <v>8181</v>
      </c>
      <c r="B1833" s="1">
        <v>45836</v>
      </c>
      <c r="C1833" s="5">
        <v>0.45907407407407408</v>
      </c>
      <c r="D1833">
        <v>615.20000000000005</v>
      </c>
      <c r="E1833" t="s">
        <v>44</v>
      </c>
      <c r="F1833" t="s">
        <v>2229</v>
      </c>
      <c r="G1833" t="s">
        <v>46</v>
      </c>
      <c r="H1833" t="s">
        <v>23</v>
      </c>
      <c r="I1833" t="s">
        <v>8182</v>
      </c>
      <c r="J1833">
        <v>106</v>
      </c>
      <c r="K1833" t="s">
        <v>37</v>
      </c>
      <c r="L1833" t="s">
        <v>146</v>
      </c>
      <c r="M1833" t="s">
        <v>105</v>
      </c>
      <c r="P1833" t="s">
        <v>28</v>
      </c>
      <c r="Q1833" t="s">
        <v>8183</v>
      </c>
      <c r="R1833" t="s">
        <v>8184</v>
      </c>
      <c r="S1833" t="s">
        <v>31</v>
      </c>
      <c r="T1833">
        <v>1</v>
      </c>
    </row>
    <row r="1834" spans="1:20" x14ac:dyDescent="0.25">
      <c r="A1834" t="s">
        <v>8185</v>
      </c>
      <c r="B1834" s="1">
        <v>45865</v>
      </c>
      <c r="C1834" s="5">
        <v>0.61636574074074069</v>
      </c>
      <c r="D1834">
        <v>41.98</v>
      </c>
      <c r="E1834" t="s">
        <v>44</v>
      </c>
      <c r="F1834" t="s">
        <v>644</v>
      </c>
      <c r="G1834" t="s">
        <v>34</v>
      </c>
      <c r="H1834" t="s">
        <v>248</v>
      </c>
      <c r="I1834" t="s">
        <v>8186</v>
      </c>
      <c r="J1834">
        <v>22</v>
      </c>
      <c r="K1834" t="s">
        <v>49</v>
      </c>
      <c r="L1834" t="s">
        <v>91</v>
      </c>
      <c r="M1834" t="s">
        <v>105</v>
      </c>
      <c r="P1834" t="s">
        <v>28</v>
      </c>
      <c r="Q1834" t="s">
        <v>8187</v>
      </c>
      <c r="R1834" t="s">
        <v>8188</v>
      </c>
      <c r="S1834" t="s">
        <v>31</v>
      </c>
      <c r="T1834">
        <v>0</v>
      </c>
    </row>
    <row r="1835" spans="1:20" x14ac:dyDescent="0.25">
      <c r="A1835" t="s">
        <v>8189</v>
      </c>
      <c r="B1835" s="1">
        <v>45879</v>
      </c>
      <c r="C1835" s="5">
        <v>0.83787037037037038</v>
      </c>
      <c r="D1835">
        <v>117.54</v>
      </c>
      <c r="E1835" t="s">
        <v>44</v>
      </c>
      <c r="F1835" t="s">
        <v>2099</v>
      </c>
      <c r="G1835" t="s">
        <v>34</v>
      </c>
      <c r="H1835" t="s">
        <v>23</v>
      </c>
      <c r="I1835" t="s">
        <v>8190</v>
      </c>
      <c r="J1835">
        <v>57</v>
      </c>
      <c r="K1835" t="s">
        <v>37</v>
      </c>
      <c r="L1835" t="s">
        <v>146</v>
      </c>
      <c r="M1835" t="s">
        <v>51</v>
      </c>
      <c r="N1835" t="s">
        <v>52</v>
      </c>
      <c r="O1835">
        <v>441353</v>
      </c>
      <c r="P1835" t="s">
        <v>28</v>
      </c>
      <c r="Q1835" t="s">
        <v>8191</v>
      </c>
      <c r="R1835" t="s">
        <v>8192</v>
      </c>
      <c r="S1835" t="s">
        <v>31</v>
      </c>
      <c r="T1835">
        <v>0</v>
      </c>
    </row>
    <row r="1836" spans="1:20" x14ac:dyDescent="0.25">
      <c r="A1836" t="s">
        <v>8193</v>
      </c>
      <c r="B1836" s="1">
        <v>45945</v>
      </c>
      <c r="C1836" s="5">
        <v>0.80940972222222218</v>
      </c>
      <c r="D1836">
        <v>124.38</v>
      </c>
      <c r="E1836" t="s">
        <v>44</v>
      </c>
      <c r="F1836" t="s">
        <v>1451</v>
      </c>
      <c r="G1836" t="s">
        <v>96</v>
      </c>
      <c r="H1836" t="s">
        <v>248</v>
      </c>
      <c r="I1836" t="s">
        <v>8194</v>
      </c>
      <c r="J1836">
        <v>52</v>
      </c>
      <c r="K1836" t="s">
        <v>37</v>
      </c>
      <c r="L1836" t="s">
        <v>91</v>
      </c>
      <c r="M1836" t="s">
        <v>112</v>
      </c>
      <c r="P1836" t="s">
        <v>28</v>
      </c>
      <c r="Q1836" t="s">
        <v>8195</v>
      </c>
      <c r="R1836" t="s">
        <v>8196</v>
      </c>
      <c r="S1836" t="s">
        <v>31</v>
      </c>
      <c r="T1836">
        <v>0</v>
      </c>
    </row>
    <row r="1837" spans="1:20" x14ac:dyDescent="0.25">
      <c r="A1837" t="s">
        <v>8197</v>
      </c>
      <c r="B1837" s="1">
        <v>45847</v>
      </c>
      <c r="C1837" s="5">
        <v>0.99266203703703704</v>
      </c>
      <c r="D1837">
        <v>97.77</v>
      </c>
      <c r="E1837" t="s">
        <v>44</v>
      </c>
      <c r="F1837" t="s">
        <v>6000</v>
      </c>
      <c r="G1837" t="s">
        <v>57</v>
      </c>
      <c r="H1837" t="s">
        <v>50</v>
      </c>
      <c r="I1837" t="s">
        <v>8198</v>
      </c>
      <c r="J1837">
        <v>44</v>
      </c>
      <c r="K1837" t="s">
        <v>25</v>
      </c>
      <c r="L1837" t="s">
        <v>91</v>
      </c>
      <c r="M1837" t="s">
        <v>39</v>
      </c>
      <c r="P1837" t="s">
        <v>28</v>
      </c>
      <c r="Q1837" t="s">
        <v>8199</v>
      </c>
      <c r="R1837" t="s">
        <v>8200</v>
      </c>
      <c r="S1837" t="s">
        <v>31</v>
      </c>
      <c r="T1837">
        <v>0</v>
      </c>
    </row>
    <row r="1838" spans="1:20" x14ac:dyDescent="0.25">
      <c r="A1838" t="s">
        <v>8201</v>
      </c>
      <c r="B1838" s="1">
        <v>45790</v>
      </c>
      <c r="C1838" s="5">
        <v>0.93921296296296297</v>
      </c>
      <c r="D1838">
        <v>189.55</v>
      </c>
      <c r="E1838" t="s">
        <v>44</v>
      </c>
      <c r="F1838" t="s">
        <v>6076</v>
      </c>
      <c r="G1838" t="s">
        <v>124</v>
      </c>
      <c r="H1838" t="s">
        <v>146</v>
      </c>
      <c r="I1838" t="s">
        <v>8202</v>
      </c>
      <c r="J1838">
        <v>45</v>
      </c>
      <c r="K1838" t="s">
        <v>25</v>
      </c>
      <c r="L1838" t="s">
        <v>97</v>
      </c>
      <c r="M1838" t="s">
        <v>84</v>
      </c>
      <c r="P1838" t="s">
        <v>28</v>
      </c>
      <c r="Q1838" t="s">
        <v>8203</v>
      </c>
      <c r="R1838" t="s">
        <v>8204</v>
      </c>
      <c r="S1838" t="s">
        <v>31</v>
      </c>
      <c r="T1838">
        <v>0</v>
      </c>
    </row>
    <row r="1839" spans="1:20" x14ac:dyDescent="0.25">
      <c r="A1839" t="s">
        <v>8205</v>
      </c>
      <c r="B1839" s="1">
        <v>45943</v>
      </c>
      <c r="C1839" s="5">
        <v>0.15105324074074075</v>
      </c>
      <c r="D1839">
        <v>104.87</v>
      </c>
      <c r="E1839" t="s">
        <v>44</v>
      </c>
      <c r="F1839" t="s">
        <v>5026</v>
      </c>
      <c r="G1839" t="s">
        <v>71</v>
      </c>
      <c r="H1839" t="s">
        <v>38</v>
      </c>
      <c r="I1839" t="s">
        <v>8206</v>
      </c>
      <c r="J1839">
        <v>60</v>
      </c>
      <c r="K1839" t="s">
        <v>49</v>
      </c>
      <c r="L1839" t="s">
        <v>23</v>
      </c>
      <c r="M1839" t="s">
        <v>51</v>
      </c>
      <c r="N1839" t="s">
        <v>507</v>
      </c>
      <c r="O1839">
        <v>417297</v>
      </c>
      <c r="P1839" t="s">
        <v>28</v>
      </c>
      <c r="Q1839" t="s">
        <v>8207</v>
      </c>
      <c r="R1839" t="s">
        <v>8208</v>
      </c>
      <c r="S1839" t="s">
        <v>31</v>
      </c>
      <c r="T1839">
        <v>0</v>
      </c>
    </row>
    <row r="1840" spans="1:20" x14ac:dyDescent="0.25">
      <c r="A1840" t="s">
        <v>8209</v>
      </c>
      <c r="B1840" s="1">
        <v>45828</v>
      </c>
      <c r="C1840" s="5">
        <v>0.53855324074074074</v>
      </c>
      <c r="D1840">
        <v>202.92</v>
      </c>
      <c r="E1840" t="s">
        <v>44</v>
      </c>
      <c r="F1840" t="s">
        <v>8210</v>
      </c>
      <c r="G1840" t="s">
        <v>46</v>
      </c>
      <c r="H1840" t="s">
        <v>91</v>
      </c>
      <c r="I1840" t="s">
        <v>8211</v>
      </c>
      <c r="K1840" t="s">
        <v>49</v>
      </c>
      <c r="L1840" t="s">
        <v>26</v>
      </c>
      <c r="M1840" t="s">
        <v>27</v>
      </c>
      <c r="P1840" t="s">
        <v>28</v>
      </c>
      <c r="Q1840" t="s">
        <v>8212</v>
      </c>
      <c r="R1840" t="s">
        <v>8213</v>
      </c>
      <c r="S1840" t="s">
        <v>31</v>
      </c>
      <c r="T1840">
        <v>0</v>
      </c>
    </row>
    <row r="1841" spans="1:20" x14ac:dyDescent="0.25">
      <c r="A1841" t="s">
        <v>8214</v>
      </c>
      <c r="B1841" s="1">
        <v>45800</v>
      </c>
      <c r="C1841" s="5">
        <v>0.6274305555555556</v>
      </c>
      <c r="D1841">
        <v>97.7</v>
      </c>
      <c r="E1841" t="s">
        <v>44</v>
      </c>
      <c r="F1841" t="s">
        <v>2966</v>
      </c>
      <c r="G1841" t="s">
        <v>96</v>
      </c>
      <c r="H1841" t="s">
        <v>38</v>
      </c>
      <c r="I1841" t="s">
        <v>8215</v>
      </c>
      <c r="J1841">
        <v>60</v>
      </c>
      <c r="K1841" t="s">
        <v>49</v>
      </c>
      <c r="L1841" t="s">
        <v>50</v>
      </c>
      <c r="M1841" t="s">
        <v>105</v>
      </c>
      <c r="P1841" t="s">
        <v>28</v>
      </c>
      <c r="Q1841" t="s">
        <v>8216</v>
      </c>
      <c r="R1841" t="s">
        <v>8217</v>
      </c>
      <c r="S1841" t="s">
        <v>31</v>
      </c>
      <c r="T1841">
        <v>0</v>
      </c>
    </row>
    <row r="1842" spans="1:20" x14ac:dyDescent="0.25">
      <c r="A1842" t="s">
        <v>8218</v>
      </c>
      <c r="B1842" s="1">
        <v>45781</v>
      </c>
      <c r="C1842" s="5">
        <v>2.7476851851851853E-2</v>
      </c>
      <c r="D1842">
        <v>114.94</v>
      </c>
      <c r="E1842" t="s">
        <v>44</v>
      </c>
      <c r="F1842" t="s">
        <v>2635</v>
      </c>
      <c r="G1842" t="s">
        <v>96</v>
      </c>
      <c r="H1842" t="s">
        <v>50</v>
      </c>
      <c r="I1842" t="s">
        <v>8219</v>
      </c>
      <c r="J1842">
        <v>57</v>
      </c>
      <c r="K1842" t="s">
        <v>49</v>
      </c>
      <c r="L1842" t="s">
        <v>35</v>
      </c>
      <c r="M1842" t="s">
        <v>27</v>
      </c>
      <c r="P1842" t="s">
        <v>28</v>
      </c>
      <c r="Q1842" t="s">
        <v>8220</v>
      </c>
      <c r="R1842" t="s">
        <v>8221</v>
      </c>
      <c r="S1842" t="s">
        <v>31</v>
      </c>
      <c r="T1842">
        <v>0</v>
      </c>
    </row>
    <row r="1843" spans="1:20" x14ac:dyDescent="0.25">
      <c r="A1843" t="s">
        <v>8222</v>
      </c>
      <c r="B1843" s="1">
        <v>45838</v>
      </c>
      <c r="C1843" s="5">
        <v>0.14430555555555555</v>
      </c>
      <c r="D1843">
        <v>161.30000000000001</v>
      </c>
      <c r="E1843" t="s">
        <v>44</v>
      </c>
      <c r="F1843" t="s">
        <v>1509</v>
      </c>
      <c r="G1843" t="s">
        <v>34</v>
      </c>
      <c r="H1843" t="s">
        <v>23</v>
      </c>
      <c r="I1843" t="s">
        <v>8223</v>
      </c>
      <c r="J1843">
        <v>37</v>
      </c>
      <c r="K1843" t="s">
        <v>25</v>
      </c>
      <c r="L1843" t="s">
        <v>110</v>
      </c>
      <c r="M1843" t="s">
        <v>51</v>
      </c>
      <c r="N1843" t="s">
        <v>304</v>
      </c>
      <c r="O1843">
        <v>515946</v>
      </c>
      <c r="P1843" t="s">
        <v>28</v>
      </c>
      <c r="Q1843" t="s">
        <v>8224</v>
      </c>
      <c r="R1843" t="s">
        <v>8225</v>
      </c>
      <c r="S1843" t="s">
        <v>31</v>
      </c>
      <c r="T1843">
        <v>0</v>
      </c>
    </row>
    <row r="1844" spans="1:20" x14ac:dyDescent="0.25">
      <c r="A1844" t="s">
        <v>8226</v>
      </c>
      <c r="B1844" s="1">
        <v>45831</v>
      </c>
      <c r="C1844" s="5">
        <v>0.88354166666666667</v>
      </c>
      <c r="D1844">
        <v>163.12</v>
      </c>
      <c r="E1844" t="s">
        <v>44</v>
      </c>
      <c r="F1844" t="s">
        <v>6113</v>
      </c>
      <c r="G1844" t="s">
        <v>34</v>
      </c>
      <c r="H1844" t="s">
        <v>91</v>
      </c>
      <c r="I1844" t="s">
        <v>8227</v>
      </c>
      <c r="J1844">
        <v>72</v>
      </c>
      <c r="K1844" t="s">
        <v>49</v>
      </c>
      <c r="L1844" t="s">
        <v>119</v>
      </c>
      <c r="M1844" t="s">
        <v>27</v>
      </c>
      <c r="P1844" t="s">
        <v>28</v>
      </c>
      <c r="Q1844" t="s">
        <v>8228</v>
      </c>
      <c r="R1844" t="s">
        <v>8229</v>
      </c>
      <c r="S1844" t="s">
        <v>31</v>
      </c>
      <c r="T1844">
        <v>0</v>
      </c>
    </row>
    <row r="1845" spans="1:20" x14ac:dyDescent="0.25">
      <c r="A1845" t="s">
        <v>8230</v>
      </c>
      <c r="B1845" s="1">
        <v>45826</v>
      </c>
      <c r="C1845" s="5">
        <v>0.42969907407407409</v>
      </c>
      <c r="D1845">
        <v>760.96</v>
      </c>
      <c r="E1845" t="s">
        <v>44</v>
      </c>
      <c r="F1845" t="s">
        <v>728</v>
      </c>
      <c r="G1845" t="s">
        <v>124</v>
      </c>
      <c r="H1845" t="s">
        <v>66</v>
      </c>
      <c r="I1845" t="s">
        <v>8231</v>
      </c>
      <c r="J1845">
        <v>54</v>
      </c>
      <c r="K1845" t="s">
        <v>37</v>
      </c>
      <c r="L1845" t="s">
        <v>23</v>
      </c>
      <c r="M1845" t="s">
        <v>112</v>
      </c>
      <c r="P1845" t="s">
        <v>28</v>
      </c>
      <c r="Q1845" t="s">
        <v>8232</v>
      </c>
      <c r="R1845" t="s">
        <v>8233</v>
      </c>
      <c r="S1845" t="s">
        <v>31</v>
      </c>
      <c r="T1845">
        <v>0</v>
      </c>
    </row>
    <row r="1846" spans="1:20" x14ac:dyDescent="0.25">
      <c r="A1846" t="s">
        <v>8234</v>
      </c>
      <c r="B1846" s="1">
        <v>45836</v>
      </c>
      <c r="C1846" s="5">
        <v>0.24247685185185186</v>
      </c>
      <c r="D1846">
        <v>42.44</v>
      </c>
      <c r="E1846" t="s">
        <v>44</v>
      </c>
      <c r="F1846" t="s">
        <v>1509</v>
      </c>
      <c r="G1846" t="s">
        <v>96</v>
      </c>
      <c r="H1846" t="s">
        <v>26</v>
      </c>
      <c r="I1846" t="s">
        <v>8235</v>
      </c>
      <c r="J1846">
        <v>59</v>
      </c>
      <c r="K1846" t="s">
        <v>49</v>
      </c>
      <c r="L1846" t="s">
        <v>58</v>
      </c>
      <c r="M1846" t="s">
        <v>112</v>
      </c>
      <c r="P1846" t="s">
        <v>28</v>
      </c>
      <c r="Q1846" t="s">
        <v>8236</v>
      </c>
      <c r="R1846" t="s">
        <v>8237</v>
      </c>
      <c r="S1846" t="s">
        <v>31</v>
      </c>
      <c r="T1846">
        <v>0</v>
      </c>
    </row>
    <row r="1847" spans="1:20" x14ac:dyDescent="0.25">
      <c r="A1847" t="s">
        <v>8238</v>
      </c>
      <c r="B1847" s="1">
        <v>45808</v>
      </c>
      <c r="C1847" s="5">
        <v>0.96600694444444446</v>
      </c>
      <c r="D1847">
        <v>104.94</v>
      </c>
      <c r="E1847" t="s">
        <v>44</v>
      </c>
      <c r="F1847" t="s">
        <v>3686</v>
      </c>
      <c r="G1847" t="s">
        <v>89</v>
      </c>
      <c r="H1847" t="s">
        <v>58</v>
      </c>
      <c r="I1847" t="s">
        <v>8239</v>
      </c>
      <c r="J1847">
        <v>48</v>
      </c>
      <c r="K1847" t="s">
        <v>25</v>
      </c>
      <c r="L1847" t="s">
        <v>97</v>
      </c>
      <c r="M1847" t="s">
        <v>51</v>
      </c>
      <c r="N1847" t="s">
        <v>304</v>
      </c>
      <c r="O1847">
        <v>456739</v>
      </c>
      <c r="P1847" t="s">
        <v>28</v>
      </c>
      <c r="Q1847" t="s">
        <v>8240</v>
      </c>
      <c r="R1847" t="s">
        <v>8241</v>
      </c>
      <c r="S1847" t="s">
        <v>31</v>
      </c>
      <c r="T1847">
        <v>0</v>
      </c>
    </row>
    <row r="1848" spans="1:20" x14ac:dyDescent="0.25">
      <c r="A1848" t="s">
        <v>8242</v>
      </c>
      <c r="B1848" s="1">
        <v>45792</v>
      </c>
      <c r="C1848" s="5">
        <v>0.96195601851851853</v>
      </c>
      <c r="D1848">
        <v>135.41999999999999</v>
      </c>
      <c r="E1848" t="s">
        <v>44</v>
      </c>
      <c r="F1848" t="s">
        <v>4732</v>
      </c>
      <c r="G1848" t="s">
        <v>124</v>
      </c>
      <c r="H1848" t="s">
        <v>50</v>
      </c>
      <c r="I1848" t="s">
        <v>8243</v>
      </c>
      <c r="J1848">
        <v>71</v>
      </c>
      <c r="K1848" t="s">
        <v>37</v>
      </c>
      <c r="L1848" t="s">
        <v>119</v>
      </c>
      <c r="M1848" t="s">
        <v>39</v>
      </c>
      <c r="P1848" t="s">
        <v>28</v>
      </c>
      <c r="Q1848" t="s">
        <v>8244</v>
      </c>
      <c r="R1848" t="s">
        <v>8245</v>
      </c>
      <c r="S1848" t="s">
        <v>31</v>
      </c>
      <c r="T1848">
        <v>0</v>
      </c>
    </row>
    <row r="1849" spans="1:20" x14ac:dyDescent="0.25">
      <c r="A1849" t="s">
        <v>8246</v>
      </c>
      <c r="B1849" s="1">
        <v>45791</v>
      </c>
      <c r="C1849" s="5">
        <v>0.88568287037037041</v>
      </c>
      <c r="D1849">
        <v>46.95</v>
      </c>
      <c r="E1849" t="s">
        <v>44</v>
      </c>
      <c r="F1849" t="s">
        <v>8247</v>
      </c>
      <c r="G1849" t="s">
        <v>71</v>
      </c>
      <c r="H1849" t="s">
        <v>97</v>
      </c>
      <c r="I1849" t="s">
        <v>8248</v>
      </c>
      <c r="J1849">
        <v>29</v>
      </c>
      <c r="K1849" t="s">
        <v>49</v>
      </c>
      <c r="L1849" t="s">
        <v>23</v>
      </c>
      <c r="M1849" t="s">
        <v>39</v>
      </c>
      <c r="P1849" t="s">
        <v>28</v>
      </c>
      <c r="Q1849" t="s">
        <v>8249</v>
      </c>
      <c r="R1849" t="s">
        <v>8250</v>
      </c>
      <c r="S1849" t="s">
        <v>31</v>
      </c>
      <c r="T1849">
        <v>0</v>
      </c>
    </row>
    <row r="1850" spans="1:20" x14ac:dyDescent="0.25">
      <c r="A1850" t="s">
        <v>8251</v>
      </c>
      <c r="B1850" s="1">
        <v>45871</v>
      </c>
      <c r="C1850" s="5">
        <v>0.69539351851851849</v>
      </c>
      <c r="D1850">
        <v>976.81</v>
      </c>
      <c r="E1850" t="s">
        <v>44</v>
      </c>
      <c r="F1850" t="s">
        <v>7169</v>
      </c>
      <c r="G1850" t="s">
        <v>64</v>
      </c>
      <c r="H1850" t="s">
        <v>146</v>
      </c>
      <c r="I1850" t="s">
        <v>8252</v>
      </c>
      <c r="J1850">
        <v>38</v>
      </c>
      <c r="K1850" t="s">
        <v>37</v>
      </c>
      <c r="L1850" t="s">
        <v>26</v>
      </c>
      <c r="M1850" t="s">
        <v>51</v>
      </c>
      <c r="N1850" t="s">
        <v>507</v>
      </c>
      <c r="O1850">
        <v>422961</v>
      </c>
      <c r="P1850" t="s">
        <v>28</v>
      </c>
      <c r="Q1850" t="s">
        <v>8253</v>
      </c>
      <c r="R1850" t="s">
        <v>8254</v>
      </c>
      <c r="S1850" t="s">
        <v>31</v>
      </c>
      <c r="T1850">
        <v>0</v>
      </c>
    </row>
    <row r="1851" spans="1:20" x14ac:dyDescent="0.25">
      <c r="A1851" t="s">
        <v>8255</v>
      </c>
      <c r="B1851" s="1">
        <v>45807</v>
      </c>
      <c r="C1851" s="5">
        <v>0.64288194444444446</v>
      </c>
      <c r="D1851">
        <v>183.62</v>
      </c>
      <c r="E1851" t="s">
        <v>44</v>
      </c>
      <c r="F1851" t="s">
        <v>4224</v>
      </c>
      <c r="G1851" t="s">
        <v>34</v>
      </c>
      <c r="H1851" t="s">
        <v>38</v>
      </c>
      <c r="I1851" t="s">
        <v>8256</v>
      </c>
      <c r="J1851">
        <v>66</v>
      </c>
      <c r="K1851" t="s">
        <v>25</v>
      </c>
      <c r="L1851" t="s">
        <v>66</v>
      </c>
      <c r="M1851" t="s">
        <v>105</v>
      </c>
      <c r="P1851" t="s">
        <v>28</v>
      </c>
      <c r="Q1851" t="s">
        <v>8257</v>
      </c>
      <c r="R1851" t="s">
        <v>8258</v>
      </c>
      <c r="S1851" t="s">
        <v>31</v>
      </c>
      <c r="T1851">
        <v>1</v>
      </c>
    </row>
    <row r="1852" spans="1:20" x14ac:dyDescent="0.25">
      <c r="A1852" t="s">
        <v>8259</v>
      </c>
      <c r="B1852" s="1">
        <v>45810</v>
      </c>
      <c r="C1852" s="5">
        <v>0.20780092592592592</v>
      </c>
      <c r="D1852">
        <v>37.07</v>
      </c>
      <c r="E1852" t="s">
        <v>44</v>
      </c>
      <c r="F1852" t="s">
        <v>4473</v>
      </c>
      <c r="G1852" t="s">
        <v>46</v>
      </c>
      <c r="H1852" t="s">
        <v>47</v>
      </c>
      <c r="I1852" t="s">
        <v>8260</v>
      </c>
      <c r="J1852">
        <v>47</v>
      </c>
      <c r="K1852" t="s">
        <v>37</v>
      </c>
      <c r="L1852" t="s">
        <v>146</v>
      </c>
      <c r="M1852" t="s">
        <v>27</v>
      </c>
      <c r="P1852" t="s">
        <v>28</v>
      </c>
      <c r="Q1852" t="s">
        <v>8261</v>
      </c>
      <c r="R1852" t="s">
        <v>8262</v>
      </c>
      <c r="S1852" t="s">
        <v>31</v>
      </c>
      <c r="T1852">
        <v>0</v>
      </c>
    </row>
    <row r="1853" spans="1:20" x14ac:dyDescent="0.25">
      <c r="A1853" t="s">
        <v>8263</v>
      </c>
      <c r="B1853" s="1">
        <v>45901</v>
      </c>
      <c r="C1853" s="5">
        <v>0.79119212962962959</v>
      </c>
      <c r="D1853">
        <v>149.5</v>
      </c>
      <c r="E1853" t="s">
        <v>44</v>
      </c>
      <c r="F1853" t="s">
        <v>2423</v>
      </c>
      <c r="G1853" t="s">
        <v>89</v>
      </c>
      <c r="H1853" t="s">
        <v>91</v>
      </c>
      <c r="I1853" t="s">
        <v>3221</v>
      </c>
      <c r="J1853">
        <v>36</v>
      </c>
      <c r="K1853" t="s">
        <v>49</v>
      </c>
      <c r="L1853" t="s">
        <v>58</v>
      </c>
      <c r="M1853" t="s">
        <v>112</v>
      </c>
      <c r="P1853" t="s">
        <v>28</v>
      </c>
      <c r="Q1853" t="s">
        <v>8264</v>
      </c>
      <c r="R1853" t="s">
        <v>8265</v>
      </c>
      <c r="S1853" t="s">
        <v>31</v>
      </c>
      <c r="T1853">
        <v>0</v>
      </c>
    </row>
    <row r="1854" spans="1:20" x14ac:dyDescent="0.25">
      <c r="A1854" t="s">
        <v>8266</v>
      </c>
      <c r="B1854" s="1">
        <v>45850</v>
      </c>
      <c r="C1854" s="5">
        <v>0.55166666666666664</v>
      </c>
      <c r="D1854">
        <v>114.76</v>
      </c>
      <c r="E1854" t="s">
        <v>44</v>
      </c>
      <c r="F1854" t="s">
        <v>3942</v>
      </c>
      <c r="G1854" t="s">
        <v>96</v>
      </c>
      <c r="H1854" t="s">
        <v>35</v>
      </c>
      <c r="I1854" t="s">
        <v>8267</v>
      </c>
      <c r="J1854">
        <v>23</v>
      </c>
      <c r="K1854" t="s">
        <v>37</v>
      </c>
      <c r="L1854" t="s">
        <v>130</v>
      </c>
      <c r="M1854" t="s">
        <v>112</v>
      </c>
      <c r="P1854" t="s">
        <v>28</v>
      </c>
      <c r="Q1854" t="s">
        <v>8268</v>
      </c>
      <c r="R1854" t="s">
        <v>8269</v>
      </c>
      <c r="S1854" t="s">
        <v>31</v>
      </c>
      <c r="T1854">
        <v>1</v>
      </c>
    </row>
    <row r="1855" spans="1:20" x14ac:dyDescent="0.25">
      <c r="A1855" t="s">
        <v>8270</v>
      </c>
      <c r="B1855" s="1">
        <v>45860</v>
      </c>
      <c r="C1855" s="5">
        <v>0.58899305555555559</v>
      </c>
      <c r="D1855">
        <v>174.9</v>
      </c>
      <c r="E1855" t="s">
        <v>44</v>
      </c>
      <c r="F1855" t="s">
        <v>6100</v>
      </c>
      <c r="G1855" t="s">
        <v>64</v>
      </c>
      <c r="H1855" t="s">
        <v>110</v>
      </c>
      <c r="I1855" t="s">
        <v>8271</v>
      </c>
      <c r="J1855">
        <v>21</v>
      </c>
      <c r="K1855" t="s">
        <v>49</v>
      </c>
      <c r="L1855" t="s">
        <v>23</v>
      </c>
      <c r="M1855" t="s">
        <v>51</v>
      </c>
      <c r="N1855" t="s">
        <v>345</v>
      </c>
      <c r="O1855">
        <v>531944</v>
      </c>
      <c r="P1855" t="s">
        <v>28</v>
      </c>
      <c r="Q1855" t="s">
        <v>8272</v>
      </c>
      <c r="R1855" t="s">
        <v>8273</v>
      </c>
      <c r="S1855" t="s">
        <v>31</v>
      </c>
      <c r="T1855">
        <v>0</v>
      </c>
    </row>
    <row r="1856" spans="1:20" x14ac:dyDescent="0.25">
      <c r="A1856" t="s">
        <v>8274</v>
      </c>
      <c r="B1856" s="1">
        <v>45914</v>
      </c>
      <c r="C1856" s="5">
        <v>2.8055555555555556E-2</v>
      </c>
      <c r="D1856">
        <v>943.4</v>
      </c>
      <c r="E1856" t="s">
        <v>44</v>
      </c>
      <c r="F1856" t="s">
        <v>5138</v>
      </c>
      <c r="G1856" t="s">
        <v>77</v>
      </c>
      <c r="H1856" t="s">
        <v>50</v>
      </c>
      <c r="I1856" t="s">
        <v>8275</v>
      </c>
      <c r="J1856">
        <v>60</v>
      </c>
      <c r="K1856" t="s">
        <v>37</v>
      </c>
      <c r="L1856" t="s">
        <v>110</v>
      </c>
      <c r="M1856" t="s">
        <v>51</v>
      </c>
      <c r="N1856" t="s">
        <v>870</v>
      </c>
      <c r="O1856">
        <v>446136</v>
      </c>
      <c r="P1856" t="s">
        <v>28</v>
      </c>
      <c r="Q1856" t="s">
        <v>8276</v>
      </c>
      <c r="R1856" t="s">
        <v>8277</v>
      </c>
      <c r="S1856" t="s">
        <v>31</v>
      </c>
      <c r="T1856">
        <v>0</v>
      </c>
    </row>
    <row r="1857" spans="1:20" x14ac:dyDescent="0.25">
      <c r="A1857" t="s">
        <v>8278</v>
      </c>
      <c r="B1857" s="1">
        <v>45848</v>
      </c>
      <c r="C1857" s="5">
        <v>0.37130787037037039</v>
      </c>
      <c r="D1857">
        <v>175.49</v>
      </c>
      <c r="E1857" t="s">
        <v>44</v>
      </c>
      <c r="F1857" t="s">
        <v>3008</v>
      </c>
      <c r="G1857" t="s">
        <v>57</v>
      </c>
      <c r="H1857" t="s">
        <v>23</v>
      </c>
      <c r="I1857" t="s">
        <v>8279</v>
      </c>
      <c r="J1857">
        <v>69</v>
      </c>
      <c r="K1857" t="s">
        <v>25</v>
      </c>
      <c r="L1857" t="s">
        <v>23</v>
      </c>
      <c r="M1857" t="s">
        <v>112</v>
      </c>
      <c r="P1857" t="s">
        <v>113</v>
      </c>
      <c r="Q1857" t="s">
        <v>8280</v>
      </c>
      <c r="R1857" t="s">
        <v>8281</v>
      </c>
      <c r="S1857" t="s">
        <v>31</v>
      </c>
      <c r="T1857">
        <v>0</v>
      </c>
    </row>
    <row r="1858" spans="1:20" x14ac:dyDescent="0.25">
      <c r="A1858" t="s">
        <v>8282</v>
      </c>
      <c r="B1858" s="1">
        <v>45950</v>
      </c>
      <c r="C1858" s="5">
        <v>0.96299768518518514</v>
      </c>
      <c r="D1858">
        <v>96.71</v>
      </c>
      <c r="E1858" t="s">
        <v>44</v>
      </c>
      <c r="F1858" t="s">
        <v>2680</v>
      </c>
      <c r="G1858" t="s">
        <v>124</v>
      </c>
      <c r="H1858" t="s">
        <v>47</v>
      </c>
      <c r="I1858" t="s">
        <v>8283</v>
      </c>
      <c r="J1858">
        <v>26</v>
      </c>
      <c r="K1858" t="s">
        <v>25</v>
      </c>
      <c r="L1858" t="s">
        <v>119</v>
      </c>
      <c r="M1858" t="s">
        <v>51</v>
      </c>
      <c r="N1858" t="s">
        <v>173</v>
      </c>
      <c r="O1858">
        <v>539234</v>
      </c>
      <c r="P1858" t="s">
        <v>28</v>
      </c>
      <c r="Q1858" t="s">
        <v>8284</v>
      </c>
      <c r="R1858" t="s">
        <v>8285</v>
      </c>
      <c r="S1858" t="s">
        <v>31</v>
      </c>
      <c r="T1858">
        <v>0</v>
      </c>
    </row>
    <row r="1859" spans="1:20" x14ac:dyDescent="0.25">
      <c r="A1859" t="s">
        <v>8286</v>
      </c>
      <c r="B1859" s="1">
        <v>45900</v>
      </c>
      <c r="C1859" s="5">
        <v>1.8136574074074076E-2</v>
      </c>
      <c r="D1859">
        <v>61.45</v>
      </c>
      <c r="E1859" t="s">
        <v>44</v>
      </c>
      <c r="F1859" t="s">
        <v>2349</v>
      </c>
      <c r="G1859" t="s">
        <v>124</v>
      </c>
      <c r="H1859" t="s">
        <v>58</v>
      </c>
      <c r="I1859" t="s">
        <v>8287</v>
      </c>
      <c r="J1859">
        <v>31</v>
      </c>
      <c r="K1859" t="s">
        <v>25</v>
      </c>
      <c r="L1859" t="s">
        <v>26</v>
      </c>
      <c r="M1859" t="s">
        <v>51</v>
      </c>
      <c r="N1859" t="s">
        <v>507</v>
      </c>
      <c r="O1859">
        <v>550100</v>
      </c>
      <c r="P1859" t="s">
        <v>28</v>
      </c>
      <c r="Q1859" t="s">
        <v>8288</v>
      </c>
      <c r="R1859" t="s">
        <v>8289</v>
      </c>
      <c r="S1859" t="s">
        <v>31</v>
      </c>
      <c r="T1859">
        <v>0</v>
      </c>
    </row>
    <row r="1860" spans="1:20" x14ac:dyDescent="0.25">
      <c r="A1860" t="s">
        <v>8290</v>
      </c>
      <c r="B1860" s="1">
        <v>45867</v>
      </c>
      <c r="C1860" s="5">
        <v>0.63912037037037039</v>
      </c>
      <c r="D1860">
        <v>41.77</v>
      </c>
      <c r="E1860" t="s">
        <v>44</v>
      </c>
      <c r="F1860" t="s">
        <v>1734</v>
      </c>
      <c r="G1860" t="s">
        <v>34</v>
      </c>
      <c r="H1860" t="s">
        <v>248</v>
      </c>
      <c r="I1860" t="s">
        <v>8291</v>
      </c>
      <c r="J1860">
        <v>22</v>
      </c>
      <c r="K1860" t="s">
        <v>49</v>
      </c>
      <c r="L1860" t="s">
        <v>38</v>
      </c>
      <c r="M1860" t="s">
        <v>39</v>
      </c>
      <c r="P1860" t="s">
        <v>28</v>
      </c>
      <c r="Q1860" t="s">
        <v>8292</v>
      </c>
      <c r="R1860" t="s">
        <v>8293</v>
      </c>
      <c r="S1860" t="s">
        <v>31</v>
      </c>
      <c r="T1860">
        <v>0</v>
      </c>
    </row>
    <row r="1861" spans="1:20" x14ac:dyDescent="0.25">
      <c r="A1861" t="s">
        <v>8294</v>
      </c>
      <c r="B1861" s="1">
        <v>45929</v>
      </c>
      <c r="C1861" s="5">
        <v>0.55739583333333331</v>
      </c>
      <c r="D1861">
        <v>127.14</v>
      </c>
      <c r="E1861" t="s">
        <v>44</v>
      </c>
      <c r="F1861" t="s">
        <v>5624</v>
      </c>
      <c r="G1861" t="s">
        <v>124</v>
      </c>
      <c r="H1861" t="s">
        <v>119</v>
      </c>
      <c r="I1861" t="s">
        <v>8295</v>
      </c>
      <c r="J1861">
        <v>28</v>
      </c>
      <c r="K1861" t="s">
        <v>37</v>
      </c>
      <c r="L1861" t="s">
        <v>35</v>
      </c>
      <c r="M1861" t="s">
        <v>105</v>
      </c>
      <c r="P1861" t="s">
        <v>28</v>
      </c>
      <c r="Q1861" t="s">
        <v>8296</v>
      </c>
      <c r="R1861" t="s">
        <v>8297</v>
      </c>
      <c r="S1861" t="s">
        <v>101</v>
      </c>
      <c r="T1861">
        <v>0</v>
      </c>
    </row>
    <row r="1862" spans="1:20" x14ac:dyDescent="0.25">
      <c r="A1862" t="s">
        <v>8298</v>
      </c>
      <c r="B1862" s="1">
        <v>45841</v>
      </c>
      <c r="C1862" s="5">
        <v>0.63373842592592589</v>
      </c>
      <c r="D1862">
        <v>109.25</v>
      </c>
      <c r="E1862" t="s">
        <v>44</v>
      </c>
      <c r="F1862" t="s">
        <v>428</v>
      </c>
      <c r="G1862" t="s">
        <v>64</v>
      </c>
      <c r="H1862" t="s">
        <v>38</v>
      </c>
      <c r="I1862" t="s">
        <v>8299</v>
      </c>
      <c r="J1862">
        <v>28</v>
      </c>
      <c r="K1862" t="s">
        <v>37</v>
      </c>
      <c r="L1862" t="s">
        <v>119</v>
      </c>
      <c r="M1862" t="s">
        <v>112</v>
      </c>
      <c r="P1862" t="s">
        <v>28</v>
      </c>
      <c r="Q1862" t="s">
        <v>8300</v>
      </c>
      <c r="R1862" t="s">
        <v>8301</v>
      </c>
      <c r="S1862" t="s">
        <v>31</v>
      </c>
      <c r="T1862">
        <v>0</v>
      </c>
    </row>
    <row r="1863" spans="1:20" x14ac:dyDescent="0.25">
      <c r="A1863" t="s">
        <v>8302</v>
      </c>
      <c r="B1863" s="1">
        <v>45878</v>
      </c>
      <c r="C1863" s="5">
        <v>0.99216435185185181</v>
      </c>
      <c r="D1863">
        <v>158.61000000000001</v>
      </c>
      <c r="E1863" t="s">
        <v>44</v>
      </c>
      <c r="F1863" t="s">
        <v>2726</v>
      </c>
      <c r="G1863" t="s">
        <v>64</v>
      </c>
      <c r="H1863" t="s">
        <v>110</v>
      </c>
      <c r="I1863" t="s">
        <v>8303</v>
      </c>
      <c r="J1863">
        <v>38</v>
      </c>
      <c r="K1863" t="s">
        <v>25</v>
      </c>
      <c r="L1863" t="s">
        <v>38</v>
      </c>
      <c r="M1863" t="s">
        <v>105</v>
      </c>
      <c r="P1863" t="s">
        <v>28</v>
      </c>
      <c r="Q1863" t="s">
        <v>8304</v>
      </c>
      <c r="R1863" t="s">
        <v>8305</v>
      </c>
      <c r="S1863" t="s">
        <v>31</v>
      </c>
      <c r="T1863">
        <v>0</v>
      </c>
    </row>
    <row r="1864" spans="1:20" x14ac:dyDescent="0.25">
      <c r="A1864" t="s">
        <v>8306</v>
      </c>
      <c r="B1864" s="1">
        <v>45879</v>
      </c>
      <c r="C1864" s="5">
        <v>9.9884259259259256E-2</v>
      </c>
      <c r="D1864">
        <v>108.38</v>
      </c>
      <c r="E1864" t="s">
        <v>44</v>
      </c>
      <c r="F1864" t="s">
        <v>3504</v>
      </c>
      <c r="G1864" t="s">
        <v>57</v>
      </c>
      <c r="H1864" t="s">
        <v>91</v>
      </c>
      <c r="I1864" t="s">
        <v>8307</v>
      </c>
      <c r="J1864">
        <v>74</v>
      </c>
      <c r="K1864" t="s">
        <v>37</v>
      </c>
      <c r="L1864" t="s">
        <v>130</v>
      </c>
      <c r="M1864" t="s">
        <v>84</v>
      </c>
      <c r="P1864" t="s">
        <v>28</v>
      </c>
      <c r="Q1864" t="s">
        <v>8308</v>
      </c>
      <c r="R1864" t="s">
        <v>8309</v>
      </c>
      <c r="S1864" t="s">
        <v>31</v>
      </c>
      <c r="T1864">
        <v>0</v>
      </c>
    </row>
    <row r="1865" spans="1:20" x14ac:dyDescent="0.25">
      <c r="A1865" t="s">
        <v>8310</v>
      </c>
      <c r="B1865" s="1">
        <v>45845</v>
      </c>
      <c r="C1865" s="5">
        <v>0.88953703703703701</v>
      </c>
      <c r="D1865">
        <v>125.43</v>
      </c>
      <c r="E1865" t="s">
        <v>44</v>
      </c>
      <c r="F1865" t="s">
        <v>7275</v>
      </c>
      <c r="G1865" t="s">
        <v>22</v>
      </c>
      <c r="H1865" t="s">
        <v>50</v>
      </c>
      <c r="I1865" t="s">
        <v>8311</v>
      </c>
      <c r="J1865">
        <v>54</v>
      </c>
      <c r="K1865" t="s">
        <v>25</v>
      </c>
      <c r="L1865" t="s">
        <v>50</v>
      </c>
      <c r="M1865" t="s">
        <v>51</v>
      </c>
      <c r="N1865" t="s">
        <v>870</v>
      </c>
      <c r="O1865">
        <v>541138</v>
      </c>
      <c r="P1865" t="s">
        <v>113</v>
      </c>
      <c r="Q1865" t="s">
        <v>8312</v>
      </c>
      <c r="R1865" t="s">
        <v>8313</v>
      </c>
      <c r="S1865" t="s">
        <v>31</v>
      </c>
      <c r="T1865">
        <v>0</v>
      </c>
    </row>
    <row r="1866" spans="1:20" x14ac:dyDescent="0.25">
      <c r="A1866" t="s">
        <v>8314</v>
      </c>
      <c r="B1866" s="1">
        <v>45815</v>
      </c>
      <c r="C1866" s="5">
        <v>0.64615740740740746</v>
      </c>
      <c r="D1866">
        <v>2232.0300000000002</v>
      </c>
      <c r="E1866" t="s">
        <v>44</v>
      </c>
      <c r="F1866" t="s">
        <v>379</v>
      </c>
      <c r="G1866" t="s">
        <v>22</v>
      </c>
      <c r="H1866" t="s">
        <v>38</v>
      </c>
      <c r="I1866" t="s">
        <v>8315</v>
      </c>
      <c r="J1866">
        <v>36</v>
      </c>
      <c r="K1866" t="s">
        <v>49</v>
      </c>
      <c r="L1866" t="s">
        <v>119</v>
      </c>
      <c r="M1866" t="s">
        <v>112</v>
      </c>
      <c r="P1866" t="s">
        <v>28</v>
      </c>
      <c r="Q1866" t="s">
        <v>8316</v>
      </c>
      <c r="R1866" t="s">
        <v>8317</v>
      </c>
      <c r="S1866" t="s">
        <v>31</v>
      </c>
      <c r="T1866">
        <v>0</v>
      </c>
    </row>
    <row r="1867" spans="1:20" x14ac:dyDescent="0.25">
      <c r="A1867" t="s">
        <v>8318</v>
      </c>
      <c r="B1867" s="1">
        <v>45906</v>
      </c>
      <c r="C1867" s="5">
        <v>0.72315972222222225</v>
      </c>
      <c r="D1867">
        <v>96.36</v>
      </c>
      <c r="E1867" t="s">
        <v>44</v>
      </c>
      <c r="F1867" t="s">
        <v>3960</v>
      </c>
      <c r="G1867" t="s">
        <v>34</v>
      </c>
      <c r="H1867" t="s">
        <v>91</v>
      </c>
      <c r="I1867" t="s">
        <v>8319</v>
      </c>
      <c r="J1867">
        <v>26</v>
      </c>
      <c r="K1867" t="s">
        <v>37</v>
      </c>
      <c r="L1867" t="s">
        <v>110</v>
      </c>
      <c r="M1867" t="s">
        <v>105</v>
      </c>
      <c r="P1867" t="s">
        <v>28</v>
      </c>
      <c r="Q1867" t="s">
        <v>8320</v>
      </c>
      <c r="R1867" t="s">
        <v>8321</v>
      </c>
      <c r="S1867" t="s">
        <v>31</v>
      </c>
      <c r="T1867">
        <v>0</v>
      </c>
    </row>
    <row r="1868" spans="1:20" x14ac:dyDescent="0.25">
      <c r="A1868" t="s">
        <v>8322</v>
      </c>
      <c r="B1868" s="1">
        <v>45920</v>
      </c>
      <c r="C1868" s="5">
        <v>0.35399305555555555</v>
      </c>
      <c r="D1868">
        <v>999.7</v>
      </c>
      <c r="E1868" t="s">
        <v>44</v>
      </c>
      <c r="F1868" t="s">
        <v>2423</v>
      </c>
      <c r="G1868" t="s">
        <v>96</v>
      </c>
      <c r="H1868" t="s">
        <v>66</v>
      </c>
      <c r="I1868" t="s">
        <v>8323</v>
      </c>
      <c r="J1868">
        <v>42</v>
      </c>
      <c r="K1868" t="s">
        <v>37</v>
      </c>
      <c r="L1868" t="s">
        <v>38</v>
      </c>
      <c r="M1868" t="s">
        <v>27</v>
      </c>
      <c r="P1868" t="s">
        <v>28</v>
      </c>
      <c r="Q1868" t="s">
        <v>8324</v>
      </c>
      <c r="R1868" t="s">
        <v>8325</v>
      </c>
      <c r="S1868" t="s">
        <v>31</v>
      </c>
      <c r="T1868">
        <v>0</v>
      </c>
    </row>
    <row r="1869" spans="1:20" x14ac:dyDescent="0.25">
      <c r="A1869" t="s">
        <v>8326</v>
      </c>
      <c r="B1869" s="1">
        <v>45932</v>
      </c>
      <c r="C1869" s="5">
        <v>0.64307870370370368</v>
      </c>
      <c r="D1869">
        <v>108.65</v>
      </c>
      <c r="E1869" t="s">
        <v>44</v>
      </c>
      <c r="F1869" t="s">
        <v>7871</v>
      </c>
      <c r="G1869" t="s">
        <v>96</v>
      </c>
      <c r="H1869" t="s">
        <v>248</v>
      </c>
      <c r="I1869" t="s">
        <v>8327</v>
      </c>
      <c r="J1869">
        <v>54</v>
      </c>
      <c r="K1869" t="s">
        <v>37</v>
      </c>
      <c r="L1869" t="s">
        <v>146</v>
      </c>
      <c r="M1869" t="s">
        <v>112</v>
      </c>
      <c r="P1869" t="s">
        <v>28</v>
      </c>
      <c r="Q1869" t="s">
        <v>8328</v>
      </c>
      <c r="R1869" t="s">
        <v>8329</v>
      </c>
      <c r="S1869" t="s">
        <v>31</v>
      </c>
      <c r="T1869">
        <v>0</v>
      </c>
    </row>
    <row r="1870" spans="1:20" x14ac:dyDescent="0.25">
      <c r="A1870" t="s">
        <v>8330</v>
      </c>
      <c r="B1870" s="1">
        <v>45917</v>
      </c>
      <c r="C1870" s="5">
        <v>0.70234953703703706</v>
      </c>
      <c r="D1870">
        <v>35.630000000000003</v>
      </c>
      <c r="E1870" t="s">
        <v>44</v>
      </c>
      <c r="F1870" t="s">
        <v>5081</v>
      </c>
      <c r="G1870" t="s">
        <v>46</v>
      </c>
      <c r="H1870" t="s">
        <v>47</v>
      </c>
      <c r="I1870" t="s">
        <v>8331</v>
      </c>
      <c r="J1870">
        <v>26</v>
      </c>
      <c r="K1870" t="s">
        <v>37</v>
      </c>
      <c r="L1870" t="s">
        <v>38</v>
      </c>
      <c r="M1870" t="s">
        <v>105</v>
      </c>
      <c r="P1870" t="s">
        <v>28</v>
      </c>
      <c r="Q1870" t="s">
        <v>8332</v>
      </c>
      <c r="R1870" t="s">
        <v>8333</v>
      </c>
      <c r="S1870" t="s">
        <v>31</v>
      </c>
      <c r="T1870">
        <v>0</v>
      </c>
    </row>
    <row r="1871" spans="1:20" x14ac:dyDescent="0.25">
      <c r="A1871" t="s">
        <v>8334</v>
      </c>
      <c r="B1871" s="1">
        <v>45800</v>
      </c>
      <c r="C1871" s="5">
        <v>0.48989583333333331</v>
      </c>
      <c r="D1871">
        <v>38.090000000000003</v>
      </c>
      <c r="E1871" t="s">
        <v>44</v>
      </c>
      <c r="F1871" t="s">
        <v>349</v>
      </c>
      <c r="G1871" t="s">
        <v>57</v>
      </c>
      <c r="H1871" t="s">
        <v>110</v>
      </c>
      <c r="I1871" t="s">
        <v>8335</v>
      </c>
      <c r="J1871">
        <v>21</v>
      </c>
      <c r="K1871" t="s">
        <v>37</v>
      </c>
      <c r="L1871" t="s">
        <v>97</v>
      </c>
      <c r="M1871" t="s">
        <v>84</v>
      </c>
      <c r="P1871" t="s">
        <v>28</v>
      </c>
      <c r="Q1871" t="s">
        <v>8336</v>
      </c>
      <c r="R1871" t="s">
        <v>8337</v>
      </c>
      <c r="S1871" t="s">
        <v>31</v>
      </c>
      <c r="T1871">
        <v>0</v>
      </c>
    </row>
    <row r="1872" spans="1:20" x14ac:dyDescent="0.25">
      <c r="A1872" t="s">
        <v>8338</v>
      </c>
      <c r="B1872" s="1">
        <v>45888</v>
      </c>
      <c r="C1872" s="5">
        <v>0.45327546296296295</v>
      </c>
      <c r="D1872">
        <v>190.02</v>
      </c>
      <c r="E1872" t="s">
        <v>44</v>
      </c>
      <c r="F1872" t="s">
        <v>2457</v>
      </c>
      <c r="G1872" t="s">
        <v>124</v>
      </c>
      <c r="H1872" t="s">
        <v>58</v>
      </c>
      <c r="I1872" t="s">
        <v>8339</v>
      </c>
      <c r="J1872">
        <v>31</v>
      </c>
      <c r="K1872" t="s">
        <v>49</v>
      </c>
      <c r="L1872" t="s">
        <v>47</v>
      </c>
      <c r="M1872" t="s">
        <v>84</v>
      </c>
      <c r="P1872" t="s">
        <v>28</v>
      </c>
      <c r="Q1872" t="s">
        <v>8340</v>
      </c>
      <c r="R1872" t="s">
        <v>8341</v>
      </c>
      <c r="S1872" t="s">
        <v>31</v>
      </c>
      <c r="T1872">
        <v>0</v>
      </c>
    </row>
    <row r="1873" spans="1:20" x14ac:dyDescent="0.25">
      <c r="A1873" t="s">
        <v>8342</v>
      </c>
      <c r="B1873" s="1">
        <v>45807</v>
      </c>
      <c r="C1873" s="5">
        <v>0.24189814814814814</v>
      </c>
      <c r="D1873">
        <v>88.62</v>
      </c>
      <c r="E1873" t="s">
        <v>44</v>
      </c>
      <c r="F1873" t="s">
        <v>1366</v>
      </c>
      <c r="G1873" t="s">
        <v>34</v>
      </c>
      <c r="H1873" t="s">
        <v>66</v>
      </c>
      <c r="I1873" t="s">
        <v>8343</v>
      </c>
      <c r="J1873">
        <v>72</v>
      </c>
      <c r="K1873" t="s">
        <v>49</v>
      </c>
      <c r="L1873" t="s">
        <v>110</v>
      </c>
      <c r="M1873" t="s">
        <v>27</v>
      </c>
      <c r="P1873" t="s">
        <v>28</v>
      </c>
      <c r="Q1873" t="s">
        <v>8344</v>
      </c>
      <c r="R1873" t="s">
        <v>8345</v>
      </c>
      <c r="S1873" t="s">
        <v>31</v>
      </c>
      <c r="T1873">
        <v>0</v>
      </c>
    </row>
    <row r="1874" spans="1:20" x14ac:dyDescent="0.25">
      <c r="A1874" t="s">
        <v>8346</v>
      </c>
      <c r="B1874" s="1">
        <v>45892</v>
      </c>
      <c r="C1874" s="5">
        <v>0.6400231481481482</v>
      </c>
      <c r="D1874">
        <v>540.34</v>
      </c>
      <c r="E1874" t="s">
        <v>44</v>
      </c>
      <c r="F1874" t="s">
        <v>2462</v>
      </c>
      <c r="G1874" t="s">
        <v>124</v>
      </c>
      <c r="H1874" t="s">
        <v>146</v>
      </c>
      <c r="I1874" t="s">
        <v>8347</v>
      </c>
      <c r="J1874">
        <v>32</v>
      </c>
      <c r="K1874" t="s">
        <v>37</v>
      </c>
      <c r="L1874" t="s">
        <v>146</v>
      </c>
      <c r="M1874" t="s">
        <v>105</v>
      </c>
      <c r="P1874" t="s">
        <v>113</v>
      </c>
      <c r="Q1874" t="s">
        <v>8348</v>
      </c>
      <c r="R1874" t="s">
        <v>8349</v>
      </c>
      <c r="S1874" t="s">
        <v>31</v>
      </c>
      <c r="T1874">
        <v>0</v>
      </c>
    </row>
    <row r="1875" spans="1:20" x14ac:dyDescent="0.25">
      <c r="A1875" t="s">
        <v>8350</v>
      </c>
      <c r="B1875" s="1">
        <v>45910</v>
      </c>
      <c r="C1875" s="5">
        <v>0.21553240740740739</v>
      </c>
      <c r="D1875">
        <v>90.34</v>
      </c>
      <c r="E1875" t="s">
        <v>44</v>
      </c>
      <c r="F1875" t="s">
        <v>888</v>
      </c>
      <c r="G1875" t="s">
        <v>22</v>
      </c>
      <c r="H1875" t="s">
        <v>38</v>
      </c>
      <c r="I1875" t="s">
        <v>8351</v>
      </c>
      <c r="J1875">
        <v>46</v>
      </c>
      <c r="K1875" t="s">
        <v>25</v>
      </c>
      <c r="L1875" t="s">
        <v>26</v>
      </c>
      <c r="M1875" t="s">
        <v>112</v>
      </c>
      <c r="P1875" t="s">
        <v>28</v>
      </c>
      <c r="Q1875" t="s">
        <v>8352</v>
      </c>
      <c r="R1875" t="s">
        <v>8353</v>
      </c>
      <c r="S1875" t="s">
        <v>31</v>
      </c>
      <c r="T1875">
        <v>0</v>
      </c>
    </row>
    <row r="1876" spans="1:20" x14ac:dyDescent="0.25">
      <c r="A1876" t="s">
        <v>8354</v>
      </c>
      <c r="B1876" s="1">
        <v>45931</v>
      </c>
      <c r="C1876" s="5">
        <v>0.53883101851851856</v>
      </c>
      <c r="D1876">
        <v>130.63999999999999</v>
      </c>
      <c r="E1876" t="s">
        <v>44</v>
      </c>
      <c r="F1876" t="s">
        <v>7486</v>
      </c>
      <c r="G1876" t="s">
        <v>124</v>
      </c>
      <c r="H1876" t="s">
        <v>50</v>
      </c>
      <c r="I1876" t="s">
        <v>8355</v>
      </c>
      <c r="J1876">
        <v>43</v>
      </c>
      <c r="K1876" t="s">
        <v>37</v>
      </c>
      <c r="L1876" t="s">
        <v>50</v>
      </c>
      <c r="M1876" t="s">
        <v>105</v>
      </c>
      <c r="P1876" t="s">
        <v>113</v>
      </c>
      <c r="Q1876" t="s">
        <v>8356</v>
      </c>
      <c r="R1876" t="s">
        <v>8357</v>
      </c>
      <c r="S1876" t="s">
        <v>31</v>
      </c>
      <c r="T1876">
        <v>0</v>
      </c>
    </row>
    <row r="1877" spans="1:20" x14ac:dyDescent="0.25">
      <c r="A1877" t="s">
        <v>8358</v>
      </c>
      <c r="B1877" s="1">
        <v>45832</v>
      </c>
      <c r="C1877" s="5">
        <v>5.8622685185185187E-2</v>
      </c>
      <c r="D1877">
        <v>139.96</v>
      </c>
      <c r="E1877" t="s">
        <v>44</v>
      </c>
      <c r="F1877" t="s">
        <v>2200</v>
      </c>
      <c r="G1877" t="s">
        <v>89</v>
      </c>
      <c r="H1877" t="s">
        <v>130</v>
      </c>
      <c r="I1877" t="s">
        <v>8359</v>
      </c>
      <c r="J1877">
        <v>50</v>
      </c>
      <c r="K1877" t="s">
        <v>37</v>
      </c>
      <c r="L1877" t="s">
        <v>119</v>
      </c>
      <c r="M1877" t="s">
        <v>105</v>
      </c>
      <c r="P1877" t="s">
        <v>28</v>
      </c>
      <c r="Q1877" t="s">
        <v>8360</v>
      </c>
      <c r="R1877" t="s">
        <v>8361</v>
      </c>
      <c r="S1877" t="s">
        <v>31</v>
      </c>
      <c r="T1877">
        <v>0</v>
      </c>
    </row>
    <row r="1878" spans="1:20" x14ac:dyDescent="0.25">
      <c r="A1878" t="s">
        <v>8362</v>
      </c>
      <c r="B1878" s="1">
        <v>45922</v>
      </c>
      <c r="C1878" s="5">
        <v>0.26791666666666669</v>
      </c>
      <c r="D1878">
        <v>131.38999999999999</v>
      </c>
      <c r="E1878" t="s">
        <v>44</v>
      </c>
      <c r="F1878" t="s">
        <v>5201</v>
      </c>
      <c r="G1878" t="s">
        <v>46</v>
      </c>
      <c r="H1878" t="s">
        <v>58</v>
      </c>
      <c r="I1878" t="s">
        <v>8363</v>
      </c>
      <c r="J1878">
        <v>68</v>
      </c>
      <c r="K1878" t="s">
        <v>37</v>
      </c>
      <c r="L1878" t="s">
        <v>47</v>
      </c>
      <c r="M1878" t="s">
        <v>105</v>
      </c>
      <c r="P1878" t="s">
        <v>28</v>
      </c>
      <c r="Q1878" t="s">
        <v>8364</v>
      </c>
      <c r="R1878" t="s">
        <v>8365</v>
      </c>
      <c r="S1878" t="s">
        <v>31</v>
      </c>
      <c r="T1878">
        <v>0</v>
      </c>
    </row>
    <row r="1879" spans="1:20" x14ac:dyDescent="0.25">
      <c r="A1879" t="s">
        <v>8366</v>
      </c>
      <c r="B1879" s="1">
        <v>45924</v>
      </c>
      <c r="C1879" s="5">
        <v>0.46212962962962961</v>
      </c>
      <c r="D1879">
        <v>67.17</v>
      </c>
      <c r="E1879" t="s">
        <v>44</v>
      </c>
      <c r="F1879" t="s">
        <v>888</v>
      </c>
      <c r="G1879" t="s">
        <v>34</v>
      </c>
      <c r="H1879" t="s">
        <v>23</v>
      </c>
      <c r="I1879" t="s">
        <v>8367</v>
      </c>
      <c r="J1879">
        <v>40</v>
      </c>
      <c r="K1879" t="s">
        <v>37</v>
      </c>
      <c r="L1879" t="s">
        <v>58</v>
      </c>
      <c r="M1879" t="s">
        <v>51</v>
      </c>
      <c r="N1879" t="s">
        <v>304</v>
      </c>
      <c r="O1879">
        <v>459934</v>
      </c>
      <c r="P1879" t="s">
        <v>28</v>
      </c>
      <c r="Q1879" t="s">
        <v>8368</v>
      </c>
      <c r="R1879" t="s">
        <v>8369</v>
      </c>
      <c r="S1879" t="s">
        <v>31</v>
      </c>
      <c r="T1879">
        <v>0</v>
      </c>
    </row>
    <row r="1880" spans="1:20" x14ac:dyDescent="0.25">
      <c r="A1880" t="s">
        <v>8370</v>
      </c>
      <c r="B1880" s="1">
        <v>45866</v>
      </c>
      <c r="C1880" s="5">
        <v>0.30476851851851849</v>
      </c>
      <c r="D1880">
        <v>169.67</v>
      </c>
      <c r="E1880" t="s">
        <v>44</v>
      </c>
      <c r="F1880" t="s">
        <v>4319</v>
      </c>
      <c r="G1880" t="s">
        <v>64</v>
      </c>
      <c r="H1880" t="s">
        <v>66</v>
      </c>
      <c r="I1880" t="s">
        <v>8371</v>
      </c>
      <c r="J1880">
        <v>44</v>
      </c>
      <c r="K1880" t="s">
        <v>37</v>
      </c>
      <c r="L1880" t="s">
        <v>97</v>
      </c>
      <c r="M1880" t="s">
        <v>84</v>
      </c>
      <c r="P1880" t="s">
        <v>28</v>
      </c>
      <c r="Q1880" t="s">
        <v>8372</v>
      </c>
      <c r="R1880" t="s">
        <v>8373</v>
      </c>
      <c r="S1880" t="s">
        <v>31</v>
      </c>
      <c r="T1880">
        <v>0</v>
      </c>
    </row>
    <row r="1881" spans="1:20" x14ac:dyDescent="0.25">
      <c r="A1881" t="s">
        <v>8374</v>
      </c>
      <c r="B1881" s="1">
        <v>45853</v>
      </c>
      <c r="C1881" s="5">
        <v>0.67322916666666666</v>
      </c>
      <c r="D1881">
        <v>56.71</v>
      </c>
      <c r="E1881" t="s">
        <v>44</v>
      </c>
      <c r="F1881" t="s">
        <v>723</v>
      </c>
      <c r="G1881" t="s">
        <v>57</v>
      </c>
      <c r="H1881" t="s">
        <v>38</v>
      </c>
      <c r="I1881" t="s">
        <v>5054</v>
      </c>
      <c r="J1881">
        <v>46</v>
      </c>
      <c r="K1881" t="s">
        <v>37</v>
      </c>
      <c r="L1881" t="s">
        <v>26</v>
      </c>
      <c r="M1881" t="s">
        <v>27</v>
      </c>
      <c r="P1881" t="s">
        <v>28</v>
      </c>
      <c r="Q1881" t="s">
        <v>8375</v>
      </c>
      <c r="R1881" t="s">
        <v>8376</v>
      </c>
      <c r="S1881" t="s">
        <v>42</v>
      </c>
      <c r="T1881">
        <v>0</v>
      </c>
    </row>
    <row r="1882" spans="1:20" x14ac:dyDescent="0.25">
      <c r="A1882" t="s">
        <v>8377</v>
      </c>
      <c r="B1882" s="1">
        <v>45918</v>
      </c>
      <c r="C1882" s="5">
        <v>0.35550925925925925</v>
      </c>
      <c r="D1882">
        <v>118.62</v>
      </c>
      <c r="E1882" t="s">
        <v>44</v>
      </c>
      <c r="F1882" t="s">
        <v>8378</v>
      </c>
      <c r="G1882" t="s">
        <v>34</v>
      </c>
      <c r="H1882" t="s">
        <v>23</v>
      </c>
      <c r="I1882" t="s">
        <v>8379</v>
      </c>
      <c r="J1882">
        <v>54</v>
      </c>
      <c r="K1882" t="s">
        <v>25</v>
      </c>
      <c r="L1882" t="s">
        <v>23</v>
      </c>
      <c r="M1882" t="s">
        <v>112</v>
      </c>
      <c r="P1882" t="s">
        <v>113</v>
      </c>
      <c r="Q1882" t="s">
        <v>8380</v>
      </c>
      <c r="R1882" t="s">
        <v>8381</v>
      </c>
      <c r="S1882" t="s">
        <v>101</v>
      </c>
      <c r="T1882">
        <v>0</v>
      </c>
    </row>
    <row r="1883" spans="1:20" x14ac:dyDescent="0.25">
      <c r="A1883" t="s">
        <v>8382</v>
      </c>
      <c r="B1883" s="1">
        <v>45870</v>
      </c>
      <c r="C1883" s="5">
        <v>0.36282407407407408</v>
      </c>
      <c r="D1883">
        <v>132.97999999999999</v>
      </c>
      <c r="E1883" t="s">
        <v>44</v>
      </c>
      <c r="F1883" t="s">
        <v>8383</v>
      </c>
      <c r="G1883" t="s">
        <v>124</v>
      </c>
      <c r="H1883" t="s">
        <v>50</v>
      </c>
      <c r="I1883" t="s">
        <v>8384</v>
      </c>
      <c r="J1883">
        <v>71</v>
      </c>
      <c r="K1883" t="s">
        <v>49</v>
      </c>
      <c r="L1883" t="s">
        <v>248</v>
      </c>
      <c r="M1883" t="s">
        <v>112</v>
      </c>
      <c r="P1883" t="s">
        <v>28</v>
      </c>
      <c r="Q1883" t="s">
        <v>8385</v>
      </c>
      <c r="R1883" t="s">
        <v>8386</v>
      </c>
      <c r="S1883" t="s">
        <v>31</v>
      </c>
      <c r="T1883">
        <v>0</v>
      </c>
    </row>
    <row r="1884" spans="1:20" x14ac:dyDescent="0.25">
      <c r="A1884" t="s">
        <v>8387</v>
      </c>
      <c r="B1884" s="1">
        <v>45915</v>
      </c>
      <c r="C1884" s="5">
        <v>0.95438657407407412</v>
      </c>
      <c r="D1884">
        <v>29.49</v>
      </c>
      <c r="E1884" t="s">
        <v>44</v>
      </c>
      <c r="F1884" t="s">
        <v>8388</v>
      </c>
      <c r="G1884" t="s">
        <v>96</v>
      </c>
      <c r="H1884" t="s">
        <v>130</v>
      </c>
      <c r="I1884" t="s">
        <v>7496</v>
      </c>
      <c r="J1884">
        <v>53</v>
      </c>
      <c r="K1884" t="s">
        <v>25</v>
      </c>
      <c r="L1884" t="s">
        <v>23</v>
      </c>
      <c r="M1884" t="s">
        <v>27</v>
      </c>
      <c r="P1884" t="s">
        <v>28</v>
      </c>
      <c r="Q1884" t="s">
        <v>8389</v>
      </c>
      <c r="R1884" t="s">
        <v>8390</v>
      </c>
      <c r="S1884" t="s">
        <v>31</v>
      </c>
      <c r="T1884">
        <v>0</v>
      </c>
    </row>
    <row r="1885" spans="1:20" x14ac:dyDescent="0.25">
      <c r="A1885" t="s">
        <v>8391</v>
      </c>
      <c r="B1885" s="1">
        <v>45787</v>
      </c>
      <c r="C1885" s="5">
        <v>8.1018518518518514E-3</v>
      </c>
      <c r="D1885">
        <v>2094.11</v>
      </c>
      <c r="E1885" t="s">
        <v>44</v>
      </c>
      <c r="F1885" t="s">
        <v>1077</v>
      </c>
      <c r="G1885" t="s">
        <v>57</v>
      </c>
      <c r="H1885" t="s">
        <v>23</v>
      </c>
      <c r="I1885" t="s">
        <v>8392</v>
      </c>
      <c r="J1885">
        <v>45</v>
      </c>
      <c r="K1885" t="s">
        <v>49</v>
      </c>
      <c r="L1885" t="s">
        <v>50</v>
      </c>
      <c r="M1885" t="s">
        <v>51</v>
      </c>
      <c r="N1885" t="s">
        <v>52</v>
      </c>
      <c r="O1885">
        <v>0</v>
      </c>
      <c r="P1885" t="s">
        <v>28</v>
      </c>
      <c r="Q1885" t="s">
        <v>8393</v>
      </c>
      <c r="R1885" t="s">
        <v>8394</v>
      </c>
      <c r="S1885" t="s">
        <v>31</v>
      </c>
      <c r="T1885">
        <v>0</v>
      </c>
    </row>
    <row r="1886" spans="1:20" x14ac:dyDescent="0.25">
      <c r="A1886" t="s">
        <v>8395</v>
      </c>
      <c r="B1886" s="1">
        <v>45865</v>
      </c>
      <c r="C1886" s="5">
        <v>0.61408564814814814</v>
      </c>
      <c r="D1886">
        <v>47.47</v>
      </c>
      <c r="E1886" t="s">
        <v>44</v>
      </c>
      <c r="F1886" t="s">
        <v>888</v>
      </c>
      <c r="G1886" t="s">
        <v>71</v>
      </c>
      <c r="H1886" t="s">
        <v>66</v>
      </c>
      <c r="I1886" t="s">
        <v>8396</v>
      </c>
      <c r="J1886">
        <v>22</v>
      </c>
      <c r="K1886" t="s">
        <v>49</v>
      </c>
      <c r="L1886" t="s">
        <v>130</v>
      </c>
      <c r="M1886" t="s">
        <v>51</v>
      </c>
      <c r="N1886" t="s">
        <v>173</v>
      </c>
      <c r="O1886">
        <v>457056</v>
      </c>
      <c r="P1886" t="s">
        <v>28</v>
      </c>
      <c r="Q1886" t="s">
        <v>8397</v>
      </c>
      <c r="R1886" t="s">
        <v>8398</v>
      </c>
      <c r="S1886" t="s">
        <v>31</v>
      </c>
      <c r="T1886">
        <v>0</v>
      </c>
    </row>
    <row r="1887" spans="1:20" x14ac:dyDescent="0.25">
      <c r="A1887" t="s">
        <v>8399</v>
      </c>
      <c r="B1887" s="1">
        <v>45955</v>
      </c>
      <c r="C1887" s="5">
        <v>0.95690972222222226</v>
      </c>
      <c r="D1887">
        <v>143.51</v>
      </c>
      <c r="E1887" t="s">
        <v>44</v>
      </c>
      <c r="F1887" t="s">
        <v>586</v>
      </c>
      <c r="G1887" t="s">
        <v>96</v>
      </c>
      <c r="H1887" t="s">
        <v>91</v>
      </c>
      <c r="I1887" t="s">
        <v>8400</v>
      </c>
      <c r="J1887">
        <v>49</v>
      </c>
      <c r="K1887" t="s">
        <v>25</v>
      </c>
      <c r="L1887" t="s">
        <v>97</v>
      </c>
      <c r="M1887" t="s">
        <v>105</v>
      </c>
      <c r="P1887" t="s">
        <v>28</v>
      </c>
      <c r="Q1887" t="s">
        <v>8401</v>
      </c>
      <c r="R1887" t="s">
        <v>8402</v>
      </c>
      <c r="S1887" t="s">
        <v>31</v>
      </c>
      <c r="T1887">
        <v>0</v>
      </c>
    </row>
    <row r="1888" spans="1:20" x14ac:dyDescent="0.25">
      <c r="A1888" t="s">
        <v>8403</v>
      </c>
      <c r="B1888" s="1">
        <v>45869</v>
      </c>
      <c r="C1888" s="5">
        <v>0.3135648148148148</v>
      </c>
      <c r="D1888">
        <v>119.53</v>
      </c>
      <c r="E1888" t="s">
        <v>44</v>
      </c>
      <c r="F1888" t="s">
        <v>2707</v>
      </c>
      <c r="G1888" t="s">
        <v>77</v>
      </c>
      <c r="H1888" t="s">
        <v>66</v>
      </c>
      <c r="I1888" t="s">
        <v>8404</v>
      </c>
      <c r="J1888">
        <v>68</v>
      </c>
      <c r="K1888" t="s">
        <v>49</v>
      </c>
      <c r="L1888" t="s">
        <v>35</v>
      </c>
      <c r="M1888" t="s">
        <v>84</v>
      </c>
      <c r="P1888" t="s">
        <v>28</v>
      </c>
      <c r="Q1888" t="s">
        <v>8405</v>
      </c>
      <c r="R1888" t="s">
        <v>8406</v>
      </c>
      <c r="S1888" t="s">
        <v>31</v>
      </c>
      <c r="T1888">
        <v>0</v>
      </c>
    </row>
    <row r="1889" spans="1:20" x14ac:dyDescent="0.25">
      <c r="A1889" t="s">
        <v>8407</v>
      </c>
      <c r="B1889" s="1">
        <v>45828</v>
      </c>
      <c r="C1889" s="5">
        <v>0.6678587962962963</v>
      </c>
      <c r="D1889">
        <v>179.64</v>
      </c>
      <c r="E1889" t="s">
        <v>44</v>
      </c>
      <c r="F1889" t="s">
        <v>6201</v>
      </c>
      <c r="G1889" t="s">
        <v>71</v>
      </c>
      <c r="H1889" t="s">
        <v>146</v>
      </c>
      <c r="I1889" t="s">
        <v>8408</v>
      </c>
      <c r="J1889">
        <v>45</v>
      </c>
      <c r="K1889" t="s">
        <v>25</v>
      </c>
      <c r="L1889" t="s">
        <v>26</v>
      </c>
      <c r="M1889" t="s">
        <v>39</v>
      </c>
      <c r="P1889" t="s">
        <v>28</v>
      </c>
      <c r="Q1889" t="s">
        <v>8409</v>
      </c>
      <c r="R1889" t="s">
        <v>8410</v>
      </c>
      <c r="S1889" t="s">
        <v>31</v>
      </c>
      <c r="T1889">
        <v>0</v>
      </c>
    </row>
    <row r="1890" spans="1:20" x14ac:dyDescent="0.25">
      <c r="A1890" t="s">
        <v>8411</v>
      </c>
      <c r="B1890" s="1">
        <v>45829</v>
      </c>
      <c r="C1890" s="5">
        <v>0.78335648148148151</v>
      </c>
      <c r="D1890">
        <v>34.33</v>
      </c>
      <c r="E1890" t="s">
        <v>44</v>
      </c>
      <c r="F1890" t="s">
        <v>8412</v>
      </c>
      <c r="G1890" t="s">
        <v>34</v>
      </c>
      <c r="H1890" t="s">
        <v>50</v>
      </c>
      <c r="I1890" t="s">
        <v>8413</v>
      </c>
      <c r="J1890">
        <v>112</v>
      </c>
      <c r="K1890" t="s">
        <v>25</v>
      </c>
      <c r="L1890" t="s">
        <v>23</v>
      </c>
      <c r="M1890" t="s">
        <v>112</v>
      </c>
      <c r="P1890" t="s">
        <v>28</v>
      </c>
      <c r="Q1890" t="s">
        <v>8414</v>
      </c>
      <c r="R1890" t="s">
        <v>8415</v>
      </c>
      <c r="S1890" t="s">
        <v>42</v>
      </c>
      <c r="T1890">
        <v>0</v>
      </c>
    </row>
    <row r="1891" spans="1:20" x14ac:dyDescent="0.25">
      <c r="A1891" t="s">
        <v>8416</v>
      </c>
      <c r="B1891" s="1">
        <v>45881</v>
      </c>
      <c r="C1891" s="5">
        <v>0.30214120370370373</v>
      </c>
      <c r="D1891">
        <v>80.83</v>
      </c>
      <c r="E1891" t="s">
        <v>44</v>
      </c>
      <c r="F1891" t="s">
        <v>1030</v>
      </c>
      <c r="G1891" t="s">
        <v>57</v>
      </c>
      <c r="H1891" t="s">
        <v>91</v>
      </c>
      <c r="I1891" t="s">
        <v>8417</v>
      </c>
      <c r="J1891">
        <v>35</v>
      </c>
      <c r="K1891" t="s">
        <v>49</v>
      </c>
      <c r="L1891" t="s">
        <v>26</v>
      </c>
      <c r="M1891" t="s">
        <v>27</v>
      </c>
      <c r="P1891" t="s">
        <v>28</v>
      </c>
      <c r="Q1891" t="s">
        <v>8418</v>
      </c>
      <c r="R1891" t="s">
        <v>8419</v>
      </c>
      <c r="S1891" t="s">
        <v>101</v>
      </c>
      <c r="T1891">
        <v>0</v>
      </c>
    </row>
    <row r="1892" spans="1:20" x14ac:dyDescent="0.25">
      <c r="A1892" t="s">
        <v>8420</v>
      </c>
      <c r="B1892" s="1">
        <v>45785</v>
      </c>
      <c r="C1892" s="5">
        <v>0.38596064814814812</v>
      </c>
      <c r="D1892">
        <v>845.69</v>
      </c>
      <c r="E1892" t="s">
        <v>44</v>
      </c>
      <c r="F1892" t="s">
        <v>8421</v>
      </c>
      <c r="G1892" t="s">
        <v>22</v>
      </c>
      <c r="H1892" t="s">
        <v>119</v>
      </c>
      <c r="I1892" t="s">
        <v>8422</v>
      </c>
      <c r="J1892">
        <v>21</v>
      </c>
      <c r="K1892" t="s">
        <v>49</v>
      </c>
      <c r="L1892" t="s">
        <v>35</v>
      </c>
      <c r="M1892" t="s">
        <v>105</v>
      </c>
      <c r="P1892" t="s">
        <v>28</v>
      </c>
      <c r="Q1892" t="s">
        <v>8423</v>
      </c>
      <c r="R1892" t="s">
        <v>8424</v>
      </c>
      <c r="S1892" t="s">
        <v>101</v>
      </c>
      <c r="T1892">
        <v>0</v>
      </c>
    </row>
    <row r="1893" spans="1:20" x14ac:dyDescent="0.25">
      <c r="A1893" t="s">
        <v>8425</v>
      </c>
      <c r="B1893" s="1">
        <v>45921</v>
      </c>
      <c r="C1893" s="5">
        <v>0.62091435185185184</v>
      </c>
      <c r="D1893">
        <v>113.88</v>
      </c>
      <c r="E1893" t="s">
        <v>44</v>
      </c>
      <c r="F1893" t="s">
        <v>4732</v>
      </c>
      <c r="G1893" t="s">
        <v>22</v>
      </c>
      <c r="H1893" t="s">
        <v>146</v>
      </c>
      <c r="I1893" t="s">
        <v>8426</v>
      </c>
      <c r="J1893">
        <v>43</v>
      </c>
      <c r="K1893" t="s">
        <v>25</v>
      </c>
      <c r="L1893" t="s">
        <v>97</v>
      </c>
      <c r="M1893" t="s">
        <v>27</v>
      </c>
      <c r="P1893" t="s">
        <v>28</v>
      </c>
      <c r="Q1893" t="s">
        <v>8427</v>
      </c>
      <c r="R1893" t="s">
        <v>8428</v>
      </c>
      <c r="S1893" t="s">
        <v>31</v>
      </c>
      <c r="T1893">
        <v>0</v>
      </c>
    </row>
    <row r="1894" spans="1:20" x14ac:dyDescent="0.25">
      <c r="A1894" t="s">
        <v>8429</v>
      </c>
      <c r="B1894" s="1">
        <v>45859</v>
      </c>
      <c r="C1894" s="5">
        <v>0.38133101851851853</v>
      </c>
      <c r="D1894">
        <v>98.29</v>
      </c>
      <c r="E1894" t="s">
        <v>44</v>
      </c>
      <c r="F1894" t="s">
        <v>8430</v>
      </c>
      <c r="G1894" t="s">
        <v>22</v>
      </c>
      <c r="H1894" t="s">
        <v>38</v>
      </c>
      <c r="I1894" t="s">
        <v>8431</v>
      </c>
      <c r="J1894">
        <v>25</v>
      </c>
      <c r="K1894" t="s">
        <v>49</v>
      </c>
      <c r="L1894" t="s">
        <v>58</v>
      </c>
      <c r="M1894" t="s">
        <v>39</v>
      </c>
      <c r="P1894" t="s">
        <v>28</v>
      </c>
      <c r="Q1894" t="s">
        <v>8432</v>
      </c>
      <c r="R1894" t="s">
        <v>8433</v>
      </c>
      <c r="S1894" t="s">
        <v>31</v>
      </c>
      <c r="T1894">
        <v>0</v>
      </c>
    </row>
    <row r="1895" spans="1:20" x14ac:dyDescent="0.25">
      <c r="A1895" t="s">
        <v>8434</v>
      </c>
      <c r="B1895" s="1">
        <v>45881</v>
      </c>
      <c r="C1895" s="5">
        <v>0.36273148148148149</v>
      </c>
      <c r="D1895">
        <v>53.73</v>
      </c>
      <c r="E1895" t="s">
        <v>44</v>
      </c>
      <c r="F1895" t="s">
        <v>1509</v>
      </c>
      <c r="G1895" t="s">
        <v>22</v>
      </c>
      <c r="H1895" t="s">
        <v>97</v>
      </c>
      <c r="I1895" t="s">
        <v>8435</v>
      </c>
      <c r="J1895">
        <v>72</v>
      </c>
      <c r="K1895" t="s">
        <v>37</v>
      </c>
      <c r="L1895" t="s">
        <v>146</v>
      </c>
      <c r="M1895" t="s">
        <v>112</v>
      </c>
      <c r="P1895" t="s">
        <v>28</v>
      </c>
      <c r="Q1895" t="s">
        <v>8436</v>
      </c>
      <c r="R1895" t="s">
        <v>8437</v>
      </c>
      <c r="S1895" t="s">
        <v>31</v>
      </c>
      <c r="T1895">
        <v>0</v>
      </c>
    </row>
    <row r="1896" spans="1:20" x14ac:dyDescent="0.25">
      <c r="A1896" t="s">
        <v>8438</v>
      </c>
      <c r="B1896" s="1">
        <v>45934</v>
      </c>
      <c r="C1896" s="5">
        <v>0.44255787037037037</v>
      </c>
      <c r="D1896">
        <v>141.79</v>
      </c>
      <c r="E1896" t="s">
        <v>44</v>
      </c>
      <c r="F1896" t="s">
        <v>1832</v>
      </c>
      <c r="G1896" t="s">
        <v>64</v>
      </c>
      <c r="H1896" t="s">
        <v>38</v>
      </c>
      <c r="I1896" t="s">
        <v>8439</v>
      </c>
      <c r="J1896">
        <v>32</v>
      </c>
      <c r="K1896" t="s">
        <v>49</v>
      </c>
      <c r="L1896" t="s">
        <v>119</v>
      </c>
      <c r="M1896" t="s">
        <v>112</v>
      </c>
      <c r="P1896" t="s">
        <v>28</v>
      </c>
      <c r="Q1896" t="s">
        <v>8440</v>
      </c>
      <c r="R1896" t="s">
        <v>8441</v>
      </c>
      <c r="S1896" t="s">
        <v>31</v>
      </c>
      <c r="T1896">
        <v>0</v>
      </c>
    </row>
    <row r="1897" spans="1:20" x14ac:dyDescent="0.25">
      <c r="A1897" t="s">
        <v>8442</v>
      </c>
      <c r="B1897" s="1">
        <v>45938</v>
      </c>
      <c r="C1897" s="5">
        <v>0.49710648148148145</v>
      </c>
      <c r="D1897">
        <v>79.23</v>
      </c>
      <c r="E1897" t="s">
        <v>44</v>
      </c>
      <c r="F1897" t="s">
        <v>6092</v>
      </c>
      <c r="G1897" t="s">
        <v>22</v>
      </c>
      <c r="H1897" t="s">
        <v>119</v>
      </c>
      <c r="I1897" t="s">
        <v>8443</v>
      </c>
      <c r="J1897">
        <v>74</v>
      </c>
      <c r="K1897" t="s">
        <v>49</v>
      </c>
      <c r="L1897" t="s">
        <v>26</v>
      </c>
      <c r="M1897" t="s">
        <v>112</v>
      </c>
      <c r="P1897" t="s">
        <v>28</v>
      </c>
      <c r="Q1897" t="s">
        <v>8444</v>
      </c>
      <c r="R1897" t="s">
        <v>7560</v>
      </c>
      <c r="S1897" t="s">
        <v>31</v>
      </c>
      <c r="T1897">
        <v>0</v>
      </c>
    </row>
    <row r="1898" spans="1:20" x14ac:dyDescent="0.25">
      <c r="A1898" t="s">
        <v>8445</v>
      </c>
      <c r="B1898" s="1">
        <v>45883</v>
      </c>
      <c r="C1898" s="5">
        <v>0.9465972222222222</v>
      </c>
      <c r="D1898">
        <v>167.13</v>
      </c>
      <c r="E1898" t="s">
        <v>44</v>
      </c>
      <c r="F1898" t="s">
        <v>7192</v>
      </c>
      <c r="G1898" t="s">
        <v>89</v>
      </c>
      <c r="H1898" t="s">
        <v>26</v>
      </c>
      <c r="I1898" t="s">
        <v>8446</v>
      </c>
      <c r="J1898">
        <v>22</v>
      </c>
      <c r="K1898" t="s">
        <v>37</v>
      </c>
      <c r="L1898" t="s">
        <v>26</v>
      </c>
      <c r="M1898" t="s">
        <v>84</v>
      </c>
      <c r="P1898" t="s">
        <v>113</v>
      </c>
      <c r="Q1898" t="s">
        <v>8447</v>
      </c>
      <c r="R1898" t="s">
        <v>8448</v>
      </c>
      <c r="S1898" t="s">
        <v>101</v>
      </c>
      <c r="T1898">
        <v>0</v>
      </c>
    </row>
    <row r="1899" spans="1:20" x14ac:dyDescent="0.25">
      <c r="A1899" t="s">
        <v>8449</v>
      </c>
      <c r="B1899" s="1">
        <v>45856</v>
      </c>
      <c r="C1899" s="5">
        <v>0.34174768518518517</v>
      </c>
      <c r="D1899">
        <v>923.09</v>
      </c>
      <c r="E1899" t="s">
        <v>44</v>
      </c>
      <c r="F1899" t="s">
        <v>145</v>
      </c>
      <c r="G1899" t="s">
        <v>96</v>
      </c>
      <c r="H1899" t="s">
        <v>58</v>
      </c>
      <c r="I1899" t="s">
        <v>8450</v>
      </c>
      <c r="J1899">
        <v>45</v>
      </c>
      <c r="K1899" t="s">
        <v>49</v>
      </c>
      <c r="L1899" t="s">
        <v>50</v>
      </c>
      <c r="M1899" t="s">
        <v>27</v>
      </c>
      <c r="P1899" t="s">
        <v>28</v>
      </c>
      <c r="Q1899" t="s">
        <v>8451</v>
      </c>
      <c r="R1899" t="s">
        <v>8452</v>
      </c>
      <c r="S1899" t="s">
        <v>31</v>
      </c>
      <c r="T1899">
        <v>0</v>
      </c>
    </row>
    <row r="1900" spans="1:20" x14ac:dyDescent="0.25">
      <c r="A1900" t="s">
        <v>8453</v>
      </c>
      <c r="B1900" s="1">
        <v>45788</v>
      </c>
      <c r="C1900" s="5">
        <v>0.75391203703703702</v>
      </c>
      <c r="D1900">
        <v>56.06</v>
      </c>
      <c r="E1900" t="s">
        <v>44</v>
      </c>
      <c r="F1900" t="s">
        <v>2865</v>
      </c>
      <c r="G1900" t="s">
        <v>71</v>
      </c>
      <c r="H1900" t="s">
        <v>23</v>
      </c>
      <c r="I1900" t="s">
        <v>8454</v>
      </c>
      <c r="J1900">
        <v>29</v>
      </c>
      <c r="K1900" t="s">
        <v>37</v>
      </c>
      <c r="L1900" t="s">
        <v>58</v>
      </c>
      <c r="M1900" t="s">
        <v>51</v>
      </c>
      <c r="N1900" t="s">
        <v>345</v>
      </c>
      <c r="O1900">
        <v>436700</v>
      </c>
      <c r="P1900" t="s">
        <v>28</v>
      </c>
      <c r="Q1900" t="s">
        <v>8455</v>
      </c>
      <c r="R1900" t="s">
        <v>8456</v>
      </c>
      <c r="S1900" t="s">
        <v>31</v>
      </c>
      <c r="T1900">
        <v>0</v>
      </c>
    </row>
    <row r="1901" spans="1:20" x14ac:dyDescent="0.25">
      <c r="A1901" t="s">
        <v>8457</v>
      </c>
      <c r="B1901" s="1">
        <v>45948</v>
      </c>
      <c r="C1901" s="5">
        <v>0.34945601851851854</v>
      </c>
      <c r="D1901">
        <v>105.73</v>
      </c>
      <c r="E1901" t="s">
        <v>44</v>
      </c>
      <c r="F1901" t="s">
        <v>8458</v>
      </c>
      <c r="G1901" t="s">
        <v>77</v>
      </c>
      <c r="H1901" t="s">
        <v>119</v>
      </c>
      <c r="I1901" t="s">
        <v>8459</v>
      </c>
      <c r="J1901">
        <v>27</v>
      </c>
      <c r="K1901" t="s">
        <v>25</v>
      </c>
      <c r="L1901" t="s">
        <v>91</v>
      </c>
      <c r="M1901" t="s">
        <v>27</v>
      </c>
      <c r="P1901" t="s">
        <v>28</v>
      </c>
      <c r="Q1901" t="s">
        <v>8460</v>
      </c>
      <c r="R1901" t="s">
        <v>8461</v>
      </c>
      <c r="S1901" t="s">
        <v>31</v>
      </c>
      <c r="T1901">
        <v>0</v>
      </c>
    </row>
    <row r="1902" spans="1:20" x14ac:dyDescent="0.25">
      <c r="A1902" t="s">
        <v>8462</v>
      </c>
      <c r="B1902" s="1">
        <v>45840</v>
      </c>
      <c r="C1902" s="5">
        <v>0.77038194444444441</v>
      </c>
      <c r="D1902">
        <v>65.92</v>
      </c>
      <c r="E1902" t="s">
        <v>44</v>
      </c>
      <c r="F1902" t="s">
        <v>3474</v>
      </c>
      <c r="G1902" t="s">
        <v>71</v>
      </c>
      <c r="H1902" t="s">
        <v>97</v>
      </c>
      <c r="I1902" t="s">
        <v>8463</v>
      </c>
      <c r="J1902">
        <v>54</v>
      </c>
      <c r="K1902" t="s">
        <v>25</v>
      </c>
      <c r="L1902" t="s">
        <v>38</v>
      </c>
      <c r="M1902" t="s">
        <v>27</v>
      </c>
      <c r="P1902" t="s">
        <v>28</v>
      </c>
      <c r="Q1902" t="s">
        <v>8464</v>
      </c>
      <c r="R1902" t="s">
        <v>8465</v>
      </c>
      <c r="S1902" t="s">
        <v>31</v>
      </c>
      <c r="T1902">
        <v>0</v>
      </c>
    </row>
    <row r="1903" spans="1:20" x14ac:dyDescent="0.25">
      <c r="A1903" t="s">
        <v>8466</v>
      </c>
      <c r="B1903" s="1">
        <v>45810</v>
      </c>
      <c r="C1903" s="5">
        <v>0.54063657407407406</v>
      </c>
      <c r="D1903">
        <v>142.9</v>
      </c>
      <c r="E1903" t="s">
        <v>44</v>
      </c>
      <c r="F1903" t="s">
        <v>3008</v>
      </c>
      <c r="G1903" t="s">
        <v>57</v>
      </c>
      <c r="H1903" t="s">
        <v>97</v>
      </c>
      <c r="I1903" t="s">
        <v>8467</v>
      </c>
      <c r="J1903">
        <v>19</v>
      </c>
      <c r="K1903" t="s">
        <v>25</v>
      </c>
      <c r="L1903" t="s">
        <v>58</v>
      </c>
      <c r="M1903" t="s">
        <v>112</v>
      </c>
      <c r="P1903" t="s">
        <v>28</v>
      </c>
      <c r="Q1903" t="s">
        <v>8468</v>
      </c>
      <c r="R1903" t="s">
        <v>1764</v>
      </c>
      <c r="S1903" t="s">
        <v>31</v>
      </c>
      <c r="T1903">
        <v>0</v>
      </c>
    </row>
    <row r="1904" spans="1:20" x14ac:dyDescent="0.25">
      <c r="A1904" t="s">
        <v>8469</v>
      </c>
      <c r="B1904" s="1">
        <v>45909</v>
      </c>
      <c r="C1904" s="5">
        <v>0.27114583333333331</v>
      </c>
      <c r="D1904">
        <v>350.62</v>
      </c>
      <c r="E1904" t="s">
        <v>44</v>
      </c>
      <c r="F1904" t="s">
        <v>1441</v>
      </c>
      <c r="G1904" t="s">
        <v>124</v>
      </c>
      <c r="H1904" t="s">
        <v>26</v>
      </c>
      <c r="I1904" t="s">
        <v>8470</v>
      </c>
      <c r="J1904">
        <v>75</v>
      </c>
      <c r="K1904" t="s">
        <v>25</v>
      </c>
      <c r="L1904" t="s">
        <v>58</v>
      </c>
      <c r="M1904" t="s">
        <v>112</v>
      </c>
      <c r="P1904" t="s">
        <v>28</v>
      </c>
      <c r="Q1904" t="s">
        <v>8471</v>
      </c>
      <c r="R1904" t="s">
        <v>8472</v>
      </c>
      <c r="S1904" t="s">
        <v>101</v>
      </c>
      <c r="T1904">
        <v>0</v>
      </c>
    </row>
    <row r="1905" spans="1:20" x14ac:dyDescent="0.25">
      <c r="A1905" t="s">
        <v>8473</v>
      </c>
      <c r="B1905" s="1">
        <v>45841</v>
      </c>
      <c r="C1905" s="5">
        <v>0.81199074074074074</v>
      </c>
      <c r="D1905">
        <v>7.44</v>
      </c>
      <c r="E1905" t="s">
        <v>44</v>
      </c>
      <c r="F1905" t="s">
        <v>5036</v>
      </c>
      <c r="G1905" t="s">
        <v>57</v>
      </c>
      <c r="H1905" t="s">
        <v>97</v>
      </c>
      <c r="I1905" t="s">
        <v>8474</v>
      </c>
      <c r="J1905">
        <v>18</v>
      </c>
      <c r="K1905" t="s">
        <v>49</v>
      </c>
      <c r="L1905" t="s">
        <v>23</v>
      </c>
      <c r="M1905" t="s">
        <v>112</v>
      </c>
      <c r="P1905" t="s">
        <v>28</v>
      </c>
      <c r="Q1905" t="s">
        <v>8475</v>
      </c>
      <c r="R1905" t="s">
        <v>8476</v>
      </c>
      <c r="S1905" t="s">
        <v>31</v>
      </c>
      <c r="T1905">
        <v>0</v>
      </c>
    </row>
    <row r="1906" spans="1:20" x14ac:dyDescent="0.25">
      <c r="A1906" t="s">
        <v>8477</v>
      </c>
      <c r="B1906" s="1">
        <v>45853</v>
      </c>
      <c r="C1906" s="5">
        <v>0.3301736111111111</v>
      </c>
      <c r="D1906">
        <v>151.41999999999999</v>
      </c>
      <c r="E1906" t="s">
        <v>44</v>
      </c>
      <c r="F1906" t="s">
        <v>8478</v>
      </c>
      <c r="G1906" t="s">
        <v>46</v>
      </c>
      <c r="H1906" t="s">
        <v>35</v>
      </c>
      <c r="I1906" t="s">
        <v>8479</v>
      </c>
      <c r="J1906">
        <v>50</v>
      </c>
      <c r="K1906" t="s">
        <v>49</v>
      </c>
      <c r="L1906" t="s">
        <v>47</v>
      </c>
      <c r="M1906" t="s">
        <v>51</v>
      </c>
      <c r="N1906" t="s">
        <v>173</v>
      </c>
      <c r="O1906">
        <v>422172</v>
      </c>
      <c r="P1906" t="s">
        <v>28</v>
      </c>
      <c r="Q1906" t="s">
        <v>8480</v>
      </c>
      <c r="R1906" t="s">
        <v>8481</v>
      </c>
      <c r="S1906" t="s">
        <v>31</v>
      </c>
      <c r="T1906">
        <v>0</v>
      </c>
    </row>
    <row r="1907" spans="1:20" x14ac:dyDescent="0.25">
      <c r="A1907" t="s">
        <v>8482</v>
      </c>
      <c r="B1907" s="1">
        <v>45865</v>
      </c>
      <c r="C1907" s="5">
        <v>0.26864583333333331</v>
      </c>
      <c r="D1907">
        <v>161.82</v>
      </c>
      <c r="E1907" t="s">
        <v>44</v>
      </c>
      <c r="F1907" t="s">
        <v>359</v>
      </c>
      <c r="G1907" t="s">
        <v>64</v>
      </c>
      <c r="H1907" t="s">
        <v>97</v>
      </c>
      <c r="I1907" t="s">
        <v>8483</v>
      </c>
      <c r="J1907">
        <v>47</v>
      </c>
      <c r="K1907" t="s">
        <v>25</v>
      </c>
      <c r="L1907" t="s">
        <v>26</v>
      </c>
      <c r="M1907" t="s">
        <v>39</v>
      </c>
      <c r="P1907" t="s">
        <v>28</v>
      </c>
      <c r="Q1907" t="s">
        <v>8484</v>
      </c>
      <c r="R1907" t="s">
        <v>3805</v>
      </c>
      <c r="S1907" t="s">
        <v>101</v>
      </c>
      <c r="T1907">
        <v>0</v>
      </c>
    </row>
    <row r="1908" spans="1:20" x14ac:dyDescent="0.25">
      <c r="A1908" t="s">
        <v>8485</v>
      </c>
      <c r="B1908" s="1">
        <v>45816</v>
      </c>
      <c r="C1908" s="5">
        <v>0.65630787037037042</v>
      </c>
      <c r="D1908">
        <v>102.71</v>
      </c>
      <c r="E1908" t="s">
        <v>44</v>
      </c>
      <c r="F1908" t="s">
        <v>6328</v>
      </c>
      <c r="G1908" t="s">
        <v>57</v>
      </c>
      <c r="H1908" t="s">
        <v>35</v>
      </c>
      <c r="I1908" t="s">
        <v>8486</v>
      </c>
      <c r="J1908">
        <v>38</v>
      </c>
      <c r="K1908" t="s">
        <v>49</v>
      </c>
      <c r="L1908" t="s">
        <v>50</v>
      </c>
      <c r="M1908" t="s">
        <v>105</v>
      </c>
      <c r="P1908" t="s">
        <v>28</v>
      </c>
      <c r="Q1908" t="s">
        <v>8487</v>
      </c>
      <c r="R1908" t="s">
        <v>8488</v>
      </c>
      <c r="S1908" t="s">
        <v>31</v>
      </c>
      <c r="T1908">
        <v>0</v>
      </c>
    </row>
    <row r="1909" spans="1:20" x14ac:dyDescent="0.25">
      <c r="A1909" t="s">
        <v>8489</v>
      </c>
      <c r="B1909" s="1">
        <v>45828</v>
      </c>
      <c r="C1909" s="5">
        <v>6.6921296296296298E-2</v>
      </c>
      <c r="D1909">
        <v>14.13</v>
      </c>
      <c r="E1909" t="s">
        <v>44</v>
      </c>
      <c r="F1909" t="s">
        <v>5637</v>
      </c>
      <c r="G1909" t="s">
        <v>77</v>
      </c>
      <c r="H1909" t="s">
        <v>130</v>
      </c>
      <c r="I1909" t="s">
        <v>8490</v>
      </c>
      <c r="J1909">
        <v>64</v>
      </c>
      <c r="K1909" t="s">
        <v>37</v>
      </c>
      <c r="L1909" t="s">
        <v>26</v>
      </c>
      <c r="M1909" t="s">
        <v>84</v>
      </c>
      <c r="P1909" t="s">
        <v>28</v>
      </c>
      <c r="Q1909" t="s">
        <v>8491</v>
      </c>
      <c r="R1909" t="s">
        <v>8492</v>
      </c>
      <c r="S1909" t="s">
        <v>42</v>
      </c>
      <c r="T1909">
        <v>0</v>
      </c>
    </row>
    <row r="1910" spans="1:20" x14ac:dyDescent="0.25">
      <c r="A1910" t="s">
        <v>8493</v>
      </c>
      <c r="B1910" s="1">
        <v>45782</v>
      </c>
      <c r="C1910" s="5">
        <v>2.2037037037037036E-2</v>
      </c>
      <c r="D1910">
        <v>175.04</v>
      </c>
      <c r="E1910" t="s">
        <v>44</v>
      </c>
      <c r="F1910" t="s">
        <v>1490</v>
      </c>
      <c r="G1910" t="s">
        <v>96</v>
      </c>
      <c r="H1910" t="s">
        <v>130</v>
      </c>
      <c r="I1910" t="s">
        <v>8494</v>
      </c>
      <c r="J1910">
        <v>32</v>
      </c>
      <c r="K1910" t="s">
        <v>25</v>
      </c>
      <c r="L1910" t="s">
        <v>146</v>
      </c>
      <c r="M1910" t="s">
        <v>51</v>
      </c>
      <c r="N1910" t="s">
        <v>345</v>
      </c>
      <c r="O1910">
        <v>521373</v>
      </c>
      <c r="P1910" t="s">
        <v>28</v>
      </c>
      <c r="Q1910" t="s">
        <v>8495</v>
      </c>
      <c r="R1910" t="s">
        <v>8496</v>
      </c>
      <c r="S1910" t="s">
        <v>31</v>
      </c>
      <c r="T1910">
        <v>0</v>
      </c>
    </row>
    <row r="1911" spans="1:20" x14ac:dyDescent="0.25">
      <c r="A1911" t="s">
        <v>8497</v>
      </c>
      <c r="B1911" s="1">
        <v>45844</v>
      </c>
      <c r="C1911" s="5">
        <v>9.4942129629629626E-2</v>
      </c>
      <c r="D1911">
        <v>1.5</v>
      </c>
      <c r="E1911" t="s">
        <v>44</v>
      </c>
      <c r="F1911" t="s">
        <v>3261</v>
      </c>
      <c r="G1911" t="s">
        <v>124</v>
      </c>
      <c r="H1911" t="s">
        <v>26</v>
      </c>
      <c r="I1911" t="s">
        <v>8498</v>
      </c>
      <c r="J1911">
        <v>66</v>
      </c>
      <c r="K1911" t="s">
        <v>25</v>
      </c>
      <c r="L1911" t="s">
        <v>23</v>
      </c>
      <c r="M1911" t="s">
        <v>105</v>
      </c>
      <c r="P1911" t="s">
        <v>28</v>
      </c>
      <c r="Q1911" t="s">
        <v>8499</v>
      </c>
      <c r="R1911" t="s">
        <v>8500</v>
      </c>
      <c r="S1911" t="s">
        <v>101</v>
      </c>
      <c r="T1911">
        <v>0</v>
      </c>
    </row>
    <row r="1912" spans="1:20" x14ac:dyDescent="0.25">
      <c r="A1912" t="s">
        <v>8501</v>
      </c>
      <c r="B1912" s="1">
        <v>45867</v>
      </c>
      <c r="C1912" s="5">
        <v>0.85898148148148146</v>
      </c>
      <c r="D1912">
        <v>90.92</v>
      </c>
      <c r="E1912" t="s">
        <v>44</v>
      </c>
      <c r="F1912" t="s">
        <v>2640</v>
      </c>
      <c r="G1912" t="s">
        <v>64</v>
      </c>
      <c r="H1912" t="s">
        <v>47</v>
      </c>
      <c r="I1912" t="s">
        <v>8502</v>
      </c>
      <c r="J1912">
        <v>45</v>
      </c>
      <c r="K1912" t="s">
        <v>25</v>
      </c>
      <c r="L1912" t="s">
        <v>91</v>
      </c>
      <c r="M1912" t="s">
        <v>112</v>
      </c>
      <c r="P1912" t="s">
        <v>28</v>
      </c>
      <c r="Q1912" t="s">
        <v>8503</v>
      </c>
      <c r="R1912" t="s">
        <v>8504</v>
      </c>
      <c r="S1912" t="s">
        <v>31</v>
      </c>
      <c r="T1912">
        <v>0</v>
      </c>
    </row>
    <row r="1913" spans="1:20" x14ac:dyDescent="0.25">
      <c r="A1913" t="s">
        <v>8505</v>
      </c>
      <c r="B1913" s="1">
        <v>45927</v>
      </c>
      <c r="C1913" s="5">
        <v>0.88168981481481479</v>
      </c>
      <c r="D1913">
        <v>8.76</v>
      </c>
      <c r="E1913" t="s">
        <v>44</v>
      </c>
      <c r="F1913" t="s">
        <v>797</v>
      </c>
      <c r="G1913" t="s">
        <v>64</v>
      </c>
      <c r="H1913" t="s">
        <v>119</v>
      </c>
      <c r="I1913" t="s">
        <v>8506</v>
      </c>
      <c r="J1913">
        <v>41</v>
      </c>
      <c r="K1913" t="s">
        <v>37</v>
      </c>
      <c r="L1913" t="s">
        <v>50</v>
      </c>
      <c r="M1913" t="s">
        <v>39</v>
      </c>
      <c r="P1913" t="s">
        <v>28</v>
      </c>
      <c r="Q1913" t="s">
        <v>8507</v>
      </c>
      <c r="R1913" t="s">
        <v>8508</v>
      </c>
      <c r="S1913" t="s">
        <v>31</v>
      </c>
      <c r="T1913">
        <v>0</v>
      </c>
    </row>
    <row r="1914" spans="1:20" x14ac:dyDescent="0.25">
      <c r="A1914" t="s">
        <v>8509</v>
      </c>
      <c r="B1914" s="1">
        <v>45798</v>
      </c>
      <c r="C1914" s="5">
        <v>0.33056712962962964</v>
      </c>
      <c r="D1914">
        <v>135.34</v>
      </c>
      <c r="E1914" t="s">
        <v>44</v>
      </c>
      <c r="F1914" t="s">
        <v>668</v>
      </c>
      <c r="G1914" t="s">
        <v>57</v>
      </c>
      <c r="H1914" t="s">
        <v>248</v>
      </c>
      <c r="I1914" t="s">
        <v>8510</v>
      </c>
      <c r="J1914">
        <v>31</v>
      </c>
      <c r="K1914" t="s">
        <v>25</v>
      </c>
      <c r="L1914" t="s">
        <v>26</v>
      </c>
      <c r="M1914" t="s">
        <v>105</v>
      </c>
      <c r="P1914" t="s">
        <v>28</v>
      </c>
      <c r="Q1914" t="s">
        <v>8511</v>
      </c>
      <c r="R1914" t="s">
        <v>8512</v>
      </c>
      <c r="S1914" t="s">
        <v>42</v>
      </c>
      <c r="T1914">
        <v>0</v>
      </c>
    </row>
    <row r="1915" spans="1:20" x14ac:dyDescent="0.25">
      <c r="A1915" t="s">
        <v>8513</v>
      </c>
      <c r="B1915" s="1">
        <v>45953</v>
      </c>
      <c r="C1915" s="5">
        <v>0.65605324074074078</v>
      </c>
      <c r="D1915">
        <v>165.5</v>
      </c>
      <c r="E1915" t="s">
        <v>44</v>
      </c>
      <c r="F1915" t="s">
        <v>630</v>
      </c>
      <c r="G1915" t="s">
        <v>77</v>
      </c>
      <c r="H1915" t="s">
        <v>130</v>
      </c>
      <c r="I1915" t="s">
        <v>8514</v>
      </c>
      <c r="J1915">
        <v>69</v>
      </c>
      <c r="K1915" t="s">
        <v>49</v>
      </c>
      <c r="L1915" t="s">
        <v>66</v>
      </c>
      <c r="M1915" t="s">
        <v>112</v>
      </c>
      <c r="P1915" t="s">
        <v>28</v>
      </c>
      <c r="Q1915" t="s">
        <v>8515</v>
      </c>
      <c r="R1915" t="s">
        <v>8516</v>
      </c>
      <c r="S1915" t="s">
        <v>31</v>
      </c>
      <c r="T1915">
        <v>0</v>
      </c>
    </row>
    <row r="1916" spans="1:20" x14ac:dyDescent="0.25">
      <c r="A1916" t="s">
        <v>8517</v>
      </c>
      <c r="B1916" s="1">
        <v>45806</v>
      </c>
      <c r="C1916" s="5">
        <v>0.12300925925925926</v>
      </c>
      <c r="D1916">
        <v>76.150000000000006</v>
      </c>
      <c r="E1916" t="s">
        <v>44</v>
      </c>
      <c r="F1916" t="s">
        <v>2927</v>
      </c>
      <c r="G1916" t="s">
        <v>34</v>
      </c>
      <c r="H1916" t="s">
        <v>248</v>
      </c>
      <c r="I1916" t="s">
        <v>8518</v>
      </c>
      <c r="J1916">
        <v>28</v>
      </c>
      <c r="K1916" t="s">
        <v>49</v>
      </c>
      <c r="L1916" t="s">
        <v>35</v>
      </c>
      <c r="M1916" t="s">
        <v>105</v>
      </c>
      <c r="P1916" t="s">
        <v>28</v>
      </c>
      <c r="Q1916" t="s">
        <v>8519</v>
      </c>
      <c r="R1916" t="s">
        <v>8520</v>
      </c>
      <c r="S1916" t="s">
        <v>31</v>
      </c>
      <c r="T1916">
        <v>0</v>
      </c>
    </row>
    <row r="1917" spans="1:20" x14ac:dyDescent="0.25">
      <c r="A1917" t="s">
        <v>8521</v>
      </c>
      <c r="B1917" s="1">
        <v>45861</v>
      </c>
      <c r="C1917" s="5">
        <v>0.82523148148148151</v>
      </c>
      <c r="D1917">
        <v>121.4</v>
      </c>
      <c r="E1917" t="s">
        <v>44</v>
      </c>
      <c r="F1917" t="s">
        <v>1490</v>
      </c>
      <c r="G1917" t="s">
        <v>57</v>
      </c>
      <c r="H1917" t="s">
        <v>91</v>
      </c>
      <c r="I1917" t="s">
        <v>8522</v>
      </c>
      <c r="J1917">
        <v>34</v>
      </c>
      <c r="K1917" t="s">
        <v>49</v>
      </c>
      <c r="L1917" t="s">
        <v>248</v>
      </c>
      <c r="M1917" t="s">
        <v>27</v>
      </c>
      <c r="P1917" t="s">
        <v>28</v>
      </c>
      <c r="Q1917" t="s">
        <v>8523</v>
      </c>
      <c r="R1917" t="s">
        <v>8524</v>
      </c>
      <c r="S1917" t="s">
        <v>31</v>
      </c>
      <c r="T1917">
        <v>0</v>
      </c>
    </row>
    <row r="1918" spans="1:20" x14ac:dyDescent="0.25">
      <c r="A1918" t="s">
        <v>8525</v>
      </c>
      <c r="B1918" s="1">
        <v>45898</v>
      </c>
      <c r="C1918" s="5">
        <v>0.31821759259259258</v>
      </c>
      <c r="D1918">
        <v>176.44</v>
      </c>
      <c r="E1918" t="s">
        <v>44</v>
      </c>
      <c r="F1918" t="s">
        <v>2099</v>
      </c>
      <c r="G1918" t="s">
        <v>77</v>
      </c>
      <c r="H1918" t="s">
        <v>119</v>
      </c>
      <c r="I1918" t="s">
        <v>8526</v>
      </c>
      <c r="J1918">
        <v>43</v>
      </c>
      <c r="K1918" t="s">
        <v>49</v>
      </c>
      <c r="L1918" t="s">
        <v>119</v>
      </c>
      <c r="M1918" t="s">
        <v>84</v>
      </c>
      <c r="P1918" t="s">
        <v>113</v>
      </c>
      <c r="Q1918" t="s">
        <v>8527</v>
      </c>
      <c r="R1918" t="s">
        <v>8528</v>
      </c>
      <c r="S1918" t="s">
        <v>31</v>
      </c>
      <c r="T1918">
        <v>0</v>
      </c>
    </row>
    <row r="1919" spans="1:20" x14ac:dyDescent="0.25">
      <c r="A1919" t="s">
        <v>8529</v>
      </c>
      <c r="B1919" s="1">
        <v>45822</v>
      </c>
      <c r="C1919" s="5">
        <v>0.71894675925925922</v>
      </c>
      <c r="D1919">
        <v>17.64</v>
      </c>
      <c r="E1919" t="s">
        <v>44</v>
      </c>
      <c r="F1919" t="s">
        <v>2462</v>
      </c>
      <c r="G1919" t="s">
        <v>89</v>
      </c>
      <c r="H1919" t="s">
        <v>130</v>
      </c>
      <c r="I1919" t="s">
        <v>8530</v>
      </c>
      <c r="J1919">
        <v>46</v>
      </c>
      <c r="K1919" t="s">
        <v>37</v>
      </c>
      <c r="L1919" t="s">
        <v>38</v>
      </c>
      <c r="M1919" t="s">
        <v>112</v>
      </c>
      <c r="P1919" t="s">
        <v>28</v>
      </c>
      <c r="Q1919" t="s">
        <v>8531</v>
      </c>
      <c r="R1919" t="s">
        <v>8532</v>
      </c>
      <c r="S1919" t="s">
        <v>31</v>
      </c>
      <c r="T1919">
        <v>0</v>
      </c>
    </row>
    <row r="1920" spans="1:20" x14ac:dyDescent="0.25">
      <c r="A1920" t="s">
        <v>8533</v>
      </c>
      <c r="B1920" s="1">
        <v>45783</v>
      </c>
      <c r="C1920" s="5">
        <v>0.39504629629629628</v>
      </c>
      <c r="D1920">
        <v>678.44</v>
      </c>
      <c r="E1920" t="s">
        <v>44</v>
      </c>
      <c r="F1920" t="s">
        <v>1568</v>
      </c>
      <c r="G1920" t="s">
        <v>64</v>
      </c>
      <c r="H1920" t="s">
        <v>248</v>
      </c>
      <c r="I1920" t="s">
        <v>8534</v>
      </c>
      <c r="J1920">
        <v>75</v>
      </c>
      <c r="K1920" t="s">
        <v>25</v>
      </c>
      <c r="L1920" t="s">
        <v>58</v>
      </c>
      <c r="M1920" t="s">
        <v>105</v>
      </c>
      <c r="P1920" t="s">
        <v>28</v>
      </c>
      <c r="Q1920" t="s">
        <v>8535</v>
      </c>
      <c r="R1920" t="s">
        <v>8536</v>
      </c>
      <c r="S1920" t="s">
        <v>31</v>
      </c>
      <c r="T1920">
        <v>0</v>
      </c>
    </row>
    <row r="1921" spans="1:20" x14ac:dyDescent="0.25">
      <c r="A1921" t="s">
        <v>8537</v>
      </c>
      <c r="B1921" s="1">
        <v>45862</v>
      </c>
      <c r="C1921" s="5">
        <v>0.45844907407407409</v>
      </c>
      <c r="D1921">
        <v>139.93</v>
      </c>
      <c r="E1921" t="s">
        <v>44</v>
      </c>
      <c r="F1921" t="s">
        <v>8538</v>
      </c>
      <c r="G1921" t="s">
        <v>77</v>
      </c>
      <c r="H1921" t="s">
        <v>91</v>
      </c>
      <c r="I1921" t="s">
        <v>8539</v>
      </c>
      <c r="J1921">
        <v>47</v>
      </c>
      <c r="K1921" t="s">
        <v>37</v>
      </c>
      <c r="L1921" t="s">
        <v>23</v>
      </c>
      <c r="M1921" t="s">
        <v>27</v>
      </c>
      <c r="P1921" t="s">
        <v>28</v>
      </c>
      <c r="Q1921" t="s">
        <v>8540</v>
      </c>
      <c r="R1921" t="s">
        <v>8541</v>
      </c>
      <c r="S1921" t="s">
        <v>31</v>
      </c>
      <c r="T1921">
        <v>0</v>
      </c>
    </row>
    <row r="1922" spans="1:20" x14ac:dyDescent="0.25">
      <c r="A1922" t="s">
        <v>8542</v>
      </c>
      <c r="B1922" s="1">
        <v>45825</v>
      </c>
      <c r="C1922" s="5">
        <v>0.88268518518518524</v>
      </c>
      <c r="D1922">
        <v>128.43</v>
      </c>
      <c r="E1922" t="s">
        <v>44</v>
      </c>
      <c r="F1922" t="s">
        <v>5653</v>
      </c>
      <c r="G1922" t="s">
        <v>57</v>
      </c>
      <c r="H1922" t="s">
        <v>47</v>
      </c>
      <c r="I1922" t="s">
        <v>8543</v>
      </c>
      <c r="J1922">
        <v>68</v>
      </c>
      <c r="K1922" t="s">
        <v>37</v>
      </c>
      <c r="L1922" t="s">
        <v>35</v>
      </c>
      <c r="M1922" t="s">
        <v>105</v>
      </c>
      <c r="P1922" t="s">
        <v>28</v>
      </c>
      <c r="Q1922" t="s">
        <v>8544</v>
      </c>
      <c r="R1922" t="s">
        <v>8545</v>
      </c>
      <c r="S1922" t="s">
        <v>31</v>
      </c>
      <c r="T1922">
        <v>0</v>
      </c>
    </row>
    <row r="1923" spans="1:20" x14ac:dyDescent="0.25">
      <c r="A1923" t="s">
        <v>8546</v>
      </c>
      <c r="B1923" s="1">
        <v>45838</v>
      </c>
      <c r="C1923" s="5">
        <v>0.77516203703703701</v>
      </c>
      <c r="D1923">
        <v>167.19</v>
      </c>
      <c r="E1923" t="s">
        <v>44</v>
      </c>
      <c r="F1923" t="s">
        <v>5913</v>
      </c>
      <c r="G1923" t="s">
        <v>22</v>
      </c>
      <c r="H1923" t="s">
        <v>50</v>
      </c>
      <c r="I1923" t="s">
        <v>8547</v>
      </c>
      <c r="J1923">
        <v>28</v>
      </c>
      <c r="K1923" t="s">
        <v>37</v>
      </c>
      <c r="L1923" t="s">
        <v>248</v>
      </c>
      <c r="M1923" t="s">
        <v>39</v>
      </c>
      <c r="P1923" t="s">
        <v>28</v>
      </c>
      <c r="Q1923" t="s">
        <v>8548</v>
      </c>
      <c r="R1923" t="s">
        <v>8549</v>
      </c>
      <c r="S1923" t="s">
        <v>42</v>
      </c>
      <c r="T1923">
        <v>1</v>
      </c>
    </row>
    <row r="1924" spans="1:20" x14ac:dyDescent="0.25">
      <c r="A1924" t="s">
        <v>8550</v>
      </c>
      <c r="B1924" s="1">
        <v>45896</v>
      </c>
      <c r="C1924" s="5">
        <v>0.23940972222222223</v>
      </c>
      <c r="D1924">
        <v>99.24</v>
      </c>
      <c r="E1924" t="s">
        <v>44</v>
      </c>
      <c r="F1924" t="s">
        <v>4761</v>
      </c>
      <c r="G1924" t="s">
        <v>96</v>
      </c>
      <c r="H1924" t="s">
        <v>35</v>
      </c>
      <c r="I1924" t="s">
        <v>8551</v>
      </c>
      <c r="J1924">
        <v>60</v>
      </c>
      <c r="K1924" t="s">
        <v>37</v>
      </c>
      <c r="L1924" t="s">
        <v>38</v>
      </c>
      <c r="M1924" t="s">
        <v>39</v>
      </c>
      <c r="P1924" t="s">
        <v>28</v>
      </c>
      <c r="Q1924" t="s">
        <v>8552</v>
      </c>
      <c r="R1924" t="s">
        <v>8553</v>
      </c>
      <c r="S1924" t="s">
        <v>31</v>
      </c>
      <c r="T1924">
        <v>0</v>
      </c>
    </row>
    <row r="1925" spans="1:20" x14ac:dyDescent="0.25">
      <c r="A1925" t="s">
        <v>8554</v>
      </c>
      <c r="B1925" s="1">
        <v>45917</v>
      </c>
      <c r="C1925" s="5">
        <v>0.14326388888888889</v>
      </c>
      <c r="D1925">
        <v>182.84</v>
      </c>
      <c r="E1925" t="s">
        <v>44</v>
      </c>
      <c r="F1925" t="s">
        <v>4661</v>
      </c>
      <c r="G1925" t="s">
        <v>124</v>
      </c>
      <c r="H1925" t="s">
        <v>58</v>
      </c>
      <c r="I1925" t="s">
        <v>8555</v>
      </c>
      <c r="J1925">
        <v>61</v>
      </c>
      <c r="K1925" t="s">
        <v>25</v>
      </c>
      <c r="L1925" t="s">
        <v>35</v>
      </c>
      <c r="M1925" t="s">
        <v>39</v>
      </c>
      <c r="P1925" t="s">
        <v>28</v>
      </c>
      <c r="Q1925" t="s">
        <v>8556</v>
      </c>
      <c r="R1925" t="s">
        <v>8557</v>
      </c>
      <c r="S1925" t="s">
        <v>31</v>
      </c>
      <c r="T1925">
        <v>0</v>
      </c>
    </row>
    <row r="1926" spans="1:20" x14ac:dyDescent="0.25">
      <c r="A1926" t="s">
        <v>8558</v>
      </c>
      <c r="B1926" s="1">
        <v>45794</v>
      </c>
      <c r="C1926" s="5">
        <v>0.61583333333333334</v>
      </c>
      <c r="D1926">
        <v>112.2</v>
      </c>
      <c r="E1926" t="s">
        <v>44</v>
      </c>
      <c r="F1926" t="s">
        <v>988</v>
      </c>
      <c r="G1926" t="s">
        <v>34</v>
      </c>
      <c r="H1926" t="s">
        <v>97</v>
      </c>
      <c r="I1926" t="s">
        <v>8559</v>
      </c>
      <c r="J1926">
        <v>66</v>
      </c>
      <c r="K1926" t="s">
        <v>37</v>
      </c>
      <c r="L1926" t="s">
        <v>35</v>
      </c>
      <c r="M1926" t="s">
        <v>27</v>
      </c>
      <c r="P1926" t="s">
        <v>28</v>
      </c>
      <c r="Q1926" t="s">
        <v>8560</v>
      </c>
      <c r="R1926" t="s">
        <v>8561</v>
      </c>
      <c r="S1926" t="s">
        <v>31</v>
      </c>
      <c r="T1926">
        <v>0</v>
      </c>
    </row>
    <row r="1927" spans="1:20" x14ac:dyDescent="0.25">
      <c r="A1927" t="s">
        <v>8562</v>
      </c>
      <c r="B1927" s="1">
        <v>45840</v>
      </c>
      <c r="C1927" s="5">
        <v>0.80458333333333332</v>
      </c>
      <c r="D1927">
        <v>134.83000000000001</v>
      </c>
      <c r="E1927" t="s">
        <v>44</v>
      </c>
      <c r="F1927" t="s">
        <v>8563</v>
      </c>
      <c r="G1927" t="s">
        <v>96</v>
      </c>
      <c r="H1927" t="s">
        <v>146</v>
      </c>
      <c r="I1927" t="s">
        <v>8564</v>
      </c>
      <c r="J1927">
        <v>39</v>
      </c>
      <c r="K1927" t="s">
        <v>37</v>
      </c>
      <c r="L1927" t="s">
        <v>38</v>
      </c>
      <c r="M1927" t="s">
        <v>39</v>
      </c>
      <c r="P1927" t="s">
        <v>28</v>
      </c>
      <c r="Q1927" t="s">
        <v>8565</v>
      </c>
      <c r="R1927" t="s">
        <v>8566</v>
      </c>
      <c r="S1927" t="s">
        <v>31</v>
      </c>
      <c r="T1927">
        <v>0</v>
      </c>
    </row>
    <row r="1928" spans="1:20" x14ac:dyDescent="0.25">
      <c r="A1928" t="s">
        <v>8567</v>
      </c>
      <c r="B1928" s="1">
        <v>45851</v>
      </c>
      <c r="C1928" s="5">
        <v>0.37837962962962962</v>
      </c>
      <c r="D1928">
        <v>34.85</v>
      </c>
      <c r="E1928" t="s">
        <v>44</v>
      </c>
      <c r="F1928" t="s">
        <v>556</v>
      </c>
      <c r="G1928" t="s">
        <v>71</v>
      </c>
      <c r="H1928" t="s">
        <v>146</v>
      </c>
      <c r="I1928" t="s">
        <v>8568</v>
      </c>
      <c r="J1928">
        <v>18</v>
      </c>
      <c r="K1928" t="s">
        <v>37</v>
      </c>
      <c r="L1928" t="s">
        <v>146</v>
      </c>
      <c r="M1928" t="s">
        <v>27</v>
      </c>
      <c r="P1928" t="s">
        <v>113</v>
      </c>
      <c r="Q1928" t="s">
        <v>8569</v>
      </c>
      <c r="R1928" t="s">
        <v>8570</v>
      </c>
      <c r="S1928" t="s">
        <v>31</v>
      </c>
      <c r="T1928">
        <v>0</v>
      </c>
    </row>
    <row r="1929" spans="1:20" x14ac:dyDescent="0.25">
      <c r="A1929" t="s">
        <v>8571</v>
      </c>
      <c r="B1929" s="1">
        <v>45947</v>
      </c>
      <c r="C1929" s="5">
        <v>0.73895833333333338</v>
      </c>
      <c r="D1929">
        <v>15.19</v>
      </c>
      <c r="E1929" t="s">
        <v>44</v>
      </c>
      <c r="F1929" t="s">
        <v>258</v>
      </c>
      <c r="G1929" t="s">
        <v>64</v>
      </c>
      <c r="H1929" t="s">
        <v>50</v>
      </c>
      <c r="I1929" t="s">
        <v>8572</v>
      </c>
      <c r="J1929">
        <v>47</v>
      </c>
      <c r="K1929" t="s">
        <v>25</v>
      </c>
      <c r="L1929" t="s">
        <v>26</v>
      </c>
      <c r="M1929" t="s">
        <v>39</v>
      </c>
      <c r="P1929" t="s">
        <v>28</v>
      </c>
      <c r="Q1929" t="s">
        <v>8573</v>
      </c>
      <c r="R1929" t="s">
        <v>8574</v>
      </c>
      <c r="S1929" t="s">
        <v>31</v>
      </c>
      <c r="T1929">
        <v>0</v>
      </c>
    </row>
    <row r="1930" spans="1:20" x14ac:dyDescent="0.25">
      <c r="A1930" t="s">
        <v>8575</v>
      </c>
      <c r="B1930" s="1">
        <v>45901</v>
      </c>
      <c r="C1930" s="5">
        <v>0.79945601851851855</v>
      </c>
      <c r="D1930">
        <v>94.62</v>
      </c>
      <c r="E1930" t="s">
        <v>44</v>
      </c>
      <c r="F1930" t="s">
        <v>3691</v>
      </c>
      <c r="G1930" t="s">
        <v>22</v>
      </c>
      <c r="H1930" t="s">
        <v>97</v>
      </c>
      <c r="I1930" t="s">
        <v>8576</v>
      </c>
      <c r="J1930">
        <v>58</v>
      </c>
      <c r="K1930" t="s">
        <v>25</v>
      </c>
      <c r="L1930" t="s">
        <v>66</v>
      </c>
      <c r="M1930" t="s">
        <v>105</v>
      </c>
      <c r="P1930" t="s">
        <v>28</v>
      </c>
      <c r="Q1930" t="s">
        <v>8577</v>
      </c>
      <c r="R1930" t="s">
        <v>8578</v>
      </c>
      <c r="S1930" t="s">
        <v>31</v>
      </c>
      <c r="T1930">
        <v>0</v>
      </c>
    </row>
    <row r="1931" spans="1:20" x14ac:dyDescent="0.25">
      <c r="A1931" t="s">
        <v>8579</v>
      </c>
      <c r="B1931" s="1">
        <v>45800</v>
      </c>
      <c r="C1931" s="5">
        <v>0.45189814814814816</v>
      </c>
      <c r="D1931">
        <v>159.71</v>
      </c>
      <c r="E1931" t="s">
        <v>44</v>
      </c>
      <c r="F1931" t="s">
        <v>2846</v>
      </c>
      <c r="G1931" t="s">
        <v>46</v>
      </c>
      <c r="H1931" t="s">
        <v>119</v>
      </c>
      <c r="I1931" t="s">
        <v>8580</v>
      </c>
      <c r="K1931" t="s">
        <v>25</v>
      </c>
      <c r="L1931" t="s">
        <v>35</v>
      </c>
      <c r="M1931" t="s">
        <v>39</v>
      </c>
      <c r="P1931" t="s">
        <v>28</v>
      </c>
      <c r="Q1931" t="s">
        <v>8581</v>
      </c>
      <c r="R1931" t="s">
        <v>8582</v>
      </c>
      <c r="S1931" t="s">
        <v>31</v>
      </c>
      <c r="T1931">
        <v>0</v>
      </c>
    </row>
    <row r="1932" spans="1:20" x14ac:dyDescent="0.25">
      <c r="A1932" t="s">
        <v>8583</v>
      </c>
      <c r="B1932" s="1">
        <v>45814</v>
      </c>
      <c r="C1932" s="5">
        <v>0.41333333333333333</v>
      </c>
      <c r="D1932">
        <v>74.25</v>
      </c>
      <c r="E1932" t="s">
        <v>44</v>
      </c>
      <c r="F1932" t="s">
        <v>3008</v>
      </c>
      <c r="G1932" t="s">
        <v>22</v>
      </c>
      <c r="H1932" t="s">
        <v>97</v>
      </c>
      <c r="I1932" t="s">
        <v>8584</v>
      </c>
      <c r="J1932">
        <v>32</v>
      </c>
      <c r="K1932" t="s">
        <v>49</v>
      </c>
      <c r="L1932" t="s">
        <v>97</v>
      </c>
      <c r="M1932" t="s">
        <v>27</v>
      </c>
      <c r="P1932" t="s">
        <v>113</v>
      </c>
      <c r="Q1932" t="s">
        <v>8585</v>
      </c>
      <c r="R1932" t="s">
        <v>8586</v>
      </c>
      <c r="S1932" t="s">
        <v>31</v>
      </c>
      <c r="T1932">
        <v>0</v>
      </c>
    </row>
    <row r="1933" spans="1:20" x14ac:dyDescent="0.25">
      <c r="A1933" t="s">
        <v>8587</v>
      </c>
      <c r="B1933" s="1">
        <v>45864</v>
      </c>
      <c r="C1933" s="5">
        <v>0.79826388888888888</v>
      </c>
      <c r="D1933">
        <v>84.26</v>
      </c>
      <c r="E1933" t="s">
        <v>44</v>
      </c>
      <c r="F1933" t="s">
        <v>2980</v>
      </c>
      <c r="G1933" t="s">
        <v>57</v>
      </c>
      <c r="H1933" t="s">
        <v>38</v>
      </c>
      <c r="I1933" t="s">
        <v>8588</v>
      </c>
      <c r="J1933">
        <v>72</v>
      </c>
      <c r="K1933" t="s">
        <v>25</v>
      </c>
      <c r="L1933" t="s">
        <v>110</v>
      </c>
      <c r="M1933" t="s">
        <v>39</v>
      </c>
      <c r="P1933" t="s">
        <v>28</v>
      </c>
      <c r="Q1933" t="s">
        <v>8589</v>
      </c>
      <c r="R1933" t="s">
        <v>8590</v>
      </c>
      <c r="S1933" t="s">
        <v>31</v>
      </c>
      <c r="T1933">
        <v>0</v>
      </c>
    </row>
    <row r="1934" spans="1:20" x14ac:dyDescent="0.25">
      <c r="A1934" t="s">
        <v>8591</v>
      </c>
      <c r="B1934" s="1">
        <v>45885</v>
      </c>
      <c r="C1934" s="5">
        <v>0.23820601851851853</v>
      </c>
      <c r="D1934">
        <v>102.32</v>
      </c>
      <c r="E1934" t="s">
        <v>44</v>
      </c>
      <c r="F1934" t="s">
        <v>8592</v>
      </c>
      <c r="G1934" t="s">
        <v>22</v>
      </c>
      <c r="H1934" t="s">
        <v>119</v>
      </c>
      <c r="I1934" t="s">
        <v>8593</v>
      </c>
      <c r="J1934">
        <v>72</v>
      </c>
      <c r="K1934" t="s">
        <v>25</v>
      </c>
      <c r="L1934" t="s">
        <v>146</v>
      </c>
      <c r="M1934" t="s">
        <v>105</v>
      </c>
      <c r="P1934" t="s">
        <v>28</v>
      </c>
      <c r="Q1934" t="s">
        <v>8594</v>
      </c>
      <c r="R1934" t="s">
        <v>8595</v>
      </c>
      <c r="S1934" t="s">
        <v>42</v>
      </c>
      <c r="T1934">
        <v>0</v>
      </c>
    </row>
    <row r="1935" spans="1:20" x14ac:dyDescent="0.25">
      <c r="A1935" t="s">
        <v>8596</v>
      </c>
      <c r="B1935" s="1">
        <v>45846</v>
      </c>
      <c r="C1935" s="5">
        <v>0.45629629629629631</v>
      </c>
      <c r="D1935">
        <v>10.53</v>
      </c>
      <c r="E1935" t="s">
        <v>44</v>
      </c>
      <c r="F1935" t="s">
        <v>7821</v>
      </c>
      <c r="G1935" t="s">
        <v>34</v>
      </c>
      <c r="H1935" t="s">
        <v>26</v>
      </c>
      <c r="I1935" t="s">
        <v>8597</v>
      </c>
      <c r="J1935">
        <v>29</v>
      </c>
      <c r="K1935" t="s">
        <v>49</v>
      </c>
      <c r="L1935" t="s">
        <v>130</v>
      </c>
      <c r="M1935" t="s">
        <v>39</v>
      </c>
      <c r="P1935" t="s">
        <v>28</v>
      </c>
      <c r="Q1935" t="s">
        <v>8598</v>
      </c>
      <c r="R1935" t="s">
        <v>8599</v>
      </c>
      <c r="S1935" t="s">
        <v>42</v>
      </c>
      <c r="T1935">
        <v>0</v>
      </c>
    </row>
    <row r="1936" spans="1:20" x14ac:dyDescent="0.25">
      <c r="A1936" t="s">
        <v>8600</v>
      </c>
      <c r="B1936" s="1">
        <v>45919</v>
      </c>
      <c r="C1936" s="5">
        <v>0.87582175925925931</v>
      </c>
      <c r="D1936">
        <v>40.340000000000003</v>
      </c>
      <c r="E1936" t="s">
        <v>44</v>
      </c>
      <c r="F1936" t="s">
        <v>2791</v>
      </c>
      <c r="G1936" t="s">
        <v>71</v>
      </c>
      <c r="H1936" t="s">
        <v>50</v>
      </c>
      <c r="I1936" t="s">
        <v>8601</v>
      </c>
      <c r="J1936">
        <v>33</v>
      </c>
      <c r="K1936" t="s">
        <v>25</v>
      </c>
      <c r="L1936" t="s">
        <v>119</v>
      </c>
      <c r="M1936" t="s">
        <v>51</v>
      </c>
      <c r="N1936" t="s">
        <v>870</v>
      </c>
      <c r="O1936">
        <v>489051</v>
      </c>
      <c r="P1936" t="s">
        <v>28</v>
      </c>
      <c r="Q1936" t="s">
        <v>8602</v>
      </c>
      <c r="R1936" t="s">
        <v>8603</v>
      </c>
      <c r="S1936" t="s">
        <v>31</v>
      </c>
      <c r="T1936">
        <v>0</v>
      </c>
    </row>
    <row r="1937" spans="1:20" x14ac:dyDescent="0.25">
      <c r="A1937" t="s">
        <v>8604</v>
      </c>
      <c r="B1937" s="1">
        <v>45801</v>
      </c>
      <c r="C1937" s="5">
        <v>0.51944444444444449</v>
      </c>
      <c r="D1937">
        <v>1466.51</v>
      </c>
      <c r="E1937" t="s">
        <v>44</v>
      </c>
      <c r="F1937" t="s">
        <v>1509</v>
      </c>
      <c r="G1937" t="s">
        <v>77</v>
      </c>
      <c r="H1937" t="s">
        <v>47</v>
      </c>
      <c r="I1937" t="s">
        <v>8605</v>
      </c>
      <c r="J1937">
        <v>62</v>
      </c>
      <c r="K1937" t="s">
        <v>37</v>
      </c>
      <c r="L1937" t="s">
        <v>130</v>
      </c>
      <c r="M1937" t="s">
        <v>105</v>
      </c>
      <c r="P1937" t="s">
        <v>28</v>
      </c>
      <c r="Q1937" t="s">
        <v>8606</v>
      </c>
      <c r="R1937" t="s">
        <v>8607</v>
      </c>
      <c r="S1937" t="s">
        <v>31</v>
      </c>
      <c r="T1937">
        <v>0</v>
      </c>
    </row>
    <row r="1938" spans="1:20" x14ac:dyDescent="0.25">
      <c r="A1938" t="s">
        <v>8608</v>
      </c>
      <c r="B1938" s="1">
        <v>45880</v>
      </c>
      <c r="C1938" s="5">
        <v>0.45403935185185185</v>
      </c>
      <c r="D1938">
        <v>77.489999999999995</v>
      </c>
      <c r="E1938" t="s">
        <v>44</v>
      </c>
      <c r="F1938" t="s">
        <v>253</v>
      </c>
      <c r="G1938" t="s">
        <v>57</v>
      </c>
      <c r="H1938" t="s">
        <v>130</v>
      </c>
      <c r="I1938" t="s">
        <v>8609</v>
      </c>
      <c r="J1938">
        <v>64</v>
      </c>
      <c r="K1938" t="s">
        <v>49</v>
      </c>
      <c r="L1938" t="s">
        <v>97</v>
      </c>
      <c r="M1938" t="s">
        <v>105</v>
      </c>
      <c r="P1938" t="s">
        <v>28</v>
      </c>
      <c r="Q1938" t="s">
        <v>8610</v>
      </c>
      <c r="R1938" t="s">
        <v>8611</v>
      </c>
      <c r="S1938" t="s">
        <v>31</v>
      </c>
      <c r="T1938">
        <v>1</v>
      </c>
    </row>
    <row r="1939" spans="1:20" x14ac:dyDescent="0.25">
      <c r="A1939" t="s">
        <v>8612</v>
      </c>
      <c r="B1939" s="1">
        <v>45790</v>
      </c>
      <c r="C1939" s="5">
        <v>0.70423611111111106</v>
      </c>
      <c r="D1939">
        <v>73.45</v>
      </c>
      <c r="E1939" t="s">
        <v>44</v>
      </c>
      <c r="F1939" t="s">
        <v>8613</v>
      </c>
      <c r="G1939" t="s">
        <v>77</v>
      </c>
      <c r="H1939" t="s">
        <v>35</v>
      </c>
      <c r="I1939" t="s">
        <v>8614</v>
      </c>
      <c r="J1939">
        <v>27</v>
      </c>
      <c r="K1939" t="s">
        <v>37</v>
      </c>
      <c r="L1939" t="s">
        <v>248</v>
      </c>
      <c r="M1939" t="s">
        <v>112</v>
      </c>
      <c r="P1939" t="s">
        <v>28</v>
      </c>
      <c r="Q1939" t="s">
        <v>8615</v>
      </c>
      <c r="R1939" t="s">
        <v>8616</v>
      </c>
      <c r="S1939" t="s">
        <v>31</v>
      </c>
      <c r="T1939">
        <v>1</v>
      </c>
    </row>
    <row r="1940" spans="1:20" x14ac:dyDescent="0.25">
      <c r="A1940" t="s">
        <v>8617</v>
      </c>
      <c r="B1940" s="1">
        <v>45920</v>
      </c>
      <c r="C1940" s="5">
        <v>0.12</v>
      </c>
      <c r="D1940">
        <v>87.21</v>
      </c>
      <c r="E1940" t="s">
        <v>44</v>
      </c>
      <c r="F1940" t="s">
        <v>1692</v>
      </c>
      <c r="G1940" t="s">
        <v>46</v>
      </c>
      <c r="H1940" t="s">
        <v>146</v>
      </c>
      <c r="I1940" t="s">
        <v>8618</v>
      </c>
      <c r="J1940">
        <v>45</v>
      </c>
      <c r="K1940" t="s">
        <v>25</v>
      </c>
      <c r="L1940" t="s">
        <v>146</v>
      </c>
      <c r="M1940" t="s">
        <v>84</v>
      </c>
      <c r="P1940" t="s">
        <v>113</v>
      </c>
      <c r="Q1940" t="s">
        <v>8619</v>
      </c>
      <c r="R1940" t="s">
        <v>8620</v>
      </c>
      <c r="S1940" t="s">
        <v>31</v>
      </c>
      <c r="T1940">
        <v>0</v>
      </c>
    </row>
    <row r="1941" spans="1:20" x14ac:dyDescent="0.25">
      <c r="A1941" t="s">
        <v>8621</v>
      </c>
      <c r="B1941" s="1">
        <v>45925</v>
      </c>
      <c r="C1941" s="5">
        <v>0.13675925925925925</v>
      </c>
      <c r="D1941">
        <v>141.61000000000001</v>
      </c>
      <c r="E1941" t="s">
        <v>44</v>
      </c>
      <c r="F1941" t="s">
        <v>1143</v>
      </c>
      <c r="G1941" t="s">
        <v>64</v>
      </c>
      <c r="H1941" t="s">
        <v>119</v>
      </c>
      <c r="I1941" t="s">
        <v>8622</v>
      </c>
      <c r="J1941">
        <v>72</v>
      </c>
      <c r="K1941" t="s">
        <v>49</v>
      </c>
      <c r="L1941" t="s">
        <v>248</v>
      </c>
      <c r="M1941" t="s">
        <v>51</v>
      </c>
      <c r="N1941" t="s">
        <v>52</v>
      </c>
      <c r="O1941">
        <v>559386</v>
      </c>
      <c r="P1941" t="s">
        <v>28</v>
      </c>
      <c r="Q1941" t="s">
        <v>8623</v>
      </c>
      <c r="R1941" t="s">
        <v>8624</v>
      </c>
      <c r="S1941" t="s">
        <v>31</v>
      </c>
      <c r="T1941">
        <v>0</v>
      </c>
    </row>
    <row r="1942" spans="1:20" x14ac:dyDescent="0.25">
      <c r="A1942" t="s">
        <v>8625</v>
      </c>
      <c r="B1942" s="1">
        <v>45847</v>
      </c>
      <c r="C1942" s="5">
        <v>0.94964120370370375</v>
      </c>
      <c r="D1942">
        <v>111.2</v>
      </c>
      <c r="E1942" t="s">
        <v>44</v>
      </c>
      <c r="F1942" t="s">
        <v>8626</v>
      </c>
      <c r="G1942" t="s">
        <v>77</v>
      </c>
      <c r="H1942" t="s">
        <v>66</v>
      </c>
      <c r="I1942" t="s">
        <v>8627</v>
      </c>
      <c r="J1942">
        <v>27</v>
      </c>
      <c r="K1942" t="s">
        <v>25</v>
      </c>
      <c r="L1942" t="s">
        <v>47</v>
      </c>
      <c r="M1942" t="s">
        <v>51</v>
      </c>
      <c r="N1942" t="s">
        <v>173</v>
      </c>
      <c r="O1942">
        <v>429852</v>
      </c>
      <c r="P1942" t="s">
        <v>28</v>
      </c>
      <c r="Q1942" t="s">
        <v>8628</v>
      </c>
      <c r="R1942" t="s">
        <v>8629</v>
      </c>
      <c r="S1942" t="s">
        <v>31</v>
      </c>
      <c r="T1942">
        <v>0</v>
      </c>
    </row>
    <row r="1943" spans="1:20" x14ac:dyDescent="0.25">
      <c r="A1943" t="s">
        <v>8630</v>
      </c>
      <c r="B1943" s="1">
        <v>45833</v>
      </c>
      <c r="C1943" s="5">
        <v>0.1361111111111111</v>
      </c>
      <c r="D1943">
        <v>498.64</v>
      </c>
      <c r="E1943" t="s">
        <v>44</v>
      </c>
      <c r="F1943" t="s">
        <v>3986</v>
      </c>
      <c r="G1943" t="s">
        <v>22</v>
      </c>
      <c r="H1943" t="s">
        <v>38</v>
      </c>
      <c r="I1943" t="s">
        <v>8631</v>
      </c>
      <c r="J1943">
        <v>48</v>
      </c>
      <c r="K1943" t="s">
        <v>37</v>
      </c>
      <c r="L1943" t="s">
        <v>38</v>
      </c>
      <c r="M1943" t="s">
        <v>27</v>
      </c>
      <c r="P1943" t="s">
        <v>113</v>
      </c>
      <c r="Q1943" t="s">
        <v>8632</v>
      </c>
      <c r="R1943" t="s">
        <v>8633</v>
      </c>
      <c r="S1943" t="s">
        <v>31</v>
      </c>
      <c r="T1943">
        <v>0</v>
      </c>
    </row>
    <row r="1944" spans="1:20" x14ac:dyDescent="0.25">
      <c r="A1944" t="s">
        <v>8634</v>
      </c>
      <c r="B1944" s="1">
        <v>45839</v>
      </c>
      <c r="C1944" s="5">
        <v>0.53601851851851856</v>
      </c>
      <c r="D1944">
        <v>127.49</v>
      </c>
      <c r="E1944" t="s">
        <v>44</v>
      </c>
      <c r="F1944" t="s">
        <v>4072</v>
      </c>
      <c r="G1944" t="s">
        <v>22</v>
      </c>
      <c r="H1944" t="s">
        <v>23</v>
      </c>
      <c r="I1944" t="s">
        <v>8635</v>
      </c>
      <c r="J1944">
        <v>74</v>
      </c>
      <c r="K1944" t="s">
        <v>25</v>
      </c>
      <c r="L1944" t="s">
        <v>38</v>
      </c>
      <c r="M1944" t="s">
        <v>51</v>
      </c>
      <c r="N1944" t="s">
        <v>52</v>
      </c>
      <c r="O1944">
        <v>444440</v>
      </c>
      <c r="P1944" t="s">
        <v>28</v>
      </c>
      <c r="Q1944" t="s">
        <v>8636</v>
      </c>
      <c r="R1944" t="s">
        <v>8637</v>
      </c>
      <c r="S1944" t="s">
        <v>31</v>
      </c>
      <c r="T1944">
        <v>0</v>
      </c>
    </row>
    <row r="1945" spans="1:20" x14ac:dyDescent="0.25">
      <c r="A1945" t="s">
        <v>8638</v>
      </c>
      <c r="B1945" s="1">
        <v>45845</v>
      </c>
      <c r="C1945" s="5">
        <v>0.79923611111111115</v>
      </c>
      <c r="D1945">
        <v>156.77000000000001</v>
      </c>
      <c r="E1945" t="s">
        <v>44</v>
      </c>
      <c r="F1945" t="s">
        <v>2472</v>
      </c>
      <c r="G1945" t="s">
        <v>89</v>
      </c>
      <c r="H1945" t="s">
        <v>119</v>
      </c>
      <c r="I1945" t="s">
        <v>8639</v>
      </c>
      <c r="J1945">
        <v>35</v>
      </c>
      <c r="K1945" t="s">
        <v>49</v>
      </c>
      <c r="L1945" t="s">
        <v>50</v>
      </c>
      <c r="M1945" t="s">
        <v>27</v>
      </c>
      <c r="P1945" t="s">
        <v>28</v>
      </c>
      <c r="Q1945" t="s">
        <v>8640</v>
      </c>
      <c r="R1945" t="s">
        <v>8641</v>
      </c>
      <c r="S1945" t="s">
        <v>31</v>
      </c>
      <c r="T1945">
        <v>0</v>
      </c>
    </row>
    <row r="1946" spans="1:20" x14ac:dyDescent="0.25">
      <c r="A1946" t="s">
        <v>8642</v>
      </c>
      <c r="B1946" s="1">
        <v>45927</v>
      </c>
      <c r="C1946" s="5">
        <v>0.94212962962962965</v>
      </c>
      <c r="D1946">
        <v>142.57</v>
      </c>
      <c r="E1946" t="s">
        <v>44</v>
      </c>
      <c r="F1946" t="s">
        <v>1427</v>
      </c>
      <c r="G1946" t="s">
        <v>34</v>
      </c>
      <c r="H1946" t="s">
        <v>26</v>
      </c>
      <c r="I1946" t="s">
        <v>8643</v>
      </c>
      <c r="J1946">
        <v>21</v>
      </c>
      <c r="K1946" t="s">
        <v>37</v>
      </c>
      <c r="L1946" t="s">
        <v>50</v>
      </c>
      <c r="M1946" t="s">
        <v>51</v>
      </c>
      <c r="N1946" t="s">
        <v>507</v>
      </c>
      <c r="O1946">
        <v>513014</v>
      </c>
      <c r="P1946" t="s">
        <v>28</v>
      </c>
      <c r="Q1946" t="s">
        <v>8644</v>
      </c>
      <c r="R1946" t="s">
        <v>8645</v>
      </c>
      <c r="S1946" t="s">
        <v>31</v>
      </c>
      <c r="T1946">
        <v>0</v>
      </c>
    </row>
    <row r="1947" spans="1:20" x14ac:dyDescent="0.25">
      <c r="A1947" t="s">
        <v>8646</v>
      </c>
      <c r="B1947" s="1">
        <v>45895</v>
      </c>
      <c r="C1947" s="5">
        <v>0.70460648148148153</v>
      </c>
      <c r="D1947">
        <v>29</v>
      </c>
      <c r="E1947" t="s">
        <v>44</v>
      </c>
      <c r="F1947" t="s">
        <v>1739</v>
      </c>
      <c r="G1947" t="s">
        <v>124</v>
      </c>
      <c r="H1947" t="s">
        <v>119</v>
      </c>
      <c r="I1947" t="s">
        <v>8647</v>
      </c>
      <c r="J1947">
        <v>56</v>
      </c>
      <c r="K1947" t="s">
        <v>49</v>
      </c>
      <c r="L1947" t="s">
        <v>47</v>
      </c>
      <c r="M1947" t="s">
        <v>27</v>
      </c>
      <c r="P1947" t="s">
        <v>28</v>
      </c>
      <c r="Q1947" t="s">
        <v>8648</v>
      </c>
      <c r="R1947" t="s">
        <v>8649</v>
      </c>
      <c r="S1947" t="s">
        <v>31</v>
      </c>
      <c r="T1947">
        <v>0</v>
      </c>
    </row>
    <row r="1948" spans="1:20" x14ac:dyDescent="0.25">
      <c r="A1948" t="s">
        <v>8650</v>
      </c>
      <c r="B1948" s="1">
        <v>45791</v>
      </c>
      <c r="C1948" s="5">
        <v>0.28946759259259258</v>
      </c>
      <c r="D1948">
        <v>79.180000000000007</v>
      </c>
      <c r="E1948" t="s">
        <v>44</v>
      </c>
      <c r="F1948" t="s">
        <v>3504</v>
      </c>
      <c r="G1948" t="s">
        <v>124</v>
      </c>
      <c r="H1948" t="s">
        <v>47</v>
      </c>
      <c r="I1948" t="s">
        <v>8651</v>
      </c>
      <c r="J1948">
        <v>23</v>
      </c>
      <c r="K1948" t="s">
        <v>49</v>
      </c>
      <c r="L1948" t="s">
        <v>58</v>
      </c>
      <c r="M1948" t="s">
        <v>27</v>
      </c>
      <c r="P1948" t="s">
        <v>28</v>
      </c>
      <c r="Q1948" t="s">
        <v>8652</v>
      </c>
      <c r="R1948" t="s">
        <v>8653</v>
      </c>
      <c r="S1948" t="s">
        <v>31</v>
      </c>
      <c r="T1948">
        <v>0</v>
      </c>
    </row>
    <row r="1949" spans="1:20" x14ac:dyDescent="0.25">
      <c r="A1949" t="s">
        <v>8654</v>
      </c>
      <c r="B1949" s="1">
        <v>45822</v>
      </c>
      <c r="C1949" s="5">
        <v>0.38870370370370372</v>
      </c>
      <c r="D1949">
        <v>53.96</v>
      </c>
      <c r="E1949" t="s">
        <v>44</v>
      </c>
      <c r="F1949" t="s">
        <v>5223</v>
      </c>
      <c r="G1949" t="s">
        <v>77</v>
      </c>
      <c r="H1949" t="s">
        <v>91</v>
      </c>
      <c r="I1949" t="s">
        <v>8655</v>
      </c>
      <c r="J1949">
        <v>74</v>
      </c>
      <c r="K1949" t="s">
        <v>49</v>
      </c>
      <c r="L1949" t="s">
        <v>97</v>
      </c>
      <c r="M1949" t="s">
        <v>105</v>
      </c>
      <c r="P1949" t="s">
        <v>28</v>
      </c>
      <c r="Q1949" t="s">
        <v>8656</v>
      </c>
      <c r="R1949" t="s">
        <v>8657</v>
      </c>
      <c r="S1949" t="s">
        <v>31</v>
      </c>
      <c r="T1949">
        <v>0</v>
      </c>
    </row>
    <row r="1950" spans="1:20" x14ac:dyDescent="0.25">
      <c r="A1950" t="s">
        <v>8658</v>
      </c>
      <c r="B1950" s="1">
        <v>45822</v>
      </c>
      <c r="C1950" s="5">
        <v>0.19480324074074074</v>
      </c>
      <c r="D1950">
        <v>143.97</v>
      </c>
      <c r="E1950" t="s">
        <v>44</v>
      </c>
      <c r="F1950" t="s">
        <v>5566</v>
      </c>
      <c r="G1950" t="s">
        <v>34</v>
      </c>
      <c r="H1950" t="s">
        <v>26</v>
      </c>
      <c r="I1950" t="s">
        <v>8659</v>
      </c>
      <c r="J1950">
        <v>25</v>
      </c>
      <c r="K1950" t="s">
        <v>49</v>
      </c>
      <c r="L1950" t="s">
        <v>38</v>
      </c>
      <c r="M1950" t="s">
        <v>105</v>
      </c>
      <c r="P1950" t="s">
        <v>28</v>
      </c>
      <c r="Q1950" t="s">
        <v>8660</v>
      </c>
      <c r="R1950" t="s">
        <v>8661</v>
      </c>
      <c r="S1950" t="s">
        <v>101</v>
      </c>
      <c r="T1950">
        <v>0</v>
      </c>
    </row>
    <row r="1951" spans="1:20" x14ac:dyDescent="0.25">
      <c r="A1951" t="s">
        <v>8662</v>
      </c>
      <c r="B1951" s="1">
        <v>45841</v>
      </c>
      <c r="C1951" s="5">
        <v>0.48572916666666666</v>
      </c>
      <c r="D1951">
        <v>90.26</v>
      </c>
      <c r="E1951" t="s">
        <v>44</v>
      </c>
      <c r="F1951" t="s">
        <v>447</v>
      </c>
      <c r="G1951" t="s">
        <v>71</v>
      </c>
      <c r="H1951" t="s">
        <v>50</v>
      </c>
      <c r="I1951" t="s">
        <v>8663</v>
      </c>
      <c r="J1951">
        <v>26</v>
      </c>
      <c r="K1951" t="s">
        <v>25</v>
      </c>
      <c r="L1951" t="s">
        <v>26</v>
      </c>
      <c r="M1951" t="s">
        <v>51</v>
      </c>
      <c r="N1951" t="s">
        <v>52</v>
      </c>
      <c r="O1951">
        <v>523321</v>
      </c>
      <c r="P1951" t="s">
        <v>28</v>
      </c>
      <c r="Q1951" t="s">
        <v>8664</v>
      </c>
      <c r="R1951" t="s">
        <v>8665</v>
      </c>
      <c r="S1951" t="s">
        <v>31</v>
      </c>
      <c r="T1951">
        <v>0</v>
      </c>
    </row>
    <row r="1952" spans="1:20" x14ac:dyDescent="0.25">
      <c r="A1952" t="s">
        <v>8666</v>
      </c>
      <c r="B1952" s="1">
        <v>45959</v>
      </c>
      <c r="C1952" s="5">
        <v>0.93871527777777775</v>
      </c>
      <c r="D1952">
        <v>12.08</v>
      </c>
      <c r="E1952" t="s">
        <v>44</v>
      </c>
      <c r="F1952" t="s">
        <v>5671</v>
      </c>
      <c r="G1952" t="s">
        <v>46</v>
      </c>
      <c r="H1952" t="s">
        <v>58</v>
      </c>
      <c r="I1952" t="s">
        <v>8667</v>
      </c>
      <c r="J1952">
        <v>55</v>
      </c>
      <c r="K1952" t="s">
        <v>37</v>
      </c>
      <c r="L1952" t="s">
        <v>50</v>
      </c>
      <c r="M1952" t="s">
        <v>84</v>
      </c>
      <c r="P1952" t="s">
        <v>28</v>
      </c>
      <c r="Q1952" t="s">
        <v>8668</v>
      </c>
      <c r="R1952" t="s">
        <v>8669</v>
      </c>
      <c r="S1952" t="s">
        <v>31</v>
      </c>
      <c r="T1952">
        <v>0</v>
      </c>
    </row>
    <row r="1953" spans="1:20" x14ac:dyDescent="0.25">
      <c r="A1953" t="s">
        <v>8670</v>
      </c>
      <c r="B1953" s="1">
        <v>45936</v>
      </c>
      <c r="C1953" s="5">
        <v>0.85375000000000001</v>
      </c>
      <c r="D1953">
        <v>101.29</v>
      </c>
      <c r="E1953" t="s">
        <v>44</v>
      </c>
      <c r="F1953" t="s">
        <v>3035</v>
      </c>
      <c r="G1953" t="s">
        <v>22</v>
      </c>
      <c r="H1953" t="s">
        <v>146</v>
      </c>
      <c r="I1953" t="s">
        <v>8671</v>
      </c>
      <c r="J1953">
        <v>66</v>
      </c>
      <c r="K1953" t="s">
        <v>49</v>
      </c>
      <c r="L1953" t="s">
        <v>23</v>
      </c>
      <c r="M1953" t="s">
        <v>84</v>
      </c>
      <c r="P1953" t="s">
        <v>28</v>
      </c>
      <c r="Q1953" t="s">
        <v>8672</v>
      </c>
      <c r="R1953" t="s">
        <v>8673</v>
      </c>
      <c r="S1953" t="s">
        <v>31</v>
      </c>
      <c r="T1953">
        <v>1</v>
      </c>
    </row>
    <row r="1954" spans="1:20" x14ac:dyDescent="0.25">
      <c r="A1954" t="s">
        <v>8674</v>
      </c>
      <c r="B1954" s="1">
        <v>45792</v>
      </c>
      <c r="C1954" s="5">
        <v>0.72530092592592588</v>
      </c>
      <c r="D1954">
        <v>83.38</v>
      </c>
      <c r="E1954" t="s">
        <v>44</v>
      </c>
      <c r="F1954" t="s">
        <v>5317</v>
      </c>
      <c r="G1954" t="s">
        <v>89</v>
      </c>
      <c r="H1954" t="s">
        <v>119</v>
      </c>
      <c r="I1954" t="s">
        <v>8675</v>
      </c>
      <c r="J1954">
        <v>61</v>
      </c>
      <c r="K1954" t="s">
        <v>49</v>
      </c>
      <c r="L1954" t="s">
        <v>146</v>
      </c>
      <c r="M1954" t="s">
        <v>112</v>
      </c>
      <c r="P1954" t="s">
        <v>28</v>
      </c>
      <c r="Q1954" t="s">
        <v>8676</v>
      </c>
      <c r="R1954" t="s">
        <v>8677</v>
      </c>
      <c r="S1954" t="s">
        <v>31</v>
      </c>
      <c r="T1954">
        <v>0</v>
      </c>
    </row>
    <row r="1955" spans="1:20" x14ac:dyDescent="0.25">
      <c r="A1955" t="s">
        <v>8678</v>
      </c>
      <c r="B1955" s="1">
        <v>45938</v>
      </c>
      <c r="C1955" s="5">
        <v>0.86550925925925926</v>
      </c>
      <c r="D1955">
        <v>115.1</v>
      </c>
      <c r="E1955" t="s">
        <v>44</v>
      </c>
      <c r="F1955" t="s">
        <v>3395</v>
      </c>
      <c r="G1955" t="s">
        <v>46</v>
      </c>
      <c r="H1955" t="s">
        <v>248</v>
      </c>
      <c r="I1955" t="s">
        <v>4662</v>
      </c>
      <c r="J1955">
        <v>39</v>
      </c>
      <c r="K1955" t="s">
        <v>37</v>
      </c>
      <c r="L1955" t="s">
        <v>146</v>
      </c>
      <c r="M1955" t="s">
        <v>27</v>
      </c>
      <c r="P1955" t="s">
        <v>28</v>
      </c>
      <c r="Q1955" t="s">
        <v>8679</v>
      </c>
      <c r="R1955" t="s">
        <v>8680</v>
      </c>
      <c r="S1955" t="s">
        <v>31</v>
      </c>
      <c r="T1955">
        <v>0</v>
      </c>
    </row>
    <row r="1956" spans="1:20" x14ac:dyDescent="0.25">
      <c r="A1956" t="s">
        <v>8681</v>
      </c>
      <c r="B1956" s="1">
        <v>45894</v>
      </c>
      <c r="C1956" s="5">
        <v>3.9664351851851853E-2</v>
      </c>
      <c r="D1956">
        <v>13.06</v>
      </c>
      <c r="E1956" t="s">
        <v>44</v>
      </c>
      <c r="F1956" t="s">
        <v>1485</v>
      </c>
      <c r="G1956" t="s">
        <v>89</v>
      </c>
      <c r="H1956" t="s">
        <v>38</v>
      </c>
      <c r="I1956" t="s">
        <v>8682</v>
      </c>
      <c r="K1956" t="s">
        <v>37</v>
      </c>
      <c r="L1956" t="s">
        <v>91</v>
      </c>
      <c r="M1956" t="s">
        <v>84</v>
      </c>
      <c r="P1956" t="s">
        <v>28</v>
      </c>
      <c r="Q1956" t="s">
        <v>8683</v>
      </c>
      <c r="R1956" t="s">
        <v>8684</v>
      </c>
      <c r="S1956" t="s">
        <v>31</v>
      </c>
      <c r="T1956">
        <v>0</v>
      </c>
    </row>
    <row r="1957" spans="1:20" x14ac:dyDescent="0.25">
      <c r="A1957" t="s">
        <v>8685</v>
      </c>
      <c r="B1957" s="1">
        <v>45871</v>
      </c>
      <c r="C1957" s="5">
        <v>0.77731481481481479</v>
      </c>
      <c r="D1957">
        <v>199.03</v>
      </c>
      <c r="E1957" t="s">
        <v>44</v>
      </c>
      <c r="F1957" t="s">
        <v>8686</v>
      </c>
      <c r="G1957" t="s">
        <v>89</v>
      </c>
      <c r="H1957" t="s">
        <v>119</v>
      </c>
      <c r="I1957" t="s">
        <v>8687</v>
      </c>
      <c r="J1957">
        <v>53</v>
      </c>
      <c r="K1957" t="s">
        <v>25</v>
      </c>
      <c r="L1957" t="s">
        <v>66</v>
      </c>
      <c r="M1957" t="s">
        <v>39</v>
      </c>
      <c r="P1957" t="s">
        <v>28</v>
      </c>
      <c r="Q1957" t="s">
        <v>8688</v>
      </c>
      <c r="R1957" t="s">
        <v>8689</v>
      </c>
      <c r="S1957" t="s">
        <v>31</v>
      </c>
      <c r="T1957">
        <v>0</v>
      </c>
    </row>
    <row r="1958" spans="1:20" x14ac:dyDescent="0.25">
      <c r="A1958" t="s">
        <v>8690</v>
      </c>
      <c r="B1958" s="1">
        <v>45948</v>
      </c>
      <c r="C1958" s="5">
        <v>0.78379629629629632</v>
      </c>
      <c r="D1958">
        <v>170.18</v>
      </c>
      <c r="E1958" t="s">
        <v>44</v>
      </c>
      <c r="F1958" t="s">
        <v>171</v>
      </c>
      <c r="G1958" t="s">
        <v>22</v>
      </c>
      <c r="H1958" t="s">
        <v>146</v>
      </c>
      <c r="I1958" t="s">
        <v>8691</v>
      </c>
      <c r="J1958">
        <v>38</v>
      </c>
      <c r="K1958" t="s">
        <v>25</v>
      </c>
      <c r="L1958" t="s">
        <v>248</v>
      </c>
      <c r="M1958" t="s">
        <v>39</v>
      </c>
      <c r="P1958" t="s">
        <v>28</v>
      </c>
      <c r="Q1958" t="s">
        <v>8692</v>
      </c>
      <c r="R1958" t="s">
        <v>8693</v>
      </c>
      <c r="S1958" t="s">
        <v>31</v>
      </c>
      <c r="T1958">
        <v>0</v>
      </c>
    </row>
    <row r="1959" spans="1:20" x14ac:dyDescent="0.25">
      <c r="A1959" t="s">
        <v>8694</v>
      </c>
      <c r="B1959" s="1">
        <v>45853</v>
      </c>
      <c r="C1959" s="5">
        <v>0.77628472222222222</v>
      </c>
      <c r="D1959">
        <v>84.83</v>
      </c>
      <c r="E1959" t="s">
        <v>44</v>
      </c>
      <c r="F1959" t="s">
        <v>202</v>
      </c>
      <c r="G1959" t="s">
        <v>96</v>
      </c>
      <c r="H1959" t="s">
        <v>47</v>
      </c>
      <c r="I1959" t="s">
        <v>7974</v>
      </c>
      <c r="J1959">
        <v>31</v>
      </c>
      <c r="K1959" t="s">
        <v>37</v>
      </c>
      <c r="L1959" t="s">
        <v>146</v>
      </c>
      <c r="M1959" t="s">
        <v>84</v>
      </c>
      <c r="P1959" t="s">
        <v>28</v>
      </c>
      <c r="Q1959" t="s">
        <v>8695</v>
      </c>
      <c r="R1959" t="s">
        <v>8696</v>
      </c>
      <c r="S1959" t="s">
        <v>31</v>
      </c>
      <c r="T1959">
        <v>0</v>
      </c>
    </row>
    <row r="1960" spans="1:20" x14ac:dyDescent="0.25">
      <c r="A1960" t="s">
        <v>8697</v>
      </c>
      <c r="B1960" s="1">
        <v>45782</v>
      </c>
      <c r="C1960" s="5">
        <v>0.50050925925925926</v>
      </c>
      <c r="D1960">
        <v>148.18</v>
      </c>
      <c r="E1960" t="s">
        <v>44</v>
      </c>
      <c r="F1960" t="s">
        <v>4590</v>
      </c>
      <c r="G1960" t="s">
        <v>57</v>
      </c>
      <c r="H1960" t="s">
        <v>97</v>
      </c>
      <c r="I1960" t="s">
        <v>8698</v>
      </c>
      <c r="J1960">
        <v>59</v>
      </c>
      <c r="K1960" t="s">
        <v>25</v>
      </c>
      <c r="L1960" t="s">
        <v>110</v>
      </c>
      <c r="M1960" t="s">
        <v>51</v>
      </c>
      <c r="N1960" t="s">
        <v>52</v>
      </c>
      <c r="O1960">
        <v>412717</v>
      </c>
      <c r="P1960" t="s">
        <v>28</v>
      </c>
      <c r="Q1960" t="s">
        <v>8699</v>
      </c>
      <c r="R1960" t="s">
        <v>8700</v>
      </c>
      <c r="S1960" t="s">
        <v>31</v>
      </c>
      <c r="T1960">
        <v>0</v>
      </c>
    </row>
    <row r="1961" spans="1:20" x14ac:dyDescent="0.25">
      <c r="A1961" t="s">
        <v>8701</v>
      </c>
      <c r="B1961" s="1">
        <v>45948</v>
      </c>
      <c r="C1961" s="5">
        <v>0.42781249999999998</v>
      </c>
      <c r="D1961">
        <v>93.07</v>
      </c>
      <c r="E1961" t="s">
        <v>44</v>
      </c>
      <c r="F1961" t="s">
        <v>292</v>
      </c>
      <c r="G1961" t="s">
        <v>57</v>
      </c>
      <c r="H1961" t="s">
        <v>110</v>
      </c>
      <c r="I1961" t="s">
        <v>8702</v>
      </c>
      <c r="J1961">
        <v>65</v>
      </c>
      <c r="K1961" t="s">
        <v>25</v>
      </c>
      <c r="L1961" t="s">
        <v>248</v>
      </c>
      <c r="M1961" t="s">
        <v>84</v>
      </c>
      <c r="P1961" t="s">
        <v>28</v>
      </c>
      <c r="Q1961" t="s">
        <v>8703</v>
      </c>
      <c r="R1961" t="s">
        <v>8704</v>
      </c>
      <c r="S1961" t="s">
        <v>31</v>
      </c>
      <c r="T1961">
        <v>1</v>
      </c>
    </row>
    <row r="1962" spans="1:20" x14ac:dyDescent="0.25">
      <c r="A1962" t="s">
        <v>8705</v>
      </c>
      <c r="B1962" s="1">
        <v>45901</v>
      </c>
      <c r="C1962" s="5">
        <v>0.3596759259259259</v>
      </c>
      <c r="D1962">
        <v>59.39</v>
      </c>
      <c r="E1962" t="s">
        <v>44</v>
      </c>
      <c r="F1962" t="s">
        <v>1529</v>
      </c>
      <c r="G1962" t="s">
        <v>124</v>
      </c>
      <c r="H1962" t="s">
        <v>38</v>
      </c>
      <c r="I1962" t="s">
        <v>8706</v>
      </c>
      <c r="J1962">
        <v>39</v>
      </c>
      <c r="K1962" t="s">
        <v>25</v>
      </c>
      <c r="L1962" t="s">
        <v>47</v>
      </c>
      <c r="M1962" t="s">
        <v>105</v>
      </c>
      <c r="P1962" t="s">
        <v>28</v>
      </c>
      <c r="Q1962" t="s">
        <v>8707</v>
      </c>
      <c r="R1962" t="s">
        <v>8708</v>
      </c>
      <c r="S1962" t="s">
        <v>42</v>
      </c>
      <c r="T1962">
        <v>0</v>
      </c>
    </row>
    <row r="1963" spans="1:20" x14ac:dyDescent="0.25">
      <c r="A1963" t="s">
        <v>8709</v>
      </c>
      <c r="B1963" s="1">
        <v>45905</v>
      </c>
      <c r="C1963" s="5">
        <v>0.35880787037037037</v>
      </c>
      <c r="D1963">
        <v>67.8</v>
      </c>
      <c r="E1963" t="s">
        <v>44</v>
      </c>
      <c r="F1963" t="s">
        <v>5094</v>
      </c>
      <c r="G1963" t="s">
        <v>96</v>
      </c>
      <c r="H1963" t="s">
        <v>97</v>
      </c>
      <c r="I1963" t="s">
        <v>8710</v>
      </c>
      <c r="J1963">
        <v>71</v>
      </c>
      <c r="K1963" t="s">
        <v>37</v>
      </c>
      <c r="L1963" t="s">
        <v>38</v>
      </c>
      <c r="M1963" t="s">
        <v>27</v>
      </c>
      <c r="P1963" t="s">
        <v>28</v>
      </c>
      <c r="Q1963" t="s">
        <v>8711</v>
      </c>
      <c r="R1963" t="s">
        <v>8712</v>
      </c>
      <c r="S1963" t="s">
        <v>31</v>
      </c>
      <c r="T1963">
        <v>0</v>
      </c>
    </row>
    <row r="1964" spans="1:20" x14ac:dyDescent="0.25">
      <c r="A1964" t="s">
        <v>8713</v>
      </c>
      <c r="B1964" s="1">
        <v>45944</v>
      </c>
      <c r="C1964" s="5">
        <v>0.35210648148148149</v>
      </c>
      <c r="D1964">
        <v>15.78</v>
      </c>
      <c r="E1964" t="s">
        <v>44</v>
      </c>
      <c r="F1964" t="s">
        <v>8714</v>
      </c>
      <c r="G1964" t="s">
        <v>124</v>
      </c>
      <c r="H1964" t="s">
        <v>119</v>
      </c>
      <c r="I1964" t="s">
        <v>8715</v>
      </c>
      <c r="J1964">
        <v>51</v>
      </c>
      <c r="K1964" t="s">
        <v>49</v>
      </c>
      <c r="L1964" t="s">
        <v>23</v>
      </c>
      <c r="M1964" t="s">
        <v>84</v>
      </c>
      <c r="P1964" t="s">
        <v>28</v>
      </c>
      <c r="Q1964" t="s">
        <v>8716</v>
      </c>
      <c r="R1964" t="s">
        <v>8717</v>
      </c>
      <c r="S1964" t="s">
        <v>31</v>
      </c>
      <c r="T1964">
        <v>0</v>
      </c>
    </row>
    <row r="1965" spans="1:20" x14ac:dyDescent="0.25">
      <c r="A1965" t="s">
        <v>8718</v>
      </c>
      <c r="B1965" s="1">
        <v>45834</v>
      </c>
      <c r="C1965" s="5">
        <v>0.48662037037037037</v>
      </c>
      <c r="D1965">
        <v>169.09</v>
      </c>
      <c r="E1965" t="s">
        <v>44</v>
      </c>
      <c r="F1965" t="s">
        <v>521</v>
      </c>
      <c r="G1965" t="s">
        <v>64</v>
      </c>
      <c r="H1965" t="s">
        <v>110</v>
      </c>
      <c r="I1965" t="s">
        <v>8719</v>
      </c>
      <c r="J1965">
        <v>25</v>
      </c>
      <c r="K1965" t="s">
        <v>37</v>
      </c>
      <c r="L1965" t="s">
        <v>23</v>
      </c>
      <c r="M1965" t="s">
        <v>84</v>
      </c>
      <c r="P1965" t="s">
        <v>28</v>
      </c>
      <c r="Q1965" t="s">
        <v>8720</v>
      </c>
      <c r="R1965" t="s">
        <v>8721</v>
      </c>
      <c r="S1965" t="s">
        <v>31</v>
      </c>
      <c r="T1965">
        <v>0</v>
      </c>
    </row>
    <row r="1966" spans="1:20" x14ac:dyDescent="0.25">
      <c r="A1966" t="s">
        <v>8722</v>
      </c>
      <c r="B1966" s="1">
        <v>45941</v>
      </c>
      <c r="C1966" s="5">
        <v>0.81037037037037041</v>
      </c>
      <c r="D1966">
        <v>51.02</v>
      </c>
      <c r="E1966" t="s">
        <v>44</v>
      </c>
      <c r="F1966" t="s">
        <v>4284</v>
      </c>
      <c r="G1966" t="s">
        <v>96</v>
      </c>
      <c r="H1966" t="s">
        <v>50</v>
      </c>
      <c r="I1966" t="s">
        <v>8723</v>
      </c>
      <c r="J1966">
        <v>43</v>
      </c>
      <c r="K1966" t="s">
        <v>25</v>
      </c>
      <c r="L1966" t="s">
        <v>119</v>
      </c>
      <c r="M1966" t="s">
        <v>105</v>
      </c>
      <c r="P1966" t="s">
        <v>28</v>
      </c>
      <c r="Q1966" t="s">
        <v>8724</v>
      </c>
      <c r="R1966" t="s">
        <v>8725</v>
      </c>
      <c r="S1966" t="s">
        <v>31</v>
      </c>
      <c r="T1966">
        <v>0</v>
      </c>
    </row>
    <row r="1967" spans="1:20" x14ac:dyDescent="0.25">
      <c r="A1967" t="s">
        <v>8726</v>
      </c>
      <c r="B1967" s="1">
        <v>45837</v>
      </c>
      <c r="C1967" s="5">
        <v>0.93694444444444447</v>
      </c>
      <c r="D1967">
        <v>191.04</v>
      </c>
      <c r="E1967" t="s">
        <v>44</v>
      </c>
      <c r="F1967" t="s">
        <v>8727</v>
      </c>
      <c r="G1967" t="s">
        <v>57</v>
      </c>
      <c r="H1967" t="s">
        <v>248</v>
      </c>
      <c r="I1967" t="s">
        <v>8728</v>
      </c>
      <c r="J1967">
        <v>73</v>
      </c>
      <c r="K1967" t="s">
        <v>25</v>
      </c>
      <c r="L1967" t="s">
        <v>58</v>
      </c>
      <c r="M1967" t="s">
        <v>84</v>
      </c>
      <c r="P1967" t="s">
        <v>28</v>
      </c>
      <c r="Q1967" t="s">
        <v>8729</v>
      </c>
      <c r="R1967" t="s">
        <v>8730</v>
      </c>
      <c r="S1967" t="s">
        <v>31</v>
      </c>
      <c r="T1967">
        <v>0</v>
      </c>
    </row>
    <row r="1968" spans="1:20" x14ac:dyDescent="0.25">
      <c r="A1968" t="s">
        <v>8731</v>
      </c>
      <c r="B1968" s="1">
        <v>45941</v>
      </c>
      <c r="C1968" s="5">
        <v>0.90262731481481484</v>
      </c>
      <c r="D1968">
        <v>166.87</v>
      </c>
      <c r="E1968" t="s">
        <v>44</v>
      </c>
      <c r="F1968" t="s">
        <v>8732</v>
      </c>
      <c r="G1968" t="s">
        <v>71</v>
      </c>
      <c r="H1968" t="s">
        <v>38</v>
      </c>
      <c r="I1968" t="s">
        <v>8733</v>
      </c>
      <c r="J1968">
        <v>95</v>
      </c>
      <c r="K1968" t="s">
        <v>37</v>
      </c>
      <c r="L1968" t="s">
        <v>97</v>
      </c>
      <c r="M1968" t="s">
        <v>105</v>
      </c>
      <c r="P1968" t="s">
        <v>28</v>
      </c>
      <c r="Q1968" t="s">
        <v>8734</v>
      </c>
      <c r="R1968" t="s">
        <v>8735</v>
      </c>
      <c r="S1968" t="s">
        <v>31</v>
      </c>
      <c r="T1968">
        <v>0</v>
      </c>
    </row>
    <row r="1969" spans="1:20" x14ac:dyDescent="0.25">
      <c r="A1969" t="s">
        <v>8736</v>
      </c>
      <c r="B1969" s="1">
        <v>45873</v>
      </c>
      <c r="C1969" s="5">
        <v>0.48643518518518519</v>
      </c>
      <c r="D1969">
        <v>185.31</v>
      </c>
      <c r="E1969" t="s">
        <v>44</v>
      </c>
      <c r="F1969" t="s">
        <v>1148</v>
      </c>
      <c r="G1969" t="s">
        <v>64</v>
      </c>
      <c r="H1969" t="s">
        <v>50</v>
      </c>
      <c r="I1969" t="s">
        <v>8737</v>
      </c>
      <c r="J1969">
        <v>72</v>
      </c>
      <c r="K1969" t="s">
        <v>25</v>
      </c>
      <c r="L1969" t="s">
        <v>66</v>
      </c>
      <c r="M1969" t="s">
        <v>39</v>
      </c>
      <c r="P1969" t="s">
        <v>28</v>
      </c>
      <c r="Q1969" t="s">
        <v>8738</v>
      </c>
      <c r="R1969" t="s">
        <v>8739</v>
      </c>
      <c r="S1969" t="s">
        <v>31</v>
      </c>
      <c r="T1969">
        <v>0</v>
      </c>
    </row>
    <row r="1970" spans="1:20" x14ac:dyDescent="0.25">
      <c r="A1970" t="s">
        <v>8740</v>
      </c>
      <c r="B1970" s="1">
        <v>45801</v>
      </c>
      <c r="C1970" s="5">
        <v>0.70554398148148145</v>
      </c>
      <c r="D1970">
        <v>157.77000000000001</v>
      </c>
      <c r="E1970" t="s">
        <v>44</v>
      </c>
      <c r="F1970" t="s">
        <v>678</v>
      </c>
      <c r="G1970" t="s">
        <v>124</v>
      </c>
      <c r="H1970" t="s">
        <v>248</v>
      </c>
      <c r="I1970" t="s">
        <v>8741</v>
      </c>
      <c r="J1970">
        <v>39</v>
      </c>
      <c r="K1970" t="s">
        <v>37</v>
      </c>
      <c r="L1970" t="s">
        <v>130</v>
      </c>
      <c r="M1970" t="s">
        <v>112</v>
      </c>
      <c r="P1970" t="s">
        <v>28</v>
      </c>
      <c r="Q1970" t="s">
        <v>8742</v>
      </c>
      <c r="R1970" t="s">
        <v>8743</v>
      </c>
      <c r="S1970" t="s">
        <v>31</v>
      </c>
      <c r="T1970">
        <v>0</v>
      </c>
    </row>
    <row r="1971" spans="1:20" x14ac:dyDescent="0.25">
      <c r="A1971" t="s">
        <v>8744</v>
      </c>
      <c r="B1971" s="1">
        <v>45930</v>
      </c>
      <c r="C1971" s="5">
        <v>5.7500000000000002E-2</v>
      </c>
      <c r="D1971">
        <v>57.75</v>
      </c>
      <c r="E1971" t="s">
        <v>44</v>
      </c>
      <c r="F1971" t="s">
        <v>8745</v>
      </c>
      <c r="G1971" t="s">
        <v>89</v>
      </c>
      <c r="H1971" t="s">
        <v>38</v>
      </c>
      <c r="I1971" t="s">
        <v>8746</v>
      </c>
      <c r="J1971">
        <v>38</v>
      </c>
      <c r="K1971" t="s">
        <v>37</v>
      </c>
      <c r="L1971" t="s">
        <v>26</v>
      </c>
      <c r="M1971" t="s">
        <v>27</v>
      </c>
      <c r="P1971" t="s">
        <v>28</v>
      </c>
      <c r="Q1971" t="s">
        <v>8747</v>
      </c>
      <c r="R1971" t="s">
        <v>8748</v>
      </c>
      <c r="S1971" t="s">
        <v>31</v>
      </c>
      <c r="T1971">
        <v>0</v>
      </c>
    </row>
    <row r="1972" spans="1:20" x14ac:dyDescent="0.25">
      <c r="A1972" t="s">
        <v>8749</v>
      </c>
      <c r="B1972" s="1">
        <v>45958</v>
      </c>
      <c r="C1972" s="5">
        <v>0.87502314814814819</v>
      </c>
      <c r="D1972">
        <v>310</v>
      </c>
      <c r="E1972" t="s">
        <v>44</v>
      </c>
      <c r="F1972" t="s">
        <v>4067</v>
      </c>
      <c r="G1972" t="s">
        <v>89</v>
      </c>
      <c r="H1972" t="s">
        <v>130</v>
      </c>
      <c r="I1972" t="s">
        <v>8750</v>
      </c>
      <c r="J1972">
        <v>56</v>
      </c>
      <c r="K1972" t="s">
        <v>37</v>
      </c>
      <c r="L1972" t="s">
        <v>26</v>
      </c>
      <c r="M1972" t="s">
        <v>84</v>
      </c>
      <c r="P1972" t="s">
        <v>28</v>
      </c>
      <c r="Q1972" t="s">
        <v>8751</v>
      </c>
      <c r="R1972" t="s">
        <v>8752</v>
      </c>
      <c r="S1972" t="s">
        <v>31</v>
      </c>
      <c r="T1972">
        <v>0</v>
      </c>
    </row>
    <row r="1973" spans="1:20" x14ac:dyDescent="0.25">
      <c r="A1973" t="s">
        <v>8753</v>
      </c>
      <c r="B1973" s="1">
        <v>45903</v>
      </c>
      <c r="C1973" s="5">
        <v>0.68615740740740738</v>
      </c>
      <c r="D1973">
        <v>105.45</v>
      </c>
      <c r="E1973" t="s">
        <v>44</v>
      </c>
      <c r="F1973" t="s">
        <v>8754</v>
      </c>
      <c r="G1973" t="s">
        <v>22</v>
      </c>
      <c r="H1973" t="s">
        <v>58</v>
      </c>
      <c r="I1973" t="s">
        <v>8755</v>
      </c>
      <c r="J1973">
        <v>64</v>
      </c>
      <c r="K1973" t="s">
        <v>25</v>
      </c>
      <c r="L1973" t="s">
        <v>110</v>
      </c>
      <c r="M1973" t="s">
        <v>27</v>
      </c>
      <c r="P1973" t="s">
        <v>28</v>
      </c>
      <c r="Q1973" t="s">
        <v>8756</v>
      </c>
      <c r="R1973" t="s">
        <v>8757</v>
      </c>
      <c r="S1973" t="s">
        <v>31</v>
      </c>
      <c r="T1973">
        <v>1</v>
      </c>
    </row>
    <row r="1974" spans="1:20" x14ac:dyDescent="0.25">
      <c r="A1974" t="s">
        <v>8758</v>
      </c>
      <c r="B1974" s="1">
        <v>45896</v>
      </c>
      <c r="C1974" s="5">
        <v>0.62728009259259254</v>
      </c>
      <c r="D1974">
        <v>109.54</v>
      </c>
      <c r="E1974" t="s">
        <v>44</v>
      </c>
      <c r="F1974" t="s">
        <v>5147</v>
      </c>
      <c r="G1974" t="s">
        <v>22</v>
      </c>
      <c r="H1974" t="s">
        <v>23</v>
      </c>
      <c r="I1974" t="s">
        <v>8759</v>
      </c>
      <c r="J1974">
        <v>99</v>
      </c>
      <c r="K1974" t="s">
        <v>25</v>
      </c>
      <c r="L1974" t="s">
        <v>23</v>
      </c>
      <c r="M1974" t="s">
        <v>112</v>
      </c>
      <c r="P1974" t="s">
        <v>113</v>
      </c>
      <c r="Q1974" t="s">
        <v>8760</v>
      </c>
      <c r="R1974" t="s">
        <v>8761</v>
      </c>
      <c r="S1974" t="s">
        <v>31</v>
      </c>
      <c r="T1974">
        <v>0</v>
      </c>
    </row>
    <row r="1975" spans="1:20" x14ac:dyDescent="0.25">
      <c r="A1975" t="s">
        <v>8762</v>
      </c>
      <c r="B1975" s="1">
        <v>45804</v>
      </c>
      <c r="C1975" s="5">
        <v>3.591435185185185E-2</v>
      </c>
      <c r="D1975">
        <v>7.23</v>
      </c>
      <c r="E1975" t="s">
        <v>44</v>
      </c>
      <c r="F1975" t="s">
        <v>959</v>
      </c>
      <c r="G1975" t="s">
        <v>96</v>
      </c>
      <c r="H1975" t="s">
        <v>146</v>
      </c>
      <c r="I1975" t="s">
        <v>8763</v>
      </c>
      <c r="J1975">
        <v>19</v>
      </c>
      <c r="K1975" t="s">
        <v>37</v>
      </c>
      <c r="L1975" t="s">
        <v>50</v>
      </c>
      <c r="M1975" t="s">
        <v>112</v>
      </c>
      <c r="P1975" t="s">
        <v>28</v>
      </c>
      <c r="Q1975" t="s">
        <v>8764</v>
      </c>
      <c r="R1975" t="s">
        <v>8765</v>
      </c>
      <c r="S1975" t="s">
        <v>31</v>
      </c>
      <c r="T1975">
        <v>0</v>
      </c>
    </row>
    <row r="1976" spans="1:20" x14ac:dyDescent="0.25">
      <c r="A1976" t="s">
        <v>8766</v>
      </c>
      <c r="B1976" s="1">
        <v>45891</v>
      </c>
      <c r="C1976" s="5">
        <v>3.8634259259259257E-2</v>
      </c>
      <c r="D1976">
        <v>24.83</v>
      </c>
      <c r="E1976" t="s">
        <v>44</v>
      </c>
      <c r="F1976" t="s">
        <v>4788</v>
      </c>
      <c r="G1976" t="s">
        <v>96</v>
      </c>
      <c r="H1976" t="s">
        <v>146</v>
      </c>
      <c r="I1976" t="s">
        <v>8767</v>
      </c>
      <c r="J1976">
        <v>29</v>
      </c>
      <c r="K1976" t="s">
        <v>49</v>
      </c>
      <c r="L1976" t="s">
        <v>35</v>
      </c>
      <c r="M1976" t="s">
        <v>51</v>
      </c>
      <c r="N1976" t="s">
        <v>345</v>
      </c>
      <c r="O1976">
        <v>466184</v>
      </c>
      <c r="P1976" t="s">
        <v>28</v>
      </c>
      <c r="Q1976" t="s">
        <v>8768</v>
      </c>
      <c r="R1976" t="s">
        <v>8769</v>
      </c>
      <c r="S1976" t="s">
        <v>31</v>
      </c>
      <c r="T1976">
        <v>0</v>
      </c>
    </row>
    <row r="1977" spans="1:20" x14ac:dyDescent="0.25">
      <c r="A1977" t="s">
        <v>8770</v>
      </c>
      <c r="B1977" s="1">
        <v>45909</v>
      </c>
      <c r="C1977" s="5">
        <v>0.64584490740740741</v>
      </c>
      <c r="D1977">
        <v>4.53</v>
      </c>
      <c r="E1977" t="s">
        <v>44</v>
      </c>
      <c r="F1977" t="s">
        <v>5443</v>
      </c>
      <c r="G1977" t="s">
        <v>77</v>
      </c>
      <c r="H1977" t="s">
        <v>50</v>
      </c>
      <c r="I1977" t="s">
        <v>8771</v>
      </c>
      <c r="J1977">
        <v>42</v>
      </c>
      <c r="K1977" t="s">
        <v>49</v>
      </c>
      <c r="L1977" t="s">
        <v>58</v>
      </c>
      <c r="M1977" t="s">
        <v>51</v>
      </c>
      <c r="N1977" t="s">
        <v>507</v>
      </c>
      <c r="O1977">
        <v>431405</v>
      </c>
      <c r="P1977" t="s">
        <v>28</v>
      </c>
      <c r="Q1977" t="s">
        <v>8772</v>
      </c>
      <c r="R1977" t="s">
        <v>8773</v>
      </c>
      <c r="S1977" t="s">
        <v>31</v>
      </c>
      <c r="T1977">
        <v>0</v>
      </c>
    </row>
    <row r="1978" spans="1:20" x14ac:dyDescent="0.25">
      <c r="A1978" t="s">
        <v>8774</v>
      </c>
      <c r="B1978" s="1">
        <v>45930</v>
      </c>
      <c r="C1978" s="5">
        <v>0.21837962962962962</v>
      </c>
      <c r="D1978">
        <v>22.82</v>
      </c>
      <c r="E1978" t="s">
        <v>44</v>
      </c>
      <c r="F1978" t="s">
        <v>1291</v>
      </c>
      <c r="G1978" t="s">
        <v>77</v>
      </c>
      <c r="H1978" t="s">
        <v>97</v>
      </c>
      <c r="I1978" t="s">
        <v>8775</v>
      </c>
      <c r="J1978">
        <v>35</v>
      </c>
      <c r="K1978" t="s">
        <v>49</v>
      </c>
      <c r="L1978" t="s">
        <v>50</v>
      </c>
      <c r="M1978" t="s">
        <v>105</v>
      </c>
      <c r="P1978" t="s">
        <v>28</v>
      </c>
      <c r="Q1978" t="s">
        <v>8776</v>
      </c>
      <c r="R1978" t="s">
        <v>8777</v>
      </c>
      <c r="S1978" t="s">
        <v>31</v>
      </c>
      <c r="T1978">
        <v>0</v>
      </c>
    </row>
    <row r="1979" spans="1:20" x14ac:dyDescent="0.25">
      <c r="A1979" t="s">
        <v>8778</v>
      </c>
      <c r="B1979" s="1">
        <v>45945</v>
      </c>
      <c r="C1979" s="5">
        <v>5.3819444444444448E-2</v>
      </c>
      <c r="D1979">
        <v>23.62</v>
      </c>
      <c r="E1979" t="s">
        <v>44</v>
      </c>
      <c r="F1979" t="s">
        <v>5718</v>
      </c>
      <c r="G1979" t="s">
        <v>71</v>
      </c>
      <c r="H1979" t="s">
        <v>130</v>
      </c>
      <c r="I1979" t="s">
        <v>8779</v>
      </c>
      <c r="J1979">
        <v>60</v>
      </c>
      <c r="K1979" t="s">
        <v>25</v>
      </c>
      <c r="L1979" t="s">
        <v>47</v>
      </c>
      <c r="M1979" t="s">
        <v>27</v>
      </c>
      <c r="P1979" t="s">
        <v>28</v>
      </c>
      <c r="Q1979" t="s">
        <v>8780</v>
      </c>
      <c r="R1979" t="s">
        <v>8781</v>
      </c>
      <c r="S1979" t="s">
        <v>31</v>
      </c>
      <c r="T1979">
        <v>0</v>
      </c>
    </row>
    <row r="1980" spans="1:20" x14ac:dyDescent="0.25">
      <c r="A1980" t="s">
        <v>8782</v>
      </c>
      <c r="B1980" s="1">
        <v>45795</v>
      </c>
      <c r="C1980" s="5">
        <v>0.86349537037037039</v>
      </c>
      <c r="D1980">
        <v>87.79</v>
      </c>
      <c r="E1980" t="s">
        <v>44</v>
      </c>
      <c r="F1980" t="s">
        <v>8783</v>
      </c>
      <c r="G1980" t="s">
        <v>22</v>
      </c>
      <c r="H1980" t="s">
        <v>97</v>
      </c>
      <c r="I1980" t="s">
        <v>8784</v>
      </c>
      <c r="J1980">
        <v>29</v>
      </c>
      <c r="K1980" t="s">
        <v>37</v>
      </c>
      <c r="L1980" t="s">
        <v>35</v>
      </c>
      <c r="M1980" t="s">
        <v>51</v>
      </c>
      <c r="N1980" t="s">
        <v>173</v>
      </c>
      <c r="O1980">
        <v>527360</v>
      </c>
      <c r="P1980" t="s">
        <v>28</v>
      </c>
      <c r="Q1980" t="s">
        <v>8785</v>
      </c>
      <c r="R1980" t="s">
        <v>8786</v>
      </c>
      <c r="S1980" t="s">
        <v>31</v>
      </c>
      <c r="T1980">
        <v>0</v>
      </c>
    </row>
    <row r="1981" spans="1:20" x14ac:dyDescent="0.25">
      <c r="A1981" t="s">
        <v>8787</v>
      </c>
      <c r="B1981" s="1">
        <v>45952</v>
      </c>
      <c r="C1981" s="5">
        <v>0.97952546296296295</v>
      </c>
      <c r="D1981">
        <v>88.45</v>
      </c>
      <c r="E1981" t="s">
        <v>44</v>
      </c>
      <c r="F1981" t="s">
        <v>1553</v>
      </c>
      <c r="G1981" t="s">
        <v>34</v>
      </c>
      <c r="H1981" t="s">
        <v>50</v>
      </c>
      <c r="I1981" t="s">
        <v>4977</v>
      </c>
      <c r="J1981">
        <v>67</v>
      </c>
      <c r="K1981" t="s">
        <v>25</v>
      </c>
      <c r="L1981" t="s">
        <v>47</v>
      </c>
      <c r="M1981" t="s">
        <v>84</v>
      </c>
      <c r="P1981" t="s">
        <v>28</v>
      </c>
      <c r="Q1981" t="s">
        <v>8788</v>
      </c>
      <c r="R1981" t="s">
        <v>8789</v>
      </c>
      <c r="S1981" t="s">
        <v>31</v>
      </c>
      <c r="T1981">
        <v>0</v>
      </c>
    </row>
    <row r="1982" spans="1:20" x14ac:dyDescent="0.25">
      <c r="A1982" t="s">
        <v>8790</v>
      </c>
      <c r="B1982" s="1">
        <v>45890</v>
      </c>
      <c r="C1982" s="5">
        <v>0.69914351851851853</v>
      </c>
      <c r="D1982">
        <v>21.79</v>
      </c>
      <c r="E1982" t="s">
        <v>44</v>
      </c>
      <c r="F1982" t="s">
        <v>3686</v>
      </c>
      <c r="G1982" t="s">
        <v>46</v>
      </c>
      <c r="H1982" t="s">
        <v>130</v>
      </c>
      <c r="I1982" t="s">
        <v>8791</v>
      </c>
      <c r="J1982">
        <v>46</v>
      </c>
      <c r="K1982" t="s">
        <v>25</v>
      </c>
      <c r="L1982" t="s">
        <v>130</v>
      </c>
      <c r="M1982" t="s">
        <v>39</v>
      </c>
      <c r="P1982" t="s">
        <v>113</v>
      </c>
      <c r="Q1982" t="s">
        <v>8792</v>
      </c>
      <c r="R1982" t="s">
        <v>8793</v>
      </c>
      <c r="S1982" t="s">
        <v>42</v>
      </c>
      <c r="T1982">
        <v>0</v>
      </c>
    </row>
    <row r="1983" spans="1:20" x14ac:dyDescent="0.25">
      <c r="A1983" t="s">
        <v>8794</v>
      </c>
      <c r="B1983" s="1">
        <v>45837</v>
      </c>
      <c r="C1983" s="5">
        <v>0.84013888888888888</v>
      </c>
      <c r="D1983">
        <v>192.84</v>
      </c>
      <c r="E1983" t="s">
        <v>44</v>
      </c>
      <c r="F1983" t="s">
        <v>8795</v>
      </c>
      <c r="G1983" t="s">
        <v>124</v>
      </c>
      <c r="H1983" t="s">
        <v>50</v>
      </c>
      <c r="I1983" t="s">
        <v>8796</v>
      </c>
      <c r="J1983">
        <v>66</v>
      </c>
      <c r="K1983" t="s">
        <v>49</v>
      </c>
      <c r="L1983" t="s">
        <v>110</v>
      </c>
      <c r="M1983" t="s">
        <v>112</v>
      </c>
      <c r="P1983" t="s">
        <v>28</v>
      </c>
      <c r="Q1983" t="s">
        <v>8797</v>
      </c>
      <c r="R1983" t="s">
        <v>8798</v>
      </c>
      <c r="S1983" t="s">
        <v>31</v>
      </c>
      <c r="T1983">
        <v>0</v>
      </c>
    </row>
    <row r="1984" spans="1:20" x14ac:dyDescent="0.25">
      <c r="A1984" t="s">
        <v>8799</v>
      </c>
      <c r="B1984" s="1">
        <v>45883</v>
      </c>
      <c r="C1984" s="5">
        <v>0.23945601851851853</v>
      </c>
      <c r="D1984">
        <v>34.380000000000003</v>
      </c>
      <c r="E1984" t="s">
        <v>44</v>
      </c>
      <c r="F1984" t="s">
        <v>192</v>
      </c>
      <c r="G1984" t="s">
        <v>96</v>
      </c>
      <c r="H1984" t="s">
        <v>110</v>
      </c>
      <c r="I1984" t="s">
        <v>8800</v>
      </c>
      <c r="J1984">
        <v>41</v>
      </c>
      <c r="K1984" t="s">
        <v>37</v>
      </c>
      <c r="L1984" t="s">
        <v>97</v>
      </c>
      <c r="M1984" t="s">
        <v>105</v>
      </c>
      <c r="P1984" t="s">
        <v>28</v>
      </c>
      <c r="Q1984" t="s">
        <v>8801</v>
      </c>
      <c r="R1984" t="s">
        <v>8802</v>
      </c>
      <c r="S1984" t="s">
        <v>31</v>
      </c>
      <c r="T1984">
        <v>0</v>
      </c>
    </row>
    <row r="1985" spans="1:20" x14ac:dyDescent="0.25">
      <c r="A1985" t="s">
        <v>8803</v>
      </c>
      <c r="B1985" s="1">
        <v>45934</v>
      </c>
      <c r="C1985" s="5">
        <v>0.25486111111111109</v>
      </c>
      <c r="D1985">
        <v>167.36</v>
      </c>
      <c r="E1985" t="s">
        <v>44</v>
      </c>
      <c r="F1985" t="s">
        <v>1380</v>
      </c>
      <c r="G1985" t="s">
        <v>46</v>
      </c>
      <c r="H1985" t="s">
        <v>146</v>
      </c>
      <c r="I1985" t="s">
        <v>8804</v>
      </c>
      <c r="J1985">
        <v>57</v>
      </c>
      <c r="K1985" t="s">
        <v>37</v>
      </c>
      <c r="L1985" t="s">
        <v>23</v>
      </c>
      <c r="M1985" t="s">
        <v>105</v>
      </c>
      <c r="P1985" t="s">
        <v>28</v>
      </c>
      <c r="Q1985" t="s">
        <v>8805</v>
      </c>
      <c r="R1985" t="s">
        <v>8806</v>
      </c>
      <c r="S1985" t="s">
        <v>31</v>
      </c>
      <c r="T1985">
        <v>0</v>
      </c>
    </row>
    <row r="1986" spans="1:20" x14ac:dyDescent="0.25">
      <c r="A1986" t="s">
        <v>8807</v>
      </c>
      <c r="B1986" s="1">
        <v>45799</v>
      </c>
      <c r="C1986" s="5">
        <v>0.79861111111111116</v>
      </c>
      <c r="D1986">
        <v>82.84</v>
      </c>
      <c r="E1986" t="s">
        <v>44</v>
      </c>
      <c r="F1986" t="s">
        <v>8808</v>
      </c>
      <c r="G1986" t="s">
        <v>124</v>
      </c>
      <c r="H1986" t="s">
        <v>146</v>
      </c>
      <c r="I1986" t="s">
        <v>8809</v>
      </c>
      <c r="J1986">
        <v>28</v>
      </c>
      <c r="K1986" t="s">
        <v>49</v>
      </c>
      <c r="L1986" t="s">
        <v>47</v>
      </c>
      <c r="M1986" t="s">
        <v>105</v>
      </c>
      <c r="P1986" t="s">
        <v>28</v>
      </c>
      <c r="Q1986" t="s">
        <v>8810</v>
      </c>
      <c r="R1986" t="s">
        <v>8811</v>
      </c>
      <c r="S1986" t="s">
        <v>31</v>
      </c>
      <c r="T1986">
        <v>0</v>
      </c>
    </row>
    <row r="1987" spans="1:20" x14ac:dyDescent="0.25">
      <c r="A1987" t="s">
        <v>8812</v>
      </c>
      <c r="B1987" s="1">
        <v>45868</v>
      </c>
      <c r="C1987" s="5">
        <v>0.30010416666666667</v>
      </c>
      <c r="D1987">
        <v>137.16999999999999</v>
      </c>
      <c r="E1987" t="s">
        <v>44</v>
      </c>
      <c r="F1987" t="s">
        <v>7144</v>
      </c>
      <c r="G1987" t="s">
        <v>89</v>
      </c>
      <c r="H1987" t="s">
        <v>38</v>
      </c>
      <c r="I1987" t="s">
        <v>4853</v>
      </c>
      <c r="J1987">
        <v>23</v>
      </c>
      <c r="K1987" t="s">
        <v>49</v>
      </c>
      <c r="L1987" t="s">
        <v>97</v>
      </c>
      <c r="M1987" t="s">
        <v>27</v>
      </c>
      <c r="P1987" t="s">
        <v>28</v>
      </c>
      <c r="Q1987" t="s">
        <v>8813</v>
      </c>
      <c r="R1987" t="s">
        <v>8814</v>
      </c>
      <c r="S1987" t="s">
        <v>31</v>
      </c>
      <c r="T1987">
        <v>0</v>
      </c>
    </row>
    <row r="1988" spans="1:20" x14ac:dyDescent="0.25">
      <c r="A1988" t="s">
        <v>8815</v>
      </c>
      <c r="B1988" s="1">
        <v>45955</v>
      </c>
      <c r="C1988" s="5">
        <v>0.95296296296296301</v>
      </c>
      <c r="D1988">
        <v>193.71</v>
      </c>
      <c r="E1988" t="s">
        <v>44</v>
      </c>
      <c r="F1988" t="s">
        <v>6949</v>
      </c>
      <c r="G1988" t="s">
        <v>64</v>
      </c>
      <c r="H1988" t="s">
        <v>23</v>
      </c>
      <c r="I1988" t="s">
        <v>8816</v>
      </c>
      <c r="J1988">
        <v>60</v>
      </c>
      <c r="K1988" t="s">
        <v>37</v>
      </c>
      <c r="L1988" t="s">
        <v>91</v>
      </c>
      <c r="M1988" t="s">
        <v>112</v>
      </c>
      <c r="P1988" t="s">
        <v>28</v>
      </c>
      <c r="Q1988" t="s">
        <v>8817</v>
      </c>
      <c r="R1988" t="s">
        <v>8818</v>
      </c>
      <c r="S1988" t="s">
        <v>31</v>
      </c>
      <c r="T1988">
        <v>0</v>
      </c>
    </row>
    <row r="1989" spans="1:20" x14ac:dyDescent="0.25">
      <c r="A1989" t="s">
        <v>8819</v>
      </c>
      <c r="B1989" s="1">
        <v>45951</v>
      </c>
      <c r="C1989" s="5">
        <v>0.87115740740740744</v>
      </c>
      <c r="D1989">
        <v>111.78</v>
      </c>
      <c r="E1989" t="s">
        <v>44</v>
      </c>
      <c r="F1989" t="s">
        <v>3261</v>
      </c>
      <c r="G1989" t="s">
        <v>89</v>
      </c>
      <c r="H1989" t="s">
        <v>23</v>
      </c>
      <c r="I1989" t="s">
        <v>8820</v>
      </c>
      <c r="J1989">
        <v>107</v>
      </c>
      <c r="K1989" t="s">
        <v>49</v>
      </c>
      <c r="L1989" t="s">
        <v>23</v>
      </c>
      <c r="M1989" t="s">
        <v>51</v>
      </c>
      <c r="N1989" t="s">
        <v>52</v>
      </c>
      <c r="O1989">
        <v>482838</v>
      </c>
      <c r="P1989" t="s">
        <v>113</v>
      </c>
      <c r="Q1989" t="s">
        <v>8821</v>
      </c>
      <c r="R1989" t="s">
        <v>8822</v>
      </c>
      <c r="S1989" t="s">
        <v>42</v>
      </c>
      <c r="T1989">
        <v>0</v>
      </c>
    </row>
    <row r="1990" spans="1:20" x14ac:dyDescent="0.25">
      <c r="A1990" t="s">
        <v>8823</v>
      </c>
      <c r="B1990" s="1">
        <v>45861</v>
      </c>
      <c r="C1990" s="5">
        <v>0.99202546296296301</v>
      </c>
      <c r="D1990">
        <v>195.37</v>
      </c>
      <c r="E1990" t="s">
        <v>44</v>
      </c>
      <c r="F1990" t="s">
        <v>2104</v>
      </c>
      <c r="G1990" t="s">
        <v>124</v>
      </c>
      <c r="H1990" t="s">
        <v>58</v>
      </c>
      <c r="I1990" t="s">
        <v>8824</v>
      </c>
      <c r="J1990">
        <v>61</v>
      </c>
      <c r="K1990" t="s">
        <v>25</v>
      </c>
      <c r="L1990" t="s">
        <v>130</v>
      </c>
      <c r="M1990" t="s">
        <v>51</v>
      </c>
      <c r="N1990" t="s">
        <v>870</v>
      </c>
      <c r="O1990">
        <v>456772</v>
      </c>
      <c r="P1990" t="s">
        <v>28</v>
      </c>
      <c r="Q1990" t="s">
        <v>8825</v>
      </c>
      <c r="R1990" t="s">
        <v>8826</v>
      </c>
      <c r="S1990" t="s">
        <v>31</v>
      </c>
      <c r="T1990">
        <v>0</v>
      </c>
    </row>
    <row r="1991" spans="1:20" x14ac:dyDescent="0.25">
      <c r="A1991" t="s">
        <v>8827</v>
      </c>
      <c r="B1991" s="1">
        <v>45839</v>
      </c>
      <c r="C1991" s="5">
        <v>0.5844907407407407</v>
      </c>
      <c r="D1991">
        <v>789.86</v>
      </c>
      <c r="E1991" t="s">
        <v>44</v>
      </c>
      <c r="F1991" t="s">
        <v>1336</v>
      </c>
      <c r="G1991" t="s">
        <v>34</v>
      </c>
      <c r="H1991" t="s">
        <v>26</v>
      </c>
      <c r="I1991" t="s">
        <v>8828</v>
      </c>
      <c r="J1991">
        <v>71</v>
      </c>
      <c r="K1991" t="s">
        <v>49</v>
      </c>
      <c r="L1991" t="s">
        <v>130</v>
      </c>
      <c r="M1991" t="s">
        <v>51</v>
      </c>
      <c r="N1991" t="s">
        <v>507</v>
      </c>
      <c r="O1991">
        <v>458246</v>
      </c>
      <c r="P1991" t="s">
        <v>28</v>
      </c>
      <c r="Q1991" t="s">
        <v>8829</v>
      </c>
      <c r="R1991" t="s">
        <v>8830</v>
      </c>
      <c r="S1991" t="s">
        <v>101</v>
      </c>
      <c r="T1991">
        <v>0</v>
      </c>
    </row>
    <row r="1992" spans="1:20" x14ac:dyDescent="0.25">
      <c r="A1992" t="s">
        <v>8831</v>
      </c>
      <c r="B1992" s="1">
        <v>45868</v>
      </c>
      <c r="C1992" s="5">
        <v>6.6423611111111114E-2</v>
      </c>
      <c r="D1992">
        <v>519.54</v>
      </c>
      <c r="E1992" t="s">
        <v>44</v>
      </c>
      <c r="F1992" t="s">
        <v>2828</v>
      </c>
      <c r="G1992" t="s">
        <v>57</v>
      </c>
      <c r="H1992" t="s">
        <v>91</v>
      </c>
      <c r="I1992" t="s">
        <v>8832</v>
      </c>
      <c r="J1992">
        <v>59</v>
      </c>
      <c r="K1992" t="s">
        <v>25</v>
      </c>
      <c r="L1992" t="s">
        <v>91</v>
      </c>
      <c r="M1992" t="s">
        <v>51</v>
      </c>
      <c r="N1992" t="s">
        <v>870</v>
      </c>
      <c r="O1992">
        <v>555165</v>
      </c>
      <c r="P1992" t="s">
        <v>113</v>
      </c>
      <c r="Q1992" t="s">
        <v>8833</v>
      </c>
      <c r="R1992" t="s">
        <v>1532</v>
      </c>
      <c r="S1992" t="s">
        <v>31</v>
      </c>
      <c r="T1992">
        <v>0</v>
      </c>
    </row>
    <row r="1993" spans="1:20" x14ac:dyDescent="0.25">
      <c r="A1993" t="s">
        <v>8834</v>
      </c>
      <c r="B1993" s="1">
        <v>45822</v>
      </c>
      <c r="C1993" s="5">
        <v>0.13002314814814814</v>
      </c>
      <c r="D1993">
        <v>94.81</v>
      </c>
      <c r="E1993" t="s">
        <v>44</v>
      </c>
      <c r="F1993" t="s">
        <v>481</v>
      </c>
      <c r="G1993" t="s">
        <v>71</v>
      </c>
      <c r="H1993" t="s">
        <v>47</v>
      </c>
      <c r="I1993" t="s">
        <v>8835</v>
      </c>
      <c r="J1993">
        <v>54</v>
      </c>
      <c r="K1993" t="s">
        <v>25</v>
      </c>
      <c r="L1993" t="s">
        <v>47</v>
      </c>
      <c r="M1993" t="s">
        <v>39</v>
      </c>
      <c r="P1993" t="s">
        <v>113</v>
      </c>
      <c r="Q1993" t="s">
        <v>8836</v>
      </c>
      <c r="R1993" t="s">
        <v>8837</v>
      </c>
      <c r="S1993" t="s">
        <v>31</v>
      </c>
      <c r="T1993">
        <v>0</v>
      </c>
    </row>
    <row r="1994" spans="1:20" x14ac:dyDescent="0.25">
      <c r="A1994" t="s">
        <v>8838</v>
      </c>
      <c r="B1994" s="1">
        <v>45897</v>
      </c>
      <c r="C1994" s="5">
        <v>0.50363425925925931</v>
      </c>
      <c r="D1994">
        <v>41.3</v>
      </c>
      <c r="E1994" t="s">
        <v>44</v>
      </c>
      <c r="F1994" t="s">
        <v>7670</v>
      </c>
      <c r="G1994" t="s">
        <v>71</v>
      </c>
      <c r="H1994" t="s">
        <v>47</v>
      </c>
      <c r="I1994" t="s">
        <v>8839</v>
      </c>
      <c r="J1994">
        <v>27</v>
      </c>
      <c r="K1994" t="s">
        <v>25</v>
      </c>
      <c r="L1994" t="s">
        <v>47</v>
      </c>
      <c r="M1994" t="s">
        <v>51</v>
      </c>
      <c r="N1994" t="s">
        <v>507</v>
      </c>
      <c r="O1994">
        <v>520689</v>
      </c>
      <c r="P1994" t="s">
        <v>113</v>
      </c>
      <c r="Q1994" t="s">
        <v>8840</v>
      </c>
      <c r="R1994" t="s">
        <v>8841</v>
      </c>
      <c r="S1994" t="s">
        <v>31</v>
      </c>
      <c r="T1994">
        <v>0</v>
      </c>
    </row>
    <row r="1995" spans="1:20" x14ac:dyDescent="0.25">
      <c r="A1995" t="s">
        <v>8842</v>
      </c>
      <c r="B1995" s="1">
        <v>45837</v>
      </c>
      <c r="C1995" s="5">
        <v>0.83412037037037035</v>
      </c>
      <c r="D1995">
        <v>902.65</v>
      </c>
      <c r="E1995" t="s">
        <v>44</v>
      </c>
      <c r="F1995" t="s">
        <v>4329</v>
      </c>
      <c r="G1995" t="s">
        <v>64</v>
      </c>
      <c r="H1995" t="s">
        <v>97</v>
      </c>
      <c r="I1995" t="s">
        <v>8843</v>
      </c>
      <c r="J1995">
        <v>41</v>
      </c>
      <c r="K1995" t="s">
        <v>49</v>
      </c>
      <c r="L1995" t="s">
        <v>23</v>
      </c>
      <c r="M1995" t="s">
        <v>105</v>
      </c>
      <c r="P1995" t="s">
        <v>28</v>
      </c>
      <c r="Q1995" t="s">
        <v>8844</v>
      </c>
      <c r="R1995" t="s">
        <v>8845</v>
      </c>
      <c r="S1995" t="s">
        <v>31</v>
      </c>
      <c r="T1995">
        <v>0</v>
      </c>
    </row>
    <row r="1996" spans="1:20" x14ac:dyDescent="0.25">
      <c r="A1996" t="s">
        <v>8846</v>
      </c>
      <c r="B1996" s="1">
        <v>45802</v>
      </c>
      <c r="C1996" s="5">
        <v>0.89380787037037035</v>
      </c>
      <c r="D1996">
        <v>72.739999999999995</v>
      </c>
      <c r="E1996" t="s">
        <v>44</v>
      </c>
      <c r="F1996" t="s">
        <v>7528</v>
      </c>
      <c r="G1996" t="s">
        <v>89</v>
      </c>
      <c r="H1996" t="s">
        <v>97</v>
      </c>
      <c r="I1996" t="s">
        <v>8847</v>
      </c>
      <c r="J1996">
        <v>45</v>
      </c>
      <c r="K1996" t="s">
        <v>25</v>
      </c>
      <c r="L1996" t="s">
        <v>91</v>
      </c>
      <c r="M1996" t="s">
        <v>27</v>
      </c>
      <c r="P1996" t="s">
        <v>28</v>
      </c>
      <c r="Q1996" t="s">
        <v>8848</v>
      </c>
      <c r="R1996" t="s">
        <v>7531</v>
      </c>
      <c r="S1996" t="s">
        <v>31</v>
      </c>
      <c r="T1996">
        <v>0</v>
      </c>
    </row>
    <row r="1997" spans="1:20" x14ac:dyDescent="0.25">
      <c r="A1997" t="s">
        <v>8849</v>
      </c>
      <c r="B1997" s="1">
        <v>45814</v>
      </c>
      <c r="C1997" s="5">
        <v>0.68315972222222221</v>
      </c>
      <c r="D1997">
        <v>73.11</v>
      </c>
      <c r="E1997" t="s">
        <v>44</v>
      </c>
      <c r="F1997" t="s">
        <v>227</v>
      </c>
      <c r="G1997" t="s">
        <v>64</v>
      </c>
      <c r="H1997" t="s">
        <v>23</v>
      </c>
      <c r="I1997" t="s">
        <v>8850</v>
      </c>
      <c r="J1997">
        <v>74</v>
      </c>
      <c r="K1997" t="s">
        <v>49</v>
      </c>
      <c r="L1997" t="s">
        <v>130</v>
      </c>
      <c r="M1997" t="s">
        <v>84</v>
      </c>
      <c r="P1997" t="s">
        <v>28</v>
      </c>
      <c r="Q1997" t="s">
        <v>8851</v>
      </c>
      <c r="R1997" t="s">
        <v>8852</v>
      </c>
      <c r="S1997" t="s">
        <v>31</v>
      </c>
      <c r="T1997">
        <v>0</v>
      </c>
    </row>
    <row r="1998" spans="1:20" x14ac:dyDescent="0.25">
      <c r="A1998" t="s">
        <v>8853</v>
      </c>
      <c r="B1998" s="1">
        <v>45899</v>
      </c>
      <c r="C1998" s="5">
        <v>0.49464120370370368</v>
      </c>
      <c r="D1998">
        <v>86.73</v>
      </c>
      <c r="E1998" t="s">
        <v>44</v>
      </c>
      <c r="F1998" t="s">
        <v>6668</v>
      </c>
      <c r="G1998" t="s">
        <v>77</v>
      </c>
      <c r="H1998" t="s">
        <v>97</v>
      </c>
      <c r="I1998" t="s">
        <v>8854</v>
      </c>
      <c r="J1998">
        <v>54</v>
      </c>
      <c r="K1998" t="s">
        <v>37</v>
      </c>
      <c r="L1998" t="s">
        <v>23</v>
      </c>
      <c r="M1998" t="s">
        <v>51</v>
      </c>
      <c r="N1998" t="s">
        <v>345</v>
      </c>
      <c r="O1998">
        <v>467461</v>
      </c>
      <c r="P1998" t="s">
        <v>28</v>
      </c>
      <c r="Q1998" t="s">
        <v>8855</v>
      </c>
      <c r="R1998" t="s">
        <v>8856</v>
      </c>
      <c r="S1998" t="s">
        <v>31</v>
      </c>
      <c r="T1998">
        <v>0</v>
      </c>
    </row>
    <row r="1999" spans="1:20" x14ac:dyDescent="0.25">
      <c r="A1999" t="s">
        <v>8857</v>
      </c>
      <c r="B1999" s="1">
        <v>45892</v>
      </c>
      <c r="C1999" s="5">
        <v>0.42542824074074076</v>
      </c>
      <c r="D1999">
        <v>88.48</v>
      </c>
      <c r="E1999" t="s">
        <v>44</v>
      </c>
      <c r="F1999" t="s">
        <v>5036</v>
      </c>
      <c r="G1999" t="s">
        <v>34</v>
      </c>
      <c r="H1999" t="s">
        <v>23</v>
      </c>
      <c r="I1999" t="s">
        <v>8858</v>
      </c>
      <c r="J1999">
        <v>63</v>
      </c>
      <c r="K1999" t="s">
        <v>49</v>
      </c>
      <c r="L1999" t="s">
        <v>130</v>
      </c>
      <c r="M1999" t="s">
        <v>105</v>
      </c>
      <c r="P1999" t="s">
        <v>28</v>
      </c>
      <c r="Q1999" t="s">
        <v>8859</v>
      </c>
      <c r="R1999" t="s">
        <v>8860</v>
      </c>
      <c r="S1999" t="s">
        <v>31</v>
      </c>
      <c r="T1999">
        <v>0</v>
      </c>
    </row>
    <row r="2000" spans="1:20" x14ac:dyDescent="0.25">
      <c r="A2000" t="s">
        <v>8861</v>
      </c>
      <c r="B2000" s="1">
        <v>45843</v>
      </c>
      <c r="C2000" s="5">
        <v>7.7268518518518514E-2</v>
      </c>
      <c r="D2000">
        <v>69.08</v>
      </c>
      <c r="E2000" t="s">
        <v>44</v>
      </c>
      <c r="F2000" t="s">
        <v>4306</v>
      </c>
      <c r="G2000" t="s">
        <v>71</v>
      </c>
      <c r="H2000" t="s">
        <v>26</v>
      </c>
      <c r="I2000" t="s">
        <v>8862</v>
      </c>
      <c r="J2000">
        <v>53</v>
      </c>
      <c r="K2000" t="s">
        <v>25</v>
      </c>
      <c r="L2000" t="s">
        <v>130</v>
      </c>
      <c r="M2000" t="s">
        <v>51</v>
      </c>
      <c r="N2000" t="s">
        <v>52</v>
      </c>
      <c r="O2000">
        <v>503113</v>
      </c>
      <c r="P2000" t="s">
        <v>28</v>
      </c>
      <c r="Q2000" t="s">
        <v>8863</v>
      </c>
      <c r="R2000" t="s">
        <v>8864</v>
      </c>
      <c r="S2000" t="s">
        <v>31</v>
      </c>
      <c r="T2000">
        <v>0</v>
      </c>
    </row>
    <row r="2001" spans="1:20" x14ac:dyDescent="0.25">
      <c r="A2001" t="s">
        <v>8865</v>
      </c>
      <c r="B2001" s="1">
        <v>45831</v>
      </c>
      <c r="C2001" s="5">
        <v>0.90077546296296296</v>
      </c>
      <c r="D2001">
        <v>164.9</v>
      </c>
      <c r="E2001" t="s">
        <v>44</v>
      </c>
      <c r="F2001" t="s">
        <v>1968</v>
      </c>
      <c r="G2001" t="s">
        <v>77</v>
      </c>
      <c r="H2001" t="s">
        <v>38</v>
      </c>
      <c r="I2001" t="s">
        <v>8866</v>
      </c>
      <c r="J2001">
        <v>68</v>
      </c>
      <c r="K2001" t="s">
        <v>37</v>
      </c>
      <c r="L2001" t="s">
        <v>50</v>
      </c>
      <c r="M2001" t="s">
        <v>27</v>
      </c>
      <c r="P2001" t="s">
        <v>28</v>
      </c>
      <c r="Q2001" t="s">
        <v>8867</v>
      </c>
      <c r="R2001" t="s">
        <v>8868</v>
      </c>
      <c r="S2001" t="s">
        <v>31</v>
      </c>
      <c r="T2001">
        <v>0</v>
      </c>
    </row>
    <row r="2002" spans="1:20" x14ac:dyDescent="0.25">
      <c r="A2002" t="s">
        <v>8869</v>
      </c>
      <c r="B2002" s="1">
        <v>45840</v>
      </c>
      <c r="C2002" s="5">
        <v>0.58648148148148149</v>
      </c>
      <c r="D2002">
        <v>47.44</v>
      </c>
      <c r="E2002" t="s">
        <v>44</v>
      </c>
      <c r="F2002" t="s">
        <v>8870</v>
      </c>
      <c r="G2002" t="s">
        <v>64</v>
      </c>
      <c r="H2002" t="s">
        <v>110</v>
      </c>
      <c r="I2002" t="s">
        <v>8871</v>
      </c>
      <c r="J2002">
        <v>43</v>
      </c>
      <c r="K2002" t="s">
        <v>37</v>
      </c>
      <c r="L2002" t="s">
        <v>248</v>
      </c>
      <c r="M2002" t="s">
        <v>84</v>
      </c>
      <c r="P2002" t="s">
        <v>28</v>
      </c>
      <c r="Q2002" t="s">
        <v>8872</v>
      </c>
      <c r="R2002" t="s">
        <v>8873</v>
      </c>
      <c r="S2002" t="s">
        <v>31</v>
      </c>
      <c r="T2002">
        <v>0</v>
      </c>
    </row>
    <row r="2003" spans="1:20" x14ac:dyDescent="0.25">
      <c r="A2003" t="s">
        <v>8874</v>
      </c>
      <c r="B2003" s="1">
        <v>45925</v>
      </c>
      <c r="C2003" s="5">
        <v>0.76211805555555556</v>
      </c>
      <c r="D2003">
        <v>33.06</v>
      </c>
      <c r="E2003" t="s">
        <v>44</v>
      </c>
      <c r="F2003" t="s">
        <v>7486</v>
      </c>
      <c r="G2003" t="s">
        <v>22</v>
      </c>
      <c r="H2003" t="s">
        <v>146</v>
      </c>
      <c r="I2003" t="s">
        <v>8875</v>
      </c>
      <c r="J2003">
        <v>73</v>
      </c>
      <c r="K2003" t="s">
        <v>37</v>
      </c>
      <c r="L2003" t="s">
        <v>50</v>
      </c>
      <c r="M2003" t="s">
        <v>51</v>
      </c>
      <c r="N2003" t="s">
        <v>870</v>
      </c>
      <c r="O2003">
        <v>436424</v>
      </c>
      <c r="P2003" t="s">
        <v>28</v>
      </c>
      <c r="Q2003" t="s">
        <v>8876</v>
      </c>
      <c r="R2003" t="s">
        <v>8877</v>
      </c>
      <c r="S2003" t="s">
        <v>31</v>
      </c>
      <c r="T2003">
        <v>1</v>
      </c>
    </row>
    <row r="2004" spans="1:20" x14ac:dyDescent="0.25">
      <c r="A2004" t="s">
        <v>8878</v>
      </c>
      <c r="B2004" s="1">
        <v>45932</v>
      </c>
      <c r="C2004" s="5">
        <v>1.2905092592592593E-2</v>
      </c>
      <c r="D2004">
        <v>146.69</v>
      </c>
      <c r="E2004" t="s">
        <v>44</v>
      </c>
      <c r="F2004" t="s">
        <v>1168</v>
      </c>
      <c r="G2004" t="s">
        <v>96</v>
      </c>
      <c r="H2004" t="s">
        <v>47</v>
      </c>
      <c r="I2004" t="s">
        <v>8879</v>
      </c>
      <c r="J2004">
        <v>71</v>
      </c>
      <c r="K2004" t="s">
        <v>49</v>
      </c>
      <c r="L2004" t="s">
        <v>38</v>
      </c>
      <c r="M2004" t="s">
        <v>105</v>
      </c>
      <c r="P2004" t="s">
        <v>28</v>
      </c>
      <c r="Q2004" t="s">
        <v>8880</v>
      </c>
      <c r="R2004" t="s">
        <v>8881</v>
      </c>
      <c r="S2004" t="s">
        <v>31</v>
      </c>
      <c r="T2004">
        <v>0</v>
      </c>
    </row>
    <row r="2005" spans="1:20" x14ac:dyDescent="0.25">
      <c r="A2005" t="s">
        <v>8882</v>
      </c>
      <c r="B2005" s="1">
        <v>45879</v>
      </c>
      <c r="C2005" s="5">
        <v>0.65538194444444442</v>
      </c>
      <c r="D2005">
        <v>238.56</v>
      </c>
      <c r="E2005" t="s">
        <v>44</v>
      </c>
      <c r="F2005" t="s">
        <v>282</v>
      </c>
      <c r="G2005" t="s">
        <v>77</v>
      </c>
      <c r="H2005" t="s">
        <v>35</v>
      </c>
      <c r="I2005" t="s">
        <v>8883</v>
      </c>
      <c r="J2005">
        <v>51</v>
      </c>
      <c r="K2005" t="s">
        <v>49</v>
      </c>
      <c r="L2005" t="s">
        <v>58</v>
      </c>
      <c r="M2005" t="s">
        <v>84</v>
      </c>
      <c r="P2005" t="s">
        <v>28</v>
      </c>
      <c r="Q2005" t="s">
        <v>8884</v>
      </c>
      <c r="R2005" t="s">
        <v>8885</v>
      </c>
      <c r="S2005" t="s">
        <v>31</v>
      </c>
      <c r="T2005">
        <v>0</v>
      </c>
    </row>
    <row r="2006" spans="1:20" x14ac:dyDescent="0.25">
      <c r="A2006" t="s">
        <v>8886</v>
      </c>
      <c r="B2006" s="1">
        <v>45934</v>
      </c>
      <c r="C2006" s="5">
        <v>0.33325231481481482</v>
      </c>
      <c r="D2006">
        <v>65.05</v>
      </c>
      <c r="E2006" t="s">
        <v>44</v>
      </c>
      <c r="F2006" t="s">
        <v>8887</v>
      </c>
      <c r="G2006" t="s">
        <v>46</v>
      </c>
      <c r="H2006" t="s">
        <v>110</v>
      </c>
      <c r="I2006" t="s">
        <v>8888</v>
      </c>
      <c r="J2006">
        <v>26</v>
      </c>
      <c r="K2006" t="s">
        <v>49</v>
      </c>
      <c r="L2006" t="s">
        <v>110</v>
      </c>
      <c r="M2006" t="s">
        <v>112</v>
      </c>
      <c r="P2006" t="s">
        <v>113</v>
      </c>
      <c r="Q2006" t="s">
        <v>8889</v>
      </c>
      <c r="R2006" t="s">
        <v>8890</v>
      </c>
      <c r="S2006" t="s">
        <v>101</v>
      </c>
      <c r="T2006">
        <v>0</v>
      </c>
    </row>
    <row r="2007" spans="1:20" x14ac:dyDescent="0.25">
      <c r="A2007" t="s">
        <v>8891</v>
      </c>
      <c r="B2007" s="1">
        <v>45914</v>
      </c>
      <c r="C2007" s="5">
        <v>0.2573611111111111</v>
      </c>
      <c r="D2007">
        <v>39.880000000000003</v>
      </c>
      <c r="E2007" t="s">
        <v>44</v>
      </c>
      <c r="F2007" t="s">
        <v>2349</v>
      </c>
      <c r="G2007" t="s">
        <v>46</v>
      </c>
      <c r="H2007" t="s">
        <v>91</v>
      </c>
      <c r="I2007" t="s">
        <v>1549</v>
      </c>
      <c r="J2007">
        <v>65</v>
      </c>
      <c r="K2007" t="s">
        <v>37</v>
      </c>
      <c r="L2007" t="s">
        <v>91</v>
      </c>
      <c r="M2007" t="s">
        <v>105</v>
      </c>
      <c r="P2007" t="s">
        <v>113</v>
      </c>
      <c r="Q2007" t="s">
        <v>8892</v>
      </c>
      <c r="R2007" t="s">
        <v>8893</v>
      </c>
      <c r="S2007" t="s">
        <v>31</v>
      </c>
      <c r="T2007">
        <v>0</v>
      </c>
    </row>
    <row r="2008" spans="1:20" x14ac:dyDescent="0.25">
      <c r="A2008" t="s">
        <v>8894</v>
      </c>
      <c r="B2008" s="1">
        <v>45907</v>
      </c>
      <c r="C2008" s="5">
        <v>0.70258101851851851</v>
      </c>
      <c r="D2008">
        <v>3494.99</v>
      </c>
      <c r="E2008" t="s">
        <v>44</v>
      </c>
      <c r="F2008" t="s">
        <v>8754</v>
      </c>
      <c r="G2008" t="s">
        <v>46</v>
      </c>
      <c r="H2008" t="s">
        <v>66</v>
      </c>
      <c r="I2008" t="s">
        <v>8895</v>
      </c>
      <c r="J2008">
        <v>74</v>
      </c>
      <c r="K2008" t="s">
        <v>49</v>
      </c>
      <c r="L2008" t="s">
        <v>66</v>
      </c>
      <c r="M2008" t="s">
        <v>51</v>
      </c>
      <c r="N2008" t="s">
        <v>870</v>
      </c>
      <c r="O2008">
        <v>482479</v>
      </c>
      <c r="P2008" t="s">
        <v>113</v>
      </c>
      <c r="Q2008" t="s">
        <v>8896</v>
      </c>
      <c r="R2008" t="s">
        <v>8897</v>
      </c>
      <c r="S2008" t="s">
        <v>31</v>
      </c>
      <c r="T2008">
        <v>0</v>
      </c>
    </row>
    <row r="2009" spans="1:20" x14ac:dyDescent="0.25">
      <c r="A2009" t="s">
        <v>8898</v>
      </c>
      <c r="B2009" s="1">
        <v>45831</v>
      </c>
      <c r="C2009" s="5">
        <v>0.16503472222222224</v>
      </c>
      <c r="D2009">
        <v>144.63</v>
      </c>
      <c r="E2009" t="s">
        <v>44</v>
      </c>
      <c r="F2009" t="s">
        <v>7821</v>
      </c>
      <c r="G2009" t="s">
        <v>34</v>
      </c>
      <c r="H2009" t="s">
        <v>26</v>
      </c>
      <c r="I2009" t="s">
        <v>8899</v>
      </c>
      <c r="J2009">
        <v>35</v>
      </c>
      <c r="K2009" t="s">
        <v>49</v>
      </c>
      <c r="L2009" t="s">
        <v>50</v>
      </c>
      <c r="M2009" t="s">
        <v>27</v>
      </c>
      <c r="P2009" t="s">
        <v>28</v>
      </c>
      <c r="Q2009" t="s">
        <v>8900</v>
      </c>
      <c r="R2009" t="s">
        <v>8901</v>
      </c>
      <c r="S2009" t="s">
        <v>101</v>
      </c>
      <c r="T2009">
        <v>0</v>
      </c>
    </row>
    <row r="2010" spans="1:20" x14ac:dyDescent="0.25">
      <c r="A2010" t="s">
        <v>8902</v>
      </c>
      <c r="B2010" s="1">
        <v>45888</v>
      </c>
      <c r="C2010" s="5">
        <v>0.56584490740740745</v>
      </c>
      <c r="D2010">
        <v>6.94</v>
      </c>
      <c r="E2010" t="s">
        <v>44</v>
      </c>
      <c r="F2010" t="s">
        <v>5430</v>
      </c>
      <c r="G2010" t="s">
        <v>89</v>
      </c>
      <c r="H2010" t="s">
        <v>58</v>
      </c>
      <c r="I2010" t="s">
        <v>8903</v>
      </c>
      <c r="J2010">
        <v>74</v>
      </c>
      <c r="K2010" t="s">
        <v>37</v>
      </c>
      <c r="L2010" t="s">
        <v>50</v>
      </c>
      <c r="M2010" t="s">
        <v>105</v>
      </c>
      <c r="P2010" t="s">
        <v>28</v>
      </c>
      <c r="Q2010" t="s">
        <v>8904</v>
      </c>
      <c r="R2010" t="s">
        <v>8905</v>
      </c>
      <c r="S2010" t="s">
        <v>31</v>
      </c>
      <c r="T2010">
        <v>0</v>
      </c>
    </row>
    <row r="2011" spans="1:20" x14ac:dyDescent="0.25">
      <c r="A2011" t="s">
        <v>8906</v>
      </c>
      <c r="B2011" s="1">
        <v>45866</v>
      </c>
      <c r="C2011" s="5">
        <v>0.73381944444444447</v>
      </c>
      <c r="D2011">
        <v>300.01</v>
      </c>
      <c r="E2011" t="s">
        <v>44</v>
      </c>
      <c r="F2011" t="s">
        <v>1224</v>
      </c>
      <c r="G2011" t="s">
        <v>22</v>
      </c>
      <c r="H2011" t="s">
        <v>26</v>
      </c>
      <c r="I2011" t="s">
        <v>8907</v>
      </c>
      <c r="J2011">
        <v>33</v>
      </c>
      <c r="K2011" t="s">
        <v>25</v>
      </c>
      <c r="L2011" t="s">
        <v>58</v>
      </c>
      <c r="M2011" t="s">
        <v>27</v>
      </c>
      <c r="P2011" t="s">
        <v>28</v>
      </c>
      <c r="Q2011" t="s">
        <v>8908</v>
      </c>
      <c r="R2011" t="s">
        <v>8909</v>
      </c>
      <c r="S2011" t="s">
        <v>31</v>
      </c>
      <c r="T2011">
        <v>1</v>
      </c>
    </row>
    <row r="2012" spans="1:20" x14ac:dyDescent="0.25">
      <c r="A2012" t="s">
        <v>8910</v>
      </c>
      <c r="B2012" s="1">
        <v>45828</v>
      </c>
      <c r="C2012" s="5">
        <v>0.71865740740740736</v>
      </c>
      <c r="D2012">
        <v>176.35</v>
      </c>
      <c r="E2012" t="s">
        <v>44</v>
      </c>
      <c r="F2012" t="s">
        <v>2472</v>
      </c>
      <c r="G2012" t="s">
        <v>77</v>
      </c>
      <c r="H2012" t="s">
        <v>58</v>
      </c>
      <c r="I2012" t="s">
        <v>8911</v>
      </c>
      <c r="J2012">
        <v>23</v>
      </c>
      <c r="K2012" t="s">
        <v>37</v>
      </c>
      <c r="L2012" t="s">
        <v>35</v>
      </c>
      <c r="M2012" t="s">
        <v>51</v>
      </c>
      <c r="N2012" t="s">
        <v>507</v>
      </c>
      <c r="O2012">
        <v>496611</v>
      </c>
      <c r="P2012" t="s">
        <v>28</v>
      </c>
      <c r="Q2012" t="s">
        <v>8912</v>
      </c>
      <c r="R2012" t="s">
        <v>8913</v>
      </c>
      <c r="S2012" t="s">
        <v>31</v>
      </c>
      <c r="T2012">
        <v>0</v>
      </c>
    </row>
    <row r="2013" spans="1:20" x14ac:dyDescent="0.25">
      <c r="A2013" t="s">
        <v>8914</v>
      </c>
      <c r="B2013" s="1">
        <v>45886</v>
      </c>
      <c r="C2013" s="5">
        <v>0.47</v>
      </c>
      <c r="D2013">
        <v>55.19</v>
      </c>
      <c r="E2013" t="s">
        <v>44</v>
      </c>
      <c r="F2013" t="s">
        <v>946</v>
      </c>
      <c r="G2013" t="s">
        <v>71</v>
      </c>
      <c r="H2013" t="s">
        <v>35</v>
      </c>
      <c r="I2013" t="s">
        <v>8915</v>
      </c>
      <c r="J2013">
        <v>20</v>
      </c>
      <c r="K2013" t="s">
        <v>37</v>
      </c>
      <c r="L2013" t="s">
        <v>50</v>
      </c>
      <c r="M2013" t="s">
        <v>39</v>
      </c>
      <c r="P2013" t="s">
        <v>28</v>
      </c>
      <c r="Q2013" t="s">
        <v>8916</v>
      </c>
      <c r="R2013" t="s">
        <v>8917</v>
      </c>
      <c r="S2013" t="s">
        <v>42</v>
      </c>
      <c r="T2013">
        <v>0</v>
      </c>
    </row>
    <row r="2014" spans="1:20" x14ac:dyDescent="0.25">
      <c r="A2014" t="s">
        <v>8918</v>
      </c>
      <c r="B2014" s="1">
        <v>45861</v>
      </c>
      <c r="C2014" s="5">
        <v>0.20958333333333334</v>
      </c>
      <c r="D2014">
        <v>78.22</v>
      </c>
      <c r="E2014" t="s">
        <v>44</v>
      </c>
      <c r="F2014" t="s">
        <v>7135</v>
      </c>
      <c r="G2014" t="s">
        <v>124</v>
      </c>
      <c r="H2014" t="s">
        <v>91</v>
      </c>
      <c r="I2014" t="s">
        <v>8919</v>
      </c>
      <c r="J2014">
        <v>66</v>
      </c>
      <c r="K2014" t="s">
        <v>49</v>
      </c>
      <c r="L2014" t="s">
        <v>91</v>
      </c>
      <c r="M2014" t="s">
        <v>105</v>
      </c>
      <c r="P2014" t="s">
        <v>113</v>
      </c>
      <c r="Q2014" t="s">
        <v>8920</v>
      </c>
      <c r="R2014" t="s">
        <v>8921</v>
      </c>
      <c r="S2014" t="s">
        <v>31</v>
      </c>
      <c r="T2014">
        <v>0</v>
      </c>
    </row>
    <row r="2015" spans="1:20" x14ac:dyDescent="0.25">
      <c r="A2015" t="s">
        <v>8922</v>
      </c>
      <c r="B2015" s="1">
        <v>45906</v>
      </c>
      <c r="C2015" s="5">
        <v>0.83565972222222218</v>
      </c>
      <c r="D2015">
        <v>140.13</v>
      </c>
      <c r="E2015" t="s">
        <v>44</v>
      </c>
      <c r="F2015" t="s">
        <v>505</v>
      </c>
      <c r="G2015" t="s">
        <v>46</v>
      </c>
      <c r="H2015" t="s">
        <v>47</v>
      </c>
      <c r="I2015" t="s">
        <v>8923</v>
      </c>
      <c r="J2015">
        <v>59</v>
      </c>
      <c r="K2015" t="s">
        <v>25</v>
      </c>
      <c r="L2015" t="s">
        <v>35</v>
      </c>
      <c r="M2015" t="s">
        <v>51</v>
      </c>
      <c r="N2015" t="s">
        <v>507</v>
      </c>
      <c r="O2015">
        <v>427380</v>
      </c>
      <c r="P2015" t="s">
        <v>28</v>
      </c>
      <c r="Q2015" t="s">
        <v>8924</v>
      </c>
      <c r="R2015" t="s">
        <v>8925</v>
      </c>
      <c r="S2015" t="s">
        <v>31</v>
      </c>
      <c r="T2015">
        <v>0</v>
      </c>
    </row>
    <row r="2016" spans="1:20" x14ac:dyDescent="0.25">
      <c r="A2016" t="s">
        <v>8926</v>
      </c>
      <c r="B2016" s="1">
        <v>45952</v>
      </c>
      <c r="C2016" s="5">
        <v>1.1608796296296296E-2</v>
      </c>
      <c r="D2016">
        <v>162.44</v>
      </c>
      <c r="E2016" t="s">
        <v>44</v>
      </c>
      <c r="F2016" t="s">
        <v>8927</v>
      </c>
      <c r="G2016" t="s">
        <v>34</v>
      </c>
      <c r="H2016" t="s">
        <v>50</v>
      </c>
      <c r="I2016" t="s">
        <v>8928</v>
      </c>
      <c r="J2016">
        <v>55</v>
      </c>
      <c r="K2016" t="s">
        <v>25</v>
      </c>
      <c r="L2016" t="s">
        <v>119</v>
      </c>
      <c r="M2016" t="s">
        <v>112</v>
      </c>
      <c r="P2016" t="s">
        <v>28</v>
      </c>
      <c r="Q2016" t="s">
        <v>8929</v>
      </c>
      <c r="R2016" t="s">
        <v>8930</v>
      </c>
      <c r="S2016" t="s">
        <v>31</v>
      </c>
      <c r="T2016">
        <v>0</v>
      </c>
    </row>
    <row r="2017" spans="1:20" x14ac:dyDescent="0.25">
      <c r="A2017" t="s">
        <v>8931</v>
      </c>
      <c r="B2017" s="1">
        <v>45844</v>
      </c>
      <c r="C2017" s="5">
        <v>0.57087962962962968</v>
      </c>
      <c r="D2017">
        <v>53.42</v>
      </c>
      <c r="E2017" t="s">
        <v>44</v>
      </c>
      <c r="F2017" t="s">
        <v>8932</v>
      </c>
      <c r="G2017" t="s">
        <v>64</v>
      </c>
      <c r="H2017" t="s">
        <v>91</v>
      </c>
      <c r="I2017" t="s">
        <v>8933</v>
      </c>
      <c r="J2017">
        <v>72</v>
      </c>
      <c r="K2017" t="s">
        <v>49</v>
      </c>
      <c r="L2017" t="s">
        <v>248</v>
      </c>
      <c r="M2017" t="s">
        <v>51</v>
      </c>
      <c r="N2017" t="s">
        <v>52</v>
      </c>
      <c r="O2017">
        <v>513247</v>
      </c>
      <c r="P2017" t="s">
        <v>28</v>
      </c>
      <c r="Q2017" t="s">
        <v>8934</v>
      </c>
      <c r="R2017" t="s">
        <v>8935</v>
      </c>
      <c r="S2017" t="s">
        <v>31</v>
      </c>
      <c r="T2017">
        <v>0</v>
      </c>
    </row>
    <row r="2018" spans="1:20" x14ac:dyDescent="0.25">
      <c r="A2018" t="s">
        <v>8936</v>
      </c>
      <c r="B2018" s="1">
        <v>45919</v>
      </c>
      <c r="C2018" s="5">
        <v>5.2048611111111108E-2</v>
      </c>
      <c r="D2018">
        <v>31.57</v>
      </c>
      <c r="E2018" t="s">
        <v>44</v>
      </c>
      <c r="F2018" t="s">
        <v>8937</v>
      </c>
      <c r="G2018" t="s">
        <v>124</v>
      </c>
      <c r="H2018" t="s">
        <v>119</v>
      </c>
      <c r="I2018" t="s">
        <v>8938</v>
      </c>
      <c r="J2018">
        <v>24</v>
      </c>
      <c r="K2018" t="s">
        <v>37</v>
      </c>
      <c r="L2018" t="s">
        <v>50</v>
      </c>
      <c r="M2018" t="s">
        <v>39</v>
      </c>
      <c r="P2018" t="s">
        <v>28</v>
      </c>
      <c r="Q2018" t="s">
        <v>8939</v>
      </c>
      <c r="R2018" t="s">
        <v>8940</v>
      </c>
      <c r="S2018" t="s">
        <v>101</v>
      </c>
      <c r="T2018">
        <v>0</v>
      </c>
    </row>
    <row r="2019" spans="1:20" x14ac:dyDescent="0.25">
      <c r="A2019" t="s">
        <v>8941</v>
      </c>
      <c r="B2019" s="1">
        <v>45842</v>
      </c>
      <c r="C2019" s="5">
        <v>1.8854166666666668E-2</v>
      </c>
      <c r="D2019">
        <v>128.18</v>
      </c>
      <c r="E2019" t="s">
        <v>44</v>
      </c>
      <c r="F2019" t="s">
        <v>472</v>
      </c>
      <c r="G2019" t="s">
        <v>64</v>
      </c>
      <c r="H2019" t="s">
        <v>58</v>
      </c>
      <c r="I2019" t="s">
        <v>8942</v>
      </c>
      <c r="J2019">
        <v>47</v>
      </c>
      <c r="K2019" t="s">
        <v>49</v>
      </c>
      <c r="L2019" t="s">
        <v>58</v>
      </c>
      <c r="M2019" t="s">
        <v>39</v>
      </c>
      <c r="P2019" t="s">
        <v>113</v>
      </c>
      <c r="Q2019" t="s">
        <v>8943</v>
      </c>
      <c r="R2019" t="s">
        <v>8944</v>
      </c>
      <c r="S2019" t="s">
        <v>31</v>
      </c>
      <c r="T2019">
        <v>0</v>
      </c>
    </row>
    <row r="2020" spans="1:20" x14ac:dyDescent="0.25">
      <c r="A2020" t="s">
        <v>8945</v>
      </c>
      <c r="B2020" s="1">
        <v>45896</v>
      </c>
      <c r="C2020" s="5">
        <v>0.83285879629629633</v>
      </c>
      <c r="D2020">
        <v>54.18</v>
      </c>
      <c r="E2020" t="s">
        <v>44</v>
      </c>
      <c r="F2020" t="s">
        <v>983</v>
      </c>
      <c r="G2020" t="s">
        <v>22</v>
      </c>
      <c r="H2020" t="s">
        <v>130</v>
      </c>
      <c r="I2020" t="s">
        <v>8946</v>
      </c>
      <c r="K2020" t="s">
        <v>37</v>
      </c>
      <c r="L2020" t="s">
        <v>91</v>
      </c>
      <c r="M2020" t="s">
        <v>51</v>
      </c>
      <c r="N2020" t="s">
        <v>870</v>
      </c>
      <c r="O2020">
        <v>467709</v>
      </c>
      <c r="P2020" t="s">
        <v>28</v>
      </c>
      <c r="Q2020" t="s">
        <v>8947</v>
      </c>
      <c r="R2020" t="s">
        <v>8948</v>
      </c>
      <c r="S2020" t="s">
        <v>31</v>
      </c>
      <c r="T2020">
        <v>0</v>
      </c>
    </row>
    <row r="2021" spans="1:20" x14ac:dyDescent="0.25">
      <c r="A2021" t="s">
        <v>8949</v>
      </c>
      <c r="B2021" s="1">
        <v>45865</v>
      </c>
      <c r="C2021" s="5">
        <v>0.59995370370370371</v>
      </c>
      <c r="D2021">
        <v>24.08</v>
      </c>
      <c r="E2021" t="s">
        <v>44</v>
      </c>
      <c r="F2021" t="s">
        <v>500</v>
      </c>
      <c r="G2021" t="s">
        <v>57</v>
      </c>
      <c r="H2021" t="s">
        <v>58</v>
      </c>
      <c r="I2021" t="s">
        <v>8950</v>
      </c>
      <c r="J2021">
        <v>32</v>
      </c>
      <c r="K2021" t="s">
        <v>25</v>
      </c>
      <c r="L2021" t="s">
        <v>130</v>
      </c>
      <c r="M2021" t="s">
        <v>112</v>
      </c>
      <c r="P2021" t="s">
        <v>28</v>
      </c>
      <c r="Q2021" t="s">
        <v>8951</v>
      </c>
      <c r="R2021" t="s">
        <v>8952</v>
      </c>
      <c r="S2021" t="s">
        <v>31</v>
      </c>
      <c r="T2021">
        <v>0</v>
      </c>
    </row>
    <row r="2022" spans="1:20" x14ac:dyDescent="0.25">
      <c r="A2022" t="s">
        <v>8953</v>
      </c>
      <c r="B2022" s="1">
        <v>45890</v>
      </c>
      <c r="C2022" s="5">
        <v>0.42255787037037035</v>
      </c>
      <c r="D2022">
        <v>136.43</v>
      </c>
      <c r="E2022" t="s">
        <v>44</v>
      </c>
      <c r="F2022" t="s">
        <v>3193</v>
      </c>
      <c r="G2022" t="s">
        <v>96</v>
      </c>
      <c r="H2022" t="s">
        <v>38</v>
      </c>
      <c r="I2022" t="s">
        <v>8954</v>
      </c>
      <c r="J2022">
        <v>19</v>
      </c>
      <c r="K2022" t="s">
        <v>37</v>
      </c>
      <c r="L2022" t="s">
        <v>248</v>
      </c>
      <c r="M2022" t="s">
        <v>39</v>
      </c>
      <c r="P2022" t="s">
        <v>28</v>
      </c>
      <c r="Q2022" t="s">
        <v>8955</v>
      </c>
      <c r="R2022" t="s">
        <v>8956</v>
      </c>
      <c r="S2022" t="s">
        <v>31</v>
      </c>
      <c r="T2022">
        <v>0</v>
      </c>
    </row>
    <row r="2023" spans="1:20" x14ac:dyDescent="0.25">
      <c r="A2023" t="s">
        <v>8957</v>
      </c>
      <c r="B2023" s="1">
        <v>45914</v>
      </c>
      <c r="C2023" s="5">
        <v>0.43834490740740739</v>
      </c>
      <c r="D2023">
        <v>84.21</v>
      </c>
      <c r="E2023" t="s">
        <v>44</v>
      </c>
      <c r="F2023" t="s">
        <v>4811</v>
      </c>
      <c r="G2023" t="s">
        <v>124</v>
      </c>
      <c r="H2023" t="s">
        <v>248</v>
      </c>
      <c r="I2023" t="s">
        <v>8958</v>
      </c>
      <c r="J2023">
        <v>40</v>
      </c>
      <c r="K2023" t="s">
        <v>49</v>
      </c>
      <c r="L2023" t="s">
        <v>47</v>
      </c>
      <c r="M2023" t="s">
        <v>39</v>
      </c>
      <c r="P2023" t="s">
        <v>28</v>
      </c>
      <c r="Q2023" t="s">
        <v>8959</v>
      </c>
      <c r="R2023" t="s">
        <v>8960</v>
      </c>
      <c r="S2023" t="s">
        <v>31</v>
      </c>
      <c r="T2023">
        <v>0</v>
      </c>
    </row>
    <row r="2024" spans="1:20" x14ac:dyDescent="0.25">
      <c r="A2024" t="s">
        <v>8961</v>
      </c>
      <c r="B2024" s="1">
        <v>45929</v>
      </c>
      <c r="C2024" s="5">
        <v>0.33153935185185185</v>
      </c>
      <c r="D2024">
        <v>47.16</v>
      </c>
      <c r="E2024" t="s">
        <v>44</v>
      </c>
      <c r="F2024" t="s">
        <v>4310</v>
      </c>
      <c r="G2024" t="s">
        <v>22</v>
      </c>
      <c r="H2024" t="s">
        <v>47</v>
      </c>
      <c r="I2024" t="s">
        <v>8962</v>
      </c>
      <c r="J2024">
        <v>21</v>
      </c>
      <c r="K2024" t="s">
        <v>37</v>
      </c>
      <c r="L2024" t="s">
        <v>26</v>
      </c>
      <c r="M2024" t="s">
        <v>105</v>
      </c>
      <c r="P2024" t="s">
        <v>28</v>
      </c>
      <c r="Q2024" t="s">
        <v>8963</v>
      </c>
      <c r="R2024" t="s">
        <v>8964</v>
      </c>
      <c r="S2024" t="s">
        <v>101</v>
      </c>
      <c r="T2024">
        <v>0</v>
      </c>
    </row>
    <row r="2025" spans="1:20" x14ac:dyDescent="0.25">
      <c r="A2025" t="s">
        <v>8965</v>
      </c>
      <c r="B2025" s="1">
        <v>45934</v>
      </c>
      <c r="C2025" s="5">
        <v>0.68927083333333339</v>
      </c>
      <c r="D2025">
        <v>21.54</v>
      </c>
      <c r="E2025" t="s">
        <v>44</v>
      </c>
      <c r="F2025" t="s">
        <v>1734</v>
      </c>
      <c r="G2025" t="s">
        <v>124</v>
      </c>
      <c r="H2025" t="s">
        <v>50</v>
      </c>
      <c r="I2025" t="s">
        <v>8966</v>
      </c>
      <c r="J2025">
        <v>49</v>
      </c>
      <c r="K2025" t="s">
        <v>49</v>
      </c>
      <c r="L2025" t="s">
        <v>119</v>
      </c>
      <c r="M2025" t="s">
        <v>84</v>
      </c>
      <c r="P2025" t="s">
        <v>28</v>
      </c>
      <c r="Q2025" t="s">
        <v>8967</v>
      </c>
      <c r="R2025" t="s">
        <v>8968</v>
      </c>
      <c r="S2025" t="s">
        <v>101</v>
      </c>
      <c r="T2025">
        <v>0</v>
      </c>
    </row>
    <row r="2026" spans="1:20" x14ac:dyDescent="0.25">
      <c r="A2026" t="s">
        <v>8969</v>
      </c>
      <c r="B2026" s="1">
        <v>45789</v>
      </c>
      <c r="C2026" s="5">
        <v>0.36762731481481481</v>
      </c>
      <c r="D2026">
        <v>80.489999999999995</v>
      </c>
      <c r="E2026" t="s">
        <v>44</v>
      </c>
      <c r="F2026" t="s">
        <v>3889</v>
      </c>
      <c r="G2026" t="s">
        <v>77</v>
      </c>
      <c r="H2026" t="s">
        <v>66</v>
      </c>
      <c r="I2026" t="s">
        <v>8970</v>
      </c>
      <c r="J2026">
        <v>64</v>
      </c>
      <c r="K2026" t="s">
        <v>37</v>
      </c>
      <c r="L2026" t="s">
        <v>91</v>
      </c>
      <c r="M2026" t="s">
        <v>105</v>
      </c>
      <c r="P2026" t="s">
        <v>28</v>
      </c>
      <c r="Q2026" t="s">
        <v>8971</v>
      </c>
      <c r="R2026" t="s">
        <v>8972</v>
      </c>
      <c r="S2026" t="s">
        <v>42</v>
      </c>
      <c r="T2026">
        <v>0</v>
      </c>
    </row>
    <row r="2027" spans="1:20" x14ac:dyDescent="0.25">
      <c r="A2027" t="s">
        <v>8973</v>
      </c>
      <c r="B2027" s="1">
        <v>45906</v>
      </c>
      <c r="C2027" s="5">
        <v>0.14497685185185186</v>
      </c>
      <c r="D2027">
        <v>197.52</v>
      </c>
      <c r="E2027" t="s">
        <v>44</v>
      </c>
      <c r="F2027" t="s">
        <v>6005</v>
      </c>
      <c r="G2027" t="s">
        <v>64</v>
      </c>
      <c r="H2027" t="s">
        <v>38</v>
      </c>
      <c r="I2027" t="s">
        <v>8974</v>
      </c>
      <c r="J2027">
        <v>18</v>
      </c>
      <c r="K2027" t="s">
        <v>37</v>
      </c>
      <c r="L2027" t="s">
        <v>47</v>
      </c>
      <c r="M2027" t="s">
        <v>51</v>
      </c>
      <c r="N2027" t="s">
        <v>52</v>
      </c>
      <c r="O2027">
        <v>487078</v>
      </c>
      <c r="P2027" t="s">
        <v>28</v>
      </c>
      <c r="Q2027" t="s">
        <v>8975</v>
      </c>
      <c r="R2027" t="s">
        <v>8976</v>
      </c>
      <c r="S2027" t="s">
        <v>31</v>
      </c>
      <c r="T2027">
        <v>0</v>
      </c>
    </row>
    <row r="2028" spans="1:20" x14ac:dyDescent="0.25">
      <c r="A2028" t="s">
        <v>8977</v>
      </c>
      <c r="B2028" s="1">
        <v>45908</v>
      </c>
      <c r="C2028" s="5">
        <v>0.47564814814814815</v>
      </c>
      <c r="D2028">
        <v>122.13</v>
      </c>
      <c r="E2028" t="s">
        <v>44</v>
      </c>
      <c r="F2028" t="s">
        <v>5718</v>
      </c>
      <c r="G2028" t="s">
        <v>46</v>
      </c>
      <c r="H2028" t="s">
        <v>110</v>
      </c>
      <c r="I2028" t="s">
        <v>8978</v>
      </c>
      <c r="J2028">
        <v>65</v>
      </c>
      <c r="K2028" t="s">
        <v>49</v>
      </c>
      <c r="L2028" t="s">
        <v>47</v>
      </c>
      <c r="M2028" t="s">
        <v>27</v>
      </c>
      <c r="P2028" t="s">
        <v>28</v>
      </c>
      <c r="Q2028" t="s">
        <v>8979</v>
      </c>
      <c r="R2028" t="s">
        <v>8980</v>
      </c>
      <c r="S2028" t="s">
        <v>31</v>
      </c>
      <c r="T2028">
        <v>0</v>
      </c>
    </row>
    <row r="2029" spans="1:20" x14ac:dyDescent="0.25">
      <c r="A2029" t="s">
        <v>8981</v>
      </c>
      <c r="B2029" s="1">
        <v>45834</v>
      </c>
      <c r="C2029" s="5">
        <v>0.83364583333333331</v>
      </c>
      <c r="D2029">
        <v>66.39</v>
      </c>
      <c r="E2029" t="s">
        <v>44</v>
      </c>
      <c r="F2029" t="s">
        <v>763</v>
      </c>
      <c r="G2029" t="s">
        <v>57</v>
      </c>
      <c r="H2029" t="s">
        <v>110</v>
      </c>
      <c r="I2029" t="s">
        <v>8982</v>
      </c>
      <c r="J2029">
        <v>22</v>
      </c>
      <c r="K2029" t="s">
        <v>49</v>
      </c>
      <c r="L2029" t="s">
        <v>119</v>
      </c>
      <c r="M2029" t="s">
        <v>105</v>
      </c>
      <c r="P2029" t="s">
        <v>28</v>
      </c>
      <c r="Q2029" t="s">
        <v>8983</v>
      </c>
      <c r="R2029" t="s">
        <v>8984</v>
      </c>
      <c r="S2029" t="s">
        <v>31</v>
      </c>
      <c r="T2029">
        <v>0</v>
      </c>
    </row>
    <row r="2030" spans="1:20" x14ac:dyDescent="0.25">
      <c r="A2030" t="s">
        <v>8985</v>
      </c>
      <c r="B2030" s="1">
        <v>45927</v>
      </c>
      <c r="C2030" s="5">
        <v>0.24791666666666667</v>
      </c>
      <c r="D2030">
        <v>143.6</v>
      </c>
      <c r="E2030" t="s">
        <v>44</v>
      </c>
      <c r="F2030" t="s">
        <v>8986</v>
      </c>
      <c r="G2030" t="s">
        <v>77</v>
      </c>
      <c r="H2030" t="s">
        <v>66</v>
      </c>
      <c r="I2030" t="s">
        <v>8987</v>
      </c>
      <c r="J2030">
        <v>25</v>
      </c>
      <c r="K2030" t="s">
        <v>37</v>
      </c>
      <c r="L2030" t="s">
        <v>130</v>
      </c>
      <c r="M2030" t="s">
        <v>27</v>
      </c>
      <c r="P2030" t="s">
        <v>28</v>
      </c>
      <c r="Q2030" t="s">
        <v>8988</v>
      </c>
      <c r="R2030" t="s">
        <v>8989</v>
      </c>
      <c r="S2030" t="s">
        <v>31</v>
      </c>
      <c r="T2030">
        <v>0</v>
      </c>
    </row>
    <row r="2031" spans="1:20" x14ac:dyDescent="0.25">
      <c r="A2031" t="s">
        <v>8990</v>
      </c>
      <c r="B2031" s="1">
        <v>45862</v>
      </c>
      <c r="C2031" s="5">
        <v>0.71728009259259262</v>
      </c>
      <c r="D2031">
        <v>114.88</v>
      </c>
      <c r="E2031" t="s">
        <v>44</v>
      </c>
      <c r="F2031" t="s">
        <v>2239</v>
      </c>
      <c r="G2031" t="s">
        <v>89</v>
      </c>
      <c r="H2031" t="s">
        <v>97</v>
      </c>
      <c r="I2031" t="s">
        <v>8991</v>
      </c>
      <c r="J2031">
        <v>43</v>
      </c>
      <c r="K2031" t="s">
        <v>25</v>
      </c>
      <c r="L2031" t="s">
        <v>91</v>
      </c>
      <c r="M2031" t="s">
        <v>84</v>
      </c>
      <c r="P2031" t="s">
        <v>28</v>
      </c>
      <c r="Q2031" t="s">
        <v>8992</v>
      </c>
      <c r="R2031" t="s">
        <v>8993</v>
      </c>
      <c r="S2031" t="s">
        <v>31</v>
      </c>
      <c r="T2031">
        <v>0</v>
      </c>
    </row>
    <row r="2032" spans="1:20" x14ac:dyDescent="0.25">
      <c r="A2032" t="s">
        <v>8994</v>
      </c>
      <c r="B2032" s="1">
        <v>45841</v>
      </c>
      <c r="C2032" s="5">
        <v>0.78425925925925921</v>
      </c>
      <c r="D2032">
        <v>27.3</v>
      </c>
      <c r="E2032" t="s">
        <v>44</v>
      </c>
      <c r="F2032" t="s">
        <v>423</v>
      </c>
      <c r="G2032" t="s">
        <v>89</v>
      </c>
      <c r="H2032" t="s">
        <v>23</v>
      </c>
      <c r="I2032" t="s">
        <v>8995</v>
      </c>
      <c r="J2032">
        <v>75</v>
      </c>
      <c r="K2032" t="s">
        <v>25</v>
      </c>
      <c r="L2032" t="s">
        <v>146</v>
      </c>
      <c r="M2032" t="s">
        <v>39</v>
      </c>
      <c r="P2032" t="s">
        <v>28</v>
      </c>
      <c r="Q2032" t="s">
        <v>8996</v>
      </c>
      <c r="R2032" t="s">
        <v>8997</v>
      </c>
      <c r="S2032" t="s">
        <v>31</v>
      </c>
      <c r="T2032">
        <v>1</v>
      </c>
    </row>
    <row r="2033" spans="1:20" x14ac:dyDescent="0.25">
      <c r="A2033" t="s">
        <v>8998</v>
      </c>
      <c r="B2033" s="1">
        <v>45802</v>
      </c>
      <c r="C2033" s="5">
        <v>0.25190972222222224</v>
      </c>
      <c r="D2033">
        <v>189.73</v>
      </c>
      <c r="E2033" t="s">
        <v>44</v>
      </c>
      <c r="F2033" t="s">
        <v>5138</v>
      </c>
      <c r="G2033" t="s">
        <v>46</v>
      </c>
      <c r="H2033" t="s">
        <v>23</v>
      </c>
      <c r="I2033" t="s">
        <v>8999</v>
      </c>
      <c r="J2033">
        <v>66</v>
      </c>
      <c r="K2033" t="s">
        <v>49</v>
      </c>
      <c r="L2033" t="s">
        <v>110</v>
      </c>
      <c r="M2033" t="s">
        <v>27</v>
      </c>
      <c r="P2033" t="s">
        <v>28</v>
      </c>
      <c r="Q2033" t="s">
        <v>9000</v>
      </c>
      <c r="R2033" t="s">
        <v>9001</v>
      </c>
      <c r="S2033" t="s">
        <v>31</v>
      </c>
      <c r="T2033">
        <v>0</v>
      </c>
    </row>
    <row r="2034" spans="1:20" x14ac:dyDescent="0.25">
      <c r="A2034" t="s">
        <v>9002</v>
      </c>
      <c r="B2034" s="1">
        <v>45841</v>
      </c>
      <c r="C2034" s="5">
        <v>0.53781250000000003</v>
      </c>
      <c r="D2034">
        <v>195.02</v>
      </c>
      <c r="E2034" t="s">
        <v>44</v>
      </c>
      <c r="F2034" t="s">
        <v>3035</v>
      </c>
      <c r="G2034" t="s">
        <v>34</v>
      </c>
      <c r="H2034" t="s">
        <v>38</v>
      </c>
      <c r="I2034" t="s">
        <v>9003</v>
      </c>
      <c r="J2034">
        <v>40</v>
      </c>
      <c r="K2034" t="s">
        <v>49</v>
      </c>
      <c r="L2034" t="s">
        <v>47</v>
      </c>
      <c r="M2034" t="s">
        <v>112</v>
      </c>
      <c r="P2034" t="s">
        <v>28</v>
      </c>
      <c r="Q2034" t="s">
        <v>9004</v>
      </c>
      <c r="R2034" t="s">
        <v>9005</v>
      </c>
      <c r="S2034" t="s">
        <v>31</v>
      </c>
      <c r="T2034">
        <v>0</v>
      </c>
    </row>
    <row r="2035" spans="1:20" x14ac:dyDescent="0.25">
      <c r="A2035" t="s">
        <v>9006</v>
      </c>
      <c r="B2035" s="1">
        <v>45869</v>
      </c>
      <c r="C2035" s="5">
        <v>0.47239583333333335</v>
      </c>
      <c r="D2035">
        <v>947.02</v>
      </c>
      <c r="E2035" t="s">
        <v>44</v>
      </c>
      <c r="F2035" t="s">
        <v>9007</v>
      </c>
      <c r="G2035" t="s">
        <v>71</v>
      </c>
      <c r="H2035" t="s">
        <v>119</v>
      </c>
      <c r="I2035" t="s">
        <v>9008</v>
      </c>
      <c r="K2035" t="s">
        <v>37</v>
      </c>
      <c r="L2035" t="s">
        <v>146</v>
      </c>
      <c r="M2035" t="s">
        <v>27</v>
      </c>
      <c r="P2035" t="s">
        <v>28</v>
      </c>
      <c r="Q2035" t="s">
        <v>9009</v>
      </c>
      <c r="R2035" t="s">
        <v>9010</v>
      </c>
      <c r="S2035" t="s">
        <v>31</v>
      </c>
      <c r="T2035">
        <v>0</v>
      </c>
    </row>
    <row r="2036" spans="1:20" x14ac:dyDescent="0.25">
      <c r="A2036" t="s">
        <v>9011</v>
      </c>
      <c r="B2036" s="1">
        <v>45823</v>
      </c>
      <c r="C2036" s="5">
        <v>0.51460648148148147</v>
      </c>
      <c r="D2036">
        <v>139.38999999999999</v>
      </c>
      <c r="E2036" t="s">
        <v>44</v>
      </c>
      <c r="F2036" t="s">
        <v>763</v>
      </c>
      <c r="G2036" t="s">
        <v>77</v>
      </c>
      <c r="H2036" t="s">
        <v>50</v>
      </c>
      <c r="I2036" t="s">
        <v>9012</v>
      </c>
      <c r="J2036">
        <v>68</v>
      </c>
      <c r="K2036" t="s">
        <v>49</v>
      </c>
      <c r="L2036" t="s">
        <v>47</v>
      </c>
      <c r="M2036" t="s">
        <v>39</v>
      </c>
      <c r="P2036" t="s">
        <v>28</v>
      </c>
      <c r="Q2036" t="s">
        <v>9013</v>
      </c>
      <c r="R2036" t="s">
        <v>2940</v>
      </c>
      <c r="S2036" t="s">
        <v>31</v>
      </c>
      <c r="T2036">
        <v>0</v>
      </c>
    </row>
    <row r="2037" spans="1:20" x14ac:dyDescent="0.25">
      <c r="A2037" t="s">
        <v>9014</v>
      </c>
      <c r="B2037" s="1">
        <v>45831</v>
      </c>
      <c r="C2037" s="5">
        <v>0.96398148148148144</v>
      </c>
      <c r="D2037">
        <v>165.71</v>
      </c>
      <c r="E2037" t="s">
        <v>44</v>
      </c>
      <c r="F2037" t="s">
        <v>5904</v>
      </c>
      <c r="G2037" t="s">
        <v>96</v>
      </c>
      <c r="H2037" t="s">
        <v>47</v>
      </c>
      <c r="I2037" t="s">
        <v>9015</v>
      </c>
      <c r="J2037">
        <v>38</v>
      </c>
      <c r="K2037" t="s">
        <v>25</v>
      </c>
      <c r="L2037" t="s">
        <v>66</v>
      </c>
      <c r="M2037" t="s">
        <v>27</v>
      </c>
      <c r="P2037" t="s">
        <v>28</v>
      </c>
      <c r="Q2037" t="s">
        <v>9016</v>
      </c>
      <c r="R2037" t="s">
        <v>9017</v>
      </c>
      <c r="S2037" t="s">
        <v>31</v>
      </c>
      <c r="T2037">
        <v>0</v>
      </c>
    </row>
    <row r="2038" spans="1:20" x14ac:dyDescent="0.25">
      <c r="A2038" t="s">
        <v>9018</v>
      </c>
      <c r="B2038" s="1">
        <v>45903</v>
      </c>
      <c r="C2038" s="5">
        <v>0.79232638888888884</v>
      </c>
      <c r="D2038">
        <v>59.57</v>
      </c>
      <c r="E2038" t="s">
        <v>44</v>
      </c>
      <c r="F2038" t="s">
        <v>8119</v>
      </c>
      <c r="G2038" t="s">
        <v>124</v>
      </c>
      <c r="H2038" t="s">
        <v>146</v>
      </c>
      <c r="I2038" t="s">
        <v>9019</v>
      </c>
      <c r="J2038">
        <v>71</v>
      </c>
      <c r="K2038" t="s">
        <v>49</v>
      </c>
      <c r="L2038" t="s">
        <v>58</v>
      </c>
      <c r="M2038" t="s">
        <v>105</v>
      </c>
      <c r="P2038" t="s">
        <v>28</v>
      </c>
      <c r="Q2038" t="s">
        <v>9020</v>
      </c>
      <c r="R2038" t="s">
        <v>9021</v>
      </c>
      <c r="S2038" t="s">
        <v>31</v>
      </c>
      <c r="T2038">
        <v>0</v>
      </c>
    </row>
    <row r="2039" spans="1:20" x14ac:dyDescent="0.25">
      <c r="A2039" t="s">
        <v>9022</v>
      </c>
      <c r="B2039" s="1">
        <v>45905</v>
      </c>
      <c r="C2039" s="5">
        <v>0.33895833333333331</v>
      </c>
      <c r="D2039">
        <v>64.39</v>
      </c>
      <c r="E2039" t="s">
        <v>44</v>
      </c>
      <c r="F2039" t="s">
        <v>1272</v>
      </c>
      <c r="G2039" t="s">
        <v>57</v>
      </c>
      <c r="H2039" t="s">
        <v>130</v>
      </c>
      <c r="I2039" t="s">
        <v>9023</v>
      </c>
      <c r="J2039">
        <v>24</v>
      </c>
      <c r="K2039" t="s">
        <v>25</v>
      </c>
      <c r="L2039" t="s">
        <v>58</v>
      </c>
      <c r="M2039" t="s">
        <v>105</v>
      </c>
      <c r="P2039" t="s">
        <v>28</v>
      </c>
      <c r="Q2039" t="s">
        <v>9024</v>
      </c>
      <c r="R2039" t="s">
        <v>9025</v>
      </c>
      <c r="S2039" t="s">
        <v>42</v>
      </c>
      <c r="T2039">
        <v>0</v>
      </c>
    </row>
    <row r="2040" spans="1:20" x14ac:dyDescent="0.25">
      <c r="A2040" t="s">
        <v>9026</v>
      </c>
      <c r="B2040" s="1">
        <v>45905</v>
      </c>
      <c r="C2040" s="5">
        <v>0.87318287037037035</v>
      </c>
      <c r="D2040">
        <v>131.75</v>
      </c>
      <c r="E2040" t="s">
        <v>44</v>
      </c>
      <c r="F2040" t="s">
        <v>3385</v>
      </c>
      <c r="G2040" t="s">
        <v>71</v>
      </c>
      <c r="H2040" t="s">
        <v>66</v>
      </c>
      <c r="I2040" t="s">
        <v>9027</v>
      </c>
      <c r="J2040">
        <v>40</v>
      </c>
      <c r="K2040" t="s">
        <v>49</v>
      </c>
      <c r="L2040" t="s">
        <v>248</v>
      </c>
      <c r="M2040" t="s">
        <v>27</v>
      </c>
      <c r="P2040" t="s">
        <v>28</v>
      </c>
      <c r="Q2040" t="s">
        <v>9028</v>
      </c>
      <c r="R2040" t="s">
        <v>9029</v>
      </c>
      <c r="S2040" t="s">
        <v>31</v>
      </c>
      <c r="T2040">
        <v>0</v>
      </c>
    </row>
    <row r="2041" spans="1:20" x14ac:dyDescent="0.25">
      <c r="A2041" t="s">
        <v>9030</v>
      </c>
      <c r="B2041" s="1">
        <v>45840</v>
      </c>
      <c r="C2041" s="5">
        <v>0.62206018518518513</v>
      </c>
      <c r="D2041">
        <v>103.01</v>
      </c>
      <c r="E2041" t="s">
        <v>44</v>
      </c>
      <c r="F2041" t="s">
        <v>8383</v>
      </c>
      <c r="G2041" t="s">
        <v>64</v>
      </c>
      <c r="H2041" t="s">
        <v>119</v>
      </c>
      <c r="I2041" t="s">
        <v>9031</v>
      </c>
      <c r="J2041">
        <v>22</v>
      </c>
      <c r="K2041" t="s">
        <v>49</v>
      </c>
      <c r="L2041" t="s">
        <v>119</v>
      </c>
      <c r="M2041" t="s">
        <v>105</v>
      </c>
      <c r="P2041" t="s">
        <v>113</v>
      </c>
      <c r="Q2041" t="s">
        <v>9032</v>
      </c>
      <c r="R2041" t="s">
        <v>9033</v>
      </c>
      <c r="S2041" t="s">
        <v>31</v>
      </c>
      <c r="T2041">
        <v>0</v>
      </c>
    </row>
    <row r="2042" spans="1:20" x14ac:dyDescent="0.25">
      <c r="A2042" t="s">
        <v>9034</v>
      </c>
      <c r="B2042" s="1">
        <v>45855</v>
      </c>
      <c r="C2042" s="5">
        <v>0.32688657407407407</v>
      </c>
      <c r="D2042">
        <v>55.24</v>
      </c>
      <c r="E2042" t="s">
        <v>44</v>
      </c>
      <c r="F2042" t="s">
        <v>3380</v>
      </c>
      <c r="G2042" t="s">
        <v>57</v>
      </c>
      <c r="H2042" t="s">
        <v>91</v>
      </c>
      <c r="I2042" t="s">
        <v>9035</v>
      </c>
      <c r="J2042">
        <v>35</v>
      </c>
      <c r="K2042" t="s">
        <v>37</v>
      </c>
      <c r="L2042" t="s">
        <v>35</v>
      </c>
      <c r="M2042" t="s">
        <v>39</v>
      </c>
      <c r="P2042" t="s">
        <v>28</v>
      </c>
      <c r="Q2042" t="s">
        <v>9036</v>
      </c>
      <c r="R2042" t="s">
        <v>9037</v>
      </c>
      <c r="S2042" t="s">
        <v>31</v>
      </c>
      <c r="T2042">
        <v>0</v>
      </c>
    </row>
    <row r="2043" spans="1:20" x14ac:dyDescent="0.25">
      <c r="A2043" t="s">
        <v>9038</v>
      </c>
      <c r="B2043" s="1">
        <v>45932</v>
      </c>
      <c r="C2043" s="5">
        <v>0.83894675925925921</v>
      </c>
      <c r="D2043">
        <v>179</v>
      </c>
      <c r="E2043" t="s">
        <v>44</v>
      </c>
      <c r="F2043" t="s">
        <v>3960</v>
      </c>
      <c r="G2043" t="s">
        <v>96</v>
      </c>
      <c r="H2043" t="s">
        <v>38</v>
      </c>
      <c r="I2043" t="s">
        <v>9039</v>
      </c>
      <c r="J2043">
        <v>59</v>
      </c>
      <c r="K2043" t="s">
        <v>49</v>
      </c>
      <c r="L2043" t="s">
        <v>50</v>
      </c>
      <c r="M2043" t="s">
        <v>112</v>
      </c>
      <c r="P2043" t="s">
        <v>28</v>
      </c>
      <c r="Q2043" t="s">
        <v>9040</v>
      </c>
      <c r="R2043" t="s">
        <v>9041</v>
      </c>
      <c r="S2043" t="s">
        <v>31</v>
      </c>
      <c r="T2043">
        <v>0</v>
      </c>
    </row>
    <row r="2044" spans="1:20" x14ac:dyDescent="0.25">
      <c r="A2044" t="s">
        <v>9042</v>
      </c>
      <c r="B2044" s="1">
        <v>45879</v>
      </c>
      <c r="C2044" s="5">
        <v>0.26803240740740741</v>
      </c>
      <c r="D2044">
        <v>68.36</v>
      </c>
      <c r="E2044" t="s">
        <v>44</v>
      </c>
      <c r="F2044" t="s">
        <v>8808</v>
      </c>
      <c r="G2044" t="s">
        <v>34</v>
      </c>
      <c r="H2044" t="s">
        <v>23</v>
      </c>
      <c r="I2044" t="s">
        <v>9043</v>
      </c>
      <c r="J2044">
        <v>35</v>
      </c>
      <c r="K2044" t="s">
        <v>25</v>
      </c>
      <c r="L2044" t="s">
        <v>248</v>
      </c>
      <c r="M2044" t="s">
        <v>84</v>
      </c>
      <c r="P2044" t="s">
        <v>28</v>
      </c>
      <c r="Q2044" t="s">
        <v>9044</v>
      </c>
      <c r="R2044" t="s">
        <v>4484</v>
      </c>
      <c r="S2044" t="s">
        <v>31</v>
      </c>
      <c r="T2044">
        <v>0</v>
      </c>
    </row>
    <row r="2045" spans="1:20" x14ac:dyDescent="0.25">
      <c r="A2045" t="s">
        <v>9045</v>
      </c>
      <c r="B2045" s="1">
        <v>45790</v>
      </c>
      <c r="C2045" s="5">
        <v>0.39353009259259258</v>
      </c>
      <c r="D2045">
        <v>85.03</v>
      </c>
      <c r="E2045" t="s">
        <v>44</v>
      </c>
      <c r="F2045" t="s">
        <v>1077</v>
      </c>
      <c r="G2045" t="s">
        <v>89</v>
      </c>
      <c r="H2045" t="s">
        <v>146</v>
      </c>
      <c r="I2045" t="s">
        <v>4733</v>
      </c>
      <c r="J2045">
        <v>69</v>
      </c>
      <c r="K2045" t="s">
        <v>49</v>
      </c>
      <c r="L2045" t="s">
        <v>50</v>
      </c>
      <c r="M2045" t="s">
        <v>84</v>
      </c>
      <c r="P2045" t="s">
        <v>28</v>
      </c>
      <c r="Q2045" t="s">
        <v>9046</v>
      </c>
      <c r="R2045" t="s">
        <v>9047</v>
      </c>
      <c r="S2045" t="s">
        <v>31</v>
      </c>
      <c r="T2045">
        <v>0</v>
      </c>
    </row>
    <row r="2046" spans="1:20" x14ac:dyDescent="0.25">
      <c r="A2046" t="s">
        <v>9048</v>
      </c>
      <c r="B2046" s="1">
        <v>45794</v>
      </c>
      <c r="C2046" s="5">
        <v>0.79983796296296295</v>
      </c>
      <c r="D2046">
        <v>116.16</v>
      </c>
      <c r="E2046" t="s">
        <v>44</v>
      </c>
      <c r="F2046" t="s">
        <v>4140</v>
      </c>
      <c r="G2046" t="s">
        <v>89</v>
      </c>
      <c r="H2046" t="s">
        <v>38</v>
      </c>
      <c r="I2046" t="s">
        <v>7183</v>
      </c>
      <c r="J2046">
        <v>54</v>
      </c>
      <c r="K2046" t="s">
        <v>25</v>
      </c>
      <c r="L2046" t="s">
        <v>91</v>
      </c>
      <c r="M2046" t="s">
        <v>112</v>
      </c>
      <c r="P2046" t="s">
        <v>28</v>
      </c>
      <c r="Q2046" t="s">
        <v>9049</v>
      </c>
      <c r="R2046" t="s">
        <v>9050</v>
      </c>
      <c r="S2046" t="s">
        <v>42</v>
      </c>
      <c r="T2046">
        <v>0</v>
      </c>
    </row>
    <row r="2047" spans="1:20" x14ac:dyDescent="0.25">
      <c r="A2047" t="s">
        <v>9051</v>
      </c>
      <c r="B2047" s="1">
        <v>45927</v>
      </c>
      <c r="C2047" s="5">
        <v>0.99056712962962967</v>
      </c>
      <c r="D2047">
        <v>75.36</v>
      </c>
      <c r="E2047" t="s">
        <v>44</v>
      </c>
      <c r="F2047" t="s">
        <v>3216</v>
      </c>
      <c r="G2047" t="s">
        <v>124</v>
      </c>
      <c r="H2047" t="s">
        <v>119</v>
      </c>
      <c r="I2047" t="s">
        <v>9052</v>
      </c>
      <c r="K2047" t="s">
        <v>37</v>
      </c>
      <c r="L2047" t="s">
        <v>47</v>
      </c>
      <c r="M2047" t="s">
        <v>84</v>
      </c>
      <c r="P2047" t="s">
        <v>28</v>
      </c>
      <c r="Q2047" t="s">
        <v>9053</v>
      </c>
      <c r="R2047" t="s">
        <v>9054</v>
      </c>
      <c r="S2047" t="s">
        <v>31</v>
      </c>
      <c r="T2047">
        <v>1</v>
      </c>
    </row>
    <row r="2048" spans="1:20" x14ac:dyDescent="0.25">
      <c r="A2048" t="s">
        <v>9055</v>
      </c>
      <c r="B2048" s="1">
        <v>45802</v>
      </c>
      <c r="C2048" s="5">
        <v>0.6828819444444445</v>
      </c>
      <c r="D2048">
        <v>139.63999999999999</v>
      </c>
      <c r="E2048" t="s">
        <v>44</v>
      </c>
      <c r="F2048" t="s">
        <v>3065</v>
      </c>
      <c r="G2048" t="s">
        <v>89</v>
      </c>
      <c r="H2048" t="s">
        <v>66</v>
      </c>
      <c r="I2048" t="s">
        <v>9056</v>
      </c>
      <c r="J2048">
        <v>52</v>
      </c>
      <c r="K2048" t="s">
        <v>37</v>
      </c>
      <c r="L2048" t="s">
        <v>130</v>
      </c>
      <c r="M2048" t="s">
        <v>84</v>
      </c>
      <c r="P2048" t="s">
        <v>28</v>
      </c>
      <c r="Q2048" t="s">
        <v>9057</v>
      </c>
      <c r="R2048" t="s">
        <v>9058</v>
      </c>
      <c r="S2048" t="s">
        <v>31</v>
      </c>
      <c r="T2048">
        <v>0</v>
      </c>
    </row>
    <row r="2049" spans="1:20" x14ac:dyDescent="0.25">
      <c r="A2049" t="s">
        <v>9059</v>
      </c>
      <c r="B2049" s="1">
        <v>45939</v>
      </c>
      <c r="C2049" s="5">
        <v>0.861724537037037</v>
      </c>
      <c r="D2049">
        <v>20.73</v>
      </c>
      <c r="E2049" t="s">
        <v>44</v>
      </c>
      <c r="F2049" t="s">
        <v>2726</v>
      </c>
      <c r="G2049" t="s">
        <v>96</v>
      </c>
      <c r="H2049" t="s">
        <v>146</v>
      </c>
      <c r="I2049" t="s">
        <v>9060</v>
      </c>
      <c r="J2049">
        <v>58</v>
      </c>
      <c r="K2049" t="s">
        <v>37</v>
      </c>
      <c r="L2049" t="s">
        <v>130</v>
      </c>
      <c r="M2049" t="s">
        <v>105</v>
      </c>
      <c r="P2049" t="s">
        <v>28</v>
      </c>
      <c r="Q2049" t="s">
        <v>9061</v>
      </c>
      <c r="R2049" t="s">
        <v>9062</v>
      </c>
      <c r="S2049" t="s">
        <v>31</v>
      </c>
      <c r="T2049">
        <v>0</v>
      </c>
    </row>
    <row r="2050" spans="1:20" x14ac:dyDescent="0.25">
      <c r="A2050" t="s">
        <v>9063</v>
      </c>
      <c r="B2050" s="1">
        <v>45801</v>
      </c>
      <c r="C2050" s="5">
        <v>0.57903935185185185</v>
      </c>
      <c r="D2050">
        <v>76.97</v>
      </c>
      <c r="E2050" t="s">
        <v>44</v>
      </c>
      <c r="F2050" t="s">
        <v>1598</v>
      </c>
      <c r="G2050" t="s">
        <v>22</v>
      </c>
      <c r="H2050" t="s">
        <v>38</v>
      </c>
      <c r="I2050" t="s">
        <v>9064</v>
      </c>
      <c r="J2050">
        <v>58</v>
      </c>
      <c r="K2050" t="s">
        <v>37</v>
      </c>
      <c r="L2050" t="s">
        <v>248</v>
      </c>
      <c r="M2050" t="s">
        <v>27</v>
      </c>
      <c r="P2050" t="s">
        <v>28</v>
      </c>
      <c r="Q2050" t="s">
        <v>9065</v>
      </c>
      <c r="R2050" t="s">
        <v>9066</v>
      </c>
      <c r="S2050" t="s">
        <v>31</v>
      </c>
      <c r="T2050">
        <v>0</v>
      </c>
    </row>
    <row r="2051" spans="1:20" x14ac:dyDescent="0.25">
      <c r="A2051" t="s">
        <v>9067</v>
      </c>
      <c r="B2051" s="1">
        <v>45912</v>
      </c>
      <c r="C2051" s="5">
        <v>0.59342592592592591</v>
      </c>
      <c r="D2051">
        <v>54.83</v>
      </c>
      <c r="E2051" t="s">
        <v>44</v>
      </c>
      <c r="F2051" t="s">
        <v>3206</v>
      </c>
      <c r="G2051" t="s">
        <v>71</v>
      </c>
      <c r="H2051" t="s">
        <v>35</v>
      </c>
      <c r="I2051" t="s">
        <v>9068</v>
      </c>
      <c r="J2051">
        <v>20</v>
      </c>
      <c r="K2051" t="s">
        <v>49</v>
      </c>
      <c r="L2051" t="s">
        <v>23</v>
      </c>
      <c r="M2051" t="s">
        <v>84</v>
      </c>
      <c r="P2051" t="s">
        <v>28</v>
      </c>
      <c r="Q2051" t="s">
        <v>9069</v>
      </c>
      <c r="R2051" t="s">
        <v>9070</v>
      </c>
      <c r="S2051" t="s">
        <v>101</v>
      </c>
      <c r="T2051">
        <v>0</v>
      </c>
    </row>
    <row r="2052" spans="1:20" x14ac:dyDescent="0.25">
      <c r="A2052" t="s">
        <v>9071</v>
      </c>
      <c r="B2052" s="1">
        <v>45825</v>
      </c>
      <c r="C2052" s="5">
        <v>0.21243055555555557</v>
      </c>
      <c r="D2052">
        <v>47.97</v>
      </c>
      <c r="E2052" t="s">
        <v>44</v>
      </c>
      <c r="F2052" t="s">
        <v>9072</v>
      </c>
      <c r="G2052" t="s">
        <v>34</v>
      </c>
      <c r="H2052" t="s">
        <v>50</v>
      </c>
      <c r="I2052" t="s">
        <v>9073</v>
      </c>
      <c r="J2052">
        <v>70</v>
      </c>
      <c r="K2052" t="s">
        <v>49</v>
      </c>
      <c r="L2052" t="s">
        <v>47</v>
      </c>
      <c r="M2052" t="s">
        <v>51</v>
      </c>
      <c r="N2052" t="s">
        <v>304</v>
      </c>
      <c r="O2052">
        <v>445484</v>
      </c>
      <c r="P2052" t="s">
        <v>28</v>
      </c>
      <c r="Q2052" t="s">
        <v>9074</v>
      </c>
      <c r="R2052" t="s">
        <v>9075</v>
      </c>
      <c r="S2052" t="s">
        <v>31</v>
      </c>
      <c r="T2052">
        <v>0</v>
      </c>
    </row>
    <row r="2053" spans="1:20" x14ac:dyDescent="0.25">
      <c r="A2053" t="s">
        <v>9076</v>
      </c>
      <c r="B2053" s="1">
        <v>45904</v>
      </c>
      <c r="C2053" s="5">
        <v>0.70197916666666671</v>
      </c>
      <c r="D2053">
        <v>119.27</v>
      </c>
      <c r="E2053" t="s">
        <v>44</v>
      </c>
      <c r="F2053" t="s">
        <v>551</v>
      </c>
      <c r="G2053" t="s">
        <v>124</v>
      </c>
      <c r="H2053" t="s">
        <v>66</v>
      </c>
      <c r="I2053" t="s">
        <v>9077</v>
      </c>
      <c r="J2053">
        <v>50</v>
      </c>
      <c r="K2053" t="s">
        <v>49</v>
      </c>
      <c r="L2053" t="s">
        <v>146</v>
      </c>
      <c r="M2053" t="s">
        <v>39</v>
      </c>
      <c r="P2053" t="s">
        <v>28</v>
      </c>
      <c r="Q2053" t="s">
        <v>9078</v>
      </c>
      <c r="R2053" t="s">
        <v>9079</v>
      </c>
      <c r="S2053" t="s">
        <v>101</v>
      </c>
      <c r="T2053">
        <v>1</v>
      </c>
    </row>
    <row r="2054" spans="1:20" x14ac:dyDescent="0.25">
      <c r="A2054" t="s">
        <v>9080</v>
      </c>
      <c r="B2054" s="1">
        <v>45781</v>
      </c>
      <c r="C2054" s="5">
        <v>0.21785879629629629</v>
      </c>
      <c r="D2054">
        <v>181.68</v>
      </c>
      <c r="E2054" t="s">
        <v>44</v>
      </c>
      <c r="F2054" t="s">
        <v>3807</v>
      </c>
      <c r="G2054" t="s">
        <v>34</v>
      </c>
      <c r="H2054" t="s">
        <v>110</v>
      </c>
      <c r="I2054" t="s">
        <v>9081</v>
      </c>
      <c r="J2054">
        <v>29</v>
      </c>
      <c r="K2054" t="s">
        <v>49</v>
      </c>
      <c r="L2054" t="s">
        <v>91</v>
      </c>
      <c r="M2054" t="s">
        <v>84</v>
      </c>
      <c r="P2054" t="s">
        <v>28</v>
      </c>
      <c r="Q2054" t="s">
        <v>9082</v>
      </c>
      <c r="R2054" t="s">
        <v>9083</v>
      </c>
      <c r="S2054" t="s">
        <v>31</v>
      </c>
      <c r="T2054">
        <v>0</v>
      </c>
    </row>
    <row r="2055" spans="1:20" x14ac:dyDescent="0.25">
      <c r="A2055" t="s">
        <v>9084</v>
      </c>
      <c r="B2055" s="1">
        <v>45925</v>
      </c>
      <c r="C2055" s="5">
        <v>0.35028935185185184</v>
      </c>
      <c r="D2055">
        <v>102.75</v>
      </c>
      <c r="E2055" t="s">
        <v>44</v>
      </c>
      <c r="F2055" t="s">
        <v>1950</v>
      </c>
      <c r="G2055" t="s">
        <v>96</v>
      </c>
      <c r="H2055" t="s">
        <v>146</v>
      </c>
      <c r="I2055" t="s">
        <v>9085</v>
      </c>
      <c r="J2055">
        <v>32</v>
      </c>
      <c r="K2055" t="s">
        <v>37</v>
      </c>
      <c r="L2055" t="s">
        <v>50</v>
      </c>
      <c r="M2055" t="s">
        <v>105</v>
      </c>
      <c r="P2055" t="s">
        <v>28</v>
      </c>
      <c r="Q2055" t="s">
        <v>9086</v>
      </c>
      <c r="R2055" t="s">
        <v>9087</v>
      </c>
      <c r="S2055" t="s">
        <v>31</v>
      </c>
      <c r="T2055">
        <v>0</v>
      </c>
    </row>
    <row r="2056" spans="1:20" x14ac:dyDescent="0.25">
      <c r="A2056" t="s">
        <v>9088</v>
      </c>
      <c r="B2056" s="1">
        <v>45891</v>
      </c>
      <c r="C2056" s="5">
        <v>0.34126157407407409</v>
      </c>
      <c r="D2056">
        <v>38.44</v>
      </c>
      <c r="E2056" t="s">
        <v>44</v>
      </c>
      <c r="F2056" t="s">
        <v>2612</v>
      </c>
      <c r="G2056" t="s">
        <v>57</v>
      </c>
      <c r="H2056" t="s">
        <v>38</v>
      </c>
      <c r="I2056" t="s">
        <v>9089</v>
      </c>
      <c r="J2056">
        <v>68</v>
      </c>
      <c r="K2056" t="s">
        <v>25</v>
      </c>
      <c r="L2056" t="s">
        <v>97</v>
      </c>
      <c r="M2056" t="s">
        <v>39</v>
      </c>
      <c r="P2056" t="s">
        <v>28</v>
      </c>
      <c r="Q2056" t="s">
        <v>9090</v>
      </c>
      <c r="R2056" t="s">
        <v>9091</v>
      </c>
      <c r="S2056" t="s">
        <v>31</v>
      </c>
      <c r="T2056">
        <v>0</v>
      </c>
    </row>
    <row r="2057" spans="1:20" x14ac:dyDescent="0.25">
      <c r="A2057" t="s">
        <v>9092</v>
      </c>
      <c r="B2057" s="1">
        <v>45829</v>
      </c>
      <c r="C2057" s="5">
        <v>0.34913194444444445</v>
      </c>
      <c r="D2057">
        <v>1.6</v>
      </c>
      <c r="E2057" t="s">
        <v>44</v>
      </c>
      <c r="F2057" t="s">
        <v>9093</v>
      </c>
      <c r="G2057" t="s">
        <v>64</v>
      </c>
      <c r="H2057" t="s">
        <v>91</v>
      </c>
      <c r="I2057" t="s">
        <v>9094</v>
      </c>
      <c r="J2057">
        <v>66</v>
      </c>
      <c r="K2057" t="s">
        <v>49</v>
      </c>
      <c r="L2057" t="s">
        <v>130</v>
      </c>
      <c r="M2057" t="s">
        <v>51</v>
      </c>
      <c r="N2057" t="s">
        <v>507</v>
      </c>
      <c r="O2057">
        <v>478614</v>
      </c>
      <c r="P2057" t="s">
        <v>28</v>
      </c>
      <c r="Q2057" t="s">
        <v>9095</v>
      </c>
      <c r="R2057" t="s">
        <v>9096</v>
      </c>
      <c r="S2057" t="s">
        <v>31</v>
      </c>
      <c r="T2057">
        <v>0</v>
      </c>
    </row>
    <row r="2058" spans="1:20" x14ac:dyDescent="0.25">
      <c r="A2058" t="s">
        <v>9097</v>
      </c>
      <c r="B2058" s="1">
        <v>45955</v>
      </c>
      <c r="C2058" s="5">
        <v>0.39513888888888887</v>
      </c>
      <c r="D2058">
        <v>100.62</v>
      </c>
      <c r="E2058" t="s">
        <v>44</v>
      </c>
      <c r="F2058" t="s">
        <v>3074</v>
      </c>
      <c r="G2058" t="s">
        <v>46</v>
      </c>
      <c r="H2058" t="s">
        <v>91</v>
      </c>
      <c r="I2058" t="s">
        <v>9098</v>
      </c>
      <c r="J2058">
        <v>72</v>
      </c>
      <c r="K2058" t="s">
        <v>49</v>
      </c>
      <c r="L2058" t="s">
        <v>23</v>
      </c>
      <c r="M2058" t="s">
        <v>51</v>
      </c>
      <c r="N2058" t="s">
        <v>507</v>
      </c>
      <c r="O2058">
        <v>456419</v>
      </c>
      <c r="P2058" t="s">
        <v>28</v>
      </c>
      <c r="Q2058" t="s">
        <v>9099</v>
      </c>
      <c r="R2058" t="s">
        <v>9100</v>
      </c>
      <c r="S2058" t="s">
        <v>31</v>
      </c>
      <c r="T2058">
        <v>0</v>
      </c>
    </row>
    <row r="2059" spans="1:20" x14ac:dyDescent="0.25">
      <c r="A2059" t="s">
        <v>9101</v>
      </c>
      <c r="B2059" s="1">
        <v>45787</v>
      </c>
      <c r="C2059" s="5">
        <v>0.75523148148148145</v>
      </c>
      <c r="D2059">
        <v>747.57</v>
      </c>
      <c r="E2059" t="s">
        <v>44</v>
      </c>
      <c r="F2059" t="s">
        <v>6677</v>
      </c>
      <c r="G2059" t="s">
        <v>71</v>
      </c>
      <c r="H2059" t="s">
        <v>91</v>
      </c>
      <c r="I2059" t="s">
        <v>9102</v>
      </c>
      <c r="J2059">
        <v>34</v>
      </c>
      <c r="K2059" t="s">
        <v>37</v>
      </c>
      <c r="L2059" t="s">
        <v>26</v>
      </c>
      <c r="M2059" t="s">
        <v>51</v>
      </c>
      <c r="N2059" t="s">
        <v>173</v>
      </c>
      <c r="O2059">
        <v>537577</v>
      </c>
      <c r="P2059" t="s">
        <v>28</v>
      </c>
      <c r="Q2059" t="s">
        <v>9103</v>
      </c>
      <c r="R2059" t="s">
        <v>9104</v>
      </c>
      <c r="S2059" t="s">
        <v>31</v>
      </c>
      <c r="T2059">
        <v>0</v>
      </c>
    </row>
    <row r="2060" spans="1:20" x14ac:dyDescent="0.25">
      <c r="A2060" t="s">
        <v>9105</v>
      </c>
      <c r="B2060" s="1">
        <v>45789</v>
      </c>
      <c r="C2060" s="5">
        <v>0.50317129629629631</v>
      </c>
      <c r="D2060">
        <v>115.17</v>
      </c>
      <c r="E2060" t="s">
        <v>44</v>
      </c>
      <c r="F2060" t="s">
        <v>6076</v>
      </c>
      <c r="G2060" t="s">
        <v>34</v>
      </c>
      <c r="H2060" t="s">
        <v>23</v>
      </c>
      <c r="I2060" t="s">
        <v>9106</v>
      </c>
      <c r="J2060">
        <v>31</v>
      </c>
      <c r="K2060" t="s">
        <v>25</v>
      </c>
      <c r="L2060" t="s">
        <v>47</v>
      </c>
      <c r="M2060" t="s">
        <v>84</v>
      </c>
      <c r="P2060" t="s">
        <v>28</v>
      </c>
      <c r="Q2060" t="s">
        <v>9107</v>
      </c>
      <c r="R2060" t="s">
        <v>9108</v>
      </c>
      <c r="S2060" t="s">
        <v>31</v>
      </c>
      <c r="T2060">
        <v>0</v>
      </c>
    </row>
    <row r="2061" spans="1:20" x14ac:dyDescent="0.25">
      <c r="A2061" t="s">
        <v>9109</v>
      </c>
      <c r="B2061" s="1">
        <v>45895</v>
      </c>
      <c r="C2061" s="5">
        <v>0.37168981481481483</v>
      </c>
      <c r="D2061">
        <v>198.19</v>
      </c>
      <c r="E2061" t="s">
        <v>44</v>
      </c>
      <c r="F2061" t="s">
        <v>849</v>
      </c>
      <c r="G2061" t="s">
        <v>124</v>
      </c>
      <c r="H2061" t="s">
        <v>248</v>
      </c>
      <c r="I2061" t="s">
        <v>9110</v>
      </c>
      <c r="J2061">
        <v>23</v>
      </c>
      <c r="K2061" t="s">
        <v>37</v>
      </c>
      <c r="L2061" t="s">
        <v>97</v>
      </c>
      <c r="M2061" t="s">
        <v>51</v>
      </c>
      <c r="N2061" t="s">
        <v>304</v>
      </c>
      <c r="O2061">
        <v>460421</v>
      </c>
      <c r="P2061" t="s">
        <v>28</v>
      </c>
      <c r="Q2061" t="s">
        <v>9111</v>
      </c>
      <c r="R2061" t="s">
        <v>9112</v>
      </c>
      <c r="S2061" t="s">
        <v>42</v>
      </c>
      <c r="T2061">
        <v>0</v>
      </c>
    </row>
    <row r="2062" spans="1:20" x14ac:dyDescent="0.25">
      <c r="A2062" t="s">
        <v>9113</v>
      </c>
      <c r="B2062" s="1">
        <v>45924</v>
      </c>
      <c r="C2062" s="5">
        <v>1.3587962962962963E-2</v>
      </c>
      <c r="D2062">
        <v>195.67</v>
      </c>
      <c r="E2062" t="s">
        <v>44</v>
      </c>
      <c r="F2062" t="s">
        <v>1262</v>
      </c>
      <c r="G2062" t="s">
        <v>64</v>
      </c>
      <c r="H2062" t="s">
        <v>47</v>
      </c>
      <c r="I2062" t="s">
        <v>9114</v>
      </c>
      <c r="J2062">
        <v>29</v>
      </c>
      <c r="K2062" t="s">
        <v>37</v>
      </c>
      <c r="L2062" t="s">
        <v>23</v>
      </c>
      <c r="M2062" t="s">
        <v>112</v>
      </c>
      <c r="P2062" t="s">
        <v>28</v>
      </c>
      <c r="Q2062" t="s">
        <v>9115</v>
      </c>
      <c r="R2062" t="s">
        <v>9116</v>
      </c>
      <c r="S2062" t="s">
        <v>31</v>
      </c>
      <c r="T2062">
        <v>0</v>
      </c>
    </row>
    <row r="2063" spans="1:20" x14ac:dyDescent="0.25">
      <c r="A2063" t="s">
        <v>9117</v>
      </c>
      <c r="B2063" s="1">
        <v>45897</v>
      </c>
      <c r="C2063" s="5">
        <v>0.11773148148148148</v>
      </c>
      <c r="D2063">
        <v>175.6</v>
      </c>
      <c r="E2063" t="s">
        <v>44</v>
      </c>
      <c r="F2063" t="s">
        <v>9118</v>
      </c>
      <c r="G2063" t="s">
        <v>64</v>
      </c>
      <c r="H2063" t="s">
        <v>97</v>
      </c>
      <c r="I2063" t="s">
        <v>9119</v>
      </c>
      <c r="K2063" t="s">
        <v>25</v>
      </c>
      <c r="L2063" t="s">
        <v>146</v>
      </c>
      <c r="M2063" t="s">
        <v>84</v>
      </c>
      <c r="P2063" t="s">
        <v>28</v>
      </c>
      <c r="Q2063" t="s">
        <v>9120</v>
      </c>
      <c r="R2063" t="s">
        <v>9121</v>
      </c>
      <c r="S2063" t="s">
        <v>31</v>
      </c>
      <c r="T2063">
        <v>1</v>
      </c>
    </row>
    <row r="2064" spans="1:20" x14ac:dyDescent="0.25">
      <c r="A2064" t="s">
        <v>9122</v>
      </c>
      <c r="B2064" s="1">
        <v>45909</v>
      </c>
      <c r="C2064" s="5">
        <v>5.2013888888888887E-2</v>
      </c>
      <c r="D2064">
        <v>11.71</v>
      </c>
      <c r="E2064" t="s">
        <v>44</v>
      </c>
      <c r="F2064" t="s">
        <v>1012</v>
      </c>
      <c r="G2064" t="s">
        <v>124</v>
      </c>
      <c r="H2064" t="s">
        <v>119</v>
      </c>
      <c r="I2064" t="s">
        <v>9123</v>
      </c>
      <c r="J2064">
        <v>24</v>
      </c>
      <c r="K2064" t="s">
        <v>49</v>
      </c>
      <c r="L2064" t="s">
        <v>23</v>
      </c>
      <c r="M2064" t="s">
        <v>105</v>
      </c>
      <c r="P2064" t="s">
        <v>28</v>
      </c>
      <c r="Q2064" t="s">
        <v>9124</v>
      </c>
      <c r="R2064" t="s">
        <v>9125</v>
      </c>
      <c r="S2064" t="s">
        <v>31</v>
      </c>
      <c r="T2064">
        <v>0</v>
      </c>
    </row>
    <row r="2065" spans="1:20" x14ac:dyDescent="0.25">
      <c r="A2065" t="s">
        <v>9126</v>
      </c>
      <c r="B2065" s="1">
        <v>45893</v>
      </c>
      <c r="C2065" s="5">
        <v>0.13930555555555554</v>
      </c>
      <c r="D2065">
        <v>103.05</v>
      </c>
      <c r="E2065" t="s">
        <v>44</v>
      </c>
      <c r="F2065" t="s">
        <v>3630</v>
      </c>
      <c r="G2065" t="s">
        <v>77</v>
      </c>
      <c r="H2065" t="s">
        <v>119</v>
      </c>
      <c r="I2065" t="s">
        <v>9127</v>
      </c>
      <c r="J2065">
        <v>23</v>
      </c>
      <c r="K2065" t="s">
        <v>25</v>
      </c>
      <c r="L2065" t="s">
        <v>97</v>
      </c>
      <c r="M2065" t="s">
        <v>27</v>
      </c>
      <c r="P2065" t="s">
        <v>28</v>
      </c>
      <c r="Q2065" t="s">
        <v>9128</v>
      </c>
      <c r="R2065" t="s">
        <v>9129</v>
      </c>
      <c r="S2065" t="s">
        <v>31</v>
      </c>
      <c r="T2065">
        <v>0</v>
      </c>
    </row>
    <row r="2066" spans="1:20" x14ac:dyDescent="0.25">
      <c r="A2066" t="s">
        <v>9130</v>
      </c>
      <c r="B2066" s="1">
        <v>45880</v>
      </c>
      <c r="C2066" s="5">
        <v>0.84841435185185188</v>
      </c>
      <c r="D2066">
        <v>48.02</v>
      </c>
      <c r="E2066" t="s">
        <v>44</v>
      </c>
      <c r="F2066" t="s">
        <v>9131</v>
      </c>
      <c r="G2066" t="s">
        <v>124</v>
      </c>
      <c r="H2066" t="s">
        <v>146</v>
      </c>
      <c r="I2066" t="s">
        <v>9132</v>
      </c>
      <c r="J2066">
        <v>75</v>
      </c>
      <c r="K2066" t="s">
        <v>25</v>
      </c>
      <c r="L2066" t="s">
        <v>35</v>
      </c>
      <c r="M2066" t="s">
        <v>39</v>
      </c>
      <c r="P2066" t="s">
        <v>28</v>
      </c>
      <c r="Q2066" t="s">
        <v>9133</v>
      </c>
      <c r="R2066" t="s">
        <v>9134</v>
      </c>
      <c r="S2066" t="s">
        <v>31</v>
      </c>
      <c r="T2066">
        <v>0</v>
      </c>
    </row>
    <row r="2067" spans="1:20" x14ac:dyDescent="0.25">
      <c r="A2067" t="s">
        <v>9135</v>
      </c>
      <c r="B2067" s="1">
        <v>45811</v>
      </c>
      <c r="C2067" s="5">
        <v>0.24054398148148148</v>
      </c>
      <c r="D2067">
        <v>164.22</v>
      </c>
      <c r="E2067" t="s">
        <v>44</v>
      </c>
      <c r="F2067" t="s">
        <v>5443</v>
      </c>
      <c r="G2067" t="s">
        <v>22</v>
      </c>
      <c r="H2067" t="s">
        <v>66</v>
      </c>
      <c r="I2067" t="s">
        <v>9136</v>
      </c>
      <c r="J2067">
        <v>45</v>
      </c>
      <c r="K2067" t="s">
        <v>25</v>
      </c>
      <c r="L2067" t="s">
        <v>248</v>
      </c>
      <c r="M2067" t="s">
        <v>84</v>
      </c>
      <c r="P2067" t="s">
        <v>28</v>
      </c>
      <c r="Q2067" t="s">
        <v>9137</v>
      </c>
      <c r="R2067" t="s">
        <v>9138</v>
      </c>
      <c r="S2067" t="s">
        <v>31</v>
      </c>
      <c r="T2067">
        <v>0</v>
      </c>
    </row>
    <row r="2068" spans="1:20" x14ac:dyDescent="0.25">
      <c r="A2068" t="s">
        <v>9139</v>
      </c>
      <c r="B2068" s="1">
        <v>45892</v>
      </c>
      <c r="C2068" s="5">
        <v>0.57575231481481481</v>
      </c>
      <c r="D2068">
        <v>191.89</v>
      </c>
      <c r="E2068" t="s">
        <v>44</v>
      </c>
      <c r="F2068" t="s">
        <v>6579</v>
      </c>
      <c r="G2068" t="s">
        <v>22</v>
      </c>
      <c r="H2068" t="s">
        <v>47</v>
      </c>
      <c r="I2068" t="s">
        <v>9140</v>
      </c>
      <c r="J2068">
        <v>63</v>
      </c>
      <c r="K2068" t="s">
        <v>25</v>
      </c>
      <c r="L2068" t="s">
        <v>35</v>
      </c>
      <c r="M2068" t="s">
        <v>51</v>
      </c>
      <c r="N2068" t="s">
        <v>345</v>
      </c>
      <c r="O2068">
        <v>524001</v>
      </c>
      <c r="P2068" t="s">
        <v>28</v>
      </c>
      <c r="Q2068" t="s">
        <v>9141</v>
      </c>
      <c r="R2068" t="s">
        <v>9142</v>
      </c>
      <c r="S2068" t="s">
        <v>31</v>
      </c>
      <c r="T2068">
        <v>0</v>
      </c>
    </row>
    <row r="2069" spans="1:20" x14ac:dyDescent="0.25">
      <c r="A2069" t="s">
        <v>9143</v>
      </c>
      <c r="B2069" s="1">
        <v>45858</v>
      </c>
      <c r="C2069" s="5">
        <v>0.51569444444444446</v>
      </c>
      <c r="D2069">
        <v>20.84</v>
      </c>
      <c r="E2069" t="s">
        <v>44</v>
      </c>
      <c r="F2069" t="s">
        <v>7816</v>
      </c>
      <c r="G2069" t="s">
        <v>64</v>
      </c>
      <c r="H2069" t="s">
        <v>119</v>
      </c>
      <c r="I2069" t="s">
        <v>9144</v>
      </c>
      <c r="J2069">
        <v>48</v>
      </c>
      <c r="K2069" t="s">
        <v>37</v>
      </c>
      <c r="L2069" t="s">
        <v>97</v>
      </c>
      <c r="M2069" t="s">
        <v>51</v>
      </c>
      <c r="N2069" t="s">
        <v>507</v>
      </c>
      <c r="O2069">
        <v>433849</v>
      </c>
      <c r="P2069" t="s">
        <v>28</v>
      </c>
      <c r="Q2069" t="s">
        <v>9145</v>
      </c>
      <c r="R2069" t="s">
        <v>9146</v>
      </c>
      <c r="S2069" t="s">
        <v>31</v>
      </c>
      <c r="T2069">
        <v>0</v>
      </c>
    </row>
    <row r="2070" spans="1:20" x14ac:dyDescent="0.25">
      <c r="A2070" t="s">
        <v>9147</v>
      </c>
      <c r="B2070" s="1">
        <v>45838</v>
      </c>
      <c r="C2070" s="5">
        <v>0.6799074074074074</v>
      </c>
      <c r="D2070">
        <v>4987.54</v>
      </c>
      <c r="E2070" t="s">
        <v>44</v>
      </c>
      <c r="F2070" t="s">
        <v>76</v>
      </c>
      <c r="G2070" t="s">
        <v>22</v>
      </c>
      <c r="H2070" t="s">
        <v>23</v>
      </c>
      <c r="I2070" t="s">
        <v>9148</v>
      </c>
      <c r="J2070">
        <v>46</v>
      </c>
      <c r="K2070" t="s">
        <v>49</v>
      </c>
      <c r="L2070" t="s">
        <v>91</v>
      </c>
      <c r="M2070" t="s">
        <v>51</v>
      </c>
      <c r="N2070" t="s">
        <v>304</v>
      </c>
      <c r="O2070">
        <v>421072</v>
      </c>
      <c r="P2070" t="s">
        <v>28</v>
      </c>
      <c r="Q2070" t="s">
        <v>9149</v>
      </c>
      <c r="R2070" t="s">
        <v>9150</v>
      </c>
      <c r="S2070" t="s">
        <v>101</v>
      </c>
      <c r="T2070">
        <v>0</v>
      </c>
    </row>
    <row r="2071" spans="1:20" x14ac:dyDescent="0.25">
      <c r="A2071" t="s">
        <v>9151</v>
      </c>
      <c r="B2071" s="1">
        <v>45848</v>
      </c>
      <c r="C2071" s="5">
        <v>0.79300925925925925</v>
      </c>
      <c r="D2071">
        <v>178.83</v>
      </c>
      <c r="E2071" t="s">
        <v>44</v>
      </c>
      <c r="F2071" t="s">
        <v>2712</v>
      </c>
      <c r="G2071" t="s">
        <v>34</v>
      </c>
      <c r="H2071" t="s">
        <v>35</v>
      </c>
      <c r="I2071" t="s">
        <v>9152</v>
      </c>
      <c r="J2071">
        <v>50</v>
      </c>
      <c r="K2071" t="s">
        <v>37</v>
      </c>
      <c r="L2071" t="s">
        <v>47</v>
      </c>
      <c r="M2071" t="s">
        <v>39</v>
      </c>
      <c r="P2071" t="s">
        <v>28</v>
      </c>
      <c r="Q2071" t="s">
        <v>9153</v>
      </c>
      <c r="R2071" t="s">
        <v>9154</v>
      </c>
      <c r="S2071" t="s">
        <v>31</v>
      </c>
      <c r="T2071">
        <v>1</v>
      </c>
    </row>
    <row r="2072" spans="1:20" x14ac:dyDescent="0.25">
      <c r="A2072" t="s">
        <v>9155</v>
      </c>
      <c r="B2072" s="1">
        <v>45805</v>
      </c>
      <c r="C2072" s="5">
        <v>0.61473379629629632</v>
      </c>
      <c r="D2072">
        <v>92.77</v>
      </c>
      <c r="E2072" t="s">
        <v>44</v>
      </c>
      <c r="F2072" t="s">
        <v>1341</v>
      </c>
      <c r="G2072" t="s">
        <v>46</v>
      </c>
      <c r="H2072" t="s">
        <v>130</v>
      </c>
      <c r="I2072" t="s">
        <v>9156</v>
      </c>
      <c r="J2072">
        <v>61</v>
      </c>
      <c r="K2072" t="s">
        <v>37</v>
      </c>
      <c r="L2072" t="s">
        <v>26</v>
      </c>
      <c r="M2072" t="s">
        <v>39</v>
      </c>
      <c r="P2072" t="s">
        <v>28</v>
      </c>
      <c r="Q2072" t="s">
        <v>9157</v>
      </c>
      <c r="R2072" t="s">
        <v>9158</v>
      </c>
      <c r="S2072" t="s">
        <v>31</v>
      </c>
      <c r="T2072">
        <v>0</v>
      </c>
    </row>
    <row r="2073" spans="1:20" x14ac:dyDescent="0.25">
      <c r="A2073" t="s">
        <v>9159</v>
      </c>
      <c r="B2073" s="1">
        <v>45836</v>
      </c>
      <c r="C2073" s="5">
        <v>0.77800925925925923</v>
      </c>
      <c r="D2073">
        <v>113.99</v>
      </c>
      <c r="E2073" t="s">
        <v>44</v>
      </c>
      <c r="F2073" t="s">
        <v>1371</v>
      </c>
      <c r="G2073" t="s">
        <v>96</v>
      </c>
      <c r="H2073" t="s">
        <v>130</v>
      </c>
      <c r="I2073" t="s">
        <v>9160</v>
      </c>
      <c r="K2073" t="s">
        <v>49</v>
      </c>
      <c r="L2073" t="s">
        <v>110</v>
      </c>
      <c r="M2073" t="s">
        <v>27</v>
      </c>
      <c r="P2073" t="s">
        <v>28</v>
      </c>
      <c r="Q2073" t="s">
        <v>9161</v>
      </c>
      <c r="R2073" t="s">
        <v>9162</v>
      </c>
      <c r="S2073" t="s">
        <v>31</v>
      </c>
      <c r="T2073">
        <v>0</v>
      </c>
    </row>
    <row r="2074" spans="1:20" x14ac:dyDescent="0.25">
      <c r="A2074" t="s">
        <v>9163</v>
      </c>
      <c r="B2074" s="1">
        <v>45918</v>
      </c>
      <c r="C2074" s="5">
        <v>0.26799768518518519</v>
      </c>
      <c r="D2074">
        <v>96.76</v>
      </c>
      <c r="E2074" t="s">
        <v>44</v>
      </c>
      <c r="F2074" t="s">
        <v>8430</v>
      </c>
      <c r="G2074" t="s">
        <v>34</v>
      </c>
      <c r="H2074" t="s">
        <v>66</v>
      </c>
      <c r="I2074" t="s">
        <v>9164</v>
      </c>
      <c r="J2074">
        <v>117</v>
      </c>
      <c r="K2074" t="s">
        <v>49</v>
      </c>
      <c r="L2074" t="s">
        <v>23</v>
      </c>
      <c r="M2074" t="s">
        <v>105</v>
      </c>
      <c r="P2074" t="s">
        <v>28</v>
      </c>
      <c r="Q2074" t="s">
        <v>9165</v>
      </c>
      <c r="R2074" t="s">
        <v>9166</v>
      </c>
      <c r="S2074" t="s">
        <v>31</v>
      </c>
      <c r="T2074">
        <v>0</v>
      </c>
    </row>
    <row r="2075" spans="1:20" x14ac:dyDescent="0.25">
      <c r="A2075" t="s">
        <v>9167</v>
      </c>
      <c r="B2075" s="1">
        <v>45809</v>
      </c>
      <c r="C2075" s="5">
        <v>0.46023148148148146</v>
      </c>
      <c r="D2075">
        <v>162.37</v>
      </c>
      <c r="E2075" t="s">
        <v>44</v>
      </c>
      <c r="F2075" t="s">
        <v>9168</v>
      </c>
      <c r="G2075" t="s">
        <v>77</v>
      </c>
      <c r="H2075" t="s">
        <v>110</v>
      </c>
      <c r="I2075" t="s">
        <v>9169</v>
      </c>
      <c r="J2075">
        <v>34</v>
      </c>
      <c r="K2075" t="s">
        <v>25</v>
      </c>
      <c r="L2075" t="s">
        <v>23</v>
      </c>
      <c r="M2075" t="s">
        <v>112</v>
      </c>
      <c r="P2075" t="s">
        <v>28</v>
      </c>
      <c r="Q2075" t="s">
        <v>9170</v>
      </c>
      <c r="R2075" t="s">
        <v>9171</v>
      </c>
      <c r="S2075" t="s">
        <v>31</v>
      </c>
      <c r="T2075">
        <v>0</v>
      </c>
    </row>
    <row r="2076" spans="1:20" x14ac:dyDescent="0.25">
      <c r="A2076" t="s">
        <v>9172</v>
      </c>
      <c r="B2076" s="1">
        <v>45903</v>
      </c>
      <c r="C2076" s="5">
        <v>0.43428240740740742</v>
      </c>
      <c r="D2076">
        <v>145.52000000000001</v>
      </c>
      <c r="E2076" t="s">
        <v>44</v>
      </c>
      <c r="F2076" t="s">
        <v>5566</v>
      </c>
      <c r="G2076" t="s">
        <v>71</v>
      </c>
      <c r="H2076" t="s">
        <v>248</v>
      </c>
      <c r="I2076" t="s">
        <v>7478</v>
      </c>
      <c r="J2076">
        <v>53</v>
      </c>
      <c r="K2076" t="s">
        <v>25</v>
      </c>
      <c r="L2076" t="s">
        <v>110</v>
      </c>
      <c r="M2076" t="s">
        <v>27</v>
      </c>
      <c r="P2076" t="s">
        <v>28</v>
      </c>
      <c r="Q2076" t="s">
        <v>9173</v>
      </c>
      <c r="R2076" t="s">
        <v>9174</v>
      </c>
      <c r="S2076" t="s">
        <v>31</v>
      </c>
      <c r="T2076">
        <v>0</v>
      </c>
    </row>
    <row r="2077" spans="1:20" x14ac:dyDescent="0.25">
      <c r="A2077" t="s">
        <v>9175</v>
      </c>
      <c r="B2077" s="1">
        <v>45910</v>
      </c>
      <c r="C2077" s="5">
        <v>0.57724537037037038</v>
      </c>
      <c r="D2077">
        <v>199.32</v>
      </c>
      <c r="E2077" t="s">
        <v>44</v>
      </c>
      <c r="F2077" t="s">
        <v>500</v>
      </c>
      <c r="G2077" t="s">
        <v>89</v>
      </c>
      <c r="H2077" t="s">
        <v>47</v>
      </c>
      <c r="I2077" t="s">
        <v>9176</v>
      </c>
      <c r="J2077">
        <v>34</v>
      </c>
      <c r="K2077" t="s">
        <v>49</v>
      </c>
      <c r="L2077" t="s">
        <v>248</v>
      </c>
      <c r="M2077" t="s">
        <v>84</v>
      </c>
      <c r="P2077" t="s">
        <v>28</v>
      </c>
      <c r="Q2077" t="s">
        <v>9177</v>
      </c>
      <c r="R2077" t="s">
        <v>9178</v>
      </c>
      <c r="S2077" t="s">
        <v>31</v>
      </c>
      <c r="T2077">
        <v>0</v>
      </c>
    </row>
    <row r="2078" spans="1:20" x14ac:dyDescent="0.25">
      <c r="A2078" t="s">
        <v>9179</v>
      </c>
      <c r="B2078" s="1">
        <v>45883</v>
      </c>
      <c r="C2078" s="5">
        <v>0.51383101851851853</v>
      </c>
      <c r="D2078">
        <v>148.84</v>
      </c>
      <c r="E2078" t="s">
        <v>44</v>
      </c>
      <c r="F2078" t="s">
        <v>1632</v>
      </c>
      <c r="G2078" t="s">
        <v>22</v>
      </c>
      <c r="H2078" t="s">
        <v>38</v>
      </c>
      <c r="I2078" t="s">
        <v>9180</v>
      </c>
      <c r="J2078">
        <v>58</v>
      </c>
      <c r="K2078" t="s">
        <v>49</v>
      </c>
      <c r="L2078" t="s">
        <v>47</v>
      </c>
      <c r="M2078" t="s">
        <v>112</v>
      </c>
      <c r="P2078" t="s">
        <v>28</v>
      </c>
      <c r="Q2078" t="s">
        <v>9181</v>
      </c>
      <c r="R2078" t="s">
        <v>9182</v>
      </c>
      <c r="S2078" t="s">
        <v>31</v>
      </c>
      <c r="T2078">
        <v>0</v>
      </c>
    </row>
    <row r="2079" spans="1:20" x14ac:dyDescent="0.25">
      <c r="A2079" t="s">
        <v>9183</v>
      </c>
      <c r="B2079" s="1">
        <v>45925</v>
      </c>
      <c r="C2079" s="5">
        <v>0.6825</v>
      </c>
      <c r="D2079">
        <v>4.62</v>
      </c>
      <c r="E2079" t="s">
        <v>44</v>
      </c>
      <c r="F2079" t="s">
        <v>1247</v>
      </c>
      <c r="G2079" t="s">
        <v>64</v>
      </c>
      <c r="H2079" t="s">
        <v>91</v>
      </c>
      <c r="I2079" t="s">
        <v>6077</v>
      </c>
      <c r="J2079">
        <v>47</v>
      </c>
      <c r="K2079" t="s">
        <v>49</v>
      </c>
      <c r="L2079" t="s">
        <v>58</v>
      </c>
      <c r="M2079" t="s">
        <v>39</v>
      </c>
      <c r="P2079" t="s">
        <v>28</v>
      </c>
      <c r="Q2079" t="s">
        <v>9184</v>
      </c>
      <c r="R2079" t="s">
        <v>9185</v>
      </c>
      <c r="S2079" t="s">
        <v>31</v>
      </c>
      <c r="T2079">
        <v>0</v>
      </c>
    </row>
    <row r="2080" spans="1:20" x14ac:dyDescent="0.25">
      <c r="A2080" t="s">
        <v>9186</v>
      </c>
      <c r="B2080" s="1">
        <v>45868</v>
      </c>
      <c r="C2080" s="5">
        <v>0.84004629629629635</v>
      </c>
      <c r="D2080">
        <v>127.48</v>
      </c>
      <c r="E2080" t="s">
        <v>44</v>
      </c>
      <c r="F2080" t="s">
        <v>3008</v>
      </c>
      <c r="G2080" t="s">
        <v>46</v>
      </c>
      <c r="H2080" t="s">
        <v>130</v>
      </c>
      <c r="I2080" t="s">
        <v>9187</v>
      </c>
      <c r="J2080">
        <v>73</v>
      </c>
      <c r="K2080" t="s">
        <v>37</v>
      </c>
      <c r="L2080" t="s">
        <v>50</v>
      </c>
      <c r="M2080" t="s">
        <v>112</v>
      </c>
      <c r="P2080" t="s">
        <v>28</v>
      </c>
      <c r="Q2080" t="s">
        <v>9188</v>
      </c>
      <c r="R2080" t="s">
        <v>9189</v>
      </c>
      <c r="S2080" t="s">
        <v>31</v>
      </c>
      <c r="T2080">
        <v>0</v>
      </c>
    </row>
    <row r="2081" spans="1:20" x14ac:dyDescent="0.25">
      <c r="A2081" t="s">
        <v>9190</v>
      </c>
      <c r="B2081" s="1">
        <v>45853</v>
      </c>
      <c r="C2081" s="5">
        <v>0.68109953703703707</v>
      </c>
      <c r="D2081">
        <v>188.25</v>
      </c>
      <c r="E2081" t="s">
        <v>44</v>
      </c>
      <c r="F2081" t="s">
        <v>2603</v>
      </c>
      <c r="G2081" t="s">
        <v>89</v>
      </c>
      <c r="H2081" t="s">
        <v>26</v>
      </c>
      <c r="I2081" t="s">
        <v>9191</v>
      </c>
      <c r="J2081">
        <v>70</v>
      </c>
      <c r="K2081" t="s">
        <v>25</v>
      </c>
      <c r="L2081" t="s">
        <v>146</v>
      </c>
      <c r="M2081" t="s">
        <v>84</v>
      </c>
      <c r="P2081" t="s">
        <v>28</v>
      </c>
      <c r="Q2081" t="s">
        <v>9192</v>
      </c>
      <c r="R2081" t="s">
        <v>9193</v>
      </c>
      <c r="S2081" t="s">
        <v>31</v>
      </c>
      <c r="T2081">
        <v>1</v>
      </c>
    </row>
    <row r="2082" spans="1:20" x14ac:dyDescent="0.25">
      <c r="A2082" t="s">
        <v>9194</v>
      </c>
      <c r="B2082" s="1">
        <v>45881</v>
      </c>
      <c r="C2082" s="5">
        <v>0.75574074074074071</v>
      </c>
      <c r="D2082">
        <v>72.67</v>
      </c>
      <c r="E2082" t="s">
        <v>44</v>
      </c>
      <c r="F2082" t="s">
        <v>3427</v>
      </c>
      <c r="G2082" t="s">
        <v>124</v>
      </c>
      <c r="H2082" t="s">
        <v>248</v>
      </c>
      <c r="I2082" t="s">
        <v>9195</v>
      </c>
      <c r="J2082">
        <v>32</v>
      </c>
      <c r="K2082" t="s">
        <v>49</v>
      </c>
      <c r="L2082" t="s">
        <v>23</v>
      </c>
      <c r="M2082" t="s">
        <v>105</v>
      </c>
      <c r="P2082" t="s">
        <v>28</v>
      </c>
      <c r="Q2082" t="s">
        <v>9196</v>
      </c>
      <c r="R2082" t="s">
        <v>9197</v>
      </c>
      <c r="S2082" t="s">
        <v>31</v>
      </c>
      <c r="T2082">
        <v>0</v>
      </c>
    </row>
    <row r="2083" spans="1:20" x14ac:dyDescent="0.25">
      <c r="A2083" t="s">
        <v>9198</v>
      </c>
      <c r="B2083" s="1">
        <v>45946</v>
      </c>
      <c r="C2083" s="5">
        <v>0.61085648148148153</v>
      </c>
      <c r="D2083">
        <v>138.21</v>
      </c>
      <c r="E2083" t="s">
        <v>44</v>
      </c>
      <c r="F2083" t="s">
        <v>768</v>
      </c>
      <c r="G2083" t="s">
        <v>34</v>
      </c>
      <c r="H2083" t="s">
        <v>130</v>
      </c>
      <c r="I2083" t="s">
        <v>9199</v>
      </c>
      <c r="J2083">
        <v>47</v>
      </c>
      <c r="K2083" t="s">
        <v>49</v>
      </c>
      <c r="L2083" t="s">
        <v>23</v>
      </c>
      <c r="M2083" t="s">
        <v>39</v>
      </c>
      <c r="P2083" t="s">
        <v>28</v>
      </c>
      <c r="Q2083" t="s">
        <v>9200</v>
      </c>
      <c r="R2083" t="s">
        <v>9201</v>
      </c>
      <c r="S2083" t="s">
        <v>31</v>
      </c>
      <c r="T2083">
        <v>0</v>
      </c>
    </row>
    <row r="2084" spans="1:20" x14ac:dyDescent="0.25">
      <c r="A2084" t="s">
        <v>9202</v>
      </c>
      <c r="B2084" s="1">
        <v>45899</v>
      </c>
      <c r="C2084" s="5">
        <v>0.30539351851851854</v>
      </c>
      <c r="D2084">
        <v>142.16</v>
      </c>
      <c r="E2084" t="s">
        <v>44</v>
      </c>
      <c r="F2084" t="s">
        <v>2805</v>
      </c>
      <c r="G2084" t="s">
        <v>46</v>
      </c>
      <c r="H2084" t="s">
        <v>97</v>
      </c>
      <c r="I2084" t="s">
        <v>9203</v>
      </c>
      <c r="J2084">
        <v>42</v>
      </c>
      <c r="K2084" t="s">
        <v>25</v>
      </c>
      <c r="L2084" t="s">
        <v>26</v>
      </c>
      <c r="M2084" t="s">
        <v>51</v>
      </c>
      <c r="N2084" t="s">
        <v>870</v>
      </c>
      <c r="O2084">
        <v>429242</v>
      </c>
      <c r="P2084" t="s">
        <v>28</v>
      </c>
      <c r="Q2084" t="s">
        <v>9204</v>
      </c>
      <c r="R2084" t="s">
        <v>9205</v>
      </c>
      <c r="S2084" t="s">
        <v>31</v>
      </c>
      <c r="T2084">
        <v>0</v>
      </c>
    </row>
    <row r="2085" spans="1:20" x14ac:dyDescent="0.25">
      <c r="A2085" t="s">
        <v>9206</v>
      </c>
      <c r="B2085" s="1">
        <v>45831</v>
      </c>
      <c r="C2085" s="5">
        <v>0.78994212962962962</v>
      </c>
      <c r="D2085">
        <v>93.16</v>
      </c>
      <c r="E2085" t="s">
        <v>44</v>
      </c>
      <c r="F2085" t="s">
        <v>7069</v>
      </c>
      <c r="G2085" t="s">
        <v>64</v>
      </c>
      <c r="H2085" t="s">
        <v>58</v>
      </c>
      <c r="I2085" t="s">
        <v>9207</v>
      </c>
      <c r="J2085">
        <v>67</v>
      </c>
      <c r="K2085" t="s">
        <v>25</v>
      </c>
      <c r="L2085" t="s">
        <v>146</v>
      </c>
      <c r="M2085" t="s">
        <v>39</v>
      </c>
      <c r="P2085" t="s">
        <v>28</v>
      </c>
      <c r="Q2085" t="s">
        <v>9208</v>
      </c>
      <c r="R2085" t="s">
        <v>9209</v>
      </c>
      <c r="S2085" t="s">
        <v>31</v>
      </c>
      <c r="T2085">
        <v>0</v>
      </c>
    </row>
    <row r="2086" spans="1:20" x14ac:dyDescent="0.25">
      <c r="A2086" t="s">
        <v>9210</v>
      </c>
      <c r="B2086" s="1">
        <v>45901</v>
      </c>
      <c r="C2086" s="5">
        <v>0.12090277777777778</v>
      </c>
      <c r="D2086">
        <v>175.49</v>
      </c>
      <c r="E2086" t="s">
        <v>44</v>
      </c>
      <c r="F2086" t="s">
        <v>7312</v>
      </c>
      <c r="G2086" t="s">
        <v>89</v>
      </c>
      <c r="H2086" t="s">
        <v>130</v>
      </c>
      <c r="I2086" t="s">
        <v>9211</v>
      </c>
      <c r="J2086">
        <v>19</v>
      </c>
      <c r="K2086" t="s">
        <v>25</v>
      </c>
      <c r="L2086" t="s">
        <v>23</v>
      </c>
      <c r="M2086" t="s">
        <v>105</v>
      </c>
      <c r="P2086" t="s">
        <v>28</v>
      </c>
      <c r="Q2086" t="s">
        <v>9212</v>
      </c>
      <c r="R2086" t="s">
        <v>9213</v>
      </c>
      <c r="S2086" t="s">
        <v>31</v>
      </c>
      <c r="T2086">
        <v>0</v>
      </c>
    </row>
    <row r="2087" spans="1:20" x14ac:dyDescent="0.25">
      <c r="A2087" t="s">
        <v>9214</v>
      </c>
      <c r="B2087" s="1">
        <v>45951</v>
      </c>
      <c r="C2087" s="5">
        <v>0.72515046296296293</v>
      </c>
      <c r="D2087">
        <v>155.28</v>
      </c>
      <c r="E2087" t="s">
        <v>44</v>
      </c>
      <c r="F2087" t="s">
        <v>797</v>
      </c>
      <c r="G2087" t="s">
        <v>64</v>
      </c>
      <c r="H2087" t="s">
        <v>110</v>
      </c>
      <c r="I2087" t="s">
        <v>9215</v>
      </c>
      <c r="J2087">
        <v>16</v>
      </c>
      <c r="K2087" t="s">
        <v>37</v>
      </c>
      <c r="L2087" t="s">
        <v>35</v>
      </c>
      <c r="M2087" t="s">
        <v>84</v>
      </c>
      <c r="P2087" t="s">
        <v>28</v>
      </c>
      <c r="Q2087" t="s">
        <v>9216</v>
      </c>
      <c r="R2087" t="s">
        <v>9217</v>
      </c>
      <c r="S2087" t="s">
        <v>101</v>
      </c>
      <c r="T2087">
        <v>0</v>
      </c>
    </row>
    <row r="2088" spans="1:20" x14ac:dyDescent="0.25">
      <c r="A2088" t="s">
        <v>9218</v>
      </c>
      <c r="B2088" s="1">
        <v>45857</v>
      </c>
      <c r="C2088" s="5">
        <v>4.0497685185185185E-2</v>
      </c>
      <c r="D2088">
        <v>182.92</v>
      </c>
      <c r="E2088" t="s">
        <v>44</v>
      </c>
      <c r="F2088" t="s">
        <v>9072</v>
      </c>
      <c r="G2088" t="s">
        <v>46</v>
      </c>
      <c r="H2088" t="s">
        <v>35</v>
      </c>
      <c r="I2088" t="s">
        <v>9219</v>
      </c>
      <c r="J2088">
        <v>50</v>
      </c>
      <c r="K2088" t="s">
        <v>25</v>
      </c>
      <c r="L2088" t="s">
        <v>35</v>
      </c>
      <c r="M2088" t="s">
        <v>112</v>
      </c>
      <c r="P2088" t="s">
        <v>113</v>
      </c>
      <c r="Q2088" t="s">
        <v>9220</v>
      </c>
      <c r="R2088" t="s">
        <v>9221</v>
      </c>
      <c r="S2088" t="s">
        <v>31</v>
      </c>
      <c r="T2088">
        <v>0</v>
      </c>
    </row>
    <row r="2089" spans="1:20" x14ac:dyDescent="0.25">
      <c r="A2089" t="s">
        <v>9222</v>
      </c>
      <c r="B2089" s="1">
        <v>45939</v>
      </c>
      <c r="C2089" s="5">
        <v>0.45143518518518516</v>
      </c>
      <c r="D2089">
        <v>35.44</v>
      </c>
      <c r="E2089" t="s">
        <v>44</v>
      </c>
      <c r="F2089" t="s">
        <v>9223</v>
      </c>
      <c r="G2089" t="s">
        <v>96</v>
      </c>
      <c r="H2089" t="s">
        <v>97</v>
      </c>
      <c r="I2089" t="s">
        <v>9224</v>
      </c>
      <c r="J2089">
        <v>53</v>
      </c>
      <c r="K2089" t="s">
        <v>49</v>
      </c>
      <c r="L2089" t="s">
        <v>130</v>
      </c>
      <c r="M2089" t="s">
        <v>27</v>
      </c>
      <c r="P2089" t="s">
        <v>28</v>
      </c>
      <c r="Q2089" t="s">
        <v>9225</v>
      </c>
      <c r="R2089" t="s">
        <v>9226</v>
      </c>
      <c r="S2089" t="s">
        <v>31</v>
      </c>
      <c r="T2089">
        <v>0</v>
      </c>
    </row>
    <row r="2090" spans="1:20" x14ac:dyDescent="0.25">
      <c r="A2090" t="s">
        <v>9227</v>
      </c>
      <c r="B2090" s="1">
        <v>45936</v>
      </c>
      <c r="C2090" s="5">
        <v>0.24909722222222222</v>
      </c>
      <c r="D2090">
        <v>103.53</v>
      </c>
      <c r="E2090" t="s">
        <v>44</v>
      </c>
      <c r="F2090" t="s">
        <v>9228</v>
      </c>
      <c r="G2090" t="s">
        <v>57</v>
      </c>
      <c r="H2090" t="s">
        <v>248</v>
      </c>
      <c r="I2090" t="s">
        <v>9229</v>
      </c>
      <c r="J2090">
        <v>64</v>
      </c>
      <c r="K2090" t="s">
        <v>25</v>
      </c>
      <c r="L2090" t="s">
        <v>91</v>
      </c>
      <c r="M2090" t="s">
        <v>51</v>
      </c>
      <c r="N2090" t="s">
        <v>507</v>
      </c>
      <c r="O2090">
        <v>456204</v>
      </c>
      <c r="P2090" t="s">
        <v>28</v>
      </c>
      <c r="Q2090" t="s">
        <v>9230</v>
      </c>
      <c r="R2090" t="s">
        <v>9231</v>
      </c>
      <c r="S2090" t="s">
        <v>31</v>
      </c>
      <c r="T2090">
        <v>0</v>
      </c>
    </row>
    <row r="2091" spans="1:20" x14ac:dyDescent="0.25">
      <c r="A2091" t="s">
        <v>9232</v>
      </c>
      <c r="B2091" s="1">
        <v>45844</v>
      </c>
      <c r="C2091" s="5">
        <v>0.27150462962962962</v>
      </c>
      <c r="D2091">
        <v>172.39</v>
      </c>
      <c r="E2091" t="s">
        <v>44</v>
      </c>
      <c r="F2091" t="s">
        <v>888</v>
      </c>
      <c r="G2091" t="s">
        <v>124</v>
      </c>
      <c r="H2091" t="s">
        <v>97</v>
      </c>
      <c r="I2091" t="s">
        <v>9233</v>
      </c>
      <c r="J2091">
        <v>58</v>
      </c>
      <c r="K2091" t="s">
        <v>37</v>
      </c>
      <c r="L2091" t="s">
        <v>58</v>
      </c>
      <c r="M2091" t="s">
        <v>51</v>
      </c>
      <c r="N2091" t="s">
        <v>173</v>
      </c>
      <c r="O2091">
        <v>487487</v>
      </c>
      <c r="P2091" t="s">
        <v>28</v>
      </c>
      <c r="Q2091" t="s">
        <v>9234</v>
      </c>
      <c r="R2091" t="s">
        <v>9235</v>
      </c>
      <c r="S2091" t="s">
        <v>31</v>
      </c>
      <c r="T2091">
        <v>0</v>
      </c>
    </row>
    <row r="2092" spans="1:20" x14ac:dyDescent="0.25">
      <c r="A2092" t="s">
        <v>9236</v>
      </c>
      <c r="B2092" s="1">
        <v>45894</v>
      </c>
      <c r="C2092" s="5">
        <v>0.62446759259259255</v>
      </c>
      <c r="D2092">
        <v>116.08</v>
      </c>
      <c r="E2092" t="s">
        <v>44</v>
      </c>
      <c r="F2092" t="s">
        <v>5443</v>
      </c>
      <c r="G2092" t="s">
        <v>124</v>
      </c>
      <c r="H2092" t="s">
        <v>119</v>
      </c>
      <c r="I2092" t="s">
        <v>9237</v>
      </c>
      <c r="J2092">
        <v>54</v>
      </c>
      <c r="K2092" t="s">
        <v>49</v>
      </c>
      <c r="L2092" t="s">
        <v>66</v>
      </c>
      <c r="M2092" t="s">
        <v>51</v>
      </c>
      <c r="N2092" t="s">
        <v>507</v>
      </c>
      <c r="O2092">
        <v>481143</v>
      </c>
      <c r="P2092" t="s">
        <v>28</v>
      </c>
      <c r="Q2092" t="s">
        <v>9238</v>
      </c>
      <c r="R2092" t="s">
        <v>9239</v>
      </c>
      <c r="S2092" t="s">
        <v>31</v>
      </c>
      <c r="T2092">
        <v>0</v>
      </c>
    </row>
    <row r="2093" spans="1:20" x14ac:dyDescent="0.25">
      <c r="A2093" t="s">
        <v>9240</v>
      </c>
      <c r="B2093" s="1">
        <v>45818</v>
      </c>
      <c r="C2093" s="5">
        <v>0.64740740740740743</v>
      </c>
      <c r="D2093">
        <v>195.76</v>
      </c>
      <c r="E2093" t="s">
        <v>44</v>
      </c>
      <c r="F2093" t="s">
        <v>4140</v>
      </c>
      <c r="G2093" t="s">
        <v>124</v>
      </c>
      <c r="H2093" t="s">
        <v>130</v>
      </c>
      <c r="I2093" t="s">
        <v>9241</v>
      </c>
      <c r="J2093">
        <v>28</v>
      </c>
      <c r="K2093" t="s">
        <v>25</v>
      </c>
      <c r="L2093" t="s">
        <v>91</v>
      </c>
      <c r="M2093" t="s">
        <v>84</v>
      </c>
      <c r="P2093" t="s">
        <v>28</v>
      </c>
      <c r="Q2093" t="s">
        <v>9242</v>
      </c>
      <c r="R2093" t="s">
        <v>9243</v>
      </c>
      <c r="S2093" t="s">
        <v>31</v>
      </c>
      <c r="T2093">
        <v>0</v>
      </c>
    </row>
    <row r="2094" spans="1:20" x14ac:dyDescent="0.25">
      <c r="A2094" t="s">
        <v>9244</v>
      </c>
      <c r="B2094" s="1">
        <v>45861</v>
      </c>
      <c r="C2094" s="5">
        <v>9.4351851851851853E-2</v>
      </c>
      <c r="D2094">
        <v>145.65</v>
      </c>
      <c r="E2094" t="s">
        <v>44</v>
      </c>
      <c r="F2094" t="s">
        <v>3643</v>
      </c>
      <c r="G2094" t="s">
        <v>64</v>
      </c>
      <c r="H2094" t="s">
        <v>248</v>
      </c>
      <c r="I2094" t="s">
        <v>9245</v>
      </c>
      <c r="J2094">
        <v>58</v>
      </c>
      <c r="K2094" t="s">
        <v>49</v>
      </c>
      <c r="L2094" t="s">
        <v>26</v>
      </c>
      <c r="M2094" t="s">
        <v>84</v>
      </c>
      <c r="P2094" t="s">
        <v>28</v>
      </c>
      <c r="Q2094" t="s">
        <v>9246</v>
      </c>
      <c r="R2094" t="s">
        <v>9247</v>
      </c>
      <c r="S2094" t="s">
        <v>31</v>
      </c>
      <c r="T2094">
        <v>0</v>
      </c>
    </row>
    <row r="2095" spans="1:20" x14ac:dyDescent="0.25">
      <c r="A2095" t="s">
        <v>9248</v>
      </c>
      <c r="B2095" s="1">
        <v>45952</v>
      </c>
      <c r="C2095" s="5">
        <v>0.60008101851851847</v>
      </c>
      <c r="D2095">
        <v>9.5399999999999991</v>
      </c>
      <c r="E2095" t="s">
        <v>44</v>
      </c>
      <c r="F2095" t="s">
        <v>5718</v>
      </c>
      <c r="G2095" t="s">
        <v>77</v>
      </c>
      <c r="H2095" t="s">
        <v>130</v>
      </c>
      <c r="I2095" t="s">
        <v>9249</v>
      </c>
      <c r="J2095">
        <v>66</v>
      </c>
      <c r="K2095" t="s">
        <v>49</v>
      </c>
      <c r="L2095" t="s">
        <v>50</v>
      </c>
      <c r="M2095" t="s">
        <v>105</v>
      </c>
      <c r="P2095" t="s">
        <v>28</v>
      </c>
      <c r="Q2095" t="s">
        <v>9250</v>
      </c>
      <c r="R2095" t="s">
        <v>9251</v>
      </c>
      <c r="S2095" t="s">
        <v>31</v>
      </c>
      <c r="T2095">
        <v>0</v>
      </c>
    </row>
    <row r="2096" spans="1:20" x14ac:dyDescent="0.25">
      <c r="A2096" t="s">
        <v>9252</v>
      </c>
      <c r="B2096" s="1">
        <v>45927</v>
      </c>
      <c r="C2096" s="5">
        <v>0.46182870370370371</v>
      </c>
      <c r="D2096">
        <v>158.38999999999999</v>
      </c>
      <c r="E2096" t="s">
        <v>44</v>
      </c>
      <c r="F2096" t="s">
        <v>399</v>
      </c>
      <c r="G2096" t="s">
        <v>46</v>
      </c>
      <c r="H2096" t="s">
        <v>97</v>
      </c>
      <c r="I2096" t="s">
        <v>9253</v>
      </c>
      <c r="J2096">
        <v>60</v>
      </c>
      <c r="K2096" t="s">
        <v>49</v>
      </c>
      <c r="L2096" t="s">
        <v>58</v>
      </c>
      <c r="M2096" t="s">
        <v>27</v>
      </c>
      <c r="P2096" t="s">
        <v>28</v>
      </c>
      <c r="Q2096" t="s">
        <v>9254</v>
      </c>
      <c r="R2096" t="s">
        <v>9255</v>
      </c>
      <c r="S2096" t="s">
        <v>31</v>
      </c>
      <c r="T2096">
        <v>0</v>
      </c>
    </row>
    <row r="2097" spans="1:20" x14ac:dyDescent="0.25">
      <c r="A2097" t="s">
        <v>9256</v>
      </c>
      <c r="B2097" s="1">
        <v>45887</v>
      </c>
      <c r="C2097" s="5">
        <v>0.71562499999999996</v>
      </c>
      <c r="D2097">
        <v>930.07</v>
      </c>
      <c r="E2097" t="s">
        <v>44</v>
      </c>
      <c r="F2097" t="s">
        <v>3413</v>
      </c>
      <c r="G2097" t="s">
        <v>71</v>
      </c>
      <c r="H2097" t="s">
        <v>35</v>
      </c>
      <c r="I2097" t="s">
        <v>9257</v>
      </c>
      <c r="J2097">
        <v>63</v>
      </c>
      <c r="K2097" t="s">
        <v>37</v>
      </c>
      <c r="L2097" t="s">
        <v>119</v>
      </c>
      <c r="M2097" t="s">
        <v>27</v>
      </c>
      <c r="P2097" t="s">
        <v>28</v>
      </c>
      <c r="Q2097" t="s">
        <v>9258</v>
      </c>
      <c r="R2097" t="s">
        <v>9259</v>
      </c>
      <c r="S2097" t="s">
        <v>31</v>
      </c>
      <c r="T2097">
        <v>0</v>
      </c>
    </row>
    <row r="2098" spans="1:20" x14ac:dyDescent="0.25">
      <c r="A2098" t="s">
        <v>9260</v>
      </c>
      <c r="B2098" s="1">
        <v>45957</v>
      </c>
      <c r="C2098" s="5">
        <v>0.37214120370370368</v>
      </c>
      <c r="D2098">
        <v>160.72999999999999</v>
      </c>
      <c r="E2098" t="s">
        <v>44</v>
      </c>
      <c r="F2098" t="s">
        <v>1153</v>
      </c>
      <c r="G2098" t="s">
        <v>22</v>
      </c>
      <c r="H2098" t="s">
        <v>47</v>
      </c>
      <c r="I2098" t="s">
        <v>9261</v>
      </c>
      <c r="K2098" t="s">
        <v>37</v>
      </c>
      <c r="L2098" t="s">
        <v>248</v>
      </c>
      <c r="M2098" t="s">
        <v>105</v>
      </c>
      <c r="P2098" t="s">
        <v>28</v>
      </c>
      <c r="Q2098" t="s">
        <v>9262</v>
      </c>
      <c r="R2098" t="s">
        <v>9263</v>
      </c>
      <c r="S2098" t="s">
        <v>31</v>
      </c>
      <c r="T2098">
        <v>0</v>
      </c>
    </row>
    <row r="2099" spans="1:20" x14ac:dyDescent="0.25">
      <c r="A2099" t="s">
        <v>9264</v>
      </c>
      <c r="B2099" s="1">
        <v>45789</v>
      </c>
      <c r="C2099" s="5">
        <v>0.80137731481481478</v>
      </c>
      <c r="D2099">
        <v>477.83</v>
      </c>
      <c r="E2099" t="s">
        <v>44</v>
      </c>
      <c r="F2099" t="s">
        <v>8210</v>
      </c>
      <c r="G2099" t="s">
        <v>124</v>
      </c>
      <c r="H2099" t="s">
        <v>119</v>
      </c>
      <c r="I2099" t="s">
        <v>9265</v>
      </c>
      <c r="J2099">
        <v>31</v>
      </c>
      <c r="K2099" t="s">
        <v>49</v>
      </c>
      <c r="L2099" t="s">
        <v>58</v>
      </c>
      <c r="M2099" t="s">
        <v>51</v>
      </c>
      <c r="N2099" t="s">
        <v>345</v>
      </c>
      <c r="O2099">
        <v>494791</v>
      </c>
      <c r="P2099" t="s">
        <v>28</v>
      </c>
      <c r="Q2099" t="s">
        <v>9266</v>
      </c>
      <c r="R2099" t="s">
        <v>9267</v>
      </c>
      <c r="S2099" t="s">
        <v>31</v>
      </c>
      <c r="T2099">
        <v>0</v>
      </c>
    </row>
    <row r="2100" spans="1:20" x14ac:dyDescent="0.25">
      <c r="A2100" t="s">
        <v>9268</v>
      </c>
      <c r="B2100" s="1">
        <v>45786</v>
      </c>
      <c r="C2100" s="5">
        <v>0.55478009259259264</v>
      </c>
      <c r="D2100">
        <v>179.51</v>
      </c>
      <c r="E2100" t="s">
        <v>44</v>
      </c>
      <c r="F2100" t="s">
        <v>6148</v>
      </c>
      <c r="G2100" t="s">
        <v>22</v>
      </c>
      <c r="H2100" t="s">
        <v>248</v>
      </c>
      <c r="I2100" t="s">
        <v>9269</v>
      </c>
      <c r="J2100">
        <v>73</v>
      </c>
      <c r="K2100" t="s">
        <v>25</v>
      </c>
      <c r="L2100" t="s">
        <v>97</v>
      </c>
      <c r="M2100" t="s">
        <v>112</v>
      </c>
      <c r="P2100" t="s">
        <v>28</v>
      </c>
      <c r="Q2100" t="s">
        <v>9270</v>
      </c>
      <c r="R2100" t="s">
        <v>9271</v>
      </c>
      <c r="S2100" t="s">
        <v>31</v>
      </c>
      <c r="T2100">
        <v>0</v>
      </c>
    </row>
    <row r="2101" spans="1:20" x14ac:dyDescent="0.25">
      <c r="A2101" t="s">
        <v>9272</v>
      </c>
      <c r="B2101" s="1">
        <v>45904</v>
      </c>
      <c r="C2101" s="5">
        <v>0.32201388888888888</v>
      </c>
      <c r="D2101">
        <v>76.680000000000007</v>
      </c>
      <c r="E2101" t="s">
        <v>44</v>
      </c>
      <c r="F2101" t="s">
        <v>2630</v>
      </c>
      <c r="G2101" t="s">
        <v>64</v>
      </c>
      <c r="H2101" t="s">
        <v>35</v>
      </c>
      <c r="I2101" t="s">
        <v>9273</v>
      </c>
      <c r="J2101">
        <v>75</v>
      </c>
      <c r="K2101" t="s">
        <v>49</v>
      </c>
      <c r="L2101" t="s">
        <v>91</v>
      </c>
      <c r="M2101" t="s">
        <v>105</v>
      </c>
      <c r="P2101" t="s">
        <v>28</v>
      </c>
      <c r="Q2101" t="s">
        <v>9274</v>
      </c>
      <c r="R2101" t="s">
        <v>9275</v>
      </c>
      <c r="S2101" t="s">
        <v>31</v>
      </c>
      <c r="T2101">
        <v>0</v>
      </c>
    </row>
    <row r="2102" spans="1:20" x14ac:dyDescent="0.25">
      <c r="A2102" t="s">
        <v>9276</v>
      </c>
      <c r="B2102" s="1">
        <v>45825</v>
      </c>
      <c r="C2102" s="5">
        <v>0.96821759259259255</v>
      </c>
      <c r="D2102">
        <v>397.19</v>
      </c>
      <c r="E2102" t="s">
        <v>44</v>
      </c>
      <c r="F2102" t="s">
        <v>212</v>
      </c>
      <c r="G2102" t="s">
        <v>71</v>
      </c>
      <c r="H2102" t="s">
        <v>119</v>
      </c>
      <c r="I2102" t="s">
        <v>2383</v>
      </c>
      <c r="J2102">
        <v>26</v>
      </c>
      <c r="K2102" t="s">
        <v>37</v>
      </c>
      <c r="L2102" t="s">
        <v>110</v>
      </c>
      <c r="M2102" t="s">
        <v>105</v>
      </c>
      <c r="P2102" t="s">
        <v>28</v>
      </c>
      <c r="Q2102" t="s">
        <v>9277</v>
      </c>
      <c r="R2102" t="s">
        <v>9278</v>
      </c>
      <c r="S2102" t="s">
        <v>31</v>
      </c>
      <c r="T2102">
        <v>0</v>
      </c>
    </row>
    <row r="2103" spans="1:20" x14ac:dyDescent="0.25">
      <c r="A2103" t="s">
        <v>9279</v>
      </c>
      <c r="B2103" s="1">
        <v>45860</v>
      </c>
      <c r="C2103" s="5">
        <v>0.95586805555555554</v>
      </c>
      <c r="D2103">
        <v>79.92</v>
      </c>
      <c r="E2103" t="s">
        <v>44</v>
      </c>
      <c r="F2103" t="s">
        <v>6048</v>
      </c>
      <c r="G2103" t="s">
        <v>64</v>
      </c>
      <c r="H2103" t="s">
        <v>130</v>
      </c>
      <c r="I2103" t="s">
        <v>9280</v>
      </c>
      <c r="J2103">
        <v>36</v>
      </c>
      <c r="K2103" t="s">
        <v>49</v>
      </c>
      <c r="L2103" t="s">
        <v>146</v>
      </c>
      <c r="M2103" t="s">
        <v>51</v>
      </c>
      <c r="N2103" t="s">
        <v>304</v>
      </c>
      <c r="O2103">
        <v>484441</v>
      </c>
      <c r="P2103" t="s">
        <v>28</v>
      </c>
      <c r="Q2103" t="s">
        <v>9281</v>
      </c>
      <c r="R2103" t="s">
        <v>9282</v>
      </c>
      <c r="S2103" t="s">
        <v>31</v>
      </c>
      <c r="T2103">
        <v>0</v>
      </c>
    </row>
    <row r="2104" spans="1:20" x14ac:dyDescent="0.25">
      <c r="A2104" t="s">
        <v>9283</v>
      </c>
      <c r="B2104" s="1">
        <v>45892</v>
      </c>
      <c r="C2104" s="5">
        <v>0.33069444444444446</v>
      </c>
      <c r="D2104">
        <v>763.62</v>
      </c>
      <c r="E2104" t="s">
        <v>44</v>
      </c>
      <c r="F2104" t="s">
        <v>4448</v>
      </c>
      <c r="G2104" t="s">
        <v>46</v>
      </c>
      <c r="H2104" t="s">
        <v>23</v>
      </c>
      <c r="I2104" t="s">
        <v>9284</v>
      </c>
      <c r="J2104">
        <v>19</v>
      </c>
      <c r="K2104" t="s">
        <v>25</v>
      </c>
      <c r="L2104" t="s">
        <v>248</v>
      </c>
      <c r="M2104" t="s">
        <v>105</v>
      </c>
      <c r="P2104" t="s">
        <v>28</v>
      </c>
      <c r="Q2104" t="s">
        <v>9285</v>
      </c>
      <c r="R2104" t="s">
        <v>9286</v>
      </c>
      <c r="S2104" t="s">
        <v>31</v>
      </c>
      <c r="T2104">
        <v>0</v>
      </c>
    </row>
    <row r="2105" spans="1:20" x14ac:dyDescent="0.25">
      <c r="A2105" t="s">
        <v>9287</v>
      </c>
      <c r="B2105" s="1">
        <v>45917</v>
      </c>
      <c r="C2105" s="5">
        <v>0.23994212962962963</v>
      </c>
      <c r="D2105">
        <v>183.73</v>
      </c>
      <c r="E2105" t="s">
        <v>44</v>
      </c>
      <c r="F2105" t="s">
        <v>9288</v>
      </c>
      <c r="G2105" t="s">
        <v>96</v>
      </c>
      <c r="H2105" t="s">
        <v>47</v>
      </c>
      <c r="I2105" t="s">
        <v>9114</v>
      </c>
      <c r="J2105">
        <v>63</v>
      </c>
      <c r="K2105" t="s">
        <v>25</v>
      </c>
      <c r="L2105" t="s">
        <v>146</v>
      </c>
      <c r="M2105" t="s">
        <v>105</v>
      </c>
      <c r="P2105" t="s">
        <v>28</v>
      </c>
      <c r="Q2105" t="s">
        <v>9289</v>
      </c>
      <c r="R2105" t="s">
        <v>9290</v>
      </c>
      <c r="S2105" t="s">
        <v>31</v>
      </c>
      <c r="T2105">
        <v>0</v>
      </c>
    </row>
    <row r="2106" spans="1:20" x14ac:dyDescent="0.25">
      <c r="A2106" t="s">
        <v>9291</v>
      </c>
      <c r="B2106" s="1">
        <v>45928</v>
      </c>
      <c r="C2106" s="5">
        <v>0.96954861111111112</v>
      </c>
      <c r="D2106">
        <v>100.6</v>
      </c>
      <c r="E2106" t="s">
        <v>44</v>
      </c>
      <c r="F2106" t="s">
        <v>2418</v>
      </c>
      <c r="G2106" t="s">
        <v>22</v>
      </c>
      <c r="H2106" t="s">
        <v>58</v>
      </c>
      <c r="I2106" t="s">
        <v>9292</v>
      </c>
      <c r="J2106">
        <v>34</v>
      </c>
      <c r="K2106" t="s">
        <v>49</v>
      </c>
      <c r="L2106" t="s">
        <v>38</v>
      </c>
      <c r="M2106" t="s">
        <v>112</v>
      </c>
      <c r="P2106" t="s">
        <v>28</v>
      </c>
      <c r="Q2106" t="s">
        <v>9293</v>
      </c>
      <c r="R2106" t="s">
        <v>1971</v>
      </c>
      <c r="S2106" t="s">
        <v>31</v>
      </c>
      <c r="T2106">
        <v>0</v>
      </c>
    </row>
    <row r="2107" spans="1:20" x14ac:dyDescent="0.25">
      <c r="A2107" t="s">
        <v>9294</v>
      </c>
      <c r="B2107" s="1">
        <v>45864</v>
      </c>
      <c r="C2107" s="5">
        <v>4.0659722222222222E-2</v>
      </c>
      <c r="D2107">
        <v>170.31</v>
      </c>
      <c r="E2107" t="s">
        <v>44</v>
      </c>
      <c r="F2107" t="s">
        <v>8714</v>
      </c>
      <c r="G2107" t="s">
        <v>34</v>
      </c>
      <c r="H2107" t="s">
        <v>47</v>
      </c>
      <c r="I2107" t="s">
        <v>9295</v>
      </c>
      <c r="J2107">
        <v>73</v>
      </c>
      <c r="K2107" t="s">
        <v>49</v>
      </c>
      <c r="L2107" t="s">
        <v>146</v>
      </c>
      <c r="M2107" t="s">
        <v>39</v>
      </c>
      <c r="P2107" t="s">
        <v>28</v>
      </c>
      <c r="Q2107" t="s">
        <v>9296</v>
      </c>
      <c r="R2107" t="s">
        <v>9297</v>
      </c>
      <c r="S2107" t="s">
        <v>31</v>
      </c>
      <c r="T2107">
        <v>0</v>
      </c>
    </row>
    <row r="2108" spans="1:20" x14ac:dyDescent="0.25">
      <c r="A2108" t="s">
        <v>9298</v>
      </c>
      <c r="B2108" s="1">
        <v>45892</v>
      </c>
      <c r="C2108" s="5">
        <v>0.4916550925925926</v>
      </c>
      <c r="D2108">
        <v>148.32</v>
      </c>
      <c r="E2108" t="s">
        <v>44</v>
      </c>
      <c r="F2108" t="s">
        <v>9299</v>
      </c>
      <c r="G2108" t="s">
        <v>64</v>
      </c>
      <c r="H2108" t="s">
        <v>91</v>
      </c>
      <c r="I2108" t="s">
        <v>9300</v>
      </c>
      <c r="J2108">
        <v>43</v>
      </c>
      <c r="K2108" t="s">
        <v>25</v>
      </c>
      <c r="L2108" t="s">
        <v>23</v>
      </c>
      <c r="M2108" t="s">
        <v>51</v>
      </c>
      <c r="N2108" t="s">
        <v>870</v>
      </c>
      <c r="O2108">
        <v>427332</v>
      </c>
      <c r="P2108" t="s">
        <v>28</v>
      </c>
      <c r="Q2108" t="s">
        <v>9301</v>
      </c>
      <c r="R2108" t="s">
        <v>9302</v>
      </c>
      <c r="S2108" t="s">
        <v>31</v>
      </c>
      <c r="T2108">
        <v>0</v>
      </c>
    </row>
    <row r="2109" spans="1:20" x14ac:dyDescent="0.25">
      <c r="A2109" t="s">
        <v>9303</v>
      </c>
      <c r="B2109" s="1">
        <v>45861</v>
      </c>
      <c r="C2109" s="5">
        <v>0.10318287037037037</v>
      </c>
      <c r="D2109">
        <v>192.34</v>
      </c>
      <c r="E2109" t="s">
        <v>44</v>
      </c>
      <c r="F2109" t="s">
        <v>3035</v>
      </c>
      <c r="G2109" t="s">
        <v>57</v>
      </c>
      <c r="H2109" t="s">
        <v>248</v>
      </c>
      <c r="I2109" t="s">
        <v>9304</v>
      </c>
      <c r="J2109">
        <v>30</v>
      </c>
      <c r="K2109" t="s">
        <v>37</v>
      </c>
      <c r="L2109" t="s">
        <v>146</v>
      </c>
      <c r="M2109" t="s">
        <v>105</v>
      </c>
      <c r="P2109" t="s">
        <v>28</v>
      </c>
      <c r="Q2109" t="s">
        <v>9305</v>
      </c>
      <c r="R2109" t="s">
        <v>9306</v>
      </c>
      <c r="S2109" t="s">
        <v>42</v>
      </c>
      <c r="T2109">
        <v>0</v>
      </c>
    </row>
    <row r="2110" spans="1:20" x14ac:dyDescent="0.25">
      <c r="A2110" t="s">
        <v>9307</v>
      </c>
      <c r="B2110" s="1">
        <v>45952</v>
      </c>
      <c r="C2110" s="5">
        <v>0.21128472222222222</v>
      </c>
      <c r="D2110">
        <v>194.13</v>
      </c>
      <c r="E2110" t="s">
        <v>44</v>
      </c>
      <c r="F2110" t="s">
        <v>292</v>
      </c>
      <c r="G2110" t="s">
        <v>96</v>
      </c>
      <c r="H2110" t="s">
        <v>66</v>
      </c>
      <c r="I2110" t="s">
        <v>9308</v>
      </c>
      <c r="J2110">
        <v>62</v>
      </c>
      <c r="K2110" t="s">
        <v>37</v>
      </c>
      <c r="L2110" t="s">
        <v>119</v>
      </c>
      <c r="M2110" t="s">
        <v>39</v>
      </c>
      <c r="P2110" t="s">
        <v>28</v>
      </c>
      <c r="Q2110" t="s">
        <v>9309</v>
      </c>
      <c r="R2110" t="s">
        <v>9310</v>
      </c>
      <c r="S2110" t="s">
        <v>31</v>
      </c>
      <c r="T2110">
        <v>0</v>
      </c>
    </row>
    <row r="2111" spans="1:20" x14ac:dyDescent="0.25">
      <c r="A2111" t="s">
        <v>9311</v>
      </c>
      <c r="B2111" s="1">
        <v>45915</v>
      </c>
      <c r="C2111" s="5">
        <v>0.66202546296296294</v>
      </c>
      <c r="D2111">
        <v>122.62</v>
      </c>
      <c r="E2111" t="s">
        <v>44</v>
      </c>
      <c r="F2111" t="s">
        <v>9312</v>
      </c>
      <c r="G2111" t="s">
        <v>71</v>
      </c>
      <c r="H2111" t="s">
        <v>248</v>
      </c>
      <c r="I2111" t="s">
        <v>9313</v>
      </c>
      <c r="J2111">
        <v>41</v>
      </c>
      <c r="K2111" t="s">
        <v>37</v>
      </c>
      <c r="L2111" t="s">
        <v>91</v>
      </c>
      <c r="M2111" t="s">
        <v>27</v>
      </c>
      <c r="P2111" t="s">
        <v>28</v>
      </c>
      <c r="Q2111" t="s">
        <v>9314</v>
      </c>
      <c r="R2111" t="s">
        <v>9315</v>
      </c>
      <c r="S2111" t="s">
        <v>101</v>
      </c>
      <c r="T2111">
        <v>0</v>
      </c>
    </row>
    <row r="2112" spans="1:20" x14ac:dyDescent="0.25">
      <c r="A2112" t="s">
        <v>9316</v>
      </c>
      <c r="B2112" s="1">
        <v>45803</v>
      </c>
      <c r="C2112" s="5">
        <v>7.7719907407407404E-2</v>
      </c>
      <c r="D2112">
        <v>153.32</v>
      </c>
      <c r="E2112" t="s">
        <v>44</v>
      </c>
      <c r="F2112" t="s">
        <v>418</v>
      </c>
      <c r="G2112" t="s">
        <v>22</v>
      </c>
      <c r="H2112" t="s">
        <v>23</v>
      </c>
      <c r="I2112" t="s">
        <v>9317</v>
      </c>
      <c r="J2112">
        <v>18</v>
      </c>
      <c r="K2112" t="s">
        <v>49</v>
      </c>
      <c r="L2112" t="s">
        <v>130</v>
      </c>
      <c r="M2112" t="s">
        <v>84</v>
      </c>
      <c r="P2112" t="s">
        <v>28</v>
      </c>
      <c r="Q2112" t="s">
        <v>9318</v>
      </c>
      <c r="R2112" t="s">
        <v>9319</v>
      </c>
      <c r="S2112" t="s">
        <v>31</v>
      </c>
      <c r="T2112">
        <v>0</v>
      </c>
    </row>
    <row r="2113" spans="1:20" x14ac:dyDescent="0.25">
      <c r="A2113" t="s">
        <v>9320</v>
      </c>
      <c r="B2113" s="1">
        <v>45895</v>
      </c>
      <c r="C2113" s="5">
        <v>0.88821759259259259</v>
      </c>
      <c r="D2113">
        <v>43.4</v>
      </c>
      <c r="E2113" t="s">
        <v>44</v>
      </c>
      <c r="F2113" t="s">
        <v>3128</v>
      </c>
      <c r="G2113" t="s">
        <v>64</v>
      </c>
      <c r="H2113" t="s">
        <v>130</v>
      </c>
      <c r="I2113" t="s">
        <v>9321</v>
      </c>
      <c r="J2113">
        <v>28</v>
      </c>
      <c r="K2113" t="s">
        <v>49</v>
      </c>
      <c r="L2113" t="s">
        <v>97</v>
      </c>
      <c r="M2113" t="s">
        <v>51</v>
      </c>
      <c r="N2113" t="s">
        <v>507</v>
      </c>
      <c r="O2113">
        <v>441435</v>
      </c>
      <c r="P2113" t="s">
        <v>28</v>
      </c>
      <c r="Q2113" t="s">
        <v>9322</v>
      </c>
      <c r="R2113" t="s">
        <v>9323</v>
      </c>
      <c r="S2113" t="s">
        <v>31</v>
      </c>
      <c r="T2113">
        <v>0</v>
      </c>
    </row>
    <row r="2114" spans="1:20" x14ac:dyDescent="0.25">
      <c r="A2114" t="s">
        <v>9324</v>
      </c>
      <c r="B2114" s="1">
        <v>45800</v>
      </c>
      <c r="C2114" s="5">
        <v>0.84063657407407411</v>
      </c>
      <c r="D2114">
        <v>32.89</v>
      </c>
      <c r="E2114" t="s">
        <v>44</v>
      </c>
      <c r="F2114" t="s">
        <v>1045</v>
      </c>
      <c r="G2114" t="s">
        <v>22</v>
      </c>
      <c r="H2114" t="s">
        <v>47</v>
      </c>
      <c r="I2114" t="s">
        <v>9325</v>
      </c>
      <c r="J2114">
        <v>25</v>
      </c>
      <c r="K2114" t="s">
        <v>37</v>
      </c>
      <c r="L2114" t="s">
        <v>97</v>
      </c>
      <c r="M2114" t="s">
        <v>105</v>
      </c>
      <c r="P2114" t="s">
        <v>28</v>
      </c>
      <c r="Q2114" t="s">
        <v>9326</v>
      </c>
      <c r="R2114" t="s">
        <v>9327</v>
      </c>
      <c r="S2114" t="s">
        <v>31</v>
      </c>
      <c r="T2114">
        <v>0</v>
      </c>
    </row>
    <row r="2115" spans="1:20" x14ac:dyDescent="0.25">
      <c r="A2115" t="s">
        <v>9328</v>
      </c>
      <c r="B2115" s="1">
        <v>45956</v>
      </c>
      <c r="C2115" s="5">
        <v>0.5236574074074074</v>
      </c>
      <c r="D2115">
        <v>187.56</v>
      </c>
      <c r="E2115" t="s">
        <v>44</v>
      </c>
      <c r="F2115" t="s">
        <v>6728</v>
      </c>
      <c r="G2115" t="s">
        <v>77</v>
      </c>
      <c r="H2115" t="s">
        <v>35</v>
      </c>
      <c r="I2115" t="s">
        <v>9329</v>
      </c>
      <c r="J2115">
        <v>63</v>
      </c>
      <c r="K2115" t="s">
        <v>25</v>
      </c>
      <c r="L2115" t="s">
        <v>58</v>
      </c>
      <c r="M2115" t="s">
        <v>27</v>
      </c>
      <c r="P2115" t="s">
        <v>28</v>
      </c>
      <c r="Q2115" t="s">
        <v>9330</v>
      </c>
      <c r="R2115" t="s">
        <v>9331</v>
      </c>
      <c r="S2115" t="s">
        <v>42</v>
      </c>
      <c r="T2115">
        <v>0</v>
      </c>
    </row>
    <row r="2116" spans="1:20" x14ac:dyDescent="0.25">
      <c r="A2116" t="s">
        <v>9332</v>
      </c>
      <c r="B2116" s="1">
        <v>45917</v>
      </c>
      <c r="C2116" s="5">
        <v>0.55638888888888893</v>
      </c>
      <c r="D2116">
        <v>172.19</v>
      </c>
      <c r="E2116" t="s">
        <v>44</v>
      </c>
      <c r="F2116" t="s">
        <v>932</v>
      </c>
      <c r="G2116" t="s">
        <v>22</v>
      </c>
      <c r="H2116" t="s">
        <v>47</v>
      </c>
      <c r="I2116" t="s">
        <v>9333</v>
      </c>
      <c r="J2116">
        <v>33</v>
      </c>
      <c r="K2116" t="s">
        <v>37</v>
      </c>
      <c r="L2116" t="s">
        <v>248</v>
      </c>
      <c r="M2116" t="s">
        <v>39</v>
      </c>
      <c r="P2116" t="s">
        <v>28</v>
      </c>
      <c r="Q2116" t="s">
        <v>9334</v>
      </c>
      <c r="R2116" t="s">
        <v>9335</v>
      </c>
      <c r="S2116" t="s">
        <v>31</v>
      </c>
      <c r="T2116">
        <v>0</v>
      </c>
    </row>
    <row r="2117" spans="1:20" x14ac:dyDescent="0.25">
      <c r="A2117" t="s">
        <v>9336</v>
      </c>
      <c r="B2117" s="1">
        <v>45877</v>
      </c>
      <c r="C2117" s="5">
        <v>0.32711805555555556</v>
      </c>
      <c r="D2117">
        <v>948.76</v>
      </c>
      <c r="E2117" t="s">
        <v>44</v>
      </c>
      <c r="F2117" t="s">
        <v>5853</v>
      </c>
      <c r="G2117" t="s">
        <v>64</v>
      </c>
      <c r="H2117" t="s">
        <v>91</v>
      </c>
      <c r="I2117" t="s">
        <v>9337</v>
      </c>
      <c r="J2117">
        <v>28</v>
      </c>
      <c r="K2117" t="s">
        <v>37</v>
      </c>
      <c r="L2117" t="s">
        <v>248</v>
      </c>
      <c r="M2117" t="s">
        <v>51</v>
      </c>
      <c r="N2117" t="s">
        <v>304</v>
      </c>
      <c r="O2117">
        <v>406296</v>
      </c>
      <c r="P2117" t="s">
        <v>28</v>
      </c>
      <c r="Q2117" t="s">
        <v>9338</v>
      </c>
      <c r="R2117" t="s">
        <v>9339</v>
      </c>
      <c r="S2117" t="s">
        <v>31</v>
      </c>
      <c r="T2117">
        <v>0</v>
      </c>
    </row>
    <row r="2118" spans="1:20" x14ac:dyDescent="0.25">
      <c r="A2118" t="s">
        <v>9340</v>
      </c>
      <c r="B2118" s="1">
        <v>45848</v>
      </c>
      <c r="C2118" s="5">
        <v>0.70616898148148144</v>
      </c>
      <c r="D2118">
        <v>51.39</v>
      </c>
      <c r="E2118" t="s">
        <v>44</v>
      </c>
      <c r="F2118" t="s">
        <v>3643</v>
      </c>
      <c r="G2118" t="s">
        <v>89</v>
      </c>
      <c r="H2118" t="s">
        <v>97</v>
      </c>
      <c r="I2118" t="s">
        <v>9341</v>
      </c>
      <c r="J2118">
        <v>54</v>
      </c>
      <c r="K2118" t="s">
        <v>37</v>
      </c>
      <c r="L2118" t="s">
        <v>35</v>
      </c>
      <c r="M2118" t="s">
        <v>51</v>
      </c>
      <c r="N2118" t="s">
        <v>52</v>
      </c>
      <c r="O2118">
        <v>449229</v>
      </c>
      <c r="P2118" t="s">
        <v>28</v>
      </c>
      <c r="Q2118" t="s">
        <v>9342</v>
      </c>
      <c r="R2118" t="s">
        <v>9343</v>
      </c>
      <c r="S2118" t="s">
        <v>101</v>
      </c>
      <c r="T2118">
        <v>0</v>
      </c>
    </row>
    <row r="2119" spans="1:20" x14ac:dyDescent="0.25">
      <c r="A2119" t="s">
        <v>9344</v>
      </c>
      <c r="B2119" s="1">
        <v>45949</v>
      </c>
      <c r="C2119" s="5">
        <v>0.43994212962962964</v>
      </c>
      <c r="D2119">
        <v>122.49</v>
      </c>
      <c r="E2119" t="s">
        <v>44</v>
      </c>
      <c r="F2119" t="s">
        <v>207</v>
      </c>
      <c r="G2119" t="s">
        <v>34</v>
      </c>
      <c r="H2119" t="s">
        <v>35</v>
      </c>
      <c r="I2119" t="s">
        <v>9345</v>
      </c>
      <c r="J2119">
        <v>97</v>
      </c>
      <c r="K2119" t="s">
        <v>37</v>
      </c>
      <c r="L2119" t="s">
        <v>66</v>
      </c>
      <c r="M2119" t="s">
        <v>112</v>
      </c>
      <c r="P2119" t="s">
        <v>28</v>
      </c>
      <c r="Q2119" t="s">
        <v>9346</v>
      </c>
      <c r="R2119" t="s">
        <v>9347</v>
      </c>
      <c r="S2119" t="s">
        <v>31</v>
      </c>
      <c r="T2119">
        <v>0</v>
      </c>
    </row>
    <row r="2120" spans="1:20" x14ac:dyDescent="0.25">
      <c r="A2120" t="s">
        <v>9348</v>
      </c>
      <c r="B2120" s="1">
        <v>45898</v>
      </c>
      <c r="C2120" s="5">
        <v>9.8379629629629633E-3</v>
      </c>
      <c r="D2120">
        <v>84.96</v>
      </c>
      <c r="E2120" t="s">
        <v>44</v>
      </c>
      <c r="F2120" t="s">
        <v>5335</v>
      </c>
      <c r="G2120" t="s">
        <v>89</v>
      </c>
      <c r="H2120" t="s">
        <v>66</v>
      </c>
      <c r="I2120" t="s">
        <v>8915</v>
      </c>
      <c r="J2120">
        <v>57</v>
      </c>
      <c r="K2120" t="s">
        <v>49</v>
      </c>
      <c r="L2120" t="s">
        <v>66</v>
      </c>
      <c r="M2120" t="s">
        <v>39</v>
      </c>
      <c r="P2120" t="s">
        <v>113</v>
      </c>
      <c r="Q2120" t="s">
        <v>9349</v>
      </c>
      <c r="R2120" t="s">
        <v>9350</v>
      </c>
      <c r="S2120" t="s">
        <v>31</v>
      </c>
      <c r="T2120">
        <v>0</v>
      </c>
    </row>
    <row r="2121" spans="1:20" x14ac:dyDescent="0.25">
      <c r="A2121" t="s">
        <v>9351</v>
      </c>
      <c r="B2121" s="1">
        <v>45915</v>
      </c>
      <c r="C2121" s="5">
        <v>0.22743055555555555</v>
      </c>
      <c r="D2121">
        <v>69.66</v>
      </c>
      <c r="E2121" t="s">
        <v>44</v>
      </c>
      <c r="F2121" t="s">
        <v>9352</v>
      </c>
      <c r="G2121" t="s">
        <v>64</v>
      </c>
      <c r="H2121" t="s">
        <v>58</v>
      </c>
      <c r="I2121" t="s">
        <v>9353</v>
      </c>
      <c r="J2121">
        <v>61</v>
      </c>
      <c r="K2121" t="s">
        <v>49</v>
      </c>
      <c r="L2121" t="s">
        <v>146</v>
      </c>
      <c r="M2121" t="s">
        <v>39</v>
      </c>
      <c r="P2121" t="s">
        <v>28</v>
      </c>
      <c r="Q2121" t="s">
        <v>9354</v>
      </c>
      <c r="R2121" t="s">
        <v>9355</v>
      </c>
      <c r="S2121" t="s">
        <v>31</v>
      </c>
      <c r="T2121">
        <v>0</v>
      </c>
    </row>
    <row r="2122" spans="1:20" x14ac:dyDescent="0.25">
      <c r="A2122" t="s">
        <v>9356</v>
      </c>
      <c r="B2122" s="1">
        <v>45930</v>
      </c>
      <c r="C2122" s="5">
        <v>0.94980324074074074</v>
      </c>
      <c r="D2122">
        <v>75.989999999999995</v>
      </c>
      <c r="E2122" t="s">
        <v>44</v>
      </c>
      <c r="F2122" t="s">
        <v>2942</v>
      </c>
      <c r="G2122" t="s">
        <v>77</v>
      </c>
      <c r="H2122" t="s">
        <v>119</v>
      </c>
      <c r="I2122" t="s">
        <v>9357</v>
      </c>
      <c r="J2122">
        <v>38</v>
      </c>
      <c r="K2122" t="s">
        <v>37</v>
      </c>
      <c r="L2122" t="s">
        <v>91</v>
      </c>
      <c r="M2122" t="s">
        <v>39</v>
      </c>
      <c r="P2122" t="s">
        <v>28</v>
      </c>
      <c r="Q2122" t="s">
        <v>9358</v>
      </c>
      <c r="R2122" t="s">
        <v>9359</v>
      </c>
      <c r="S2122" t="s">
        <v>31</v>
      </c>
      <c r="T2122">
        <v>0</v>
      </c>
    </row>
    <row r="2123" spans="1:20" x14ac:dyDescent="0.25">
      <c r="A2123" t="s">
        <v>9360</v>
      </c>
      <c r="B2123" s="1">
        <v>45862</v>
      </c>
      <c r="C2123" s="5">
        <v>0.50468749999999996</v>
      </c>
      <c r="D2123">
        <v>35.700000000000003</v>
      </c>
      <c r="E2123" t="s">
        <v>44</v>
      </c>
      <c r="F2123" t="s">
        <v>9361</v>
      </c>
      <c r="G2123" t="s">
        <v>34</v>
      </c>
      <c r="H2123" t="s">
        <v>58</v>
      </c>
      <c r="I2123" t="s">
        <v>9362</v>
      </c>
      <c r="J2123">
        <v>39</v>
      </c>
      <c r="K2123" t="s">
        <v>25</v>
      </c>
      <c r="L2123" t="s">
        <v>35</v>
      </c>
      <c r="M2123" t="s">
        <v>112</v>
      </c>
      <c r="P2123" t="s">
        <v>28</v>
      </c>
      <c r="Q2123" t="s">
        <v>9363</v>
      </c>
      <c r="R2123" t="s">
        <v>9364</v>
      </c>
      <c r="S2123" t="s">
        <v>31</v>
      </c>
      <c r="T2123">
        <v>0</v>
      </c>
    </row>
    <row r="2124" spans="1:20" x14ac:dyDescent="0.25">
      <c r="A2124" t="s">
        <v>9365</v>
      </c>
      <c r="B2124" s="1">
        <v>45800</v>
      </c>
      <c r="C2124" s="5">
        <v>0.16894675925925925</v>
      </c>
      <c r="D2124">
        <v>104.77</v>
      </c>
      <c r="E2124" t="s">
        <v>44</v>
      </c>
      <c r="F2124" t="s">
        <v>8754</v>
      </c>
      <c r="G2124" t="s">
        <v>64</v>
      </c>
      <c r="H2124" t="s">
        <v>130</v>
      </c>
      <c r="I2124" t="s">
        <v>9366</v>
      </c>
      <c r="J2124">
        <v>27</v>
      </c>
      <c r="K2124" t="s">
        <v>25</v>
      </c>
      <c r="L2124" t="s">
        <v>97</v>
      </c>
      <c r="M2124" t="s">
        <v>51</v>
      </c>
      <c r="N2124" t="s">
        <v>304</v>
      </c>
      <c r="O2124">
        <v>555354</v>
      </c>
      <c r="P2124" t="s">
        <v>28</v>
      </c>
      <c r="Q2124" t="s">
        <v>9367</v>
      </c>
      <c r="R2124" t="s">
        <v>9368</v>
      </c>
      <c r="S2124" t="s">
        <v>31</v>
      </c>
      <c r="T2124">
        <v>0</v>
      </c>
    </row>
    <row r="2125" spans="1:20" x14ac:dyDescent="0.25">
      <c r="A2125" t="s">
        <v>9369</v>
      </c>
      <c r="B2125" s="1">
        <v>45878</v>
      </c>
      <c r="C2125" s="5">
        <v>0.36512731481481481</v>
      </c>
      <c r="D2125">
        <v>66.58</v>
      </c>
      <c r="E2125" t="s">
        <v>44</v>
      </c>
      <c r="F2125" t="s">
        <v>4150</v>
      </c>
      <c r="G2125" t="s">
        <v>124</v>
      </c>
      <c r="H2125" t="s">
        <v>23</v>
      </c>
      <c r="I2125" t="s">
        <v>9370</v>
      </c>
      <c r="J2125">
        <v>49</v>
      </c>
      <c r="K2125" t="s">
        <v>37</v>
      </c>
      <c r="L2125" t="s">
        <v>97</v>
      </c>
      <c r="M2125" t="s">
        <v>105</v>
      </c>
      <c r="P2125" t="s">
        <v>28</v>
      </c>
      <c r="Q2125" t="s">
        <v>9371</v>
      </c>
      <c r="R2125" t="s">
        <v>9372</v>
      </c>
      <c r="S2125" t="s">
        <v>31</v>
      </c>
      <c r="T2125">
        <v>0</v>
      </c>
    </row>
    <row r="2126" spans="1:20" x14ac:dyDescent="0.25">
      <c r="A2126" t="s">
        <v>9373</v>
      </c>
      <c r="B2126" s="1">
        <v>45956</v>
      </c>
      <c r="C2126" s="5">
        <v>9.8900462962962968E-2</v>
      </c>
      <c r="D2126">
        <v>422.33</v>
      </c>
      <c r="E2126" t="s">
        <v>44</v>
      </c>
      <c r="F2126" t="s">
        <v>9374</v>
      </c>
      <c r="G2126" t="s">
        <v>89</v>
      </c>
      <c r="H2126" t="s">
        <v>26</v>
      </c>
      <c r="I2126" t="s">
        <v>9375</v>
      </c>
      <c r="J2126">
        <v>44</v>
      </c>
      <c r="K2126" t="s">
        <v>49</v>
      </c>
      <c r="L2126" t="s">
        <v>35</v>
      </c>
      <c r="M2126" t="s">
        <v>112</v>
      </c>
      <c r="P2126" t="s">
        <v>28</v>
      </c>
      <c r="Q2126" t="s">
        <v>9376</v>
      </c>
      <c r="R2126" t="s">
        <v>9377</v>
      </c>
      <c r="S2126" t="s">
        <v>31</v>
      </c>
      <c r="T2126">
        <v>1</v>
      </c>
    </row>
    <row r="2127" spans="1:20" x14ac:dyDescent="0.25">
      <c r="A2127" t="s">
        <v>9378</v>
      </c>
      <c r="B2127" s="1">
        <v>45904</v>
      </c>
      <c r="C2127" s="5">
        <v>0.60148148148148151</v>
      </c>
      <c r="D2127">
        <v>86.72</v>
      </c>
      <c r="E2127" t="s">
        <v>44</v>
      </c>
      <c r="F2127" t="s">
        <v>1734</v>
      </c>
      <c r="G2127" t="s">
        <v>96</v>
      </c>
      <c r="H2127" t="s">
        <v>146</v>
      </c>
      <c r="I2127" t="s">
        <v>9379</v>
      </c>
      <c r="J2127">
        <v>33</v>
      </c>
      <c r="K2127" t="s">
        <v>25</v>
      </c>
      <c r="L2127" t="s">
        <v>47</v>
      </c>
      <c r="M2127" t="s">
        <v>51</v>
      </c>
      <c r="N2127" t="s">
        <v>345</v>
      </c>
      <c r="O2127">
        <v>540285</v>
      </c>
      <c r="P2127" t="s">
        <v>28</v>
      </c>
      <c r="Q2127" t="s">
        <v>9380</v>
      </c>
      <c r="R2127" t="s">
        <v>9381</v>
      </c>
      <c r="S2127" t="s">
        <v>31</v>
      </c>
      <c r="T2127">
        <v>0</v>
      </c>
    </row>
    <row r="2128" spans="1:20" x14ac:dyDescent="0.25">
      <c r="A2128" t="s">
        <v>9382</v>
      </c>
      <c r="B2128" s="1">
        <v>45882</v>
      </c>
      <c r="C2128" s="5">
        <v>3.695601851851852E-2</v>
      </c>
      <c r="D2128">
        <v>140.69999999999999</v>
      </c>
      <c r="E2128" t="s">
        <v>44</v>
      </c>
      <c r="F2128" t="s">
        <v>8887</v>
      </c>
      <c r="G2128" t="s">
        <v>71</v>
      </c>
      <c r="H2128" t="s">
        <v>58</v>
      </c>
      <c r="I2128" t="s">
        <v>9383</v>
      </c>
      <c r="J2128">
        <v>66</v>
      </c>
      <c r="K2128" t="s">
        <v>49</v>
      </c>
      <c r="L2128" t="s">
        <v>110</v>
      </c>
      <c r="M2128" t="s">
        <v>112</v>
      </c>
      <c r="P2128" t="s">
        <v>28</v>
      </c>
      <c r="Q2128" t="s">
        <v>9384</v>
      </c>
      <c r="R2128" t="s">
        <v>9385</v>
      </c>
      <c r="S2128" t="s">
        <v>31</v>
      </c>
      <c r="T2128">
        <v>0</v>
      </c>
    </row>
    <row r="2129" spans="1:20" x14ac:dyDescent="0.25">
      <c r="A2129" t="s">
        <v>9386</v>
      </c>
      <c r="B2129" s="1">
        <v>45897</v>
      </c>
      <c r="C2129" s="5">
        <v>0.97565972222222219</v>
      </c>
      <c r="D2129">
        <v>928.34</v>
      </c>
      <c r="E2129" t="s">
        <v>44</v>
      </c>
      <c r="F2129" t="s">
        <v>8937</v>
      </c>
      <c r="G2129" t="s">
        <v>22</v>
      </c>
      <c r="H2129" t="s">
        <v>91</v>
      </c>
      <c r="I2129" t="s">
        <v>9387</v>
      </c>
      <c r="J2129">
        <v>44</v>
      </c>
      <c r="K2129" t="s">
        <v>49</v>
      </c>
      <c r="L2129" t="s">
        <v>97</v>
      </c>
      <c r="M2129" t="s">
        <v>51</v>
      </c>
      <c r="N2129" t="s">
        <v>507</v>
      </c>
      <c r="O2129">
        <v>527344</v>
      </c>
      <c r="P2129" t="s">
        <v>28</v>
      </c>
      <c r="Q2129" t="s">
        <v>9388</v>
      </c>
      <c r="R2129" t="s">
        <v>9389</v>
      </c>
      <c r="S2129" t="s">
        <v>31</v>
      </c>
      <c r="T2129">
        <v>0</v>
      </c>
    </row>
    <row r="2130" spans="1:20" x14ac:dyDescent="0.25">
      <c r="A2130" t="s">
        <v>6125</v>
      </c>
      <c r="B2130" s="1">
        <v>45796</v>
      </c>
      <c r="C2130" s="5">
        <v>0.8162962962962963</v>
      </c>
      <c r="D2130">
        <v>72.45</v>
      </c>
      <c r="E2130" t="s">
        <v>44</v>
      </c>
      <c r="F2130" t="s">
        <v>56</v>
      </c>
      <c r="G2130" t="s">
        <v>77</v>
      </c>
      <c r="H2130" t="s">
        <v>47</v>
      </c>
      <c r="I2130" t="s">
        <v>3713</v>
      </c>
      <c r="J2130">
        <v>56</v>
      </c>
      <c r="K2130" t="s">
        <v>49</v>
      </c>
      <c r="L2130" t="s">
        <v>130</v>
      </c>
      <c r="M2130" t="s">
        <v>39</v>
      </c>
      <c r="P2130" t="s">
        <v>28</v>
      </c>
      <c r="Q2130" t="s">
        <v>6126</v>
      </c>
      <c r="R2130" t="s">
        <v>6127</v>
      </c>
      <c r="S2130" t="s">
        <v>31</v>
      </c>
      <c r="T2130">
        <v>1</v>
      </c>
    </row>
    <row r="2131" spans="1:20" x14ac:dyDescent="0.25">
      <c r="A2131" t="s">
        <v>9390</v>
      </c>
      <c r="B2131" s="1">
        <v>45920</v>
      </c>
      <c r="C2131" s="5">
        <v>0.74572916666666667</v>
      </c>
      <c r="D2131">
        <v>11.72</v>
      </c>
      <c r="E2131" t="s">
        <v>44</v>
      </c>
      <c r="F2131" t="s">
        <v>9391</v>
      </c>
      <c r="G2131" t="s">
        <v>46</v>
      </c>
      <c r="H2131" t="s">
        <v>58</v>
      </c>
      <c r="I2131" t="s">
        <v>9392</v>
      </c>
      <c r="J2131">
        <v>49</v>
      </c>
      <c r="K2131" t="s">
        <v>49</v>
      </c>
      <c r="L2131" t="s">
        <v>248</v>
      </c>
      <c r="M2131" t="s">
        <v>39</v>
      </c>
      <c r="P2131" t="s">
        <v>28</v>
      </c>
      <c r="Q2131" t="s">
        <v>9393</v>
      </c>
      <c r="R2131" t="s">
        <v>9394</v>
      </c>
      <c r="S2131" t="s">
        <v>31</v>
      </c>
      <c r="T2131">
        <v>0</v>
      </c>
    </row>
    <row r="2132" spans="1:20" x14ac:dyDescent="0.25">
      <c r="A2132" t="s">
        <v>9395</v>
      </c>
      <c r="B2132" s="1">
        <v>45903</v>
      </c>
      <c r="C2132" s="5">
        <v>0.59098379629629627</v>
      </c>
      <c r="D2132">
        <v>118.38</v>
      </c>
      <c r="E2132" t="s">
        <v>44</v>
      </c>
      <c r="F2132" t="s">
        <v>6300</v>
      </c>
      <c r="G2132" t="s">
        <v>46</v>
      </c>
      <c r="H2132" t="s">
        <v>35</v>
      </c>
      <c r="I2132" t="s">
        <v>9396</v>
      </c>
      <c r="J2132">
        <v>68</v>
      </c>
      <c r="K2132" t="s">
        <v>49</v>
      </c>
      <c r="L2132" t="s">
        <v>248</v>
      </c>
      <c r="M2132" t="s">
        <v>39</v>
      </c>
      <c r="P2132" t="s">
        <v>28</v>
      </c>
      <c r="Q2132" t="s">
        <v>9397</v>
      </c>
      <c r="R2132" t="s">
        <v>9398</v>
      </c>
      <c r="S2132" t="s">
        <v>31</v>
      </c>
      <c r="T2132">
        <v>0</v>
      </c>
    </row>
    <row r="2133" spans="1:20" x14ac:dyDescent="0.25">
      <c r="A2133" t="s">
        <v>9399</v>
      </c>
      <c r="B2133" s="1">
        <v>45823</v>
      </c>
      <c r="C2133" s="5">
        <v>0.87258101851851855</v>
      </c>
      <c r="D2133">
        <v>150.11000000000001</v>
      </c>
      <c r="E2133" t="s">
        <v>44</v>
      </c>
      <c r="F2133" t="s">
        <v>829</v>
      </c>
      <c r="G2133" t="s">
        <v>34</v>
      </c>
      <c r="H2133" t="s">
        <v>110</v>
      </c>
      <c r="I2133" t="s">
        <v>9400</v>
      </c>
      <c r="J2133">
        <v>41</v>
      </c>
      <c r="K2133" t="s">
        <v>37</v>
      </c>
      <c r="L2133" t="s">
        <v>47</v>
      </c>
      <c r="M2133" t="s">
        <v>105</v>
      </c>
      <c r="P2133" t="s">
        <v>28</v>
      </c>
      <c r="Q2133" t="s">
        <v>9401</v>
      </c>
      <c r="R2133" t="s">
        <v>9402</v>
      </c>
      <c r="S2133" t="s">
        <v>101</v>
      </c>
      <c r="T2133">
        <v>0</v>
      </c>
    </row>
    <row r="2134" spans="1:20" x14ac:dyDescent="0.25">
      <c r="A2134" t="s">
        <v>9403</v>
      </c>
      <c r="B2134" s="1">
        <v>45835</v>
      </c>
      <c r="C2134" s="5">
        <v>0.86842592592592593</v>
      </c>
      <c r="D2134">
        <v>174.8</v>
      </c>
      <c r="E2134" t="s">
        <v>44</v>
      </c>
      <c r="F2134" t="s">
        <v>5512</v>
      </c>
      <c r="G2134" t="s">
        <v>46</v>
      </c>
      <c r="H2134" t="s">
        <v>97</v>
      </c>
      <c r="I2134" t="s">
        <v>9404</v>
      </c>
      <c r="J2134">
        <v>34</v>
      </c>
      <c r="K2134" t="s">
        <v>25</v>
      </c>
      <c r="L2134" t="s">
        <v>38</v>
      </c>
      <c r="M2134" t="s">
        <v>84</v>
      </c>
      <c r="P2134" t="s">
        <v>28</v>
      </c>
      <c r="Q2134" t="s">
        <v>9405</v>
      </c>
      <c r="R2134" t="s">
        <v>9406</v>
      </c>
      <c r="S2134" t="s">
        <v>31</v>
      </c>
      <c r="T2134">
        <v>0</v>
      </c>
    </row>
    <row r="2135" spans="1:20" x14ac:dyDescent="0.25">
      <c r="A2135" t="s">
        <v>9407</v>
      </c>
      <c r="B2135" s="1">
        <v>45902</v>
      </c>
      <c r="C2135" s="5">
        <v>0.75559027777777776</v>
      </c>
      <c r="D2135">
        <v>241.08</v>
      </c>
      <c r="E2135" t="s">
        <v>44</v>
      </c>
      <c r="F2135" t="s">
        <v>1200</v>
      </c>
      <c r="G2135" t="s">
        <v>22</v>
      </c>
      <c r="H2135" t="s">
        <v>130</v>
      </c>
      <c r="I2135" t="s">
        <v>1307</v>
      </c>
      <c r="J2135">
        <v>27</v>
      </c>
      <c r="K2135" t="s">
        <v>37</v>
      </c>
      <c r="L2135" t="s">
        <v>23</v>
      </c>
      <c r="M2135" t="s">
        <v>112</v>
      </c>
      <c r="P2135" t="s">
        <v>28</v>
      </c>
      <c r="Q2135" t="s">
        <v>9408</v>
      </c>
      <c r="R2135" t="s">
        <v>9409</v>
      </c>
      <c r="S2135" t="s">
        <v>101</v>
      </c>
      <c r="T2135">
        <v>0</v>
      </c>
    </row>
    <row r="2136" spans="1:20" x14ac:dyDescent="0.25">
      <c r="A2136" t="s">
        <v>9410</v>
      </c>
      <c r="B2136" s="1">
        <v>45790</v>
      </c>
      <c r="C2136" s="5">
        <v>0.35072916666666665</v>
      </c>
      <c r="D2136">
        <v>91.85</v>
      </c>
      <c r="E2136" t="s">
        <v>44</v>
      </c>
      <c r="F2136" t="s">
        <v>1267</v>
      </c>
      <c r="G2136" t="s">
        <v>77</v>
      </c>
      <c r="H2136" t="s">
        <v>38</v>
      </c>
      <c r="I2136" t="s">
        <v>9411</v>
      </c>
      <c r="J2136">
        <v>32</v>
      </c>
      <c r="K2136" t="s">
        <v>25</v>
      </c>
      <c r="L2136" t="s">
        <v>23</v>
      </c>
      <c r="M2136" t="s">
        <v>112</v>
      </c>
      <c r="P2136" t="s">
        <v>28</v>
      </c>
      <c r="Q2136" t="s">
        <v>9412</v>
      </c>
      <c r="R2136" t="s">
        <v>9413</v>
      </c>
      <c r="S2136" t="s">
        <v>31</v>
      </c>
      <c r="T2136">
        <v>0</v>
      </c>
    </row>
    <row r="2137" spans="1:20" x14ac:dyDescent="0.25">
      <c r="A2137" t="s">
        <v>9414</v>
      </c>
      <c r="B2137" s="1">
        <v>45896</v>
      </c>
      <c r="C2137" s="5">
        <v>0.29118055555555555</v>
      </c>
      <c r="D2137">
        <v>21.43</v>
      </c>
      <c r="E2137" t="s">
        <v>44</v>
      </c>
      <c r="F2137" t="s">
        <v>5067</v>
      </c>
      <c r="G2137" t="s">
        <v>64</v>
      </c>
      <c r="H2137" t="s">
        <v>50</v>
      </c>
      <c r="I2137" t="s">
        <v>9415</v>
      </c>
      <c r="J2137">
        <v>28</v>
      </c>
      <c r="K2137" t="s">
        <v>25</v>
      </c>
      <c r="L2137" t="s">
        <v>110</v>
      </c>
      <c r="M2137" t="s">
        <v>84</v>
      </c>
      <c r="P2137" t="s">
        <v>28</v>
      </c>
      <c r="Q2137" t="s">
        <v>9416</v>
      </c>
      <c r="R2137" t="s">
        <v>9417</v>
      </c>
      <c r="S2137" t="s">
        <v>42</v>
      </c>
      <c r="T2137">
        <v>0</v>
      </c>
    </row>
    <row r="2138" spans="1:20" x14ac:dyDescent="0.25">
      <c r="A2138" t="s">
        <v>9418</v>
      </c>
      <c r="B2138" s="1">
        <v>45890</v>
      </c>
      <c r="C2138" s="5">
        <v>0.94625000000000004</v>
      </c>
      <c r="D2138">
        <v>119.11</v>
      </c>
      <c r="E2138" t="s">
        <v>44</v>
      </c>
      <c r="F2138" t="s">
        <v>3432</v>
      </c>
      <c r="G2138" t="s">
        <v>57</v>
      </c>
      <c r="H2138" t="s">
        <v>146</v>
      </c>
      <c r="I2138" t="s">
        <v>9419</v>
      </c>
      <c r="J2138">
        <v>68</v>
      </c>
      <c r="K2138" t="s">
        <v>37</v>
      </c>
      <c r="L2138" t="s">
        <v>38</v>
      </c>
      <c r="M2138" t="s">
        <v>105</v>
      </c>
      <c r="P2138" t="s">
        <v>28</v>
      </c>
      <c r="Q2138" t="s">
        <v>9420</v>
      </c>
      <c r="R2138" t="s">
        <v>9421</v>
      </c>
      <c r="S2138" t="s">
        <v>31</v>
      </c>
      <c r="T2138">
        <v>0</v>
      </c>
    </row>
    <row r="2139" spans="1:20" x14ac:dyDescent="0.25">
      <c r="A2139" t="s">
        <v>9422</v>
      </c>
      <c r="B2139" s="1">
        <v>45875</v>
      </c>
      <c r="C2139" s="5">
        <v>0.20216435185185186</v>
      </c>
      <c r="D2139">
        <v>43.4</v>
      </c>
      <c r="E2139" t="s">
        <v>44</v>
      </c>
      <c r="F2139" t="s">
        <v>3115</v>
      </c>
      <c r="G2139" t="s">
        <v>57</v>
      </c>
      <c r="H2139" t="s">
        <v>130</v>
      </c>
      <c r="I2139" t="s">
        <v>9423</v>
      </c>
      <c r="J2139">
        <v>19</v>
      </c>
      <c r="K2139" t="s">
        <v>49</v>
      </c>
      <c r="L2139" t="s">
        <v>35</v>
      </c>
      <c r="M2139" t="s">
        <v>39</v>
      </c>
      <c r="P2139" t="s">
        <v>28</v>
      </c>
      <c r="Q2139" t="s">
        <v>9424</v>
      </c>
      <c r="R2139" t="s">
        <v>9425</v>
      </c>
      <c r="S2139" t="s">
        <v>31</v>
      </c>
      <c r="T2139">
        <v>0</v>
      </c>
    </row>
    <row r="2140" spans="1:20" x14ac:dyDescent="0.25">
      <c r="A2140" t="s">
        <v>9426</v>
      </c>
      <c r="B2140" s="1">
        <v>45800</v>
      </c>
      <c r="C2140" s="5">
        <v>0.14188657407407407</v>
      </c>
      <c r="D2140">
        <v>89.3</v>
      </c>
      <c r="E2140" t="s">
        <v>44</v>
      </c>
      <c r="F2140" t="s">
        <v>8430</v>
      </c>
      <c r="G2140" t="s">
        <v>64</v>
      </c>
      <c r="H2140" t="s">
        <v>110</v>
      </c>
      <c r="I2140" t="s">
        <v>9427</v>
      </c>
      <c r="J2140">
        <v>72</v>
      </c>
      <c r="K2140" t="s">
        <v>37</v>
      </c>
      <c r="L2140" t="s">
        <v>26</v>
      </c>
      <c r="M2140" t="s">
        <v>112</v>
      </c>
      <c r="P2140" t="s">
        <v>28</v>
      </c>
      <c r="Q2140" t="s">
        <v>9428</v>
      </c>
      <c r="R2140" t="s">
        <v>9429</v>
      </c>
      <c r="S2140" t="s">
        <v>42</v>
      </c>
      <c r="T2140">
        <v>0</v>
      </c>
    </row>
    <row r="2141" spans="1:20" x14ac:dyDescent="0.25">
      <c r="A2141" t="s">
        <v>9430</v>
      </c>
      <c r="B2141" s="1">
        <v>45821</v>
      </c>
      <c r="C2141" s="5">
        <v>0.81733796296296302</v>
      </c>
      <c r="D2141">
        <v>69.510000000000005</v>
      </c>
      <c r="E2141" t="s">
        <v>44</v>
      </c>
      <c r="F2141" t="s">
        <v>7242</v>
      </c>
      <c r="G2141" t="s">
        <v>89</v>
      </c>
      <c r="H2141" t="s">
        <v>248</v>
      </c>
      <c r="I2141" t="s">
        <v>9431</v>
      </c>
      <c r="J2141">
        <v>44</v>
      </c>
      <c r="K2141" t="s">
        <v>49</v>
      </c>
      <c r="L2141" t="s">
        <v>38</v>
      </c>
      <c r="M2141" t="s">
        <v>105</v>
      </c>
      <c r="P2141" t="s">
        <v>28</v>
      </c>
      <c r="Q2141" t="s">
        <v>9432</v>
      </c>
      <c r="R2141" t="s">
        <v>9433</v>
      </c>
      <c r="S2141" t="s">
        <v>31</v>
      </c>
      <c r="T2141">
        <v>0</v>
      </c>
    </row>
    <row r="2142" spans="1:20" x14ac:dyDescent="0.25">
      <c r="A2142" t="s">
        <v>9434</v>
      </c>
      <c r="B2142" s="1">
        <v>45908</v>
      </c>
      <c r="C2142" s="5">
        <v>0.49111111111111111</v>
      </c>
      <c r="D2142">
        <v>110.26</v>
      </c>
      <c r="E2142" t="s">
        <v>44</v>
      </c>
      <c r="F2142" t="s">
        <v>1647</v>
      </c>
      <c r="G2142" t="s">
        <v>46</v>
      </c>
      <c r="H2142" t="s">
        <v>248</v>
      </c>
      <c r="I2142" t="s">
        <v>9435</v>
      </c>
      <c r="J2142">
        <v>32</v>
      </c>
      <c r="K2142" t="s">
        <v>25</v>
      </c>
      <c r="L2142" t="s">
        <v>23</v>
      </c>
      <c r="M2142" t="s">
        <v>27</v>
      </c>
      <c r="P2142" t="s">
        <v>28</v>
      </c>
      <c r="Q2142" t="s">
        <v>9436</v>
      </c>
      <c r="R2142" t="s">
        <v>9437</v>
      </c>
      <c r="S2142" t="s">
        <v>31</v>
      </c>
      <c r="T2142">
        <v>0</v>
      </c>
    </row>
    <row r="2143" spans="1:20" x14ac:dyDescent="0.25">
      <c r="A2143" t="s">
        <v>9438</v>
      </c>
      <c r="B2143" s="1">
        <v>45959</v>
      </c>
      <c r="C2143" s="5">
        <v>0.35605324074074074</v>
      </c>
      <c r="D2143">
        <v>124.96</v>
      </c>
      <c r="E2143" t="s">
        <v>44</v>
      </c>
      <c r="F2143" t="s">
        <v>3166</v>
      </c>
      <c r="G2143" t="s">
        <v>22</v>
      </c>
      <c r="H2143" t="s">
        <v>26</v>
      </c>
      <c r="I2143" t="s">
        <v>9439</v>
      </c>
      <c r="J2143">
        <v>53</v>
      </c>
      <c r="K2143" t="s">
        <v>25</v>
      </c>
      <c r="L2143" t="s">
        <v>248</v>
      </c>
      <c r="M2143" t="s">
        <v>39</v>
      </c>
      <c r="P2143" t="s">
        <v>28</v>
      </c>
      <c r="Q2143" t="s">
        <v>9440</v>
      </c>
      <c r="R2143" t="s">
        <v>9441</v>
      </c>
      <c r="S2143" t="s">
        <v>31</v>
      </c>
      <c r="T2143">
        <v>0</v>
      </c>
    </row>
    <row r="2144" spans="1:20" x14ac:dyDescent="0.25">
      <c r="A2144" t="s">
        <v>9442</v>
      </c>
      <c r="B2144" s="1">
        <v>45814</v>
      </c>
      <c r="C2144" s="5">
        <v>0.33447916666666666</v>
      </c>
      <c r="D2144">
        <v>65.010000000000005</v>
      </c>
      <c r="E2144" t="s">
        <v>44</v>
      </c>
      <c r="F2144" t="s">
        <v>2195</v>
      </c>
      <c r="G2144" t="s">
        <v>124</v>
      </c>
      <c r="H2144" t="s">
        <v>38</v>
      </c>
      <c r="I2144" t="s">
        <v>9443</v>
      </c>
      <c r="K2144" t="s">
        <v>25</v>
      </c>
      <c r="L2144" t="s">
        <v>58</v>
      </c>
      <c r="M2144" t="s">
        <v>51</v>
      </c>
      <c r="N2144" t="s">
        <v>870</v>
      </c>
      <c r="O2144">
        <v>548623</v>
      </c>
      <c r="P2144" t="s">
        <v>28</v>
      </c>
      <c r="Q2144" t="s">
        <v>9444</v>
      </c>
      <c r="R2144" t="s">
        <v>9445</v>
      </c>
      <c r="S2144" t="s">
        <v>31</v>
      </c>
      <c r="T2144">
        <v>0</v>
      </c>
    </row>
    <row r="2145" spans="1:20" x14ac:dyDescent="0.25">
      <c r="A2145" t="s">
        <v>9446</v>
      </c>
      <c r="B2145" s="1">
        <v>45788</v>
      </c>
      <c r="C2145" s="5">
        <v>0.74364583333333334</v>
      </c>
      <c r="D2145">
        <v>134.59</v>
      </c>
      <c r="E2145" t="s">
        <v>44</v>
      </c>
      <c r="F2145" t="s">
        <v>5412</v>
      </c>
      <c r="G2145" t="s">
        <v>89</v>
      </c>
      <c r="H2145" t="s">
        <v>130</v>
      </c>
      <c r="I2145" t="s">
        <v>9447</v>
      </c>
      <c r="J2145">
        <v>37</v>
      </c>
      <c r="K2145" t="s">
        <v>37</v>
      </c>
      <c r="L2145" t="s">
        <v>58</v>
      </c>
      <c r="M2145" t="s">
        <v>84</v>
      </c>
      <c r="P2145" t="s">
        <v>28</v>
      </c>
      <c r="Q2145" t="s">
        <v>9448</v>
      </c>
      <c r="R2145" t="s">
        <v>9449</v>
      </c>
      <c r="S2145" t="s">
        <v>31</v>
      </c>
      <c r="T2145">
        <v>0</v>
      </c>
    </row>
    <row r="2146" spans="1:20" x14ac:dyDescent="0.25">
      <c r="A2146" t="s">
        <v>9450</v>
      </c>
      <c r="B2146" s="1">
        <v>45812</v>
      </c>
      <c r="C2146" s="5">
        <v>8.4074074074074079E-2</v>
      </c>
      <c r="D2146">
        <v>80.89</v>
      </c>
      <c r="E2146" t="s">
        <v>44</v>
      </c>
      <c r="F2146" t="s">
        <v>5036</v>
      </c>
      <c r="G2146" t="s">
        <v>57</v>
      </c>
      <c r="H2146" t="s">
        <v>47</v>
      </c>
      <c r="I2146" t="s">
        <v>9451</v>
      </c>
      <c r="J2146">
        <v>58</v>
      </c>
      <c r="K2146" t="s">
        <v>25</v>
      </c>
      <c r="L2146" t="s">
        <v>110</v>
      </c>
      <c r="M2146" t="s">
        <v>112</v>
      </c>
      <c r="P2146" t="s">
        <v>28</v>
      </c>
      <c r="Q2146" t="s">
        <v>9452</v>
      </c>
      <c r="R2146" t="s">
        <v>9453</v>
      </c>
      <c r="S2146" t="s">
        <v>31</v>
      </c>
      <c r="T2146">
        <v>0</v>
      </c>
    </row>
    <row r="2147" spans="1:20" x14ac:dyDescent="0.25">
      <c r="A2147" t="s">
        <v>9454</v>
      </c>
      <c r="B2147" s="1">
        <v>45795</v>
      </c>
      <c r="C2147" s="5">
        <v>5.9560185185185188E-2</v>
      </c>
      <c r="D2147">
        <v>148.22999999999999</v>
      </c>
      <c r="E2147" t="s">
        <v>44</v>
      </c>
      <c r="F2147" t="s">
        <v>9455</v>
      </c>
      <c r="G2147" t="s">
        <v>64</v>
      </c>
      <c r="H2147" t="s">
        <v>97</v>
      </c>
      <c r="I2147" t="s">
        <v>9456</v>
      </c>
      <c r="J2147">
        <v>25</v>
      </c>
      <c r="K2147" t="s">
        <v>37</v>
      </c>
      <c r="L2147" t="s">
        <v>38</v>
      </c>
      <c r="M2147" t="s">
        <v>112</v>
      </c>
      <c r="P2147" t="s">
        <v>28</v>
      </c>
      <c r="Q2147" t="s">
        <v>9457</v>
      </c>
      <c r="R2147" t="s">
        <v>9458</v>
      </c>
      <c r="S2147" t="s">
        <v>31</v>
      </c>
      <c r="T2147">
        <v>1</v>
      </c>
    </row>
    <row r="2148" spans="1:20" x14ac:dyDescent="0.25">
      <c r="A2148" t="s">
        <v>9459</v>
      </c>
      <c r="B2148" s="1">
        <v>45825</v>
      </c>
      <c r="C2148" s="5">
        <v>0.93306712962962968</v>
      </c>
      <c r="D2148">
        <v>33.15</v>
      </c>
      <c r="E2148" t="s">
        <v>44</v>
      </c>
      <c r="F2148" t="s">
        <v>2395</v>
      </c>
      <c r="G2148" t="s">
        <v>89</v>
      </c>
      <c r="H2148" t="s">
        <v>26</v>
      </c>
      <c r="I2148" t="s">
        <v>9460</v>
      </c>
      <c r="J2148">
        <v>49</v>
      </c>
      <c r="K2148" t="s">
        <v>37</v>
      </c>
      <c r="L2148" t="s">
        <v>119</v>
      </c>
      <c r="M2148" t="s">
        <v>27</v>
      </c>
      <c r="P2148" t="s">
        <v>28</v>
      </c>
      <c r="Q2148" t="s">
        <v>9461</v>
      </c>
      <c r="R2148" t="s">
        <v>9462</v>
      </c>
      <c r="S2148" t="s">
        <v>31</v>
      </c>
      <c r="T2148">
        <v>0</v>
      </c>
    </row>
    <row r="2149" spans="1:20" x14ac:dyDescent="0.25">
      <c r="A2149" t="s">
        <v>9463</v>
      </c>
      <c r="B2149" s="1">
        <v>45925</v>
      </c>
      <c r="C2149" s="5">
        <v>0.77180555555555552</v>
      </c>
      <c r="D2149">
        <v>117.36</v>
      </c>
      <c r="E2149" t="s">
        <v>44</v>
      </c>
      <c r="F2149" t="s">
        <v>1612</v>
      </c>
      <c r="G2149" t="s">
        <v>22</v>
      </c>
      <c r="H2149" t="s">
        <v>119</v>
      </c>
      <c r="I2149" t="s">
        <v>9464</v>
      </c>
      <c r="J2149">
        <v>40</v>
      </c>
      <c r="K2149" t="s">
        <v>25</v>
      </c>
      <c r="L2149" t="s">
        <v>38</v>
      </c>
      <c r="M2149" t="s">
        <v>51</v>
      </c>
      <c r="N2149" t="s">
        <v>173</v>
      </c>
      <c r="O2149">
        <v>463474</v>
      </c>
      <c r="P2149" t="s">
        <v>28</v>
      </c>
      <c r="Q2149" t="s">
        <v>9465</v>
      </c>
      <c r="R2149" t="s">
        <v>9466</v>
      </c>
      <c r="S2149" t="s">
        <v>31</v>
      </c>
      <c r="T2149">
        <v>0</v>
      </c>
    </row>
    <row r="2150" spans="1:20" x14ac:dyDescent="0.25">
      <c r="A2150" t="s">
        <v>9467</v>
      </c>
      <c r="B2150" s="1">
        <v>45950</v>
      </c>
      <c r="C2150" s="5">
        <v>0.26603009259259258</v>
      </c>
      <c r="D2150">
        <v>36.409999999999997</v>
      </c>
      <c r="E2150" t="s">
        <v>44</v>
      </c>
      <c r="F2150" t="s">
        <v>9468</v>
      </c>
      <c r="G2150" t="s">
        <v>96</v>
      </c>
      <c r="H2150" t="s">
        <v>146</v>
      </c>
      <c r="I2150" t="s">
        <v>9469</v>
      </c>
      <c r="J2150">
        <v>44</v>
      </c>
      <c r="K2150" t="s">
        <v>25</v>
      </c>
      <c r="L2150" t="s">
        <v>35</v>
      </c>
      <c r="M2150" t="s">
        <v>51</v>
      </c>
      <c r="N2150" t="s">
        <v>52</v>
      </c>
      <c r="O2150">
        <v>453600</v>
      </c>
      <c r="P2150" t="s">
        <v>28</v>
      </c>
      <c r="Q2150" t="s">
        <v>9470</v>
      </c>
      <c r="R2150" t="s">
        <v>9471</v>
      </c>
      <c r="S2150" t="s">
        <v>31</v>
      </c>
      <c r="T2150">
        <v>0</v>
      </c>
    </row>
    <row r="2151" spans="1:20" x14ac:dyDescent="0.25">
      <c r="A2151" t="s">
        <v>9472</v>
      </c>
      <c r="B2151" s="1">
        <v>45866</v>
      </c>
      <c r="C2151" s="5">
        <v>0.96137731481481481</v>
      </c>
      <c r="D2151">
        <v>47.38</v>
      </c>
      <c r="E2151" t="s">
        <v>44</v>
      </c>
      <c r="F2151" t="s">
        <v>1715</v>
      </c>
      <c r="G2151" t="s">
        <v>64</v>
      </c>
      <c r="H2151" t="s">
        <v>66</v>
      </c>
      <c r="I2151" t="s">
        <v>9473</v>
      </c>
      <c r="J2151">
        <v>34</v>
      </c>
      <c r="K2151" t="s">
        <v>25</v>
      </c>
      <c r="L2151" t="s">
        <v>47</v>
      </c>
      <c r="M2151" t="s">
        <v>27</v>
      </c>
      <c r="P2151" t="s">
        <v>28</v>
      </c>
      <c r="Q2151" t="s">
        <v>9474</v>
      </c>
      <c r="R2151" t="s">
        <v>9475</v>
      </c>
      <c r="S2151" t="s">
        <v>31</v>
      </c>
      <c r="T2151">
        <v>0</v>
      </c>
    </row>
    <row r="2152" spans="1:20" x14ac:dyDescent="0.25">
      <c r="A2152" t="s">
        <v>9476</v>
      </c>
      <c r="B2152" s="1">
        <v>45941</v>
      </c>
      <c r="C2152" s="5">
        <v>0.44835648148148149</v>
      </c>
      <c r="D2152">
        <v>119.49</v>
      </c>
      <c r="E2152" t="s">
        <v>44</v>
      </c>
      <c r="F2152" t="s">
        <v>5603</v>
      </c>
      <c r="G2152" t="s">
        <v>96</v>
      </c>
      <c r="H2152" t="s">
        <v>38</v>
      </c>
      <c r="I2152" t="s">
        <v>9477</v>
      </c>
      <c r="J2152">
        <v>32</v>
      </c>
      <c r="K2152" t="s">
        <v>25</v>
      </c>
      <c r="L2152" t="s">
        <v>146</v>
      </c>
      <c r="M2152" t="s">
        <v>27</v>
      </c>
      <c r="P2152" t="s">
        <v>28</v>
      </c>
      <c r="Q2152" t="s">
        <v>9478</v>
      </c>
      <c r="R2152" t="s">
        <v>7710</v>
      </c>
      <c r="S2152" t="s">
        <v>31</v>
      </c>
      <c r="T2152">
        <v>0</v>
      </c>
    </row>
    <row r="2153" spans="1:20" x14ac:dyDescent="0.25">
      <c r="A2153" t="s">
        <v>9479</v>
      </c>
      <c r="B2153" s="1">
        <v>45868</v>
      </c>
      <c r="C2153" s="5">
        <v>0.28232638888888889</v>
      </c>
      <c r="D2153">
        <v>55.36</v>
      </c>
      <c r="E2153" t="s">
        <v>44</v>
      </c>
      <c r="F2153" t="s">
        <v>3558</v>
      </c>
      <c r="G2153" t="s">
        <v>96</v>
      </c>
      <c r="H2153" t="s">
        <v>66</v>
      </c>
      <c r="I2153" t="s">
        <v>9480</v>
      </c>
      <c r="K2153" t="s">
        <v>37</v>
      </c>
      <c r="L2153" t="s">
        <v>146</v>
      </c>
      <c r="M2153" t="s">
        <v>27</v>
      </c>
      <c r="P2153" t="s">
        <v>28</v>
      </c>
      <c r="Q2153" t="s">
        <v>9481</v>
      </c>
      <c r="R2153" t="s">
        <v>9482</v>
      </c>
      <c r="S2153" t="s">
        <v>31</v>
      </c>
      <c r="T2153">
        <v>0</v>
      </c>
    </row>
    <row r="2154" spans="1:20" x14ac:dyDescent="0.25">
      <c r="A2154" t="s">
        <v>9483</v>
      </c>
      <c r="B2154" s="1">
        <v>45942</v>
      </c>
      <c r="C2154" s="5">
        <v>2.2789351851851852E-2</v>
      </c>
      <c r="D2154">
        <v>159.94999999999999</v>
      </c>
      <c r="E2154" t="s">
        <v>44</v>
      </c>
      <c r="F2154" t="s">
        <v>9312</v>
      </c>
      <c r="G2154" t="s">
        <v>34</v>
      </c>
      <c r="H2154" t="s">
        <v>130</v>
      </c>
      <c r="I2154" t="s">
        <v>9484</v>
      </c>
      <c r="J2154">
        <v>73</v>
      </c>
      <c r="K2154" t="s">
        <v>49</v>
      </c>
      <c r="L2154" t="s">
        <v>119</v>
      </c>
      <c r="M2154" t="s">
        <v>27</v>
      </c>
      <c r="P2154" t="s">
        <v>28</v>
      </c>
      <c r="Q2154" t="s">
        <v>9485</v>
      </c>
      <c r="R2154" t="s">
        <v>9486</v>
      </c>
      <c r="S2154" t="s">
        <v>101</v>
      </c>
      <c r="T2154">
        <v>1</v>
      </c>
    </row>
    <row r="2155" spans="1:20" x14ac:dyDescent="0.25">
      <c r="A2155" t="s">
        <v>9487</v>
      </c>
      <c r="B2155" s="1">
        <v>45832</v>
      </c>
      <c r="C2155" s="5">
        <v>0.94802083333333331</v>
      </c>
      <c r="D2155">
        <v>753.81</v>
      </c>
      <c r="E2155" t="s">
        <v>44</v>
      </c>
      <c r="F2155" t="s">
        <v>2457</v>
      </c>
      <c r="G2155" t="s">
        <v>96</v>
      </c>
      <c r="H2155" t="s">
        <v>91</v>
      </c>
      <c r="I2155" t="s">
        <v>9488</v>
      </c>
      <c r="J2155">
        <v>57</v>
      </c>
      <c r="K2155" t="s">
        <v>37</v>
      </c>
      <c r="L2155" t="s">
        <v>26</v>
      </c>
      <c r="M2155" t="s">
        <v>112</v>
      </c>
      <c r="P2155" t="s">
        <v>28</v>
      </c>
      <c r="Q2155" t="s">
        <v>9489</v>
      </c>
      <c r="R2155" t="s">
        <v>9490</v>
      </c>
      <c r="S2155" t="s">
        <v>31</v>
      </c>
      <c r="T2155">
        <v>0</v>
      </c>
    </row>
    <row r="2156" spans="1:20" x14ac:dyDescent="0.25">
      <c r="A2156" t="s">
        <v>9491</v>
      </c>
      <c r="B2156" s="1">
        <v>45793</v>
      </c>
      <c r="C2156" s="5">
        <v>0.67137731481481477</v>
      </c>
      <c r="D2156">
        <v>69.23</v>
      </c>
      <c r="E2156" t="s">
        <v>44</v>
      </c>
      <c r="F2156" t="s">
        <v>2404</v>
      </c>
      <c r="G2156" t="s">
        <v>89</v>
      </c>
      <c r="H2156" t="s">
        <v>91</v>
      </c>
      <c r="I2156" t="s">
        <v>9492</v>
      </c>
      <c r="J2156">
        <v>42</v>
      </c>
      <c r="K2156" t="s">
        <v>25</v>
      </c>
      <c r="L2156" t="s">
        <v>38</v>
      </c>
      <c r="M2156" t="s">
        <v>39</v>
      </c>
      <c r="P2156" t="s">
        <v>28</v>
      </c>
      <c r="Q2156" t="s">
        <v>9493</v>
      </c>
      <c r="R2156" t="s">
        <v>9494</v>
      </c>
      <c r="S2156" t="s">
        <v>31</v>
      </c>
      <c r="T2156">
        <v>0</v>
      </c>
    </row>
    <row r="2157" spans="1:20" x14ac:dyDescent="0.25">
      <c r="A2157" t="s">
        <v>9495</v>
      </c>
      <c r="B2157" s="1">
        <v>45868</v>
      </c>
      <c r="C2157" s="5">
        <v>0.6186342592592593</v>
      </c>
      <c r="D2157">
        <v>775.19</v>
      </c>
      <c r="E2157" t="s">
        <v>44</v>
      </c>
      <c r="F2157" t="s">
        <v>3986</v>
      </c>
      <c r="G2157" t="s">
        <v>64</v>
      </c>
      <c r="H2157" t="s">
        <v>26</v>
      </c>
      <c r="I2157" t="s">
        <v>9496</v>
      </c>
      <c r="J2157">
        <v>27</v>
      </c>
      <c r="K2157" t="s">
        <v>25</v>
      </c>
      <c r="L2157" t="s">
        <v>97</v>
      </c>
      <c r="M2157" t="s">
        <v>84</v>
      </c>
      <c r="P2157" t="s">
        <v>28</v>
      </c>
      <c r="Q2157" t="s">
        <v>9497</v>
      </c>
      <c r="R2157" t="s">
        <v>9498</v>
      </c>
      <c r="S2157" t="s">
        <v>101</v>
      </c>
      <c r="T2157">
        <v>0</v>
      </c>
    </row>
    <row r="2158" spans="1:20" x14ac:dyDescent="0.25">
      <c r="A2158" t="s">
        <v>9499</v>
      </c>
      <c r="B2158" s="1">
        <v>45838</v>
      </c>
      <c r="C2158" s="5">
        <v>0.50314814814814812</v>
      </c>
      <c r="D2158">
        <v>118.67</v>
      </c>
      <c r="E2158" t="s">
        <v>44</v>
      </c>
      <c r="F2158" t="s">
        <v>1632</v>
      </c>
      <c r="G2158" t="s">
        <v>96</v>
      </c>
      <c r="H2158" t="s">
        <v>146</v>
      </c>
      <c r="I2158" t="s">
        <v>9500</v>
      </c>
      <c r="J2158">
        <v>19</v>
      </c>
      <c r="K2158" t="s">
        <v>37</v>
      </c>
      <c r="L2158" t="s">
        <v>110</v>
      </c>
      <c r="M2158" t="s">
        <v>105</v>
      </c>
      <c r="P2158" t="s">
        <v>28</v>
      </c>
      <c r="Q2158" t="s">
        <v>9501</v>
      </c>
      <c r="R2158" t="s">
        <v>9502</v>
      </c>
      <c r="S2158" t="s">
        <v>31</v>
      </c>
      <c r="T2158">
        <v>0</v>
      </c>
    </row>
    <row r="2159" spans="1:20" x14ac:dyDescent="0.25">
      <c r="A2159" t="s">
        <v>9503</v>
      </c>
      <c r="B2159" s="1">
        <v>45902</v>
      </c>
      <c r="C2159" s="5">
        <v>0.36964120370370368</v>
      </c>
      <c r="D2159">
        <v>61.76</v>
      </c>
      <c r="E2159" t="s">
        <v>44</v>
      </c>
      <c r="F2159" t="s">
        <v>8421</v>
      </c>
      <c r="G2159" t="s">
        <v>124</v>
      </c>
      <c r="H2159" t="s">
        <v>146</v>
      </c>
      <c r="I2159" t="s">
        <v>9504</v>
      </c>
      <c r="J2159">
        <v>43</v>
      </c>
      <c r="K2159" t="s">
        <v>25</v>
      </c>
      <c r="L2159" t="s">
        <v>23</v>
      </c>
      <c r="M2159" t="s">
        <v>27</v>
      </c>
      <c r="P2159" t="s">
        <v>28</v>
      </c>
      <c r="Q2159" t="s">
        <v>9505</v>
      </c>
      <c r="R2159" t="s">
        <v>9506</v>
      </c>
      <c r="S2159" t="s">
        <v>31</v>
      </c>
      <c r="T2159">
        <v>0</v>
      </c>
    </row>
    <row r="2160" spans="1:20" x14ac:dyDescent="0.25">
      <c r="A2160" t="s">
        <v>9507</v>
      </c>
      <c r="B2160" s="1">
        <v>45879</v>
      </c>
      <c r="C2160" s="5">
        <v>4.2627314814814812E-2</v>
      </c>
      <c r="D2160">
        <v>93.66</v>
      </c>
      <c r="E2160" t="s">
        <v>44</v>
      </c>
      <c r="F2160" t="s">
        <v>2044</v>
      </c>
      <c r="G2160" t="s">
        <v>64</v>
      </c>
      <c r="H2160" t="s">
        <v>248</v>
      </c>
      <c r="I2160" t="s">
        <v>9508</v>
      </c>
      <c r="J2160">
        <v>48</v>
      </c>
      <c r="K2160" t="s">
        <v>25</v>
      </c>
      <c r="L2160" t="s">
        <v>38</v>
      </c>
      <c r="M2160" t="s">
        <v>105</v>
      </c>
      <c r="P2160" t="s">
        <v>28</v>
      </c>
      <c r="Q2160" t="s">
        <v>9509</v>
      </c>
      <c r="R2160" t="s">
        <v>9510</v>
      </c>
      <c r="S2160" t="s">
        <v>31</v>
      </c>
      <c r="T2160">
        <v>0</v>
      </c>
    </row>
    <row r="2161" spans="1:20" x14ac:dyDescent="0.25">
      <c r="A2161" t="s">
        <v>9511</v>
      </c>
      <c r="B2161" s="1">
        <v>45789</v>
      </c>
      <c r="C2161" s="5">
        <v>4.8263888888888887E-3</v>
      </c>
      <c r="D2161">
        <v>181.54</v>
      </c>
      <c r="E2161" t="s">
        <v>44</v>
      </c>
      <c r="F2161" t="s">
        <v>3216</v>
      </c>
      <c r="G2161" t="s">
        <v>96</v>
      </c>
      <c r="H2161" t="s">
        <v>23</v>
      </c>
      <c r="I2161" t="s">
        <v>1725</v>
      </c>
      <c r="J2161">
        <v>12</v>
      </c>
      <c r="K2161" t="s">
        <v>49</v>
      </c>
      <c r="L2161" t="s">
        <v>97</v>
      </c>
      <c r="M2161" t="s">
        <v>84</v>
      </c>
      <c r="P2161" t="s">
        <v>28</v>
      </c>
      <c r="Q2161" t="s">
        <v>9512</v>
      </c>
      <c r="R2161" t="s">
        <v>9513</v>
      </c>
      <c r="S2161" t="s">
        <v>31</v>
      </c>
      <c r="T2161">
        <v>0</v>
      </c>
    </row>
    <row r="2162" spans="1:20" x14ac:dyDescent="0.25">
      <c r="A2162" t="s">
        <v>9514</v>
      </c>
      <c r="B2162" s="1">
        <v>45821</v>
      </c>
      <c r="C2162" s="5">
        <v>0.46428240740740739</v>
      </c>
      <c r="D2162">
        <v>161.51</v>
      </c>
      <c r="E2162" t="s">
        <v>44</v>
      </c>
      <c r="F2162" t="s">
        <v>2452</v>
      </c>
      <c r="G2162" t="s">
        <v>89</v>
      </c>
      <c r="H2162" t="s">
        <v>146</v>
      </c>
      <c r="I2162" t="s">
        <v>9515</v>
      </c>
      <c r="J2162">
        <v>51</v>
      </c>
      <c r="K2162" t="s">
        <v>37</v>
      </c>
      <c r="L2162" t="s">
        <v>110</v>
      </c>
      <c r="M2162" t="s">
        <v>84</v>
      </c>
      <c r="P2162" t="s">
        <v>28</v>
      </c>
      <c r="Q2162" t="s">
        <v>9516</v>
      </c>
      <c r="R2162" t="s">
        <v>9517</v>
      </c>
      <c r="S2162" t="s">
        <v>31</v>
      </c>
      <c r="T2162">
        <v>0</v>
      </c>
    </row>
    <row r="2163" spans="1:20" x14ac:dyDescent="0.25">
      <c r="A2163" t="s">
        <v>9518</v>
      </c>
      <c r="B2163" s="1">
        <v>45893</v>
      </c>
      <c r="C2163" s="5">
        <v>0.45624999999999999</v>
      </c>
      <c r="D2163">
        <v>724.48</v>
      </c>
      <c r="E2163" t="s">
        <v>44</v>
      </c>
      <c r="F2163" t="s">
        <v>5782</v>
      </c>
      <c r="G2163" t="s">
        <v>71</v>
      </c>
      <c r="H2163" t="s">
        <v>26</v>
      </c>
      <c r="I2163" t="s">
        <v>9519</v>
      </c>
      <c r="J2163">
        <v>73</v>
      </c>
      <c r="K2163" t="s">
        <v>49</v>
      </c>
      <c r="L2163" t="s">
        <v>50</v>
      </c>
      <c r="M2163" t="s">
        <v>105</v>
      </c>
      <c r="P2163" t="s">
        <v>28</v>
      </c>
      <c r="Q2163" t="s">
        <v>9520</v>
      </c>
      <c r="R2163" t="s">
        <v>9521</v>
      </c>
      <c r="S2163" t="s">
        <v>31</v>
      </c>
      <c r="T2163">
        <v>0</v>
      </c>
    </row>
    <row r="2164" spans="1:20" x14ac:dyDescent="0.25">
      <c r="A2164" t="s">
        <v>9522</v>
      </c>
      <c r="B2164" s="1">
        <v>45780</v>
      </c>
      <c r="C2164" s="5">
        <v>0.833125</v>
      </c>
      <c r="D2164">
        <v>114.49</v>
      </c>
      <c r="E2164" t="s">
        <v>44</v>
      </c>
      <c r="F2164" t="s">
        <v>1366</v>
      </c>
      <c r="G2164" t="s">
        <v>22</v>
      </c>
      <c r="H2164" t="s">
        <v>130</v>
      </c>
      <c r="I2164" t="s">
        <v>9523</v>
      </c>
      <c r="J2164">
        <v>57</v>
      </c>
      <c r="K2164" t="s">
        <v>37</v>
      </c>
      <c r="L2164" t="s">
        <v>58</v>
      </c>
      <c r="M2164" t="s">
        <v>51</v>
      </c>
      <c r="N2164" t="s">
        <v>304</v>
      </c>
      <c r="O2164">
        <v>425344</v>
      </c>
      <c r="P2164" t="s">
        <v>28</v>
      </c>
      <c r="Q2164" t="s">
        <v>9524</v>
      </c>
      <c r="R2164" t="s">
        <v>9525</v>
      </c>
      <c r="S2164" t="s">
        <v>31</v>
      </c>
      <c r="T2164">
        <v>0</v>
      </c>
    </row>
    <row r="2165" spans="1:20" x14ac:dyDescent="0.25">
      <c r="A2165" t="s">
        <v>9526</v>
      </c>
      <c r="B2165" s="1">
        <v>45786</v>
      </c>
      <c r="C2165" s="5">
        <v>0.31540509259259258</v>
      </c>
      <c r="D2165">
        <v>95.78</v>
      </c>
      <c r="E2165" t="s">
        <v>44</v>
      </c>
      <c r="F2165" t="s">
        <v>4329</v>
      </c>
      <c r="G2165" t="s">
        <v>64</v>
      </c>
      <c r="H2165" t="s">
        <v>110</v>
      </c>
      <c r="I2165" t="s">
        <v>9527</v>
      </c>
      <c r="J2165">
        <v>57</v>
      </c>
      <c r="K2165" t="s">
        <v>25</v>
      </c>
      <c r="L2165" t="s">
        <v>130</v>
      </c>
      <c r="M2165" t="s">
        <v>39</v>
      </c>
      <c r="P2165" t="s">
        <v>28</v>
      </c>
      <c r="Q2165" t="s">
        <v>9528</v>
      </c>
      <c r="R2165" t="s">
        <v>9529</v>
      </c>
      <c r="S2165" t="s">
        <v>31</v>
      </c>
      <c r="T2165">
        <v>0</v>
      </c>
    </row>
    <row r="2166" spans="1:20" x14ac:dyDescent="0.25">
      <c r="A2166" t="s">
        <v>9530</v>
      </c>
      <c r="B2166" s="1">
        <v>45886</v>
      </c>
      <c r="C2166" s="5">
        <v>0.92820601851851847</v>
      </c>
      <c r="D2166">
        <v>82.65</v>
      </c>
      <c r="E2166" t="s">
        <v>44</v>
      </c>
      <c r="F2166" t="s">
        <v>318</v>
      </c>
      <c r="G2166" t="s">
        <v>124</v>
      </c>
      <c r="H2166" t="s">
        <v>66</v>
      </c>
      <c r="I2166" t="s">
        <v>9531</v>
      </c>
      <c r="J2166">
        <v>67</v>
      </c>
      <c r="K2166" t="s">
        <v>37</v>
      </c>
      <c r="L2166" t="s">
        <v>23</v>
      </c>
      <c r="M2166" t="s">
        <v>84</v>
      </c>
      <c r="P2166" t="s">
        <v>28</v>
      </c>
      <c r="Q2166" t="s">
        <v>9532</v>
      </c>
      <c r="R2166" t="s">
        <v>9533</v>
      </c>
      <c r="S2166" t="s">
        <v>31</v>
      </c>
      <c r="T2166">
        <v>0</v>
      </c>
    </row>
    <row r="2167" spans="1:20" x14ac:dyDescent="0.25">
      <c r="A2167" t="s">
        <v>9534</v>
      </c>
      <c r="B2167" s="1">
        <v>45808</v>
      </c>
      <c r="C2167" s="5">
        <v>0.88931712962962961</v>
      </c>
      <c r="D2167">
        <v>354.11</v>
      </c>
      <c r="E2167" t="s">
        <v>44</v>
      </c>
      <c r="F2167" t="s">
        <v>4950</v>
      </c>
      <c r="G2167" t="s">
        <v>46</v>
      </c>
      <c r="H2167" t="s">
        <v>58</v>
      </c>
      <c r="I2167" t="s">
        <v>9535</v>
      </c>
      <c r="J2167">
        <v>34</v>
      </c>
      <c r="K2167" t="s">
        <v>37</v>
      </c>
      <c r="L2167" t="s">
        <v>110</v>
      </c>
      <c r="M2167" t="s">
        <v>27</v>
      </c>
      <c r="P2167" t="s">
        <v>28</v>
      </c>
      <c r="Q2167" t="s">
        <v>9536</v>
      </c>
      <c r="R2167" t="s">
        <v>9537</v>
      </c>
      <c r="S2167" t="s">
        <v>31</v>
      </c>
      <c r="T2167">
        <v>0</v>
      </c>
    </row>
    <row r="2168" spans="1:20" x14ac:dyDescent="0.25">
      <c r="A2168" t="s">
        <v>9538</v>
      </c>
      <c r="B2168" s="1">
        <v>45780</v>
      </c>
      <c r="C2168" s="5">
        <v>0.94789351851851855</v>
      </c>
      <c r="D2168">
        <v>117.16</v>
      </c>
      <c r="E2168" t="s">
        <v>44</v>
      </c>
      <c r="F2168" t="s">
        <v>1578</v>
      </c>
      <c r="G2168" t="s">
        <v>64</v>
      </c>
      <c r="H2168" t="s">
        <v>58</v>
      </c>
      <c r="I2168" t="s">
        <v>8331</v>
      </c>
      <c r="J2168">
        <v>55</v>
      </c>
      <c r="K2168" t="s">
        <v>37</v>
      </c>
      <c r="L2168" t="s">
        <v>47</v>
      </c>
      <c r="M2168" t="s">
        <v>27</v>
      </c>
      <c r="P2168" t="s">
        <v>28</v>
      </c>
      <c r="Q2168" t="s">
        <v>9539</v>
      </c>
      <c r="R2168" t="s">
        <v>9540</v>
      </c>
      <c r="S2168" t="s">
        <v>31</v>
      </c>
      <c r="T2168">
        <v>0</v>
      </c>
    </row>
    <row r="2169" spans="1:20" x14ac:dyDescent="0.25">
      <c r="A2169" t="s">
        <v>9541</v>
      </c>
      <c r="B2169" s="1">
        <v>45856</v>
      </c>
      <c r="C2169" s="5">
        <v>0.34795138888888888</v>
      </c>
      <c r="D2169">
        <v>119.27</v>
      </c>
      <c r="E2169" t="s">
        <v>44</v>
      </c>
      <c r="F2169" t="s">
        <v>1361</v>
      </c>
      <c r="G2169" t="s">
        <v>71</v>
      </c>
      <c r="H2169" t="s">
        <v>97</v>
      </c>
      <c r="I2169" t="s">
        <v>9542</v>
      </c>
      <c r="J2169">
        <v>31</v>
      </c>
      <c r="K2169" t="s">
        <v>25</v>
      </c>
      <c r="L2169" t="s">
        <v>146</v>
      </c>
      <c r="M2169" t="s">
        <v>112</v>
      </c>
      <c r="P2169" t="s">
        <v>28</v>
      </c>
      <c r="Q2169" t="s">
        <v>9543</v>
      </c>
      <c r="R2169" t="s">
        <v>9544</v>
      </c>
      <c r="S2169" t="s">
        <v>31</v>
      </c>
      <c r="T2169">
        <v>0</v>
      </c>
    </row>
    <row r="2170" spans="1:20" x14ac:dyDescent="0.25">
      <c r="A2170" t="s">
        <v>9545</v>
      </c>
      <c r="B2170" s="1">
        <v>45836</v>
      </c>
      <c r="C2170" s="5">
        <v>0.72292824074074069</v>
      </c>
      <c r="D2170">
        <v>89.9</v>
      </c>
      <c r="E2170" t="s">
        <v>44</v>
      </c>
      <c r="F2170" t="s">
        <v>5115</v>
      </c>
      <c r="G2170" t="s">
        <v>57</v>
      </c>
      <c r="H2170" t="s">
        <v>91</v>
      </c>
      <c r="I2170" t="s">
        <v>9546</v>
      </c>
      <c r="J2170">
        <v>22</v>
      </c>
      <c r="K2170" t="s">
        <v>49</v>
      </c>
      <c r="L2170" t="s">
        <v>248</v>
      </c>
      <c r="M2170" t="s">
        <v>27</v>
      </c>
      <c r="P2170" t="s">
        <v>28</v>
      </c>
      <c r="Q2170" t="s">
        <v>9547</v>
      </c>
      <c r="R2170" t="s">
        <v>9548</v>
      </c>
      <c r="S2170" t="s">
        <v>31</v>
      </c>
      <c r="T2170">
        <v>0</v>
      </c>
    </row>
    <row r="2171" spans="1:20" x14ac:dyDescent="0.25">
      <c r="A2171" t="s">
        <v>9549</v>
      </c>
      <c r="B2171" s="1">
        <v>45795</v>
      </c>
      <c r="C2171" s="5">
        <v>0.15104166666666666</v>
      </c>
      <c r="D2171">
        <v>28.66</v>
      </c>
      <c r="E2171" t="s">
        <v>44</v>
      </c>
      <c r="F2171" t="s">
        <v>5472</v>
      </c>
      <c r="G2171" t="s">
        <v>96</v>
      </c>
      <c r="H2171" t="s">
        <v>97</v>
      </c>
      <c r="I2171" t="s">
        <v>9550</v>
      </c>
      <c r="J2171">
        <v>26</v>
      </c>
      <c r="K2171" t="s">
        <v>37</v>
      </c>
      <c r="L2171" t="s">
        <v>97</v>
      </c>
      <c r="M2171" t="s">
        <v>27</v>
      </c>
      <c r="P2171" t="s">
        <v>113</v>
      </c>
      <c r="Q2171" t="s">
        <v>9551</v>
      </c>
      <c r="R2171" t="s">
        <v>9552</v>
      </c>
      <c r="S2171" t="s">
        <v>42</v>
      </c>
      <c r="T2171">
        <v>0</v>
      </c>
    </row>
    <row r="2172" spans="1:20" x14ac:dyDescent="0.25">
      <c r="A2172" t="s">
        <v>9553</v>
      </c>
      <c r="B2172" s="1">
        <v>45845</v>
      </c>
      <c r="C2172" s="5">
        <v>0.20487268518518517</v>
      </c>
      <c r="D2172">
        <v>156.55000000000001</v>
      </c>
      <c r="E2172" t="s">
        <v>44</v>
      </c>
      <c r="F2172" t="s">
        <v>3758</v>
      </c>
      <c r="G2172" t="s">
        <v>96</v>
      </c>
      <c r="H2172" t="s">
        <v>47</v>
      </c>
      <c r="I2172" t="s">
        <v>9554</v>
      </c>
      <c r="J2172">
        <v>55</v>
      </c>
      <c r="K2172" t="s">
        <v>49</v>
      </c>
      <c r="L2172" t="s">
        <v>248</v>
      </c>
      <c r="M2172" t="s">
        <v>84</v>
      </c>
      <c r="P2172" t="s">
        <v>28</v>
      </c>
      <c r="Q2172" t="s">
        <v>9555</v>
      </c>
      <c r="R2172" t="s">
        <v>9556</v>
      </c>
      <c r="S2172" t="s">
        <v>31</v>
      </c>
      <c r="T2172">
        <v>0</v>
      </c>
    </row>
    <row r="2173" spans="1:20" x14ac:dyDescent="0.25">
      <c r="A2173" t="s">
        <v>9557</v>
      </c>
      <c r="B2173" s="1">
        <v>45795</v>
      </c>
      <c r="C2173" s="5">
        <v>0.85546296296296298</v>
      </c>
      <c r="D2173">
        <v>87.64</v>
      </c>
      <c r="E2173" t="s">
        <v>44</v>
      </c>
      <c r="F2173" t="s">
        <v>5058</v>
      </c>
      <c r="G2173" t="s">
        <v>124</v>
      </c>
      <c r="H2173" t="s">
        <v>38</v>
      </c>
      <c r="I2173" t="s">
        <v>9558</v>
      </c>
      <c r="J2173">
        <v>28</v>
      </c>
      <c r="K2173" t="s">
        <v>49</v>
      </c>
      <c r="L2173" t="s">
        <v>38</v>
      </c>
      <c r="M2173" t="s">
        <v>105</v>
      </c>
      <c r="P2173" t="s">
        <v>113</v>
      </c>
      <c r="Q2173" t="s">
        <v>9559</v>
      </c>
      <c r="R2173" t="s">
        <v>9560</v>
      </c>
      <c r="S2173" t="s">
        <v>31</v>
      </c>
      <c r="T2173">
        <v>0</v>
      </c>
    </row>
    <row r="2174" spans="1:20" x14ac:dyDescent="0.25">
      <c r="A2174" t="s">
        <v>9561</v>
      </c>
      <c r="B2174" s="1">
        <v>45916</v>
      </c>
      <c r="C2174" s="5">
        <v>0.31589120370370372</v>
      </c>
      <c r="D2174">
        <v>32.86</v>
      </c>
      <c r="E2174" t="s">
        <v>44</v>
      </c>
      <c r="F2174" t="s">
        <v>9562</v>
      </c>
      <c r="G2174" t="s">
        <v>89</v>
      </c>
      <c r="H2174" t="s">
        <v>58</v>
      </c>
      <c r="I2174" t="s">
        <v>9563</v>
      </c>
      <c r="J2174">
        <v>25</v>
      </c>
      <c r="K2174" t="s">
        <v>49</v>
      </c>
      <c r="L2174" t="s">
        <v>50</v>
      </c>
      <c r="M2174" t="s">
        <v>105</v>
      </c>
      <c r="P2174" t="s">
        <v>28</v>
      </c>
      <c r="Q2174" t="s">
        <v>9564</v>
      </c>
      <c r="R2174" t="s">
        <v>9565</v>
      </c>
      <c r="S2174" t="s">
        <v>31</v>
      </c>
      <c r="T2174">
        <v>0</v>
      </c>
    </row>
    <row r="2175" spans="1:20" x14ac:dyDescent="0.25">
      <c r="A2175" t="s">
        <v>9566</v>
      </c>
      <c r="B2175" s="1">
        <v>45851</v>
      </c>
      <c r="C2175" s="5">
        <v>0.25415509259259261</v>
      </c>
      <c r="D2175">
        <v>5.83</v>
      </c>
      <c r="E2175" t="s">
        <v>44</v>
      </c>
      <c r="F2175" t="s">
        <v>4852</v>
      </c>
      <c r="G2175" t="s">
        <v>34</v>
      </c>
      <c r="H2175" t="s">
        <v>91</v>
      </c>
      <c r="I2175" t="s">
        <v>9567</v>
      </c>
      <c r="J2175">
        <v>33</v>
      </c>
      <c r="K2175" t="s">
        <v>49</v>
      </c>
      <c r="L2175" t="s">
        <v>91</v>
      </c>
      <c r="M2175" t="s">
        <v>105</v>
      </c>
      <c r="P2175" t="s">
        <v>113</v>
      </c>
      <c r="Q2175" t="s">
        <v>9568</v>
      </c>
      <c r="R2175" t="s">
        <v>9569</v>
      </c>
      <c r="S2175" t="s">
        <v>31</v>
      </c>
      <c r="T2175">
        <v>0</v>
      </c>
    </row>
    <row r="2176" spans="1:20" x14ac:dyDescent="0.25">
      <c r="A2176" t="s">
        <v>9570</v>
      </c>
      <c r="B2176" s="1">
        <v>45930</v>
      </c>
      <c r="C2176" s="5">
        <v>0.5302662037037037</v>
      </c>
      <c r="D2176">
        <v>132.26</v>
      </c>
      <c r="E2176" t="s">
        <v>44</v>
      </c>
      <c r="F2176" t="s">
        <v>959</v>
      </c>
      <c r="G2176" t="s">
        <v>22</v>
      </c>
      <c r="H2176" t="s">
        <v>38</v>
      </c>
      <c r="I2176" t="s">
        <v>9571</v>
      </c>
      <c r="J2176">
        <v>67</v>
      </c>
      <c r="K2176" t="s">
        <v>37</v>
      </c>
      <c r="L2176" t="s">
        <v>91</v>
      </c>
      <c r="M2176" t="s">
        <v>105</v>
      </c>
      <c r="P2176" t="s">
        <v>28</v>
      </c>
      <c r="Q2176" t="s">
        <v>9572</v>
      </c>
      <c r="R2176" t="s">
        <v>9573</v>
      </c>
      <c r="S2176" t="s">
        <v>31</v>
      </c>
      <c r="T2176">
        <v>0</v>
      </c>
    </row>
    <row r="2177" spans="1:20" x14ac:dyDescent="0.25">
      <c r="A2177" t="s">
        <v>9574</v>
      </c>
      <c r="B2177" s="1">
        <v>45871</v>
      </c>
      <c r="C2177" s="5">
        <v>0.8205324074074074</v>
      </c>
      <c r="D2177">
        <v>63.11</v>
      </c>
      <c r="E2177" t="s">
        <v>44</v>
      </c>
      <c r="F2177" t="s">
        <v>171</v>
      </c>
      <c r="G2177" t="s">
        <v>96</v>
      </c>
      <c r="H2177" t="s">
        <v>130</v>
      </c>
      <c r="I2177" t="s">
        <v>9575</v>
      </c>
      <c r="J2177">
        <v>27</v>
      </c>
      <c r="K2177" t="s">
        <v>25</v>
      </c>
      <c r="L2177" t="s">
        <v>130</v>
      </c>
      <c r="M2177" t="s">
        <v>39</v>
      </c>
      <c r="P2177" t="s">
        <v>113</v>
      </c>
      <c r="Q2177" t="s">
        <v>9576</v>
      </c>
      <c r="R2177" t="s">
        <v>9577</v>
      </c>
      <c r="S2177" t="s">
        <v>31</v>
      </c>
      <c r="T2177">
        <v>0</v>
      </c>
    </row>
    <row r="2178" spans="1:20" x14ac:dyDescent="0.25">
      <c r="A2178" t="s">
        <v>9578</v>
      </c>
      <c r="B2178" s="1">
        <v>45877</v>
      </c>
      <c r="C2178" s="5">
        <v>0.43408564814814815</v>
      </c>
      <c r="D2178">
        <v>1.97</v>
      </c>
      <c r="E2178" t="s">
        <v>44</v>
      </c>
      <c r="F2178" t="s">
        <v>5603</v>
      </c>
      <c r="G2178" t="s">
        <v>124</v>
      </c>
      <c r="H2178" t="s">
        <v>248</v>
      </c>
      <c r="I2178" t="s">
        <v>9579</v>
      </c>
      <c r="J2178">
        <v>29</v>
      </c>
      <c r="K2178" t="s">
        <v>25</v>
      </c>
      <c r="L2178" t="s">
        <v>50</v>
      </c>
      <c r="M2178" t="s">
        <v>39</v>
      </c>
      <c r="P2178" t="s">
        <v>28</v>
      </c>
      <c r="Q2178" t="s">
        <v>9580</v>
      </c>
      <c r="R2178" t="s">
        <v>9581</v>
      </c>
      <c r="S2178" t="s">
        <v>31</v>
      </c>
      <c r="T2178">
        <v>0</v>
      </c>
    </row>
    <row r="2179" spans="1:20" x14ac:dyDescent="0.25">
      <c r="A2179" t="s">
        <v>9582</v>
      </c>
      <c r="B2179" s="1">
        <v>45947</v>
      </c>
      <c r="C2179" s="5">
        <v>0.44842592592592595</v>
      </c>
      <c r="D2179">
        <v>54.38</v>
      </c>
      <c r="E2179" t="s">
        <v>44</v>
      </c>
      <c r="F2179" t="s">
        <v>883</v>
      </c>
      <c r="G2179" t="s">
        <v>46</v>
      </c>
      <c r="H2179" t="s">
        <v>119</v>
      </c>
      <c r="I2179" t="s">
        <v>9583</v>
      </c>
      <c r="J2179">
        <v>53</v>
      </c>
      <c r="K2179" t="s">
        <v>37</v>
      </c>
      <c r="L2179" t="s">
        <v>130</v>
      </c>
      <c r="M2179" t="s">
        <v>39</v>
      </c>
      <c r="P2179" t="s">
        <v>28</v>
      </c>
      <c r="Q2179" t="s">
        <v>9584</v>
      </c>
      <c r="R2179" t="s">
        <v>9585</v>
      </c>
      <c r="S2179" t="s">
        <v>31</v>
      </c>
      <c r="T2179">
        <v>0</v>
      </c>
    </row>
    <row r="2180" spans="1:20" x14ac:dyDescent="0.25">
      <c r="A2180" t="s">
        <v>9586</v>
      </c>
      <c r="B2180" s="1">
        <v>45919</v>
      </c>
      <c r="C2180" s="5">
        <v>0.57151620370370371</v>
      </c>
      <c r="D2180">
        <v>120.14</v>
      </c>
      <c r="E2180" t="s">
        <v>44</v>
      </c>
      <c r="F2180" t="s">
        <v>7816</v>
      </c>
      <c r="G2180" t="s">
        <v>71</v>
      </c>
      <c r="H2180" t="s">
        <v>38</v>
      </c>
      <c r="I2180" t="s">
        <v>9195</v>
      </c>
      <c r="J2180">
        <v>18</v>
      </c>
      <c r="K2180" t="s">
        <v>25</v>
      </c>
      <c r="L2180" t="s">
        <v>35</v>
      </c>
      <c r="M2180" t="s">
        <v>27</v>
      </c>
      <c r="P2180" t="s">
        <v>28</v>
      </c>
      <c r="Q2180" t="s">
        <v>9587</v>
      </c>
      <c r="R2180" t="s">
        <v>9588</v>
      </c>
      <c r="S2180" t="s">
        <v>31</v>
      </c>
      <c r="T2180">
        <v>0</v>
      </c>
    </row>
    <row r="2181" spans="1:20" x14ac:dyDescent="0.25">
      <c r="A2181" t="s">
        <v>9589</v>
      </c>
      <c r="B2181" s="1">
        <v>45932</v>
      </c>
      <c r="C2181" s="5">
        <v>0.22976851851851851</v>
      </c>
      <c r="D2181">
        <v>4005.91</v>
      </c>
      <c r="E2181" t="s">
        <v>44</v>
      </c>
      <c r="F2181" t="s">
        <v>1490</v>
      </c>
      <c r="G2181" t="s">
        <v>77</v>
      </c>
      <c r="H2181" t="s">
        <v>35</v>
      </c>
      <c r="I2181" t="s">
        <v>9590</v>
      </c>
      <c r="J2181">
        <v>50</v>
      </c>
      <c r="K2181" t="s">
        <v>25</v>
      </c>
      <c r="L2181" t="s">
        <v>58</v>
      </c>
      <c r="M2181" t="s">
        <v>105</v>
      </c>
      <c r="P2181" t="s">
        <v>28</v>
      </c>
      <c r="Q2181" t="s">
        <v>9591</v>
      </c>
      <c r="R2181" t="s">
        <v>9592</v>
      </c>
      <c r="S2181" t="s">
        <v>31</v>
      </c>
      <c r="T2181">
        <v>0</v>
      </c>
    </row>
    <row r="2182" spans="1:20" x14ac:dyDescent="0.25">
      <c r="A2182" t="s">
        <v>9593</v>
      </c>
      <c r="B2182" s="1">
        <v>45900</v>
      </c>
      <c r="C2182" s="5">
        <v>0.61429398148148151</v>
      </c>
      <c r="D2182">
        <v>82.16</v>
      </c>
      <c r="E2182" t="s">
        <v>44</v>
      </c>
      <c r="F2182" t="s">
        <v>824</v>
      </c>
      <c r="G2182" t="s">
        <v>57</v>
      </c>
      <c r="H2182" t="s">
        <v>58</v>
      </c>
      <c r="I2182" t="s">
        <v>9594</v>
      </c>
      <c r="J2182">
        <v>21</v>
      </c>
      <c r="K2182" t="s">
        <v>49</v>
      </c>
      <c r="L2182" t="s">
        <v>130</v>
      </c>
      <c r="M2182" t="s">
        <v>105</v>
      </c>
      <c r="P2182" t="s">
        <v>28</v>
      </c>
      <c r="Q2182" t="s">
        <v>9595</v>
      </c>
      <c r="R2182" t="s">
        <v>9596</v>
      </c>
      <c r="S2182" t="s">
        <v>31</v>
      </c>
      <c r="T2182">
        <v>0</v>
      </c>
    </row>
    <row r="2183" spans="1:20" x14ac:dyDescent="0.25">
      <c r="A2183" t="s">
        <v>9597</v>
      </c>
      <c r="B2183" s="1">
        <v>45920</v>
      </c>
      <c r="C2183" s="5">
        <v>0.58888888888888891</v>
      </c>
      <c r="D2183">
        <v>67.42</v>
      </c>
      <c r="E2183" t="s">
        <v>44</v>
      </c>
      <c r="F2183" t="s">
        <v>3951</v>
      </c>
      <c r="G2183" t="s">
        <v>46</v>
      </c>
      <c r="H2183" t="s">
        <v>66</v>
      </c>
      <c r="I2183" t="s">
        <v>9598</v>
      </c>
      <c r="J2183">
        <v>58</v>
      </c>
      <c r="K2183" t="s">
        <v>37</v>
      </c>
      <c r="L2183" t="s">
        <v>23</v>
      </c>
      <c r="M2183" t="s">
        <v>112</v>
      </c>
      <c r="P2183" t="s">
        <v>28</v>
      </c>
      <c r="Q2183" t="s">
        <v>9599</v>
      </c>
      <c r="R2183" t="s">
        <v>9600</v>
      </c>
      <c r="S2183" t="s">
        <v>31</v>
      </c>
      <c r="T2183">
        <v>0</v>
      </c>
    </row>
    <row r="2184" spans="1:20" x14ac:dyDescent="0.25">
      <c r="A2184" t="s">
        <v>9601</v>
      </c>
      <c r="B2184" s="1">
        <v>45899</v>
      </c>
      <c r="C2184" s="5">
        <v>0.8394907407407407</v>
      </c>
      <c r="D2184">
        <v>16.87</v>
      </c>
      <c r="E2184" t="s">
        <v>44</v>
      </c>
      <c r="F2184" t="s">
        <v>7403</v>
      </c>
      <c r="G2184" t="s">
        <v>57</v>
      </c>
      <c r="H2184" t="s">
        <v>38</v>
      </c>
      <c r="I2184" t="s">
        <v>9602</v>
      </c>
      <c r="J2184">
        <v>58</v>
      </c>
      <c r="K2184" t="s">
        <v>25</v>
      </c>
      <c r="L2184" t="s">
        <v>23</v>
      </c>
      <c r="M2184" t="s">
        <v>105</v>
      </c>
      <c r="P2184" t="s">
        <v>28</v>
      </c>
      <c r="Q2184" t="s">
        <v>9603</v>
      </c>
      <c r="R2184" t="s">
        <v>9604</v>
      </c>
      <c r="S2184" t="s">
        <v>31</v>
      </c>
      <c r="T2184">
        <v>0</v>
      </c>
    </row>
    <row r="2185" spans="1:20" x14ac:dyDescent="0.25">
      <c r="A2185" t="s">
        <v>9605</v>
      </c>
      <c r="B2185" s="1">
        <v>45887</v>
      </c>
      <c r="C2185" s="5">
        <v>0.34752314814814816</v>
      </c>
      <c r="D2185">
        <v>94.01</v>
      </c>
      <c r="E2185" t="s">
        <v>44</v>
      </c>
      <c r="F2185" t="s">
        <v>946</v>
      </c>
      <c r="G2185" t="s">
        <v>64</v>
      </c>
      <c r="H2185" t="s">
        <v>38</v>
      </c>
      <c r="I2185" t="s">
        <v>9606</v>
      </c>
      <c r="J2185">
        <v>24</v>
      </c>
      <c r="K2185" t="s">
        <v>49</v>
      </c>
      <c r="L2185" t="s">
        <v>119</v>
      </c>
      <c r="M2185" t="s">
        <v>27</v>
      </c>
      <c r="P2185" t="s">
        <v>28</v>
      </c>
      <c r="Q2185" t="s">
        <v>9607</v>
      </c>
      <c r="R2185" t="s">
        <v>9608</v>
      </c>
      <c r="S2185" t="s">
        <v>31</v>
      </c>
      <c r="T2185">
        <v>1</v>
      </c>
    </row>
    <row r="2186" spans="1:20" x14ac:dyDescent="0.25">
      <c r="A2186" t="s">
        <v>9609</v>
      </c>
      <c r="B2186" s="1">
        <v>45860</v>
      </c>
      <c r="C2186" s="5">
        <v>0.30048611111111112</v>
      </c>
      <c r="D2186">
        <v>159.88999999999999</v>
      </c>
      <c r="E2186" t="s">
        <v>44</v>
      </c>
      <c r="F2186" t="s">
        <v>2966</v>
      </c>
      <c r="G2186" t="s">
        <v>57</v>
      </c>
      <c r="H2186" t="s">
        <v>23</v>
      </c>
      <c r="I2186" t="s">
        <v>9610</v>
      </c>
      <c r="J2186">
        <v>33</v>
      </c>
      <c r="K2186" t="s">
        <v>25</v>
      </c>
      <c r="L2186" t="s">
        <v>97</v>
      </c>
      <c r="M2186" t="s">
        <v>84</v>
      </c>
      <c r="P2186" t="s">
        <v>28</v>
      </c>
      <c r="Q2186" t="s">
        <v>9611</v>
      </c>
      <c r="R2186" t="s">
        <v>9612</v>
      </c>
      <c r="S2186" t="s">
        <v>31</v>
      </c>
      <c r="T2186">
        <v>0</v>
      </c>
    </row>
    <row r="2187" spans="1:20" x14ac:dyDescent="0.25">
      <c r="A2187" t="s">
        <v>9613</v>
      </c>
      <c r="B2187" s="1">
        <v>45872</v>
      </c>
      <c r="C2187" s="5">
        <v>0.70199074074074075</v>
      </c>
      <c r="D2187">
        <v>144.77000000000001</v>
      </c>
      <c r="E2187" t="s">
        <v>44</v>
      </c>
      <c r="F2187" t="s">
        <v>9614</v>
      </c>
      <c r="G2187" t="s">
        <v>77</v>
      </c>
      <c r="H2187" t="s">
        <v>130</v>
      </c>
      <c r="I2187" t="s">
        <v>9615</v>
      </c>
      <c r="J2187">
        <v>34</v>
      </c>
      <c r="K2187" t="s">
        <v>37</v>
      </c>
      <c r="L2187" t="s">
        <v>23</v>
      </c>
      <c r="M2187" t="s">
        <v>112</v>
      </c>
      <c r="P2187" t="s">
        <v>28</v>
      </c>
      <c r="Q2187" t="s">
        <v>9616</v>
      </c>
      <c r="R2187" t="s">
        <v>9617</v>
      </c>
      <c r="S2187" t="s">
        <v>101</v>
      </c>
      <c r="T2187">
        <v>0</v>
      </c>
    </row>
    <row r="2188" spans="1:20" x14ac:dyDescent="0.25">
      <c r="A2188" t="s">
        <v>9618</v>
      </c>
      <c r="B2188" s="1">
        <v>45819</v>
      </c>
      <c r="C2188" s="5">
        <v>0.19655092592592593</v>
      </c>
      <c r="D2188">
        <v>122.18</v>
      </c>
      <c r="E2188" t="s">
        <v>44</v>
      </c>
      <c r="F2188" t="s">
        <v>9619</v>
      </c>
      <c r="G2188" t="s">
        <v>34</v>
      </c>
      <c r="H2188" t="s">
        <v>23</v>
      </c>
      <c r="I2188" t="s">
        <v>9620</v>
      </c>
      <c r="J2188">
        <v>56</v>
      </c>
      <c r="K2188" t="s">
        <v>25</v>
      </c>
      <c r="L2188" t="s">
        <v>130</v>
      </c>
      <c r="M2188" t="s">
        <v>39</v>
      </c>
      <c r="P2188" t="s">
        <v>28</v>
      </c>
      <c r="Q2188" t="s">
        <v>9621</v>
      </c>
      <c r="R2188" t="s">
        <v>9622</v>
      </c>
      <c r="S2188" t="s">
        <v>31</v>
      </c>
      <c r="T2188">
        <v>0</v>
      </c>
    </row>
    <row r="2189" spans="1:20" x14ac:dyDescent="0.25">
      <c r="A2189" t="s">
        <v>9623</v>
      </c>
      <c r="B2189" s="1">
        <v>45918</v>
      </c>
      <c r="C2189" s="5">
        <v>0.31297453703703704</v>
      </c>
      <c r="D2189">
        <v>99.12</v>
      </c>
      <c r="E2189" t="s">
        <v>44</v>
      </c>
      <c r="F2189" t="s">
        <v>2680</v>
      </c>
      <c r="G2189" t="s">
        <v>34</v>
      </c>
      <c r="H2189" t="s">
        <v>97</v>
      </c>
      <c r="I2189" t="s">
        <v>9624</v>
      </c>
      <c r="J2189">
        <v>55</v>
      </c>
      <c r="K2189" t="s">
        <v>49</v>
      </c>
      <c r="L2189" t="s">
        <v>66</v>
      </c>
      <c r="M2189" t="s">
        <v>51</v>
      </c>
      <c r="N2189" t="s">
        <v>52</v>
      </c>
      <c r="O2189">
        <v>519553</v>
      </c>
      <c r="P2189" t="s">
        <v>28</v>
      </c>
      <c r="Q2189" t="s">
        <v>9625</v>
      </c>
      <c r="R2189" t="s">
        <v>9626</v>
      </c>
      <c r="S2189" t="s">
        <v>101</v>
      </c>
      <c r="T2189">
        <v>0</v>
      </c>
    </row>
    <row r="2190" spans="1:20" x14ac:dyDescent="0.25">
      <c r="A2190" t="s">
        <v>9627</v>
      </c>
      <c r="B2190" s="1">
        <v>45870</v>
      </c>
      <c r="C2190" s="5">
        <v>0.13364583333333332</v>
      </c>
      <c r="D2190">
        <v>67.8</v>
      </c>
      <c r="E2190" t="s">
        <v>44</v>
      </c>
      <c r="F2190" t="s">
        <v>3256</v>
      </c>
      <c r="G2190" t="s">
        <v>89</v>
      </c>
      <c r="H2190" t="s">
        <v>248</v>
      </c>
      <c r="I2190" t="s">
        <v>9628</v>
      </c>
      <c r="J2190">
        <v>49</v>
      </c>
      <c r="K2190" t="s">
        <v>49</v>
      </c>
      <c r="L2190" t="s">
        <v>66</v>
      </c>
      <c r="M2190" t="s">
        <v>39</v>
      </c>
      <c r="P2190" t="s">
        <v>28</v>
      </c>
      <c r="Q2190" t="s">
        <v>9629</v>
      </c>
      <c r="R2190" t="s">
        <v>9630</v>
      </c>
      <c r="S2190" t="s">
        <v>31</v>
      </c>
      <c r="T2190">
        <v>0</v>
      </c>
    </row>
    <row r="2191" spans="1:20" x14ac:dyDescent="0.25">
      <c r="A2191" t="s">
        <v>9631</v>
      </c>
      <c r="B2191" s="1">
        <v>45788</v>
      </c>
      <c r="C2191" s="5">
        <v>0.65171296296296299</v>
      </c>
      <c r="D2191">
        <v>29.67</v>
      </c>
      <c r="E2191" t="s">
        <v>44</v>
      </c>
      <c r="F2191" t="s">
        <v>2855</v>
      </c>
      <c r="G2191" t="s">
        <v>96</v>
      </c>
      <c r="H2191" t="s">
        <v>66</v>
      </c>
      <c r="I2191" t="s">
        <v>9632</v>
      </c>
      <c r="J2191">
        <v>54</v>
      </c>
      <c r="K2191" t="s">
        <v>37</v>
      </c>
      <c r="L2191" t="s">
        <v>50</v>
      </c>
      <c r="M2191" t="s">
        <v>105</v>
      </c>
      <c r="P2191" t="s">
        <v>28</v>
      </c>
      <c r="Q2191" t="s">
        <v>9633</v>
      </c>
      <c r="R2191" t="s">
        <v>9634</v>
      </c>
      <c r="S2191" t="s">
        <v>31</v>
      </c>
      <c r="T2191">
        <v>0</v>
      </c>
    </row>
    <row r="2192" spans="1:20" x14ac:dyDescent="0.25">
      <c r="A2192" t="s">
        <v>9635</v>
      </c>
      <c r="B2192" s="1">
        <v>45915</v>
      </c>
      <c r="C2192" s="5">
        <v>0.29101851851851851</v>
      </c>
      <c r="D2192">
        <v>2084.1</v>
      </c>
      <c r="E2192" t="s">
        <v>44</v>
      </c>
      <c r="F2192" t="s">
        <v>1911</v>
      </c>
      <c r="G2192" t="s">
        <v>77</v>
      </c>
      <c r="H2192" t="s">
        <v>35</v>
      </c>
      <c r="I2192" t="s">
        <v>9636</v>
      </c>
      <c r="K2192" t="s">
        <v>25</v>
      </c>
      <c r="L2192" t="s">
        <v>38</v>
      </c>
      <c r="M2192" t="s">
        <v>84</v>
      </c>
      <c r="P2192" t="s">
        <v>28</v>
      </c>
      <c r="Q2192" t="s">
        <v>9637</v>
      </c>
      <c r="R2192" t="s">
        <v>9638</v>
      </c>
      <c r="S2192" t="s">
        <v>31</v>
      </c>
      <c r="T2192">
        <v>1</v>
      </c>
    </row>
    <row r="2193" spans="1:20" x14ac:dyDescent="0.25">
      <c r="A2193" t="s">
        <v>9639</v>
      </c>
      <c r="B2193" s="1">
        <v>45851</v>
      </c>
      <c r="C2193" s="5">
        <v>0.85872685185185182</v>
      </c>
      <c r="D2193">
        <v>187.01</v>
      </c>
      <c r="E2193" t="s">
        <v>44</v>
      </c>
      <c r="F2193" t="s">
        <v>1504</v>
      </c>
      <c r="G2193" t="s">
        <v>46</v>
      </c>
      <c r="H2193" t="s">
        <v>26</v>
      </c>
      <c r="I2193" t="s">
        <v>9640</v>
      </c>
      <c r="J2193">
        <v>45</v>
      </c>
      <c r="K2193" t="s">
        <v>49</v>
      </c>
      <c r="L2193" t="s">
        <v>130</v>
      </c>
      <c r="M2193" t="s">
        <v>84</v>
      </c>
      <c r="P2193" t="s">
        <v>28</v>
      </c>
      <c r="Q2193" t="s">
        <v>9641</v>
      </c>
      <c r="R2193" t="s">
        <v>9642</v>
      </c>
      <c r="S2193" t="s">
        <v>31</v>
      </c>
      <c r="T2193">
        <v>0</v>
      </c>
    </row>
    <row r="2194" spans="1:20" x14ac:dyDescent="0.25">
      <c r="A2194" t="s">
        <v>9643</v>
      </c>
      <c r="B2194" s="1">
        <v>45927</v>
      </c>
      <c r="C2194" s="5">
        <v>0.75033564814814813</v>
      </c>
      <c r="D2194">
        <v>244.71</v>
      </c>
      <c r="E2194" t="s">
        <v>44</v>
      </c>
      <c r="F2194" t="s">
        <v>1911</v>
      </c>
      <c r="G2194" t="s">
        <v>77</v>
      </c>
      <c r="H2194" t="s">
        <v>91</v>
      </c>
      <c r="I2194" t="s">
        <v>9644</v>
      </c>
      <c r="J2194">
        <v>52</v>
      </c>
      <c r="K2194" t="s">
        <v>49</v>
      </c>
      <c r="L2194" t="s">
        <v>146</v>
      </c>
      <c r="M2194" t="s">
        <v>105</v>
      </c>
      <c r="P2194" t="s">
        <v>28</v>
      </c>
      <c r="Q2194" t="s">
        <v>9645</v>
      </c>
      <c r="R2194" t="s">
        <v>9646</v>
      </c>
      <c r="S2194" t="s">
        <v>31</v>
      </c>
      <c r="T2194">
        <v>0</v>
      </c>
    </row>
    <row r="2195" spans="1:20" x14ac:dyDescent="0.25">
      <c r="A2195" t="s">
        <v>9647</v>
      </c>
      <c r="B2195" s="1">
        <v>45795</v>
      </c>
      <c r="C2195" s="5">
        <v>0.36076388888888888</v>
      </c>
      <c r="D2195">
        <v>195.26</v>
      </c>
      <c r="E2195" t="s">
        <v>44</v>
      </c>
      <c r="F2195" t="s">
        <v>2481</v>
      </c>
      <c r="G2195" t="s">
        <v>46</v>
      </c>
      <c r="H2195" t="s">
        <v>47</v>
      </c>
      <c r="I2195" t="s">
        <v>9648</v>
      </c>
      <c r="J2195">
        <v>41</v>
      </c>
      <c r="K2195" t="s">
        <v>25</v>
      </c>
      <c r="L2195" t="s">
        <v>66</v>
      </c>
      <c r="M2195" t="s">
        <v>27</v>
      </c>
      <c r="P2195" t="s">
        <v>28</v>
      </c>
      <c r="Q2195" t="s">
        <v>9649</v>
      </c>
      <c r="R2195" t="s">
        <v>8373</v>
      </c>
      <c r="S2195" t="s">
        <v>31</v>
      </c>
      <c r="T2195">
        <v>0</v>
      </c>
    </row>
    <row r="2196" spans="1:20" x14ac:dyDescent="0.25">
      <c r="A2196" t="s">
        <v>9650</v>
      </c>
      <c r="B2196" s="1">
        <v>45785</v>
      </c>
      <c r="C2196" s="5">
        <v>0.88885416666666661</v>
      </c>
      <c r="D2196">
        <v>8.5500000000000007</v>
      </c>
      <c r="E2196" t="s">
        <v>44</v>
      </c>
      <c r="F2196" t="s">
        <v>2654</v>
      </c>
      <c r="G2196" t="s">
        <v>34</v>
      </c>
      <c r="H2196" t="s">
        <v>66</v>
      </c>
      <c r="I2196" t="s">
        <v>9651</v>
      </c>
      <c r="J2196">
        <v>69</v>
      </c>
      <c r="K2196" t="s">
        <v>25</v>
      </c>
      <c r="L2196" t="s">
        <v>26</v>
      </c>
      <c r="M2196" t="s">
        <v>27</v>
      </c>
      <c r="P2196" t="s">
        <v>28</v>
      </c>
      <c r="Q2196" t="s">
        <v>9652</v>
      </c>
      <c r="R2196" t="s">
        <v>9653</v>
      </c>
      <c r="S2196" t="s">
        <v>31</v>
      </c>
      <c r="T2196">
        <v>0</v>
      </c>
    </row>
    <row r="2197" spans="1:20" x14ac:dyDescent="0.25">
      <c r="A2197" t="s">
        <v>9654</v>
      </c>
      <c r="B2197" s="1">
        <v>45942</v>
      </c>
      <c r="C2197" s="5">
        <v>0.20974537037037036</v>
      </c>
      <c r="D2197">
        <v>777.92</v>
      </c>
      <c r="E2197" t="s">
        <v>44</v>
      </c>
      <c r="F2197" t="s">
        <v>2593</v>
      </c>
      <c r="G2197" t="s">
        <v>89</v>
      </c>
      <c r="H2197" t="s">
        <v>38</v>
      </c>
      <c r="I2197" t="s">
        <v>9655</v>
      </c>
      <c r="J2197">
        <v>48</v>
      </c>
      <c r="K2197" t="s">
        <v>49</v>
      </c>
      <c r="L2197" t="s">
        <v>110</v>
      </c>
      <c r="M2197" t="s">
        <v>84</v>
      </c>
      <c r="P2197" t="s">
        <v>28</v>
      </c>
      <c r="Q2197" t="s">
        <v>9656</v>
      </c>
      <c r="R2197" t="s">
        <v>9657</v>
      </c>
      <c r="S2197" t="s">
        <v>101</v>
      </c>
      <c r="T2197">
        <v>0</v>
      </c>
    </row>
    <row r="2198" spans="1:20" x14ac:dyDescent="0.25">
      <c r="A2198" t="s">
        <v>9658</v>
      </c>
      <c r="B2198" s="1">
        <v>45905</v>
      </c>
      <c r="C2198" s="5">
        <v>9.2754629629629631E-2</v>
      </c>
      <c r="D2198">
        <v>19.91</v>
      </c>
      <c r="E2198" t="s">
        <v>44</v>
      </c>
      <c r="F2198" t="s">
        <v>576</v>
      </c>
      <c r="G2198" t="s">
        <v>46</v>
      </c>
      <c r="H2198" t="s">
        <v>248</v>
      </c>
      <c r="I2198" t="s">
        <v>9659</v>
      </c>
      <c r="J2198">
        <v>52</v>
      </c>
      <c r="K2198" t="s">
        <v>37</v>
      </c>
      <c r="L2198" t="s">
        <v>26</v>
      </c>
      <c r="M2198" t="s">
        <v>39</v>
      </c>
      <c r="P2198" t="s">
        <v>28</v>
      </c>
      <c r="Q2198" t="s">
        <v>9660</v>
      </c>
      <c r="R2198" t="s">
        <v>9661</v>
      </c>
      <c r="S2198" t="s">
        <v>101</v>
      </c>
      <c r="T2198">
        <v>0</v>
      </c>
    </row>
    <row r="2199" spans="1:20" x14ac:dyDescent="0.25">
      <c r="A2199" t="s">
        <v>9662</v>
      </c>
      <c r="B2199" s="1">
        <v>45911</v>
      </c>
      <c r="C2199" s="5">
        <v>8.4988425925925926E-2</v>
      </c>
      <c r="D2199">
        <v>196.33</v>
      </c>
      <c r="E2199" t="s">
        <v>44</v>
      </c>
      <c r="F2199" t="s">
        <v>5833</v>
      </c>
      <c r="G2199" t="s">
        <v>89</v>
      </c>
      <c r="H2199" t="s">
        <v>119</v>
      </c>
      <c r="I2199" t="s">
        <v>9663</v>
      </c>
      <c r="J2199">
        <v>75</v>
      </c>
      <c r="K2199" t="s">
        <v>37</v>
      </c>
      <c r="L2199" t="s">
        <v>91</v>
      </c>
      <c r="M2199" t="s">
        <v>39</v>
      </c>
      <c r="P2199" t="s">
        <v>28</v>
      </c>
      <c r="Q2199" t="s">
        <v>9664</v>
      </c>
      <c r="R2199" t="s">
        <v>9665</v>
      </c>
      <c r="S2199" t="s">
        <v>31</v>
      </c>
      <c r="T2199">
        <v>0</v>
      </c>
    </row>
    <row r="2200" spans="1:20" x14ac:dyDescent="0.25">
      <c r="A2200" t="s">
        <v>9666</v>
      </c>
      <c r="B2200" s="1">
        <v>45812</v>
      </c>
      <c r="C2200" s="5">
        <v>0.4987152777777778</v>
      </c>
      <c r="D2200">
        <v>146.08000000000001</v>
      </c>
      <c r="E2200" t="s">
        <v>44</v>
      </c>
      <c r="F2200" t="s">
        <v>4421</v>
      </c>
      <c r="G2200" t="s">
        <v>96</v>
      </c>
      <c r="H2200" t="s">
        <v>26</v>
      </c>
      <c r="I2200" t="s">
        <v>9667</v>
      </c>
      <c r="J2200">
        <v>62</v>
      </c>
      <c r="K2200" t="s">
        <v>37</v>
      </c>
      <c r="L2200" t="s">
        <v>248</v>
      </c>
      <c r="M2200" t="s">
        <v>84</v>
      </c>
      <c r="P2200" t="s">
        <v>28</v>
      </c>
      <c r="Q2200" t="s">
        <v>9668</v>
      </c>
      <c r="R2200" t="s">
        <v>9669</v>
      </c>
      <c r="S2200" t="s">
        <v>31</v>
      </c>
      <c r="T2200">
        <v>0</v>
      </c>
    </row>
    <row r="2201" spans="1:20" x14ac:dyDescent="0.25">
      <c r="A2201" t="s">
        <v>9670</v>
      </c>
      <c r="B2201" s="1">
        <v>45789</v>
      </c>
      <c r="C2201" s="5">
        <v>0.35716435185185186</v>
      </c>
      <c r="D2201">
        <v>131.58000000000001</v>
      </c>
      <c r="E2201" t="s">
        <v>44</v>
      </c>
      <c r="F2201" t="s">
        <v>898</v>
      </c>
      <c r="G2201" t="s">
        <v>89</v>
      </c>
      <c r="H2201" t="s">
        <v>66</v>
      </c>
      <c r="I2201" t="s">
        <v>9671</v>
      </c>
      <c r="J2201">
        <v>60</v>
      </c>
      <c r="K2201" t="s">
        <v>37</v>
      </c>
      <c r="L2201" t="s">
        <v>248</v>
      </c>
      <c r="M2201" t="s">
        <v>84</v>
      </c>
      <c r="P2201" t="s">
        <v>28</v>
      </c>
      <c r="Q2201" t="s">
        <v>9672</v>
      </c>
      <c r="R2201" t="s">
        <v>9673</v>
      </c>
      <c r="S2201" t="s">
        <v>31</v>
      </c>
      <c r="T2201">
        <v>0</v>
      </c>
    </row>
    <row r="2202" spans="1:20" x14ac:dyDescent="0.25">
      <c r="A2202" t="s">
        <v>9674</v>
      </c>
      <c r="B2202" s="1">
        <v>45908</v>
      </c>
      <c r="C2202" s="5">
        <v>0.34490740740740738</v>
      </c>
      <c r="D2202">
        <v>92.16</v>
      </c>
      <c r="E2202" t="s">
        <v>44</v>
      </c>
      <c r="F2202" t="s">
        <v>3681</v>
      </c>
      <c r="G2202" t="s">
        <v>57</v>
      </c>
      <c r="H2202" t="s">
        <v>26</v>
      </c>
      <c r="I2202" t="s">
        <v>1220</v>
      </c>
      <c r="J2202">
        <v>60</v>
      </c>
      <c r="K2202" t="s">
        <v>37</v>
      </c>
      <c r="L2202" t="s">
        <v>248</v>
      </c>
      <c r="M2202" t="s">
        <v>27</v>
      </c>
      <c r="P2202" t="s">
        <v>28</v>
      </c>
      <c r="Q2202" t="s">
        <v>9675</v>
      </c>
      <c r="R2202" t="s">
        <v>9676</v>
      </c>
      <c r="S2202" t="s">
        <v>31</v>
      </c>
      <c r="T2202">
        <v>0</v>
      </c>
    </row>
    <row r="2203" spans="1:20" x14ac:dyDescent="0.25">
      <c r="A2203" t="s">
        <v>9677</v>
      </c>
      <c r="B2203" s="1">
        <v>45857</v>
      </c>
      <c r="C2203" s="5">
        <v>0.38721064814814815</v>
      </c>
      <c r="D2203">
        <v>536.85</v>
      </c>
      <c r="E2203" t="s">
        <v>44</v>
      </c>
      <c r="F2203" t="s">
        <v>1163</v>
      </c>
      <c r="G2203" t="s">
        <v>46</v>
      </c>
      <c r="H2203" t="s">
        <v>97</v>
      </c>
      <c r="I2203" t="s">
        <v>9678</v>
      </c>
      <c r="J2203">
        <v>72</v>
      </c>
      <c r="K2203" t="s">
        <v>37</v>
      </c>
      <c r="L2203" t="s">
        <v>50</v>
      </c>
      <c r="M2203" t="s">
        <v>105</v>
      </c>
      <c r="P2203" t="s">
        <v>28</v>
      </c>
      <c r="Q2203" t="s">
        <v>9679</v>
      </c>
      <c r="R2203" t="s">
        <v>9680</v>
      </c>
      <c r="S2203" t="s">
        <v>31</v>
      </c>
      <c r="T2203">
        <v>0</v>
      </c>
    </row>
    <row r="2204" spans="1:20" x14ac:dyDescent="0.25">
      <c r="A2204" t="s">
        <v>9681</v>
      </c>
      <c r="B2204" s="1">
        <v>45928</v>
      </c>
      <c r="C2204" s="5">
        <v>0.78520833333333329</v>
      </c>
      <c r="D2204">
        <v>21.39</v>
      </c>
      <c r="E2204" t="s">
        <v>44</v>
      </c>
      <c r="F2204" t="s">
        <v>1045</v>
      </c>
      <c r="G2204" t="s">
        <v>96</v>
      </c>
      <c r="H2204" t="s">
        <v>58</v>
      </c>
      <c r="I2204" t="s">
        <v>9682</v>
      </c>
      <c r="J2204">
        <v>75</v>
      </c>
      <c r="K2204" t="s">
        <v>37</v>
      </c>
      <c r="L2204" t="s">
        <v>26</v>
      </c>
      <c r="M2204" t="s">
        <v>112</v>
      </c>
      <c r="P2204" t="s">
        <v>28</v>
      </c>
      <c r="Q2204" t="s">
        <v>9683</v>
      </c>
      <c r="R2204" t="s">
        <v>9684</v>
      </c>
      <c r="S2204" t="s">
        <v>31</v>
      </c>
      <c r="T2204">
        <v>0</v>
      </c>
    </row>
    <row r="2205" spans="1:20" x14ac:dyDescent="0.25">
      <c r="A2205" t="s">
        <v>9685</v>
      </c>
      <c r="B2205" s="1">
        <v>45899</v>
      </c>
      <c r="C2205" s="5">
        <v>0.9135416666666667</v>
      </c>
      <c r="D2205">
        <v>76.86</v>
      </c>
      <c r="E2205" t="s">
        <v>44</v>
      </c>
      <c r="F2205" t="s">
        <v>1701</v>
      </c>
      <c r="G2205" t="s">
        <v>71</v>
      </c>
      <c r="H2205" t="s">
        <v>58</v>
      </c>
      <c r="I2205" t="s">
        <v>9686</v>
      </c>
      <c r="J2205">
        <v>34</v>
      </c>
      <c r="K2205" t="s">
        <v>25</v>
      </c>
      <c r="L2205" t="s">
        <v>146</v>
      </c>
      <c r="M2205" t="s">
        <v>112</v>
      </c>
      <c r="P2205" t="s">
        <v>28</v>
      </c>
      <c r="Q2205" t="s">
        <v>9687</v>
      </c>
      <c r="R2205" t="s">
        <v>9688</v>
      </c>
      <c r="S2205" t="s">
        <v>31</v>
      </c>
      <c r="T2205">
        <v>0</v>
      </c>
    </row>
    <row r="2206" spans="1:20" x14ac:dyDescent="0.25">
      <c r="A2206" t="s">
        <v>9689</v>
      </c>
      <c r="B2206" s="1">
        <v>45927</v>
      </c>
      <c r="C2206" s="5">
        <v>0.87513888888888891</v>
      </c>
      <c r="D2206">
        <v>8.84</v>
      </c>
      <c r="E2206" t="s">
        <v>44</v>
      </c>
      <c r="F2206" t="s">
        <v>2457</v>
      </c>
      <c r="G2206" t="s">
        <v>124</v>
      </c>
      <c r="H2206" t="s">
        <v>35</v>
      </c>
      <c r="I2206" t="s">
        <v>9690</v>
      </c>
      <c r="J2206">
        <v>42</v>
      </c>
      <c r="K2206" t="s">
        <v>37</v>
      </c>
      <c r="L2206" t="s">
        <v>248</v>
      </c>
      <c r="M2206" t="s">
        <v>51</v>
      </c>
      <c r="N2206" t="s">
        <v>173</v>
      </c>
      <c r="O2206">
        <v>512299</v>
      </c>
      <c r="P2206" t="s">
        <v>28</v>
      </c>
      <c r="Q2206" t="s">
        <v>9691</v>
      </c>
      <c r="R2206" t="s">
        <v>9692</v>
      </c>
      <c r="S2206" t="s">
        <v>31</v>
      </c>
      <c r="T2206">
        <v>0</v>
      </c>
    </row>
    <row r="2207" spans="1:20" x14ac:dyDescent="0.25">
      <c r="A2207" t="s">
        <v>9693</v>
      </c>
      <c r="B2207" s="1">
        <v>45919</v>
      </c>
      <c r="C2207" s="5">
        <v>0.56657407407407412</v>
      </c>
      <c r="D2207">
        <v>83.73</v>
      </c>
      <c r="E2207" t="s">
        <v>44</v>
      </c>
      <c r="F2207" t="s">
        <v>1804</v>
      </c>
      <c r="G2207" t="s">
        <v>22</v>
      </c>
      <c r="H2207" t="s">
        <v>26</v>
      </c>
      <c r="I2207" t="s">
        <v>9694</v>
      </c>
      <c r="J2207">
        <v>31</v>
      </c>
      <c r="K2207" t="s">
        <v>25</v>
      </c>
      <c r="L2207" t="s">
        <v>47</v>
      </c>
      <c r="M2207" t="s">
        <v>112</v>
      </c>
      <c r="P2207" t="s">
        <v>28</v>
      </c>
      <c r="Q2207" t="s">
        <v>9695</v>
      </c>
      <c r="R2207" t="s">
        <v>9696</v>
      </c>
      <c r="S2207" t="s">
        <v>31</v>
      </c>
      <c r="T2207">
        <v>0</v>
      </c>
    </row>
    <row r="2208" spans="1:20" x14ac:dyDescent="0.25">
      <c r="A2208" t="s">
        <v>9697</v>
      </c>
      <c r="B2208" s="1">
        <v>45905</v>
      </c>
      <c r="C2208" s="5">
        <v>0.25914351851851852</v>
      </c>
      <c r="D2208">
        <v>89.89</v>
      </c>
      <c r="E2208" t="s">
        <v>44</v>
      </c>
      <c r="F2208" t="s">
        <v>5045</v>
      </c>
      <c r="G2208" t="s">
        <v>89</v>
      </c>
      <c r="H2208" t="s">
        <v>50</v>
      </c>
      <c r="I2208" t="s">
        <v>9698</v>
      </c>
      <c r="J2208">
        <v>51</v>
      </c>
      <c r="K2208" t="s">
        <v>25</v>
      </c>
      <c r="L2208" t="s">
        <v>26</v>
      </c>
      <c r="M2208" t="s">
        <v>51</v>
      </c>
      <c r="N2208" t="s">
        <v>52</v>
      </c>
      <c r="O2208">
        <v>523497</v>
      </c>
      <c r="P2208" t="s">
        <v>28</v>
      </c>
      <c r="Q2208" t="s">
        <v>9699</v>
      </c>
      <c r="R2208" t="s">
        <v>9700</v>
      </c>
      <c r="S2208" t="s">
        <v>31</v>
      </c>
      <c r="T2208">
        <v>0</v>
      </c>
    </row>
    <row r="2209" spans="1:20" x14ac:dyDescent="0.25">
      <c r="A2209" t="s">
        <v>9701</v>
      </c>
      <c r="B2209" s="1">
        <v>45809</v>
      </c>
      <c r="C2209" s="5">
        <v>0.84237268518518515</v>
      </c>
      <c r="D2209">
        <v>136.79</v>
      </c>
      <c r="E2209" t="s">
        <v>44</v>
      </c>
      <c r="F2209" t="s">
        <v>2418</v>
      </c>
      <c r="G2209" t="s">
        <v>96</v>
      </c>
      <c r="H2209" t="s">
        <v>38</v>
      </c>
      <c r="I2209" t="s">
        <v>9702</v>
      </c>
      <c r="J2209">
        <v>18</v>
      </c>
      <c r="K2209" t="s">
        <v>25</v>
      </c>
      <c r="L2209" t="s">
        <v>26</v>
      </c>
      <c r="M2209" t="s">
        <v>84</v>
      </c>
      <c r="P2209" t="s">
        <v>28</v>
      </c>
      <c r="Q2209" t="s">
        <v>9703</v>
      </c>
      <c r="R2209" t="s">
        <v>9704</v>
      </c>
      <c r="S2209" t="s">
        <v>31</v>
      </c>
      <c r="T2209">
        <v>0</v>
      </c>
    </row>
    <row r="2210" spans="1:20" x14ac:dyDescent="0.25">
      <c r="A2210" t="s">
        <v>9705</v>
      </c>
      <c r="B2210" s="1">
        <v>45880</v>
      </c>
      <c r="C2210" s="5">
        <v>0.60539351851851853</v>
      </c>
      <c r="D2210">
        <v>23.05</v>
      </c>
      <c r="E2210" t="s">
        <v>44</v>
      </c>
      <c r="F2210" t="s">
        <v>2878</v>
      </c>
      <c r="G2210" t="s">
        <v>77</v>
      </c>
      <c r="H2210" t="s">
        <v>50</v>
      </c>
      <c r="I2210" t="s">
        <v>9706</v>
      </c>
      <c r="J2210">
        <v>24</v>
      </c>
      <c r="K2210" t="s">
        <v>49</v>
      </c>
      <c r="L2210" t="s">
        <v>47</v>
      </c>
      <c r="M2210" t="s">
        <v>105</v>
      </c>
      <c r="P2210" t="s">
        <v>28</v>
      </c>
      <c r="Q2210" t="s">
        <v>9707</v>
      </c>
      <c r="R2210" t="s">
        <v>9708</v>
      </c>
      <c r="S2210" t="s">
        <v>31</v>
      </c>
      <c r="T2210">
        <v>1</v>
      </c>
    </row>
    <row r="2211" spans="1:20" x14ac:dyDescent="0.25">
      <c r="A2211" t="s">
        <v>9709</v>
      </c>
      <c r="B2211" s="1">
        <v>45940</v>
      </c>
      <c r="C2211" s="5">
        <v>0.58094907407407403</v>
      </c>
      <c r="D2211">
        <v>145</v>
      </c>
      <c r="E2211" t="s">
        <v>44</v>
      </c>
      <c r="F2211" t="s">
        <v>4775</v>
      </c>
      <c r="G2211" t="s">
        <v>22</v>
      </c>
      <c r="H2211" t="s">
        <v>66</v>
      </c>
      <c r="I2211" t="s">
        <v>9710</v>
      </c>
      <c r="J2211">
        <v>21</v>
      </c>
      <c r="K2211" t="s">
        <v>25</v>
      </c>
      <c r="L2211" t="s">
        <v>47</v>
      </c>
      <c r="M2211" t="s">
        <v>27</v>
      </c>
      <c r="P2211" t="s">
        <v>28</v>
      </c>
      <c r="Q2211" t="s">
        <v>9711</v>
      </c>
      <c r="R2211" t="s">
        <v>9712</v>
      </c>
      <c r="S2211" t="s">
        <v>31</v>
      </c>
      <c r="T2211">
        <v>0</v>
      </c>
    </row>
    <row r="2212" spans="1:20" x14ac:dyDescent="0.25">
      <c r="A2212" t="s">
        <v>9713</v>
      </c>
      <c r="B2212" s="1">
        <v>45947</v>
      </c>
      <c r="C2212" s="5">
        <v>0.84957175925925921</v>
      </c>
      <c r="D2212">
        <v>125.17</v>
      </c>
      <c r="E2212" t="s">
        <v>44</v>
      </c>
      <c r="F2212" t="s">
        <v>1418</v>
      </c>
      <c r="G2212" t="s">
        <v>124</v>
      </c>
      <c r="H2212" t="s">
        <v>248</v>
      </c>
      <c r="I2212" t="s">
        <v>9714</v>
      </c>
      <c r="J2212">
        <v>18</v>
      </c>
      <c r="K2212" t="s">
        <v>25</v>
      </c>
      <c r="L2212" t="s">
        <v>91</v>
      </c>
      <c r="M2212" t="s">
        <v>112</v>
      </c>
      <c r="P2212" t="s">
        <v>28</v>
      </c>
      <c r="Q2212" t="s">
        <v>9715</v>
      </c>
      <c r="R2212" t="s">
        <v>9716</v>
      </c>
      <c r="S2212" t="s">
        <v>42</v>
      </c>
      <c r="T2212">
        <v>0</v>
      </c>
    </row>
    <row r="2213" spans="1:20" x14ac:dyDescent="0.25">
      <c r="A2213" t="s">
        <v>9717</v>
      </c>
      <c r="B2213" s="1">
        <v>45924</v>
      </c>
      <c r="C2213" s="5">
        <v>0.69238425925925928</v>
      </c>
      <c r="D2213">
        <v>130.37</v>
      </c>
      <c r="E2213" t="s">
        <v>44</v>
      </c>
      <c r="F2213" t="s">
        <v>1813</v>
      </c>
      <c r="G2213" t="s">
        <v>22</v>
      </c>
      <c r="H2213" t="s">
        <v>248</v>
      </c>
      <c r="I2213" t="s">
        <v>9718</v>
      </c>
      <c r="J2213">
        <v>40</v>
      </c>
      <c r="K2213" t="s">
        <v>25</v>
      </c>
      <c r="L2213" t="s">
        <v>66</v>
      </c>
      <c r="M2213" t="s">
        <v>51</v>
      </c>
      <c r="N2213" t="s">
        <v>345</v>
      </c>
      <c r="O2213">
        <v>499921</v>
      </c>
      <c r="P2213" t="s">
        <v>28</v>
      </c>
      <c r="Q2213" t="s">
        <v>9719</v>
      </c>
      <c r="R2213" t="s">
        <v>9720</v>
      </c>
      <c r="S2213" t="s">
        <v>31</v>
      </c>
      <c r="T2213">
        <v>0</v>
      </c>
    </row>
    <row r="2214" spans="1:20" x14ac:dyDescent="0.25">
      <c r="A2214" t="s">
        <v>9721</v>
      </c>
      <c r="B2214" s="1">
        <v>45887</v>
      </c>
      <c r="C2214" s="5">
        <v>0.76594907407407409</v>
      </c>
      <c r="D2214">
        <v>78.760000000000005</v>
      </c>
      <c r="E2214" t="s">
        <v>44</v>
      </c>
      <c r="F2214" t="s">
        <v>6108</v>
      </c>
      <c r="G2214" t="s">
        <v>124</v>
      </c>
      <c r="H2214" t="s">
        <v>47</v>
      </c>
      <c r="I2214" t="s">
        <v>9722</v>
      </c>
      <c r="J2214">
        <v>21</v>
      </c>
      <c r="K2214" t="s">
        <v>49</v>
      </c>
      <c r="L2214" t="s">
        <v>47</v>
      </c>
      <c r="M2214" t="s">
        <v>105</v>
      </c>
      <c r="P2214" t="s">
        <v>113</v>
      </c>
      <c r="Q2214" t="s">
        <v>9723</v>
      </c>
      <c r="R2214" t="s">
        <v>9724</v>
      </c>
      <c r="S2214" t="s">
        <v>31</v>
      </c>
      <c r="T2214">
        <v>0</v>
      </c>
    </row>
    <row r="2215" spans="1:20" x14ac:dyDescent="0.25">
      <c r="A2215" t="s">
        <v>9725</v>
      </c>
      <c r="B2215" s="1">
        <v>45836</v>
      </c>
      <c r="C2215" s="5">
        <v>0.57197916666666671</v>
      </c>
      <c r="D2215">
        <v>121.83</v>
      </c>
      <c r="E2215" t="s">
        <v>44</v>
      </c>
      <c r="F2215" t="s">
        <v>908</v>
      </c>
      <c r="G2215" t="s">
        <v>22</v>
      </c>
      <c r="H2215" t="s">
        <v>35</v>
      </c>
      <c r="I2215" t="s">
        <v>9726</v>
      </c>
      <c r="J2215">
        <v>21</v>
      </c>
      <c r="K2215" t="s">
        <v>37</v>
      </c>
      <c r="L2215" t="s">
        <v>97</v>
      </c>
      <c r="M2215" t="s">
        <v>112</v>
      </c>
      <c r="P2215" t="s">
        <v>28</v>
      </c>
      <c r="Q2215" t="s">
        <v>9727</v>
      </c>
      <c r="R2215" t="s">
        <v>9728</v>
      </c>
      <c r="S2215" t="s">
        <v>101</v>
      </c>
      <c r="T2215">
        <v>0</v>
      </c>
    </row>
    <row r="2216" spans="1:20" x14ac:dyDescent="0.25">
      <c r="A2216" t="s">
        <v>9729</v>
      </c>
      <c r="B2216" s="1">
        <v>45879</v>
      </c>
      <c r="C2216" s="5">
        <v>0.78950231481481481</v>
      </c>
      <c r="D2216">
        <v>72.69</v>
      </c>
      <c r="E2216" t="s">
        <v>44</v>
      </c>
      <c r="F2216" t="s">
        <v>2556</v>
      </c>
      <c r="G2216" t="s">
        <v>96</v>
      </c>
      <c r="H2216" t="s">
        <v>50</v>
      </c>
      <c r="I2216" t="s">
        <v>9730</v>
      </c>
      <c r="J2216">
        <v>53</v>
      </c>
      <c r="K2216" t="s">
        <v>37</v>
      </c>
      <c r="L2216" t="s">
        <v>47</v>
      </c>
      <c r="M2216" t="s">
        <v>27</v>
      </c>
      <c r="P2216" t="s">
        <v>28</v>
      </c>
      <c r="Q2216" t="s">
        <v>9731</v>
      </c>
      <c r="R2216" t="s">
        <v>9732</v>
      </c>
      <c r="S2216" t="s">
        <v>31</v>
      </c>
      <c r="T2216">
        <v>0</v>
      </c>
    </row>
    <row r="2217" spans="1:20" x14ac:dyDescent="0.25">
      <c r="A2217" t="s">
        <v>9733</v>
      </c>
      <c r="B2217" s="1">
        <v>45843</v>
      </c>
      <c r="C2217" s="5">
        <v>0.11469907407407408</v>
      </c>
      <c r="D2217">
        <v>125.16</v>
      </c>
      <c r="E2217" t="s">
        <v>44</v>
      </c>
      <c r="F2217" t="s">
        <v>6703</v>
      </c>
      <c r="G2217" t="s">
        <v>124</v>
      </c>
      <c r="H2217" t="s">
        <v>119</v>
      </c>
      <c r="I2217" t="s">
        <v>9734</v>
      </c>
      <c r="J2217">
        <v>21</v>
      </c>
      <c r="K2217" t="s">
        <v>25</v>
      </c>
      <c r="L2217" t="s">
        <v>91</v>
      </c>
      <c r="M2217" t="s">
        <v>39</v>
      </c>
      <c r="P2217" t="s">
        <v>28</v>
      </c>
      <c r="Q2217" t="s">
        <v>9735</v>
      </c>
      <c r="R2217" t="s">
        <v>9736</v>
      </c>
      <c r="S2217" t="s">
        <v>31</v>
      </c>
      <c r="T2217">
        <v>0</v>
      </c>
    </row>
    <row r="2218" spans="1:20" x14ac:dyDescent="0.25">
      <c r="A2218" t="s">
        <v>9737</v>
      </c>
      <c r="B2218" s="1">
        <v>45843</v>
      </c>
      <c r="C2218" s="5">
        <v>0.30290509259259257</v>
      </c>
      <c r="D2218">
        <v>759.84</v>
      </c>
      <c r="E2218" t="s">
        <v>44</v>
      </c>
      <c r="F2218" t="s">
        <v>6100</v>
      </c>
      <c r="G2218" t="s">
        <v>46</v>
      </c>
      <c r="H2218" t="s">
        <v>119</v>
      </c>
      <c r="I2218" t="s">
        <v>9738</v>
      </c>
      <c r="J2218">
        <v>30</v>
      </c>
      <c r="K2218" t="s">
        <v>37</v>
      </c>
      <c r="L2218" t="s">
        <v>110</v>
      </c>
      <c r="M2218" t="s">
        <v>27</v>
      </c>
      <c r="P2218" t="s">
        <v>28</v>
      </c>
      <c r="Q2218" t="s">
        <v>9739</v>
      </c>
      <c r="R2218" t="s">
        <v>9740</v>
      </c>
      <c r="S2218" t="s">
        <v>31</v>
      </c>
      <c r="T2218">
        <v>0</v>
      </c>
    </row>
    <row r="2219" spans="1:20" x14ac:dyDescent="0.25">
      <c r="A2219" t="s">
        <v>9741</v>
      </c>
      <c r="B2219" s="1">
        <v>45834</v>
      </c>
      <c r="C2219" s="5">
        <v>0.62194444444444441</v>
      </c>
      <c r="D2219">
        <v>52.73</v>
      </c>
      <c r="E2219" t="s">
        <v>44</v>
      </c>
      <c r="F2219" t="s">
        <v>8887</v>
      </c>
      <c r="G2219" t="s">
        <v>96</v>
      </c>
      <c r="H2219" t="s">
        <v>47</v>
      </c>
      <c r="I2219" t="s">
        <v>9742</v>
      </c>
      <c r="J2219">
        <v>51</v>
      </c>
      <c r="K2219" t="s">
        <v>25</v>
      </c>
      <c r="L2219" t="s">
        <v>50</v>
      </c>
      <c r="M2219" t="s">
        <v>51</v>
      </c>
      <c r="N2219" t="s">
        <v>52</v>
      </c>
      <c r="O2219">
        <v>452701</v>
      </c>
      <c r="P2219" t="s">
        <v>28</v>
      </c>
      <c r="Q2219" t="s">
        <v>9743</v>
      </c>
      <c r="R2219" t="s">
        <v>9744</v>
      </c>
      <c r="S2219" t="s">
        <v>31</v>
      </c>
      <c r="T2219">
        <v>0</v>
      </c>
    </row>
    <row r="2220" spans="1:20" x14ac:dyDescent="0.25">
      <c r="A2220" t="s">
        <v>9745</v>
      </c>
      <c r="B2220" s="1">
        <v>45862</v>
      </c>
      <c r="C2220" s="5">
        <v>9.6678240740740745E-2</v>
      </c>
      <c r="D2220">
        <v>94.92</v>
      </c>
      <c r="E2220" t="s">
        <v>44</v>
      </c>
      <c r="F2220" t="s">
        <v>1504</v>
      </c>
      <c r="G2220" t="s">
        <v>71</v>
      </c>
      <c r="H2220" t="s">
        <v>35</v>
      </c>
      <c r="I2220" t="s">
        <v>9746</v>
      </c>
      <c r="J2220">
        <v>71</v>
      </c>
      <c r="K2220" t="s">
        <v>37</v>
      </c>
      <c r="L2220" t="s">
        <v>130</v>
      </c>
      <c r="M2220" t="s">
        <v>39</v>
      </c>
      <c r="P2220" t="s">
        <v>28</v>
      </c>
      <c r="Q2220" t="s">
        <v>9747</v>
      </c>
      <c r="R2220" t="s">
        <v>9748</v>
      </c>
      <c r="S2220" t="s">
        <v>31</v>
      </c>
      <c r="T2220">
        <v>0</v>
      </c>
    </row>
    <row r="2221" spans="1:20" x14ac:dyDescent="0.25">
      <c r="A2221" t="s">
        <v>9749</v>
      </c>
      <c r="B2221" s="1">
        <v>45920</v>
      </c>
      <c r="C2221" s="5">
        <v>0.29177083333333331</v>
      </c>
      <c r="D2221">
        <v>158.5</v>
      </c>
      <c r="E2221" t="s">
        <v>44</v>
      </c>
      <c r="F2221" t="s">
        <v>9750</v>
      </c>
      <c r="G2221" t="s">
        <v>46</v>
      </c>
      <c r="H2221" t="s">
        <v>47</v>
      </c>
      <c r="I2221" t="s">
        <v>9751</v>
      </c>
      <c r="J2221">
        <v>68</v>
      </c>
      <c r="K2221" t="s">
        <v>25</v>
      </c>
      <c r="L2221" t="s">
        <v>119</v>
      </c>
      <c r="M2221" t="s">
        <v>39</v>
      </c>
      <c r="P2221" t="s">
        <v>28</v>
      </c>
      <c r="Q2221" t="s">
        <v>9752</v>
      </c>
      <c r="R2221" t="s">
        <v>9753</v>
      </c>
      <c r="S2221" t="s">
        <v>31</v>
      </c>
      <c r="T2221">
        <v>0</v>
      </c>
    </row>
    <row r="2222" spans="1:20" x14ac:dyDescent="0.25">
      <c r="A2222" t="s">
        <v>9754</v>
      </c>
      <c r="B2222" s="1">
        <v>45802</v>
      </c>
      <c r="C2222" s="5">
        <v>0.74636574074074069</v>
      </c>
      <c r="D2222">
        <v>107.38</v>
      </c>
      <c r="E2222" t="s">
        <v>44</v>
      </c>
      <c r="F2222" t="s">
        <v>6728</v>
      </c>
      <c r="G2222" t="s">
        <v>89</v>
      </c>
      <c r="H2222" t="s">
        <v>26</v>
      </c>
      <c r="I2222" t="s">
        <v>9755</v>
      </c>
      <c r="J2222">
        <v>64</v>
      </c>
      <c r="K2222" t="s">
        <v>25</v>
      </c>
      <c r="L2222" t="s">
        <v>50</v>
      </c>
      <c r="M2222" t="s">
        <v>105</v>
      </c>
      <c r="P2222" t="s">
        <v>28</v>
      </c>
      <c r="Q2222" t="s">
        <v>9756</v>
      </c>
      <c r="R2222" t="s">
        <v>9757</v>
      </c>
      <c r="S2222" t="s">
        <v>31</v>
      </c>
      <c r="T2222">
        <v>0</v>
      </c>
    </row>
    <row r="2223" spans="1:20" x14ac:dyDescent="0.25">
      <c r="A2223" t="s">
        <v>9758</v>
      </c>
      <c r="B2223" s="1">
        <v>45907</v>
      </c>
      <c r="C2223" s="5">
        <v>0.92318287037037039</v>
      </c>
      <c r="D2223">
        <v>199.49</v>
      </c>
      <c r="E2223" t="s">
        <v>44</v>
      </c>
      <c r="F2223" t="s">
        <v>978</v>
      </c>
      <c r="G2223" t="s">
        <v>77</v>
      </c>
      <c r="H2223" t="s">
        <v>248</v>
      </c>
      <c r="I2223" t="s">
        <v>9759</v>
      </c>
      <c r="J2223">
        <v>75</v>
      </c>
      <c r="K2223" t="s">
        <v>37</v>
      </c>
      <c r="L2223" t="s">
        <v>146</v>
      </c>
      <c r="M2223" t="s">
        <v>105</v>
      </c>
      <c r="P2223" t="s">
        <v>28</v>
      </c>
      <c r="Q2223" t="s">
        <v>9760</v>
      </c>
      <c r="R2223" t="s">
        <v>9761</v>
      </c>
      <c r="S2223" t="s">
        <v>31</v>
      </c>
      <c r="T2223">
        <v>0</v>
      </c>
    </row>
    <row r="2224" spans="1:20" x14ac:dyDescent="0.25">
      <c r="A2224" t="s">
        <v>9762</v>
      </c>
      <c r="B2224" s="1">
        <v>45782</v>
      </c>
      <c r="C2224" s="5">
        <v>0.98615740740740743</v>
      </c>
      <c r="D2224">
        <v>113.61</v>
      </c>
      <c r="E2224" t="s">
        <v>44</v>
      </c>
      <c r="F2224" t="s">
        <v>418</v>
      </c>
      <c r="G2224" t="s">
        <v>64</v>
      </c>
      <c r="H2224" t="s">
        <v>47</v>
      </c>
      <c r="I2224" t="s">
        <v>9763</v>
      </c>
      <c r="J2224">
        <v>35</v>
      </c>
      <c r="K2224" t="s">
        <v>25</v>
      </c>
      <c r="L2224" t="s">
        <v>91</v>
      </c>
      <c r="M2224" t="s">
        <v>51</v>
      </c>
      <c r="N2224" t="s">
        <v>173</v>
      </c>
      <c r="O2224">
        <v>473498</v>
      </c>
      <c r="P2224" t="s">
        <v>28</v>
      </c>
      <c r="Q2224" t="s">
        <v>9764</v>
      </c>
      <c r="R2224" t="s">
        <v>9765</v>
      </c>
      <c r="S2224" t="s">
        <v>31</v>
      </c>
      <c r="T2224">
        <v>0</v>
      </c>
    </row>
    <row r="2225" spans="1:20" x14ac:dyDescent="0.25">
      <c r="A2225" t="s">
        <v>9766</v>
      </c>
      <c r="B2225" s="1">
        <v>45809</v>
      </c>
      <c r="C2225" s="5">
        <v>0.20788194444444444</v>
      </c>
      <c r="D2225">
        <v>196.7</v>
      </c>
      <c r="E2225" t="s">
        <v>44</v>
      </c>
      <c r="F2225" t="s">
        <v>968</v>
      </c>
      <c r="G2225" t="s">
        <v>64</v>
      </c>
      <c r="H2225" t="s">
        <v>26</v>
      </c>
      <c r="I2225" t="s">
        <v>9767</v>
      </c>
      <c r="J2225">
        <v>75</v>
      </c>
      <c r="K2225" t="s">
        <v>37</v>
      </c>
      <c r="L2225" t="s">
        <v>119</v>
      </c>
      <c r="M2225" t="s">
        <v>112</v>
      </c>
      <c r="P2225" t="s">
        <v>28</v>
      </c>
      <c r="Q2225" t="s">
        <v>9768</v>
      </c>
      <c r="R2225" t="s">
        <v>9769</v>
      </c>
      <c r="S2225" t="s">
        <v>31</v>
      </c>
      <c r="T2225">
        <v>0</v>
      </c>
    </row>
    <row r="2226" spans="1:20" x14ac:dyDescent="0.25">
      <c r="A2226" t="s">
        <v>9770</v>
      </c>
      <c r="B2226" s="1">
        <v>45811</v>
      </c>
      <c r="C2226" s="5">
        <v>0.75844907407407403</v>
      </c>
      <c r="D2226">
        <v>118.57</v>
      </c>
      <c r="E2226" t="s">
        <v>44</v>
      </c>
      <c r="F2226" t="s">
        <v>9771</v>
      </c>
      <c r="G2226" t="s">
        <v>57</v>
      </c>
      <c r="H2226" t="s">
        <v>26</v>
      </c>
      <c r="I2226" t="s">
        <v>9257</v>
      </c>
      <c r="J2226">
        <v>72</v>
      </c>
      <c r="K2226" t="s">
        <v>25</v>
      </c>
      <c r="L2226" t="s">
        <v>119</v>
      </c>
      <c r="M2226" t="s">
        <v>39</v>
      </c>
      <c r="P2226" t="s">
        <v>28</v>
      </c>
      <c r="Q2226" t="s">
        <v>9772</v>
      </c>
      <c r="R2226" t="s">
        <v>9773</v>
      </c>
      <c r="S2226" t="s">
        <v>31</v>
      </c>
      <c r="T2226">
        <v>0</v>
      </c>
    </row>
    <row r="2227" spans="1:20" x14ac:dyDescent="0.25">
      <c r="A2227" t="s">
        <v>9774</v>
      </c>
      <c r="B2227" s="1">
        <v>45826</v>
      </c>
      <c r="C2227" s="5">
        <v>6.3495370370370369E-2</v>
      </c>
      <c r="D2227">
        <v>172.73</v>
      </c>
      <c r="E2227" t="s">
        <v>44</v>
      </c>
      <c r="F2227" t="s">
        <v>4072</v>
      </c>
      <c r="G2227" t="s">
        <v>64</v>
      </c>
      <c r="H2227" t="s">
        <v>248</v>
      </c>
      <c r="I2227" t="s">
        <v>9775</v>
      </c>
      <c r="J2227">
        <v>74</v>
      </c>
      <c r="K2227" t="s">
        <v>49</v>
      </c>
      <c r="L2227" t="s">
        <v>110</v>
      </c>
      <c r="M2227" t="s">
        <v>105</v>
      </c>
      <c r="P2227" t="s">
        <v>28</v>
      </c>
      <c r="Q2227" t="s">
        <v>9776</v>
      </c>
      <c r="R2227" t="s">
        <v>9777</v>
      </c>
      <c r="S2227" t="s">
        <v>31</v>
      </c>
      <c r="T2227">
        <v>0</v>
      </c>
    </row>
    <row r="2228" spans="1:20" x14ac:dyDescent="0.25">
      <c r="A2228" t="s">
        <v>9778</v>
      </c>
      <c r="B2228" s="1">
        <v>45785</v>
      </c>
      <c r="C2228" s="5">
        <v>0.3886574074074074</v>
      </c>
      <c r="D2228">
        <v>886.95</v>
      </c>
      <c r="E2228" t="s">
        <v>44</v>
      </c>
      <c r="F2228" t="s">
        <v>258</v>
      </c>
      <c r="G2228" t="s">
        <v>71</v>
      </c>
      <c r="H2228" t="s">
        <v>26</v>
      </c>
      <c r="I2228" t="s">
        <v>9779</v>
      </c>
      <c r="J2228">
        <v>20</v>
      </c>
      <c r="K2228" t="s">
        <v>37</v>
      </c>
      <c r="L2228" t="s">
        <v>146</v>
      </c>
      <c r="M2228" t="s">
        <v>27</v>
      </c>
      <c r="P2228" t="s">
        <v>28</v>
      </c>
      <c r="Q2228" t="s">
        <v>9780</v>
      </c>
      <c r="R2228" t="s">
        <v>9781</v>
      </c>
      <c r="S2228" t="s">
        <v>31</v>
      </c>
      <c r="T2228">
        <v>0</v>
      </c>
    </row>
    <row r="2229" spans="1:20" x14ac:dyDescent="0.25">
      <c r="A2229" t="s">
        <v>9782</v>
      </c>
      <c r="B2229" s="1">
        <v>45820</v>
      </c>
      <c r="C2229" s="5">
        <v>0.69261574074074073</v>
      </c>
      <c r="D2229">
        <v>141.77000000000001</v>
      </c>
      <c r="E2229" t="s">
        <v>44</v>
      </c>
      <c r="F2229" t="s">
        <v>2860</v>
      </c>
      <c r="G2229" t="s">
        <v>89</v>
      </c>
      <c r="H2229" t="s">
        <v>35</v>
      </c>
      <c r="I2229" t="s">
        <v>9783</v>
      </c>
      <c r="J2229">
        <v>34</v>
      </c>
      <c r="K2229" t="s">
        <v>49</v>
      </c>
      <c r="L2229" t="s">
        <v>130</v>
      </c>
      <c r="M2229" t="s">
        <v>39</v>
      </c>
      <c r="P2229" t="s">
        <v>28</v>
      </c>
      <c r="Q2229" t="s">
        <v>9784</v>
      </c>
      <c r="R2229" t="s">
        <v>9785</v>
      </c>
      <c r="S2229" t="s">
        <v>31</v>
      </c>
      <c r="T2229">
        <v>0</v>
      </c>
    </row>
    <row r="2230" spans="1:20" x14ac:dyDescent="0.25">
      <c r="A2230" t="s">
        <v>9786</v>
      </c>
      <c r="B2230" s="1">
        <v>45799</v>
      </c>
      <c r="C2230" s="5">
        <v>0.30981481481481482</v>
      </c>
      <c r="D2230">
        <v>129.37</v>
      </c>
      <c r="E2230" t="s">
        <v>44</v>
      </c>
      <c r="F2230" t="s">
        <v>7808</v>
      </c>
      <c r="G2230" t="s">
        <v>57</v>
      </c>
      <c r="H2230" t="s">
        <v>26</v>
      </c>
      <c r="I2230" t="s">
        <v>9787</v>
      </c>
      <c r="J2230">
        <v>49</v>
      </c>
      <c r="K2230" t="s">
        <v>49</v>
      </c>
      <c r="L2230" t="s">
        <v>248</v>
      </c>
      <c r="M2230" t="s">
        <v>105</v>
      </c>
      <c r="P2230" t="s">
        <v>28</v>
      </c>
      <c r="Q2230" t="s">
        <v>9788</v>
      </c>
      <c r="R2230" t="s">
        <v>9789</v>
      </c>
      <c r="S2230" t="s">
        <v>31</v>
      </c>
      <c r="T2230">
        <v>0</v>
      </c>
    </row>
    <row r="2231" spans="1:20" x14ac:dyDescent="0.25">
      <c r="A2231" t="s">
        <v>9790</v>
      </c>
      <c r="B2231" s="1">
        <v>45936</v>
      </c>
      <c r="C2231" s="5">
        <v>8.6770833333333339E-2</v>
      </c>
      <c r="D2231">
        <v>73.58</v>
      </c>
      <c r="E2231" t="s">
        <v>44</v>
      </c>
      <c r="F2231" t="s">
        <v>7275</v>
      </c>
      <c r="G2231" t="s">
        <v>71</v>
      </c>
      <c r="H2231" t="s">
        <v>35</v>
      </c>
      <c r="I2231" t="s">
        <v>9791</v>
      </c>
      <c r="J2231">
        <v>75</v>
      </c>
      <c r="K2231" t="s">
        <v>25</v>
      </c>
      <c r="L2231" t="s">
        <v>50</v>
      </c>
      <c r="M2231" t="s">
        <v>27</v>
      </c>
      <c r="P2231" t="s">
        <v>28</v>
      </c>
      <c r="Q2231" t="s">
        <v>9792</v>
      </c>
      <c r="R2231" t="s">
        <v>9793</v>
      </c>
      <c r="S2231" t="s">
        <v>31</v>
      </c>
      <c r="T2231">
        <v>0</v>
      </c>
    </row>
    <row r="2232" spans="1:20" x14ac:dyDescent="0.25">
      <c r="A2232" t="s">
        <v>9794</v>
      </c>
      <c r="B2232" s="1">
        <v>45858</v>
      </c>
      <c r="C2232" s="5">
        <v>0.42783564814814817</v>
      </c>
      <c r="D2232">
        <v>190.52</v>
      </c>
      <c r="E2232" t="s">
        <v>44</v>
      </c>
      <c r="F2232" t="s">
        <v>1427</v>
      </c>
      <c r="G2232" t="s">
        <v>77</v>
      </c>
      <c r="H2232" t="s">
        <v>47</v>
      </c>
      <c r="I2232" t="s">
        <v>9795</v>
      </c>
      <c r="J2232">
        <v>68</v>
      </c>
      <c r="K2232" t="s">
        <v>25</v>
      </c>
      <c r="L2232" t="s">
        <v>35</v>
      </c>
      <c r="M2232" t="s">
        <v>112</v>
      </c>
      <c r="P2232" t="s">
        <v>28</v>
      </c>
      <c r="Q2232" t="s">
        <v>9796</v>
      </c>
      <c r="R2232" t="s">
        <v>9797</v>
      </c>
      <c r="S2232" t="s">
        <v>31</v>
      </c>
      <c r="T2232">
        <v>0</v>
      </c>
    </row>
    <row r="2233" spans="1:20" x14ac:dyDescent="0.25">
      <c r="A2233" t="s">
        <v>9798</v>
      </c>
      <c r="B2233" s="1">
        <v>45937</v>
      </c>
      <c r="C2233" s="5">
        <v>0.54854166666666671</v>
      </c>
      <c r="D2233">
        <v>112.52</v>
      </c>
      <c r="E2233" t="s">
        <v>44</v>
      </c>
      <c r="F2233" t="s">
        <v>2833</v>
      </c>
      <c r="G2233" t="s">
        <v>22</v>
      </c>
      <c r="H2233" t="s">
        <v>58</v>
      </c>
      <c r="I2233" t="s">
        <v>9799</v>
      </c>
      <c r="J2233">
        <v>63</v>
      </c>
      <c r="K2233" t="s">
        <v>49</v>
      </c>
      <c r="L2233" t="s">
        <v>66</v>
      </c>
      <c r="M2233" t="s">
        <v>27</v>
      </c>
      <c r="P2233" t="s">
        <v>28</v>
      </c>
      <c r="Q2233" t="s">
        <v>9800</v>
      </c>
      <c r="R2233" t="s">
        <v>9801</v>
      </c>
      <c r="S2233" t="s">
        <v>101</v>
      </c>
      <c r="T2233">
        <v>0</v>
      </c>
    </row>
    <row r="2234" spans="1:20" x14ac:dyDescent="0.25">
      <c r="A2234" t="s">
        <v>9802</v>
      </c>
      <c r="B2234" s="1">
        <v>45819</v>
      </c>
      <c r="C2234" s="5">
        <v>0.24136574074074074</v>
      </c>
      <c r="D2234">
        <v>60.6</v>
      </c>
      <c r="E2234" t="s">
        <v>44</v>
      </c>
      <c r="F2234" t="s">
        <v>349</v>
      </c>
      <c r="G2234" t="s">
        <v>34</v>
      </c>
      <c r="H2234" t="s">
        <v>146</v>
      </c>
      <c r="I2234" t="s">
        <v>9803</v>
      </c>
      <c r="J2234">
        <v>46</v>
      </c>
      <c r="K2234" t="s">
        <v>37</v>
      </c>
      <c r="L2234" t="s">
        <v>146</v>
      </c>
      <c r="M2234" t="s">
        <v>27</v>
      </c>
      <c r="P2234" t="s">
        <v>113</v>
      </c>
      <c r="Q2234" t="s">
        <v>9804</v>
      </c>
      <c r="R2234" t="s">
        <v>9805</v>
      </c>
      <c r="S2234" t="s">
        <v>31</v>
      </c>
      <c r="T2234">
        <v>0</v>
      </c>
    </row>
    <row r="2235" spans="1:20" x14ac:dyDescent="0.25">
      <c r="A2235" t="s">
        <v>9806</v>
      </c>
      <c r="B2235" s="1">
        <v>45904</v>
      </c>
      <c r="C2235" s="5">
        <v>0.39135416666666667</v>
      </c>
      <c r="D2235">
        <v>414.2</v>
      </c>
      <c r="E2235" t="s">
        <v>44</v>
      </c>
      <c r="F2235" t="s">
        <v>898</v>
      </c>
      <c r="G2235" t="s">
        <v>46</v>
      </c>
      <c r="H2235" t="s">
        <v>130</v>
      </c>
      <c r="I2235" t="s">
        <v>9807</v>
      </c>
      <c r="J2235">
        <v>74</v>
      </c>
      <c r="K2235" t="s">
        <v>37</v>
      </c>
      <c r="L2235" t="s">
        <v>35</v>
      </c>
      <c r="M2235" t="s">
        <v>27</v>
      </c>
      <c r="P2235" t="s">
        <v>28</v>
      </c>
      <c r="Q2235" t="s">
        <v>9808</v>
      </c>
      <c r="R2235" t="s">
        <v>9809</v>
      </c>
      <c r="S2235" t="s">
        <v>31</v>
      </c>
      <c r="T2235">
        <v>1</v>
      </c>
    </row>
    <row r="2236" spans="1:20" x14ac:dyDescent="0.25">
      <c r="A2236" t="s">
        <v>9810</v>
      </c>
      <c r="B2236" s="1">
        <v>45858</v>
      </c>
      <c r="C2236" s="5">
        <v>0.71065972222222218</v>
      </c>
      <c r="D2236">
        <v>138.93</v>
      </c>
      <c r="E2236" t="s">
        <v>44</v>
      </c>
      <c r="F2236" t="s">
        <v>1538</v>
      </c>
      <c r="G2236" t="s">
        <v>89</v>
      </c>
      <c r="H2236" t="s">
        <v>146</v>
      </c>
      <c r="I2236" t="s">
        <v>9811</v>
      </c>
      <c r="J2236">
        <v>45</v>
      </c>
      <c r="K2236" t="s">
        <v>37</v>
      </c>
      <c r="L2236" t="s">
        <v>146</v>
      </c>
      <c r="M2236" t="s">
        <v>39</v>
      </c>
      <c r="P2236" t="s">
        <v>113</v>
      </c>
      <c r="Q2236" t="s">
        <v>9812</v>
      </c>
      <c r="R2236" t="s">
        <v>9813</v>
      </c>
      <c r="S2236" t="s">
        <v>31</v>
      </c>
      <c r="T2236">
        <v>0</v>
      </c>
    </row>
    <row r="2237" spans="1:20" x14ac:dyDescent="0.25">
      <c r="A2237" t="s">
        <v>9814</v>
      </c>
      <c r="B2237" s="1">
        <v>45844</v>
      </c>
      <c r="C2237" s="5">
        <v>0.33046296296296296</v>
      </c>
      <c r="D2237">
        <v>21.21</v>
      </c>
      <c r="E2237" t="s">
        <v>44</v>
      </c>
      <c r="F2237" t="s">
        <v>3008</v>
      </c>
      <c r="G2237" t="s">
        <v>34</v>
      </c>
      <c r="H2237" t="s">
        <v>130</v>
      </c>
      <c r="I2237" t="s">
        <v>9815</v>
      </c>
      <c r="J2237">
        <v>67</v>
      </c>
      <c r="K2237" t="s">
        <v>49</v>
      </c>
      <c r="L2237" t="s">
        <v>23</v>
      </c>
      <c r="M2237" t="s">
        <v>27</v>
      </c>
      <c r="P2237" t="s">
        <v>28</v>
      </c>
      <c r="Q2237" t="s">
        <v>9816</v>
      </c>
      <c r="R2237" t="s">
        <v>9817</v>
      </c>
      <c r="S2237" t="s">
        <v>31</v>
      </c>
      <c r="T2237">
        <v>0</v>
      </c>
    </row>
    <row r="2238" spans="1:20" x14ac:dyDescent="0.25">
      <c r="A2238" t="s">
        <v>9818</v>
      </c>
      <c r="B2238" s="1">
        <v>45801</v>
      </c>
      <c r="C2238" s="5">
        <v>0.19229166666666667</v>
      </c>
      <c r="D2238">
        <v>100.47</v>
      </c>
      <c r="E2238" t="s">
        <v>44</v>
      </c>
      <c r="F2238" t="s">
        <v>3483</v>
      </c>
      <c r="G2238" t="s">
        <v>64</v>
      </c>
      <c r="H2238" t="s">
        <v>58</v>
      </c>
      <c r="I2238" t="s">
        <v>9819</v>
      </c>
      <c r="J2238">
        <v>72</v>
      </c>
      <c r="K2238" t="s">
        <v>37</v>
      </c>
      <c r="L2238" t="s">
        <v>58</v>
      </c>
      <c r="M2238" t="s">
        <v>39</v>
      </c>
      <c r="P2238" t="s">
        <v>113</v>
      </c>
      <c r="Q2238" t="s">
        <v>9820</v>
      </c>
      <c r="R2238" t="s">
        <v>9821</v>
      </c>
      <c r="S2238" t="s">
        <v>42</v>
      </c>
      <c r="T2238">
        <v>0</v>
      </c>
    </row>
    <row r="2239" spans="1:20" x14ac:dyDescent="0.25">
      <c r="A2239" t="s">
        <v>9822</v>
      </c>
      <c r="B2239" s="1">
        <v>45784</v>
      </c>
      <c r="C2239" s="5">
        <v>0.57929398148148148</v>
      </c>
      <c r="D2239">
        <v>130.35</v>
      </c>
      <c r="E2239" t="s">
        <v>44</v>
      </c>
      <c r="F2239" t="s">
        <v>9823</v>
      </c>
      <c r="G2239" t="s">
        <v>22</v>
      </c>
      <c r="H2239" t="s">
        <v>130</v>
      </c>
      <c r="I2239" t="s">
        <v>9824</v>
      </c>
      <c r="J2239">
        <v>59</v>
      </c>
      <c r="K2239" t="s">
        <v>25</v>
      </c>
      <c r="L2239" t="s">
        <v>66</v>
      </c>
      <c r="M2239" t="s">
        <v>39</v>
      </c>
      <c r="P2239" t="s">
        <v>28</v>
      </c>
      <c r="Q2239" t="s">
        <v>9825</v>
      </c>
      <c r="R2239" t="s">
        <v>9826</v>
      </c>
      <c r="S2239" t="s">
        <v>31</v>
      </c>
      <c r="T2239">
        <v>0</v>
      </c>
    </row>
    <row r="2240" spans="1:20" x14ac:dyDescent="0.25">
      <c r="A2240" t="s">
        <v>9827</v>
      </c>
      <c r="B2240" s="1">
        <v>45788</v>
      </c>
      <c r="C2240" s="5">
        <v>0.34671296296296295</v>
      </c>
      <c r="D2240">
        <v>95.5</v>
      </c>
      <c r="E2240" t="s">
        <v>44</v>
      </c>
      <c r="F2240" t="s">
        <v>1321</v>
      </c>
      <c r="G2240" t="s">
        <v>64</v>
      </c>
      <c r="H2240" t="s">
        <v>130</v>
      </c>
      <c r="I2240" t="s">
        <v>9828</v>
      </c>
      <c r="J2240">
        <v>57</v>
      </c>
      <c r="K2240" t="s">
        <v>25</v>
      </c>
      <c r="L2240" t="s">
        <v>66</v>
      </c>
      <c r="M2240" t="s">
        <v>27</v>
      </c>
      <c r="P2240" t="s">
        <v>28</v>
      </c>
      <c r="Q2240" t="s">
        <v>9829</v>
      </c>
      <c r="R2240" t="s">
        <v>9830</v>
      </c>
      <c r="S2240" t="s">
        <v>31</v>
      </c>
      <c r="T2240">
        <v>0</v>
      </c>
    </row>
    <row r="2241" spans="1:20" x14ac:dyDescent="0.25">
      <c r="A2241" t="s">
        <v>9831</v>
      </c>
      <c r="B2241" s="1">
        <v>45846</v>
      </c>
      <c r="C2241" s="5">
        <v>0.23373842592592592</v>
      </c>
      <c r="D2241">
        <v>114.67</v>
      </c>
      <c r="E2241" t="s">
        <v>44</v>
      </c>
      <c r="F2241" t="s">
        <v>2277</v>
      </c>
      <c r="G2241" t="s">
        <v>34</v>
      </c>
      <c r="H2241" t="s">
        <v>58</v>
      </c>
      <c r="I2241" t="s">
        <v>9832</v>
      </c>
      <c r="J2241">
        <v>23</v>
      </c>
      <c r="K2241" t="s">
        <v>25</v>
      </c>
      <c r="L2241" t="s">
        <v>47</v>
      </c>
      <c r="M2241" t="s">
        <v>84</v>
      </c>
      <c r="P2241" t="s">
        <v>28</v>
      </c>
      <c r="Q2241" t="s">
        <v>9833</v>
      </c>
      <c r="R2241" t="s">
        <v>9834</v>
      </c>
      <c r="S2241" t="s">
        <v>31</v>
      </c>
      <c r="T2241">
        <v>0</v>
      </c>
    </row>
    <row r="2242" spans="1:20" x14ac:dyDescent="0.25">
      <c r="A2242" t="s">
        <v>9835</v>
      </c>
      <c r="B2242" s="1">
        <v>45850</v>
      </c>
      <c r="C2242" s="5">
        <v>0.60550925925925925</v>
      </c>
      <c r="D2242">
        <v>141.1</v>
      </c>
      <c r="E2242" t="s">
        <v>44</v>
      </c>
      <c r="F2242" t="s">
        <v>1627</v>
      </c>
      <c r="G2242" t="s">
        <v>71</v>
      </c>
      <c r="H2242" t="s">
        <v>110</v>
      </c>
      <c r="I2242" t="s">
        <v>9836</v>
      </c>
      <c r="J2242">
        <v>32</v>
      </c>
      <c r="K2242" t="s">
        <v>37</v>
      </c>
      <c r="L2242" t="s">
        <v>66</v>
      </c>
      <c r="M2242" t="s">
        <v>84</v>
      </c>
      <c r="P2242" t="s">
        <v>28</v>
      </c>
      <c r="Q2242" t="s">
        <v>9837</v>
      </c>
      <c r="R2242" t="s">
        <v>9838</v>
      </c>
      <c r="S2242" t="s">
        <v>31</v>
      </c>
      <c r="T2242">
        <v>0</v>
      </c>
    </row>
    <row r="2243" spans="1:20" x14ac:dyDescent="0.25">
      <c r="A2243" t="s">
        <v>9839</v>
      </c>
      <c r="B2243" s="1">
        <v>45932</v>
      </c>
      <c r="C2243" s="5">
        <v>0.45374999999999999</v>
      </c>
      <c r="D2243">
        <v>171.28</v>
      </c>
      <c r="E2243" t="s">
        <v>44</v>
      </c>
      <c r="F2243" t="s">
        <v>4561</v>
      </c>
      <c r="G2243" t="s">
        <v>34</v>
      </c>
      <c r="H2243" t="s">
        <v>23</v>
      </c>
      <c r="I2243" t="s">
        <v>9840</v>
      </c>
      <c r="J2243">
        <v>75</v>
      </c>
      <c r="K2243" t="s">
        <v>49</v>
      </c>
      <c r="L2243" t="s">
        <v>110</v>
      </c>
      <c r="M2243" t="s">
        <v>112</v>
      </c>
      <c r="P2243" t="s">
        <v>28</v>
      </c>
      <c r="Q2243" t="s">
        <v>9841</v>
      </c>
      <c r="R2243" t="s">
        <v>9842</v>
      </c>
      <c r="S2243" t="s">
        <v>31</v>
      </c>
      <c r="T2243">
        <v>0</v>
      </c>
    </row>
    <row r="2244" spans="1:20" x14ac:dyDescent="0.25">
      <c r="A2244" t="s">
        <v>9843</v>
      </c>
      <c r="B2244" s="1">
        <v>45891</v>
      </c>
      <c r="C2244" s="5">
        <v>0.53407407407407403</v>
      </c>
      <c r="D2244">
        <v>69.97</v>
      </c>
      <c r="E2244" t="s">
        <v>44</v>
      </c>
      <c r="F2244" t="s">
        <v>3432</v>
      </c>
      <c r="G2244" t="s">
        <v>46</v>
      </c>
      <c r="H2244" t="s">
        <v>50</v>
      </c>
      <c r="I2244" t="s">
        <v>9844</v>
      </c>
      <c r="J2244">
        <v>18</v>
      </c>
      <c r="K2244" t="s">
        <v>37</v>
      </c>
      <c r="L2244" t="s">
        <v>26</v>
      </c>
      <c r="M2244" t="s">
        <v>84</v>
      </c>
      <c r="P2244" t="s">
        <v>28</v>
      </c>
      <c r="Q2244" t="s">
        <v>9845</v>
      </c>
      <c r="R2244" t="s">
        <v>9846</v>
      </c>
      <c r="S2244" t="s">
        <v>31</v>
      </c>
      <c r="T2244">
        <v>0</v>
      </c>
    </row>
    <row r="2245" spans="1:20" x14ac:dyDescent="0.25">
      <c r="A2245" t="s">
        <v>9847</v>
      </c>
      <c r="B2245" s="1">
        <v>45886</v>
      </c>
      <c r="C2245" s="5">
        <v>0.66819444444444442</v>
      </c>
      <c r="D2245">
        <v>115.91</v>
      </c>
      <c r="E2245" t="s">
        <v>44</v>
      </c>
      <c r="F2245" t="s">
        <v>4959</v>
      </c>
      <c r="G2245" t="s">
        <v>46</v>
      </c>
      <c r="H2245" t="s">
        <v>66</v>
      </c>
      <c r="I2245" t="s">
        <v>9848</v>
      </c>
      <c r="J2245">
        <v>61</v>
      </c>
      <c r="K2245" t="s">
        <v>37</v>
      </c>
      <c r="L2245" t="s">
        <v>146</v>
      </c>
      <c r="M2245" t="s">
        <v>112</v>
      </c>
      <c r="P2245" t="s">
        <v>28</v>
      </c>
      <c r="Q2245" t="s">
        <v>9849</v>
      </c>
      <c r="R2245" t="s">
        <v>9850</v>
      </c>
      <c r="S2245" t="s">
        <v>31</v>
      </c>
      <c r="T2245">
        <v>0</v>
      </c>
    </row>
    <row r="2246" spans="1:20" x14ac:dyDescent="0.25">
      <c r="A2246" t="s">
        <v>9851</v>
      </c>
      <c r="B2246" s="1">
        <v>45847</v>
      </c>
      <c r="C2246" s="5">
        <v>0.48335648148148147</v>
      </c>
      <c r="D2246">
        <v>105.55</v>
      </c>
      <c r="E2246" t="s">
        <v>44</v>
      </c>
      <c r="F2246" t="s">
        <v>1790</v>
      </c>
      <c r="G2246" t="s">
        <v>64</v>
      </c>
      <c r="H2246" t="s">
        <v>91</v>
      </c>
      <c r="I2246" t="s">
        <v>9852</v>
      </c>
      <c r="J2246">
        <v>62</v>
      </c>
      <c r="K2246" t="s">
        <v>37</v>
      </c>
      <c r="L2246" t="s">
        <v>58</v>
      </c>
      <c r="M2246" t="s">
        <v>51</v>
      </c>
      <c r="N2246" t="s">
        <v>870</v>
      </c>
      <c r="O2246">
        <v>441400</v>
      </c>
      <c r="P2246" t="s">
        <v>28</v>
      </c>
      <c r="Q2246" t="s">
        <v>9853</v>
      </c>
      <c r="R2246" t="s">
        <v>9854</v>
      </c>
      <c r="S2246" t="s">
        <v>31</v>
      </c>
      <c r="T2246">
        <v>0</v>
      </c>
    </row>
    <row r="2247" spans="1:20" x14ac:dyDescent="0.25">
      <c r="A2247" t="s">
        <v>9855</v>
      </c>
      <c r="B2247" s="1">
        <v>45899</v>
      </c>
      <c r="C2247" s="5">
        <v>9.5231481481481486E-2</v>
      </c>
      <c r="D2247">
        <v>61.52</v>
      </c>
      <c r="E2247" t="s">
        <v>44</v>
      </c>
      <c r="F2247" t="s">
        <v>7586</v>
      </c>
      <c r="G2247" t="s">
        <v>46</v>
      </c>
      <c r="H2247" t="s">
        <v>26</v>
      </c>
      <c r="I2247" t="s">
        <v>9856</v>
      </c>
      <c r="J2247">
        <v>59</v>
      </c>
      <c r="K2247" t="s">
        <v>49</v>
      </c>
      <c r="L2247" t="s">
        <v>23</v>
      </c>
      <c r="M2247" t="s">
        <v>112</v>
      </c>
      <c r="P2247" t="s">
        <v>28</v>
      </c>
      <c r="Q2247" t="s">
        <v>9857</v>
      </c>
      <c r="R2247" t="s">
        <v>9858</v>
      </c>
      <c r="S2247" t="s">
        <v>31</v>
      </c>
      <c r="T2247">
        <v>0</v>
      </c>
    </row>
    <row r="2248" spans="1:20" x14ac:dyDescent="0.25">
      <c r="A2248" t="s">
        <v>9859</v>
      </c>
      <c r="B2248" s="1">
        <v>45811</v>
      </c>
      <c r="C2248" s="5">
        <v>0.59569444444444442</v>
      </c>
      <c r="D2248">
        <v>3.97</v>
      </c>
      <c r="E2248" t="s">
        <v>44</v>
      </c>
      <c r="F2248" t="s">
        <v>7908</v>
      </c>
      <c r="G2248" t="s">
        <v>124</v>
      </c>
      <c r="H2248" t="s">
        <v>23</v>
      </c>
      <c r="I2248" t="s">
        <v>9860</v>
      </c>
      <c r="J2248">
        <v>26</v>
      </c>
      <c r="K2248" t="s">
        <v>37</v>
      </c>
      <c r="L2248" t="s">
        <v>146</v>
      </c>
      <c r="M2248" t="s">
        <v>27</v>
      </c>
      <c r="P2248" t="s">
        <v>28</v>
      </c>
      <c r="Q2248" t="s">
        <v>9861</v>
      </c>
      <c r="R2248" t="s">
        <v>9862</v>
      </c>
      <c r="S2248" t="s">
        <v>31</v>
      </c>
      <c r="T2248">
        <v>0</v>
      </c>
    </row>
    <row r="2249" spans="1:20" x14ac:dyDescent="0.25">
      <c r="A2249" t="s">
        <v>9863</v>
      </c>
      <c r="B2249" s="1">
        <v>45866</v>
      </c>
      <c r="C2249" s="5">
        <v>0.6831828703703704</v>
      </c>
      <c r="D2249">
        <v>98.85</v>
      </c>
      <c r="E2249" t="s">
        <v>44</v>
      </c>
      <c r="F2249" t="s">
        <v>2433</v>
      </c>
      <c r="G2249" t="s">
        <v>46</v>
      </c>
      <c r="H2249" t="s">
        <v>91</v>
      </c>
      <c r="I2249" t="s">
        <v>9864</v>
      </c>
      <c r="J2249">
        <v>48</v>
      </c>
      <c r="K2249" t="s">
        <v>49</v>
      </c>
      <c r="L2249" t="s">
        <v>38</v>
      </c>
      <c r="M2249" t="s">
        <v>112</v>
      </c>
      <c r="P2249" t="s">
        <v>28</v>
      </c>
      <c r="Q2249" t="s">
        <v>9865</v>
      </c>
      <c r="R2249" t="s">
        <v>9866</v>
      </c>
      <c r="S2249" t="s">
        <v>31</v>
      </c>
      <c r="T2249">
        <v>0</v>
      </c>
    </row>
    <row r="2250" spans="1:20" x14ac:dyDescent="0.25">
      <c r="A2250" t="s">
        <v>9867</v>
      </c>
      <c r="B2250" s="1">
        <v>45935</v>
      </c>
      <c r="C2250" s="5">
        <v>0.98900462962962965</v>
      </c>
      <c r="D2250">
        <v>6.55</v>
      </c>
      <c r="E2250" t="s">
        <v>44</v>
      </c>
      <c r="F2250" t="s">
        <v>1739</v>
      </c>
      <c r="G2250" t="s">
        <v>77</v>
      </c>
      <c r="H2250" t="s">
        <v>91</v>
      </c>
      <c r="I2250" t="s">
        <v>9868</v>
      </c>
      <c r="J2250">
        <v>69</v>
      </c>
      <c r="K2250" t="s">
        <v>49</v>
      </c>
      <c r="L2250" t="s">
        <v>146</v>
      </c>
      <c r="M2250" t="s">
        <v>112</v>
      </c>
      <c r="P2250" t="s">
        <v>28</v>
      </c>
      <c r="Q2250" t="s">
        <v>9869</v>
      </c>
      <c r="R2250" t="s">
        <v>9870</v>
      </c>
      <c r="S2250" t="s">
        <v>31</v>
      </c>
      <c r="T2250">
        <v>0</v>
      </c>
    </row>
    <row r="2251" spans="1:20" x14ac:dyDescent="0.25">
      <c r="A2251" t="s">
        <v>9871</v>
      </c>
      <c r="B2251" s="1">
        <v>45817</v>
      </c>
      <c r="C2251" s="5">
        <v>0.63796296296296295</v>
      </c>
      <c r="D2251">
        <v>89.49</v>
      </c>
      <c r="E2251" t="s">
        <v>44</v>
      </c>
      <c r="F2251" t="s">
        <v>9872</v>
      </c>
      <c r="G2251" t="s">
        <v>57</v>
      </c>
      <c r="H2251" t="s">
        <v>97</v>
      </c>
      <c r="I2251" t="s">
        <v>9873</v>
      </c>
      <c r="J2251">
        <v>46</v>
      </c>
      <c r="K2251" t="s">
        <v>49</v>
      </c>
      <c r="L2251" t="s">
        <v>26</v>
      </c>
      <c r="M2251" t="s">
        <v>27</v>
      </c>
      <c r="P2251" t="s">
        <v>28</v>
      </c>
      <c r="Q2251" t="s">
        <v>9874</v>
      </c>
      <c r="R2251" t="s">
        <v>9875</v>
      </c>
      <c r="S2251" t="s">
        <v>31</v>
      </c>
      <c r="T2251">
        <v>0</v>
      </c>
    </row>
    <row r="2252" spans="1:20" x14ac:dyDescent="0.25">
      <c r="A2252" t="s">
        <v>9876</v>
      </c>
      <c r="B2252" s="1">
        <v>45869</v>
      </c>
      <c r="C2252" s="5">
        <v>0.80478009259259264</v>
      </c>
      <c r="D2252">
        <v>491.64</v>
      </c>
      <c r="E2252" t="s">
        <v>44</v>
      </c>
      <c r="F2252" t="s">
        <v>1115</v>
      </c>
      <c r="G2252" t="s">
        <v>64</v>
      </c>
      <c r="H2252" t="s">
        <v>110</v>
      </c>
      <c r="I2252" t="s">
        <v>9877</v>
      </c>
      <c r="J2252">
        <v>43</v>
      </c>
      <c r="K2252" t="s">
        <v>49</v>
      </c>
      <c r="L2252" t="s">
        <v>91</v>
      </c>
      <c r="M2252" t="s">
        <v>84</v>
      </c>
      <c r="P2252" t="s">
        <v>28</v>
      </c>
      <c r="Q2252" t="s">
        <v>9878</v>
      </c>
      <c r="R2252" t="s">
        <v>9879</v>
      </c>
      <c r="S2252" t="s">
        <v>31</v>
      </c>
      <c r="T2252">
        <v>0</v>
      </c>
    </row>
    <row r="2253" spans="1:20" x14ac:dyDescent="0.25">
      <c r="A2253" t="s">
        <v>9880</v>
      </c>
      <c r="B2253" s="1">
        <v>45920</v>
      </c>
      <c r="C2253" s="5">
        <v>0.56920138888888894</v>
      </c>
      <c r="D2253">
        <v>26.38</v>
      </c>
      <c r="E2253" t="s">
        <v>44</v>
      </c>
      <c r="F2253" t="s">
        <v>868</v>
      </c>
      <c r="G2253" t="s">
        <v>96</v>
      </c>
      <c r="H2253" t="s">
        <v>130</v>
      </c>
      <c r="I2253" t="s">
        <v>9881</v>
      </c>
      <c r="J2253">
        <v>24</v>
      </c>
      <c r="K2253" t="s">
        <v>49</v>
      </c>
      <c r="L2253" t="s">
        <v>248</v>
      </c>
      <c r="M2253" t="s">
        <v>105</v>
      </c>
      <c r="P2253" t="s">
        <v>28</v>
      </c>
      <c r="Q2253" t="s">
        <v>9882</v>
      </c>
      <c r="R2253" t="s">
        <v>9883</v>
      </c>
      <c r="S2253" t="s">
        <v>31</v>
      </c>
      <c r="T2253">
        <v>0</v>
      </c>
    </row>
    <row r="2254" spans="1:20" x14ac:dyDescent="0.25">
      <c r="A2254" t="s">
        <v>9884</v>
      </c>
      <c r="B2254" s="1">
        <v>45785</v>
      </c>
      <c r="C2254" s="5">
        <v>0.627349537037037</v>
      </c>
      <c r="D2254">
        <v>32.369999999999997</v>
      </c>
      <c r="E2254" t="s">
        <v>44</v>
      </c>
      <c r="F2254" t="s">
        <v>9885</v>
      </c>
      <c r="G2254" t="s">
        <v>89</v>
      </c>
      <c r="H2254" t="s">
        <v>66</v>
      </c>
      <c r="I2254" t="s">
        <v>9886</v>
      </c>
      <c r="J2254">
        <v>33</v>
      </c>
      <c r="K2254" t="s">
        <v>49</v>
      </c>
      <c r="L2254" t="s">
        <v>50</v>
      </c>
      <c r="M2254" t="s">
        <v>105</v>
      </c>
      <c r="P2254" t="s">
        <v>28</v>
      </c>
      <c r="Q2254" t="s">
        <v>9887</v>
      </c>
      <c r="R2254" t="s">
        <v>9888</v>
      </c>
      <c r="S2254" t="s">
        <v>31</v>
      </c>
      <c r="T2254">
        <v>0</v>
      </c>
    </row>
    <row r="2255" spans="1:20" x14ac:dyDescent="0.25">
      <c r="A2255" t="s">
        <v>9889</v>
      </c>
      <c r="B2255" s="1">
        <v>45945</v>
      </c>
      <c r="C2255" s="5">
        <v>5.8414351851851849E-2</v>
      </c>
      <c r="D2255">
        <v>63.51</v>
      </c>
      <c r="E2255" t="s">
        <v>44</v>
      </c>
      <c r="F2255" t="s">
        <v>9890</v>
      </c>
      <c r="G2255" t="s">
        <v>57</v>
      </c>
      <c r="H2255" t="s">
        <v>38</v>
      </c>
      <c r="I2255" t="s">
        <v>9891</v>
      </c>
      <c r="J2255">
        <v>39</v>
      </c>
      <c r="K2255" t="s">
        <v>25</v>
      </c>
      <c r="L2255" t="s">
        <v>38</v>
      </c>
      <c r="M2255" t="s">
        <v>105</v>
      </c>
      <c r="P2255" t="s">
        <v>113</v>
      </c>
      <c r="Q2255" t="s">
        <v>9892</v>
      </c>
      <c r="R2255" t="s">
        <v>9893</v>
      </c>
      <c r="S2255" t="s">
        <v>31</v>
      </c>
      <c r="T2255">
        <v>0</v>
      </c>
    </row>
    <row r="2256" spans="1:20" x14ac:dyDescent="0.25">
      <c r="A2256" t="s">
        <v>9894</v>
      </c>
      <c r="B2256" s="1">
        <v>45822</v>
      </c>
      <c r="C2256" s="5">
        <v>0.85387731481481477</v>
      </c>
      <c r="D2256">
        <v>729.63</v>
      </c>
      <c r="E2256" t="s">
        <v>44</v>
      </c>
      <c r="F2256" t="s">
        <v>1163</v>
      </c>
      <c r="G2256" t="s">
        <v>96</v>
      </c>
      <c r="H2256" t="s">
        <v>130</v>
      </c>
      <c r="I2256" t="s">
        <v>9895</v>
      </c>
      <c r="J2256">
        <v>42</v>
      </c>
      <c r="K2256" t="s">
        <v>37</v>
      </c>
      <c r="L2256" t="s">
        <v>130</v>
      </c>
      <c r="M2256" t="s">
        <v>84</v>
      </c>
      <c r="P2256" t="s">
        <v>113</v>
      </c>
      <c r="Q2256" t="s">
        <v>9896</v>
      </c>
      <c r="R2256" t="s">
        <v>3155</v>
      </c>
      <c r="S2256" t="s">
        <v>42</v>
      </c>
      <c r="T2256">
        <v>0</v>
      </c>
    </row>
    <row r="2257" spans="1:20" x14ac:dyDescent="0.25">
      <c r="A2257" t="s">
        <v>9897</v>
      </c>
      <c r="B2257" s="1">
        <v>45787</v>
      </c>
      <c r="C2257" s="5">
        <v>0.71090277777777777</v>
      </c>
      <c r="D2257">
        <v>72.680000000000007</v>
      </c>
      <c r="E2257" t="s">
        <v>44</v>
      </c>
      <c r="F2257" t="s">
        <v>2200</v>
      </c>
      <c r="G2257" t="s">
        <v>124</v>
      </c>
      <c r="H2257" t="s">
        <v>35</v>
      </c>
      <c r="I2257" t="s">
        <v>9898</v>
      </c>
      <c r="J2257">
        <v>12</v>
      </c>
      <c r="K2257" t="s">
        <v>37</v>
      </c>
      <c r="L2257" t="s">
        <v>38</v>
      </c>
      <c r="M2257" t="s">
        <v>84</v>
      </c>
      <c r="P2257" t="s">
        <v>28</v>
      </c>
      <c r="Q2257" t="s">
        <v>9899</v>
      </c>
      <c r="R2257" t="s">
        <v>9900</v>
      </c>
      <c r="S2257" t="s">
        <v>31</v>
      </c>
      <c r="T2257">
        <v>0</v>
      </c>
    </row>
    <row r="2258" spans="1:20" x14ac:dyDescent="0.25">
      <c r="A2258" t="s">
        <v>9901</v>
      </c>
      <c r="B2258" s="1">
        <v>45822</v>
      </c>
      <c r="C2258" s="5">
        <v>0.40535879629629629</v>
      </c>
      <c r="D2258">
        <v>146.94999999999999</v>
      </c>
      <c r="E2258" t="s">
        <v>44</v>
      </c>
      <c r="F2258" t="s">
        <v>1799</v>
      </c>
      <c r="G2258" t="s">
        <v>22</v>
      </c>
      <c r="H2258" t="s">
        <v>50</v>
      </c>
      <c r="I2258" t="s">
        <v>9902</v>
      </c>
      <c r="J2258">
        <v>68</v>
      </c>
      <c r="K2258" t="s">
        <v>37</v>
      </c>
      <c r="L2258" t="s">
        <v>97</v>
      </c>
      <c r="M2258" t="s">
        <v>51</v>
      </c>
      <c r="N2258" t="s">
        <v>304</v>
      </c>
      <c r="O2258">
        <v>539865</v>
      </c>
      <c r="P2258" t="s">
        <v>28</v>
      </c>
      <c r="Q2258" t="s">
        <v>9903</v>
      </c>
      <c r="R2258" t="s">
        <v>9904</v>
      </c>
      <c r="S2258" t="s">
        <v>31</v>
      </c>
      <c r="T2258">
        <v>0</v>
      </c>
    </row>
    <row r="2259" spans="1:20" x14ac:dyDescent="0.25">
      <c r="A2259" t="s">
        <v>9905</v>
      </c>
      <c r="B2259" s="1">
        <v>45894</v>
      </c>
      <c r="C2259" s="5">
        <v>0.57953703703703707</v>
      </c>
      <c r="D2259">
        <v>189.72</v>
      </c>
      <c r="E2259" t="s">
        <v>44</v>
      </c>
      <c r="F2259" t="s">
        <v>9906</v>
      </c>
      <c r="G2259" t="s">
        <v>22</v>
      </c>
      <c r="H2259" t="s">
        <v>38</v>
      </c>
      <c r="I2259" t="s">
        <v>9907</v>
      </c>
      <c r="J2259">
        <v>50</v>
      </c>
      <c r="K2259" t="s">
        <v>25</v>
      </c>
      <c r="L2259" t="s">
        <v>35</v>
      </c>
      <c r="M2259" t="s">
        <v>51</v>
      </c>
      <c r="N2259" t="s">
        <v>304</v>
      </c>
      <c r="O2259">
        <v>516374</v>
      </c>
      <c r="P2259" t="s">
        <v>28</v>
      </c>
      <c r="Q2259" t="s">
        <v>9908</v>
      </c>
      <c r="R2259" t="s">
        <v>9909</v>
      </c>
      <c r="S2259" t="s">
        <v>31</v>
      </c>
      <c r="T2259">
        <v>0</v>
      </c>
    </row>
    <row r="2260" spans="1:20" x14ac:dyDescent="0.25">
      <c r="A2260" t="s">
        <v>9910</v>
      </c>
      <c r="B2260" s="1">
        <v>45798</v>
      </c>
      <c r="C2260" s="5">
        <v>7.9282407407407413E-2</v>
      </c>
      <c r="D2260">
        <v>174.21</v>
      </c>
      <c r="E2260" t="s">
        <v>44</v>
      </c>
      <c r="F2260" t="s">
        <v>3558</v>
      </c>
      <c r="G2260" t="s">
        <v>71</v>
      </c>
      <c r="H2260" t="s">
        <v>91</v>
      </c>
      <c r="I2260" t="s">
        <v>9911</v>
      </c>
      <c r="J2260">
        <v>56</v>
      </c>
      <c r="K2260" t="s">
        <v>25</v>
      </c>
      <c r="L2260" t="s">
        <v>146</v>
      </c>
      <c r="M2260" t="s">
        <v>84</v>
      </c>
      <c r="P2260" t="s">
        <v>28</v>
      </c>
      <c r="Q2260" t="s">
        <v>9912</v>
      </c>
      <c r="R2260" t="s">
        <v>4576</v>
      </c>
      <c r="S2260" t="s">
        <v>31</v>
      </c>
      <c r="T2260">
        <v>0</v>
      </c>
    </row>
    <row r="2261" spans="1:20" x14ac:dyDescent="0.25">
      <c r="A2261" t="s">
        <v>9913</v>
      </c>
      <c r="B2261" s="1">
        <v>45885</v>
      </c>
      <c r="C2261" s="5">
        <v>3.2175925925925927E-2</v>
      </c>
      <c r="D2261">
        <v>173.56</v>
      </c>
      <c r="E2261" t="s">
        <v>44</v>
      </c>
      <c r="F2261" t="s">
        <v>541</v>
      </c>
      <c r="G2261" t="s">
        <v>77</v>
      </c>
      <c r="H2261" t="s">
        <v>50</v>
      </c>
      <c r="I2261" t="s">
        <v>9914</v>
      </c>
      <c r="J2261">
        <v>46</v>
      </c>
      <c r="K2261" t="s">
        <v>49</v>
      </c>
      <c r="L2261" t="s">
        <v>130</v>
      </c>
      <c r="M2261" t="s">
        <v>105</v>
      </c>
      <c r="P2261" t="s">
        <v>28</v>
      </c>
      <c r="Q2261" t="s">
        <v>9915</v>
      </c>
      <c r="R2261" t="s">
        <v>9916</v>
      </c>
      <c r="S2261" t="s">
        <v>31</v>
      </c>
      <c r="T2261">
        <v>0</v>
      </c>
    </row>
    <row r="2262" spans="1:20" x14ac:dyDescent="0.25">
      <c r="A2262" t="s">
        <v>9917</v>
      </c>
      <c r="B2262" s="1">
        <v>45802</v>
      </c>
      <c r="C2262" s="5">
        <v>0.59785879629629635</v>
      </c>
      <c r="D2262">
        <v>3641.72</v>
      </c>
      <c r="E2262" t="s">
        <v>44</v>
      </c>
      <c r="F2262" t="s">
        <v>2080</v>
      </c>
      <c r="G2262" t="s">
        <v>71</v>
      </c>
      <c r="H2262" t="s">
        <v>248</v>
      </c>
      <c r="I2262" t="s">
        <v>9918</v>
      </c>
      <c r="J2262">
        <v>41</v>
      </c>
      <c r="K2262" t="s">
        <v>49</v>
      </c>
      <c r="L2262" t="s">
        <v>248</v>
      </c>
      <c r="M2262" t="s">
        <v>51</v>
      </c>
      <c r="N2262" t="s">
        <v>52</v>
      </c>
      <c r="O2262">
        <v>403581</v>
      </c>
      <c r="P2262" t="s">
        <v>113</v>
      </c>
      <c r="Q2262" t="s">
        <v>9919</v>
      </c>
      <c r="R2262" t="s">
        <v>9920</v>
      </c>
      <c r="S2262" t="s">
        <v>31</v>
      </c>
      <c r="T2262">
        <v>0</v>
      </c>
    </row>
    <row r="2263" spans="1:20" x14ac:dyDescent="0.25">
      <c r="A2263" t="s">
        <v>9921</v>
      </c>
      <c r="B2263" s="1">
        <v>45835</v>
      </c>
      <c r="C2263" s="5">
        <v>0.74258101851851854</v>
      </c>
      <c r="D2263">
        <v>169.33</v>
      </c>
      <c r="E2263" t="s">
        <v>44</v>
      </c>
      <c r="F2263" t="s">
        <v>1936</v>
      </c>
      <c r="G2263" t="s">
        <v>34</v>
      </c>
      <c r="H2263" t="s">
        <v>66</v>
      </c>
      <c r="I2263" t="s">
        <v>9922</v>
      </c>
      <c r="J2263">
        <v>25</v>
      </c>
      <c r="K2263" t="s">
        <v>25</v>
      </c>
      <c r="L2263" t="s">
        <v>146</v>
      </c>
      <c r="M2263" t="s">
        <v>39</v>
      </c>
      <c r="P2263" t="s">
        <v>28</v>
      </c>
      <c r="Q2263" t="s">
        <v>9923</v>
      </c>
      <c r="R2263" t="s">
        <v>9924</v>
      </c>
      <c r="S2263" t="s">
        <v>101</v>
      </c>
      <c r="T2263">
        <v>0</v>
      </c>
    </row>
    <row r="2264" spans="1:20" x14ac:dyDescent="0.25">
      <c r="A2264" t="s">
        <v>9925</v>
      </c>
      <c r="B2264" s="1">
        <v>45897</v>
      </c>
      <c r="C2264" s="5">
        <v>0.51418981481481485</v>
      </c>
      <c r="D2264">
        <v>21.76</v>
      </c>
      <c r="E2264" t="s">
        <v>44</v>
      </c>
      <c r="F2264" t="s">
        <v>3643</v>
      </c>
      <c r="G2264" t="s">
        <v>46</v>
      </c>
      <c r="H2264" t="s">
        <v>35</v>
      </c>
      <c r="I2264" t="s">
        <v>9926</v>
      </c>
      <c r="J2264">
        <v>29</v>
      </c>
      <c r="K2264" t="s">
        <v>37</v>
      </c>
      <c r="L2264" t="s">
        <v>38</v>
      </c>
      <c r="M2264" t="s">
        <v>27</v>
      </c>
      <c r="P2264" t="s">
        <v>28</v>
      </c>
      <c r="Q2264" t="s">
        <v>9927</v>
      </c>
      <c r="R2264" t="s">
        <v>9928</v>
      </c>
      <c r="S2264" t="s">
        <v>31</v>
      </c>
      <c r="T2264">
        <v>0</v>
      </c>
    </row>
    <row r="2265" spans="1:20" x14ac:dyDescent="0.25">
      <c r="A2265" t="s">
        <v>9929</v>
      </c>
      <c r="B2265" s="1">
        <v>45900</v>
      </c>
      <c r="C2265" s="5">
        <v>0.86517361111111113</v>
      </c>
      <c r="D2265">
        <v>937.79</v>
      </c>
      <c r="E2265" t="s">
        <v>44</v>
      </c>
      <c r="F2265" t="s">
        <v>5922</v>
      </c>
      <c r="G2265" t="s">
        <v>34</v>
      </c>
      <c r="H2265" t="s">
        <v>110</v>
      </c>
      <c r="I2265" t="s">
        <v>9930</v>
      </c>
      <c r="J2265">
        <v>48</v>
      </c>
      <c r="K2265" t="s">
        <v>37</v>
      </c>
      <c r="L2265" t="s">
        <v>23</v>
      </c>
      <c r="M2265" t="s">
        <v>112</v>
      </c>
      <c r="P2265" t="s">
        <v>28</v>
      </c>
      <c r="Q2265" t="s">
        <v>9931</v>
      </c>
      <c r="R2265" t="s">
        <v>9932</v>
      </c>
      <c r="S2265" t="s">
        <v>31</v>
      </c>
      <c r="T2265">
        <v>0</v>
      </c>
    </row>
    <row r="2266" spans="1:20" x14ac:dyDescent="0.25">
      <c r="A2266" t="s">
        <v>9933</v>
      </c>
      <c r="B2266" s="1">
        <v>45918</v>
      </c>
      <c r="C2266" s="5">
        <v>0.30846064814814816</v>
      </c>
      <c r="D2266">
        <v>37.049999999999997</v>
      </c>
      <c r="E2266" t="s">
        <v>44</v>
      </c>
      <c r="F2266" t="s">
        <v>5322</v>
      </c>
      <c r="G2266" t="s">
        <v>34</v>
      </c>
      <c r="H2266" t="s">
        <v>38</v>
      </c>
      <c r="I2266" t="s">
        <v>9934</v>
      </c>
      <c r="K2266" t="s">
        <v>49</v>
      </c>
      <c r="L2266" t="s">
        <v>248</v>
      </c>
      <c r="M2266" t="s">
        <v>39</v>
      </c>
      <c r="P2266" t="s">
        <v>28</v>
      </c>
      <c r="Q2266" t="s">
        <v>9935</v>
      </c>
      <c r="R2266" t="s">
        <v>9936</v>
      </c>
      <c r="S2266" t="s">
        <v>31</v>
      </c>
      <c r="T2266">
        <v>0</v>
      </c>
    </row>
    <row r="2267" spans="1:20" x14ac:dyDescent="0.25">
      <c r="A2267" t="s">
        <v>9937</v>
      </c>
      <c r="B2267" s="1">
        <v>45827</v>
      </c>
      <c r="C2267" s="5">
        <v>0.77453703703703702</v>
      </c>
      <c r="D2267">
        <v>37.03</v>
      </c>
      <c r="E2267" t="s">
        <v>44</v>
      </c>
      <c r="F2267" t="s">
        <v>2947</v>
      </c>
      <c r="G2267" t="s">
        <v>71</v>
      </c>
      <c r="H2267" t="s">
        <v>119</v>
      </c>
      <c r="I2267" t="s">
        <v>9938</v>
      </c>
      <c r="J2267">
        <v>57</v>
      </c>
      <c r="K2267" t="s">
        <v>25</v>
      </c>
      <c r="L2267" t="s">
        <v>50</v>
      </c>
      <c r="M2267" t="s">
        <v>51</v>
      </c>
      <c r="N2267" t="s">
        <v>52</v>
      </c>
      <c r="O2267">
        <v>420726</v>
      </c>
      <c r="P2267" t="s">
        <v>28</v>
      </c>
      <c r="Q2267" t="s">
        <v>9939</v>
      </c>
      <c r="R2267" t="s">
        <v>9940</v>
      </c>
      <c r="S2267" t="s">
        <v>101</v>
      </c>
      <c r="T2267">
        <v>0</v>
      </c>
    </row>
    <row r="2268" spans="1:20" x14ac:dyDescent="0.25">
      <c r="A2268" t="s">
        <v>9941</v>
      </c>
      <c r="B2268" s="1">
        <v>45909</v>
      </c>
      <c r="C2268" s="5">
        <v>0.40494212962962961</v>
      </c>
      <c r="D2268">
        <v>34.71</v>
      </c>
      <c r="E2268" t="s">
        <v>44</v>
      </c>
      <c r="F2268" t="s">
        <v>9906</v>
      </c>
      <c r="G2268" t="s">
        <v>77</v>
      </c>
      <c r="H2268" t="s">
        <v>38</v>
      </c>
      <c r="I2268" t="s">
        <v>9942</v>
      </c>
      <c r="J2268">
        <v>55</v>
      </c>
      <c r="K2268" t="s">
        <v>25</v>
      </c>
      <c r="L2268" t="s">
        <v>91</v>
      </c>
      <c r="M2268" t="s">
        <v>51</v>
      </c>
      <c r="N2268" t="s">
        <v>173</v>
      </c>
      <c r="O2268">
        <v>539041</v>
      </c>
      <c r="P2268" t="s">
        <v>28</v>
      </c>
      <c r="Q2268" t="s">
        <v>9943</v>
      </c>
      <c r="R2268" t="s">
        <v>9944</v>
      </c>
      <c r="S2268" t="s">
        <v>31</v>
      </c>
      <c r="T2268">
        <v>0</v>
      </c>
    </row>
    <row r="2269" spans="1:20" x14ac:dyDescent="0.25">
      <c r="A2269" t="s">
        <v>9945</v>
      </c>
      <c r="B2269" s="1">
        <v>45936</v>
      </c>
      <c r="C2269" s="5">
        <v>0.94737268518518514</v>
      </c>
      <c r="D2269">
        <v>825.68</v>
      </c>
      <c r="E2269" t="s">
        <v>44</v>
      </c>
      <c r="F2269" t="s">
        <v>5067</v>
      </c>
      <c r="G2269" t="s">
        <v>71</v>
      </c>
      <c r="H2269" t="s">
        <v>110</v>
      </c>
      <c r="I2269" t="s">
        <v>9946</v>
      </c>
      <c r="J2269">
        <v>71</v>
      </c>
      <c r="K2269" t="s">
        <v>25</v>
      </c>
      <c r="L2269" t="s">
        <v>119</v>
      </c>
      <c r="M2269" t="s">
        <v>39</v>
      </c>
      <c r="P2269" t="s">
        <v>28</v>
      </c>
      <c r="Q2269" t="s">
        <v>9947</v>
      </c>
      <c r="R2269" t="s">
        <v>9948</v>
      </c>
      <c r="S2269" t="s">
        <v>31</v>
      </c>
      <c r="T2269">
        <v>0</v>
      </c>
    </row>
    <row r="2270" spans="1:20" x14ac:dyDescent="0.25">
      <c r="A2270" t="s">
        <v>9949</v>
      </c>
      <c r="B2270" s="1">
        <v>45784</v>
      </c>
      <c r="C2270" s="5">
        <v>0.31136574074074075</v>
      </c>
      <c r="D2270">
        <v>153.41999999999999</v>
      </c>
      <c r="E2270" t="s">
        <v>44</v>
      </c>
      <c r="F2270" t="s">
        <v>1642</v>
      </c>
      <c r="G2270" t="s">
        <v>22</v>
      </c>
      <c r="H2270" t="s">
        <v>146</v>
      </c>
      <c r="I2270" t="s">
        <v>9950</v>
      </c>
      <c r="J2270">
        <v>20</v>
      </c>
      <c r="K2270" t="s">
        <v>37</v>
      </c>
      <c r="L2270" t="s">
        <v>23</v>
      </c>
      <c r="M2270" t="s">
        <v>105</v>
      </c>
      <c r="P2270" t="s">
        <v>28</v>
      </c>
      <c r="Q2270" t="s">
        <v>9951</v>
      </c>
      <c r="R2270" t="s">
        <v>9952</v>
      </c>
      <c r="S2270" t="s">
        <v>31</v>
      </c>
      <c r="T2270">
        <v>0</v>
      </c>
    </row>
    <row r="2271" spans="1:20" x14ac:dyDescent="0.25">
      <c r="A2271" t="s">
        <v>9953</v>
      </c>
      <c r="B2271" s="1">
        <v>45910</v>
      </c>
      <c r="C2271" s="5">
        <v>0.25144675925925924</v>
      </c>
      <c r="D2271">
        <v>141.88</v>
      </c>
      <c r="E2271" t="s">
        <v>44</v>
      </c>
      <c r="F2271" t="s">
        <v>9954</v>
      </c>
      <c r="G2271" t="s">
        <v>71</v>
      </c>
      <c r="H2271" t="s">
        <v>50</v>
      </c>
      <c r="I2271" t="s">
        <v>9955</v>
      </c>
      <c r="J2271">
        <v>35</v>
      </c>
      <c r="K2271" t="s">
        <v>25</v>
      </c>
      <c r="L2271" t="s">
        <v>110</v>
      </c>
      <c r="M2271" t="s">
        <v>105</v>
      </c>
      <c r="P2271" t="s">
        <v>28</v>
      </c>
      <c r="Q2271" t="s">
        <v>9956</v>
      </c>
      <c r="R2271" t="s">
        <v>9957</v>
      </c>
      <c r="S2271" t="s">
        <v>31</v>
      </c>
      <c r="T2271">
        <v>0</v>
      </c>
    </row>
    <row r="2272" spans="1:20" x14ac:dyDescent="0.25">
      <c r="A2272" t="s">
        <v>9958</v>
      </c>
      <c r="B2272" s="1">
        <v>45794</v>
      </c>
      <c r="C2272" s="5">
        <v>3.5624999999999997E-2</v>
      </c>
      <c r="D2272">
        <v>119.02</v>
      </c>
      <c r="E2272" t="s">
        <v>44</v>
      </c>
      <c r="F2272" t="s">
        <v>4882</v>
      </c>
      <c r="G2272" t="s">
        <v>22</v>
      </c>
      <c r="H2272" t="s">
        <v>97</v>
      </c>
      <c r="I2272" t="s">
        <v>9959</v>
      </c>
      <c r="J2272">
        <v>46</v>
      </c>
      <c r="K2272" t="s">
        <v>25</v>
      </c>
      <c r="L2272" t="s">
        <v>91</v>
      </c>
      <c r="M2272" t="s">
        <v>105</v>
      </c>
      <c r="P2272" t="s">
        <v>28</v>
      </c>
      <c r="Q2272" t="s">
        <v>9960</v>
      </c>
      <c r="R2272" t="s">
        <v>9961</v>
      </c>
      <c r="S2272" t="s">
        <v>31</v>
      </c>
      <c r="T2272">
        <v>0</v>
      </c>
    </row>
    <row r="2273" spans="1:20" x14ac:dyDescent="0.25">
      <c r="A2273" t="s">
        <v>9962</v>
      </c>
      <c r="B2273" s="1">
        <v>45868</v>
      </c>
      <c r="C2273" s="5">
        <v>0.88321759259259258</v>
      </c>
      <c r="D2273">
        <v>143.66999999999999</v>
      </c>
      <c r="E2273" t="s">
        <v>44</v>
      </c>
      <c r="F2273" t="s">
        <v>9963</v>
      </c>
      <c r="G2273" t="s">
        <v>77</v>
      </c>
      <c r="H2273" t="s">
        <v>130</v>
      </c>
      <c r="I2273" t="s">
        <v>9964</v>
      </c>
      <c r="J2273">
        <v>69</v>
      </c>
      <c r="K2273" t="s">
        <v>25</v>
      </c>
      <c r="L2273" t="s">
        <v>130</v>
      </c>
      <c r="M2273" t="s">
        <v>112</v>
      </c>
      <c r="P2273" t="s">
        <v>113</v>
      </c>
      <c r="Q2273" t="s">
        <v>9965</v>
      </c>
      <c r="R2273" t="s">
        <v>9966</v>
      </c>
      <c r="S2273" t="s">
        <v>31</v>
      </c>
      <c r="T2273">
        <v>0</v>
      </c>
    </row>
    <row r="2274" spans="1:20" x14ac:dyDescent="0.25">
      <c r="A2274" t="s">
        <v>9967</v>
      </c>
      <c r="B2274" s="1">
        <v>45906</v>
      </c>
      <c r="C2274" s="5">
        <v>0.59915509259259259</v>
      </c>
      <c r="D2274">
        <v>111.93</v>
      </c>
      <c r="E2274" t="s">
        <v>44</v>
      </c>
      <c r="F2274" t="s">
        <v>2543</v>
      </c>
      <c r="G2274" t="s">
        <v>64</v>
      </c>
      <c r="H2274" t="s">
        <v>130</v>
      </c>
      <c r="I2274" t="s">
        <v>9968</v>
      </c>
      <c r="J2274">
        <v>66</v>
      </c>
      <c r="K2274" t="s">
        <v>37</v>
      </c>
      <c r="L2274" t="s">
        <v>38</v>
      </c>
      <c r="M2274" t="s">
        <v>112</v>
      </c>
      <c r="P2274" t="s">
        <v>28</v>
      </c>
      <c r="Q2274" t="s">
        <v>9969</v>
      </c>
      <c r="R2274" t="s">
        <v>9970</v>
      </c>
      <c r="S2274" t="s">
        <v>31</v>
      </c>
      <c r="T2274">
        <v>0</v>
      </c>
    </row>
    <row r="2275" spans="1:20" x14ac:dyDescent="0.25">
      <c r="A2275" t="s">
        <v>9971</v>
      </c>
      <c r="B2275" s="1">
        <v>45786</v>
      </c>
      <c r="C2275" s="5">
        <v>3.8946759259259257E-2</v>
      </c>
      <c r="D2275">
        <v>146.04</v>
      </c>
      <c r="E2275" t="s">
        <v>44</v>
      </c>
      <c r="F2275" t="s">
        <v>927</v>
      </c>
      <c r="G2275" t="s">
        <v>89</v>
      </c>
      <c r="H2275" t="s">
        <v>66</v>
      </c>
      <c r="I2275" t="s">
        <v>9972</v>
      </c>
      <c r="J2275">
        <v>32</v>
      </c>
      <c r="K2275" t="s">
        <v>37</v>
      </c>
      <c r="L2275" t="s">
        <v>58</v>
      </c>
      <c r="M2275" t="s">
        <v>51</v>
      </c>
      <c r="N2275" t="s">
        <v>870</v>
      </c>
      <c r="O2275">
        <v>436868</v>
      </c>
      <c r="P2275" t="s">
        <v>28</v>
      </c>
      <c r="Q2275" t="s">
        <v>9973</v>
      </c>
      <c r="R2275" t="s">
        <v>9974</v>
      </c>
      <c r="S2275" t="s">
        <v>31</v>
      </c>
      <c r="T2275">
        <v>0</v>
      </c>
    </row>
    <row r="2276" spans="1:20" x14ac:dyDescent="0.25">
      <c r="A2276" t="s">
        <v>9975</v>
      </c>
      <c r="B2276" s="1">
        <v>45893</v>
      </c>
      <c r="C2276" s="5">
        <v>0.84020833333333333</v>
      </c>
      <c r="D2276">
        <v>198.49</v>
      </c>
      <c r="E2276" t="s">
        <v>44</v>
      </c>
      <c r="F2276" t="s">
        <v>1832</v>
      </c>
      <c r="G2276" t="s">
        <v>57</v>
      </c>
      <c r="H2276" t="s">
        <v>119</v>
      </c>
      <c r="I2276" t="s">
        <v>9976</v>
      </c>
      <c r="J2276">
        <v>66</v>
      </c>
      <c r="K2276" t="s">
        <v>25</v>
      </c>
      <c r="L2276" t="s">
        <v>26</v>
      </c>
      <c r="M2276" t="s">
        <v>105</v>
      </c>
      <c r="P2276" t="s">
        <v>28</v>
      </c>
      <c r="Q2276" t="s">
        <v>9977</v>
      </c>
      <c r="R2276" t="s">
        <v>9978</v>
      </c>
      <c r="S2276" t="s">
        <v>42</v>
      </c>
      <c r="T2276">
        <v>0</v>
      </c>
    </row>
    <row r="2277" spans="1:20" x14ac:dyDescent="0.25">
      <c r="A2277" t="s">
        <v>9979</v>
      </c>
      <c r="B2277" s="1">
        <v>45922</v>
      </c>
      <c r="C2277" s="5">
        <v>0.85238425925925931</v>
      </c>
      <c r="D2277">
        <v>12.01</v>
      </c>
      <c r="E2277" t="s">
        <v>44</v>
      </c>
      <c r="F2277" t="s">
        <v>9980</v>
      </c>
      <c r="G2277" t="s">
        <v>22</v>
      </c>
      <c r="H2277" t="s">
        <v>110</v>
      </c>
      <c r="I2277" t="s">
        <v>9981</v>
      </c>
      <c r="J2277">
        <v>51</v>
      </c>
      <c r="K2277" t="s">
        <v>37</v>
      </c>
      <c r="L2277" t="s">
        <v>248</v>
      </c>
      <c r="M2277" t="s">
        <v>105</v>
      </c>
      <c r="P2277" t="s">
        <v>28</v>
      </c>
      <c r="Q2277" t="s">
        <v>9982</v>
      </c>
      <c r="R2277" t="s">
        <v>9983</v>
      </c>
      <c r="S2277" t="s">
        <v>31</v>
      </c>
      <c r="T2277">
        <v>0</v>
      </c>
    </row>
    <row r="2278" spans="1:20" x14ac:dyDescent="0.25">
      <c r="A2278" t="s">
        <v>9984</v>
      </c>
      <c r="B2278" s="1">
        <v>45913</v>
      </c>
      <c r="C2278" s="5">
        <v>0.26114583333333335</v>
      </c>
      <c r="D2278">
        <v>849.25</v>
      </c>
      <c r="E2278" t="s">
        <v>44</v>
      </c>
      <c r="F2278" t="s">
        <v>6113</v>
      </c>
      <c r="G2278" t="s">
        <v>34</v>
      </c>
      <c r="H2278" t="s">
        <v>119</v>
      </c>
      <c r="I2278" t="s">
        <v>9985</v>
      </c>
      <c r="J2278">
        <v>18</v>
      </c>
      <c r="K2278" t="s">
        <v>37</v>
      </c>
      <c r="L2278" t="s">
        <v>97</v>
      </c>
      <c r="M2278" t="s">
        <v>105</v>
      </c>
      <c r="P2278" t="s">
        <v>28</v>
      </c>
      <c r="Q2278" t="s">
        <v>9986</v>
      </c>
      <c r="R2278" t="s">
        <v>9987</v>
      </c>
      <c r="S2278" t="s">
        <v>31</v>
      </c>
      <c r="T2278">
        <v>0</v>
      </c>
    </row>
    <row r="2279" spans="1:20" x14ac:dyDescent="0.25">
      <c r="A2279" t="s">
        <v>9988</v>
      </c>
      <c r="B2279" s="1">
        <v>45790</v>
      </c>
      <c r="C2279" s="5">
        <v>0.29366898148148146</v>
      </c>
      <c r="D2279">
        <v>31.9</v>
      </c>
      <c r="E2279" t="s">
        <v>44</v>
      </c>
      <c r="F2279" t="s">
        <v>1529</v>
      </c>
      <c r="G2279" t="s">
        <v>34</v>
      </c>
      <c r="H2279" t="s">
        <v>47</v>
      </c>
      <c r="I2279" t="s">
        <v>9989</v>
      </c>
      <c r="J2279">
        <v>71</v>
      </c>
      <c r="K2279" t="s">
        <v>25</v>
      </c>
      <c r="L2279" t="s">
        <v>66</v>
      </c>
      <c r="M2279" t="s">
        <v>51</v>
      </c>
      <c r="N2279" t="s">
        <v>173</v>
      </c>
      <c r="O2279">
        <v>493543</v>
      </c>
      <c r="P2279" t="s">
        <v>28</v>
      </c>
      <c r="Q2279" t="s">
        <v>9990</v>
      </c>
      <c r="R2279" t="s">
        <v>9991</v>
      </c>
      <c r="S2279" t="s">
        <v>101</v>
      </c>
      <c r="T2279">
        <v>0</v>
      </c>
    </row>
    <row r="2280" spans="1:20" x14ac:dyDescent="0.25">
      <c r="A2280" t="s">
        <v>9992</v>
      </c>
      <c r="B2280" s="1">
        <v>45829</v>
      </c>
      <c r="C2280" s="5">
        <v>0.54035879629629635</v>
      </c>
      <c r="D2280">
        <v>2.6</v>
      </c>
      <c r="E2280" t="s">
        <v>44</v>
      </c>
      <c r="F2280" t="s">
        <v>7144</v>
      </c>
      <c r="G2280" t="s">
        <v>64</v>
      </c>
      <c r="H2280" t="s">
        <v>130</v>
      </c>
      <c r="I2280" t="s">
        <v>9993</v>
      </c>
      <c r="J2280">
        <v>75</v>
      </c>
      <c r="K2280" t="s">
        <v>49</v>
      </c>
      <c r="L2280" t="s">
        <v>97</v>
      </c>
      <c r="M2280" t="s">
        <v>112</v>
      </c>
      <c r="P2280" t="s">
        <v>28</v>
      </c>
      <c r="Q2280" t="s">
        <v>9994</v>
      </c>
      <c r="R2280" t="s">
        <v>9995</v>
      </c>
      <c r="S2280" t="s">
        <v>31</v>
      </c>
      <c r="T2280">
        <v>0</v>
      </c>
    </row>
    <row r="2281" spans="1:20" x14ac:dyDescent="0.25">
      <c r="A2281" t="s">
        <v>9996</v>
      </c>
      <c r="B2281" s="1">
        <v>45910</v>
      </c>
      <c r="C2281" s="5">
        <v>0.61241898148148144</v>
      </c>
      <c r="D2281">
        <v>36.97</v>
      </c>
      <c r="E2281" t="s">
        <v>44</v>
      </c>
      <c r="F2281" t="s">
        <v>4756</v>
      </c>
      <c r="G2281" t="s">
        <v>89</v>
      </c>
      <c r="H2281" t="s">
        <v>26</v>
      </c>
      <c r="I2281" t="s">
        <v>9997</v>
      </c>
      <c r="J2281">
        <v>46</v>
      </c>
      <c r="K2281" t="s">
        <v>25</v>
      </c>
      <c r="L2281" t="s">
        <v>50</v>
      </c>
      <c r="M2281" t="s">
        <v>39</v>
      </c>
      <c r="P2281" t="s">
        <v>28</v>
      </c>
      <c r="Q2281" t="s">
        <v>9998</v>
      </c>
      <c r="R2281" t="s">
        <v>6876</v>
      </c>
      <c r="S2281" t="s">
        <v>31</v>
      </c>
      <c r="T2281">
        <v>0</v>
      </c>
    </row>
    <row r="2282" spans="1:20" x14ac:dyDescent="0.25">
      <c r="A2282" t="s">
        <v>9999</v>
      </c>
      <c r="B2282" s="1">
        <v>45908</v>
      </c>
      <c r="C2282" s="5">
        <v>0.12637731481481482</v>
      </c>
      <c r="D2282">
        <v>104.89</v>
      </c>
      <c r="E2282" t="s">
        <v>44</v>
      </c>
      <c r="F2282" t="s">
        <v>1306</v>
      </c>
      <c r="G2282" t="s">
        <v>96</v>
      </c>
      <c r="H2282" t="s">
        <v>97</v>
      </c>
      <c r="I2282" t="s">
        <v>10000</v>
      </c>
      <c r="J2282">
        <v>42</v>
      </c>
      <c r="K2282" t="s">
        <v>25</v>
      </c>
      <c r="L2282" t="s">
        <v>23</v>
      </c>
      <c r="M2282" t="s">
        <v>27</v>
      </c>
      <c r="P2282" t="s">
        <v>28</v>
      </c>
      <c r="Q2282" t="s">
        <v>10001</v>
      </c>
      <c r="R2282" t="s">
        <v>10002</v>
      </c>
      <c r="S2282" t="s">
        <v>31</v>
      </c>
      <c r="T2282">
        <v>0</v>
      </c>
    </row>
    <row r="2283" spans="1:20" x14ac:dyDescent="0.25">
      <c r="A2283" t="s">
        <v>10003</v>
      </c>
      <c r="B2283" s="1">
        <v>45827</v>
      </c>
      <c r="C2283" s="5">
        <v>0.68603009259259262</v>
      </c>
      <c r="D2283">
        <v>4162.01</v>
      </c>
      <c r="E2283" t="s">
        <v>44</v>
      </c>
      <c r="F2283" t="s">
        <v>4833</v>
      </c>
      <c r="G2283" t="s">
        <v>96</v>
      </c>
      <c r="H2283" t="s">
        <v>23</v>
      </c>
      <c r="I2283" t="s">
        <v>10004</v>
      </c>
      <c r="J2283">
        <v>46</v>
      </c>
      <c r="K2283" t="s">
        <v>49</v>
      </c>
      <c r="L2283" t="s">
        <v>146</v>
      </c>
      <c r="M2283" t="s">
        <v>112</v>
      </c>
      <c r="P2283" t="s">
        <v>28</v>
      </c>
      <c r="Q2283" t="s">
        <v>10005</v>
      </c>
      <c r="R2283" t="s">
        <v>10006</v>
      </c>
      <c r="S2283" t="s">
        <v>31</v>
      </c>
      <c r="T2283">
        <v>1</v>
      </c>
    </row>
    <row r="2284" spans="1:20" x14ac:dyDescent="0.25">
      <c r="A2284" t="s">
        <v>10007</v>
      </c>
      <c r="B2284" s="1">
        <v>45812</v>
      </c>
      <c r="C2284" s="5">
        <v>0.74836805555555552</v>
      </c>
      <c r="D2284">
        <v>16.329999999999998</v>
      </c>
      <c r="E2284" t="s">
        <v>44</v>
      </c>
      <c r="F2284" t="s">
        <v>4364</v>
      </c>
      <c r="G2284" t="s">
        <v>34</v>
      </c>
      <c r="H2284" t="s">
        <v>146</v>
      </c>
      <c r="I2284" t="s">
        <v>10008</v>
      </c>
      <c r="J2284">
        <v>50</v>
      </c>
      <c r="K2284" t="s">
        <v>37</v>
      </c>
      <c r="L2284" t="s">
        <v>23</v>
      </c>
      <c r="M2284" t="s">
        <v>105</v>
      </c>
      <c r="P2284" t="s">
        <v>28</v>
      </c>
      <c r="Q2284" t="s">
        <v>10009</v>
      </c>
      <c r="R2284" t="s">
        <v>10010</v>
      </c>
      <c r="S2284" t="s">
        <v>31</v>
      </c>
      <c r="T2284">
        <v>0</v>
      </c>
    </row>
    <row r="2285" spans="1:20" x14ac:dyDescent="0.25">
      <c r="A2285" t="s">
        <v>10011</v>
      </c>
      <c r="B2285" s="1">
        <v>45842</v>
      </c>
      <c r="C2285" s="5">
        <v>0.61079861111111111</v>
      </c>
      <c r="D2285">
        <v>25.5</v>
      </c>
      <c r="E2285" t="s">
        <v>44</v>
      </c>
      <c r="F2285" t="s">
        <v>4929</v>
      </c>
      <c r="G2285" t="s">
        <v>77</v>
      </c>
      <c r="H2285" t="s">
        <v>38</v>
      </c>
      <c r="I2285" t="s">
        <v>10012</v>
      </c>
      <c r="J2285">
        <v>37</v>
      </c>
      <c r="K2285" t="s">
        <v>37</v>
      </c>
      <c r="L2285" t="s">
        <v>50</v>
      </c>
      <c r="M2285" t="s">
        <v>105</v>
      </c>
      <c r="P2285" t="s">
        <v>28</v>
      </c>
      <c r="Q2285" t="s">
        <v>10013</v>
      </c>
      <c r="R2285" t="s">
        <v>10014</v>
      </c>
      <c r="S2285" t="s">
        <v>31</v>
      </c>
      <c r="T2285">
        <v>0</v>
      </c>
    </row>
    <row r="2286" spans="1:20" x14ac:dyDescent="0.25">
      <c r="A2286" t="s">
        <v>10015</v>
      </c>
      <c r="B2286" s="1">
        <v>45916</v>
      </c>
      <c r="C2286" s="5">
        <v>0.80934027777777773</v>
      </c>
      <c r="D2286">
        <v>882.94</v>
      </c>
      <c r="E2286" t="s">
        <v>44</v>
      </c>
      <c r="F2286" t="s">
        <v>447</v>
      </c>
      <c r="G2286" t="s">
        <v>22</v>
      </c>
      <c r="H2286" t="s">
        <v>91</v>
      </c>
      <c r="I2286" t="s">
        <v>10016</v>
      </c>
      <c r="J2286">
        <v>74</v>
      </c>
      <c r="K2286" t="s">
        <v>37</v>
      </c>
      <c r="L2286" t="s">
        <v>26</v>
      </c>
      <c r="M2286" t="s">
        <v>51</v>
      </c>
      <c r="N2286" t="s">
        <v>507</v>
      </c>
      <c r="O2286">
        <v>434756</v>
      </c>
      <c r="P2286" t="s">
        <v>28</v>
      </c>
      <c r="Q2286" t="s">
        <v>10017</v>
      </c>
      <c r="R2286" t="s">
        <v>10018</v>
      </c>
      <c r="S2286" t="s">
        <v>101</v>
      </c>
      <c r="T2286">
        <v>0</v>
      </c>
    </row>
    <row r="2287" spans="1:20" x14ac:dyDescent="0.25">
      <c r="A2287" t="s">
        <v>10019</v>
      </c>
      <c r="B2287" s="1">
        <v>45791</v>
      </c>
      <c r="C2287" s="5">
        <v>0.91521990740740744</v>
      </c>
      <c r="D2287">
        <v>134.6</v>
      </c>
      <c r="E2287" t="s">
        <v>44</v>
      </c>
      <c r="F2287" t="s">
        <v>1757</v>
      </c>
      <c r="G2287" t="s">
        <v>124</v>
      </c>
      <c r="H2287" t="s">
        <v>97</v>
      </c>
      <c r="I2287" t="s">
        <v>10020</v>
      </c>
      <c r="J2287">
        <v>47</v>
      </c>
      <c r="K2287" t="s">
        <v>25</v>
      </c>
      <c r="L2287" t="s">
        <v>50</v>
      </c>
      <c r="M2287" t="s">
        <v>39</v>
      </c>
      <c r="P2287" t="s">
        <v>28</v>
      </c>
      <c r="Q2287" t="s">
        <v>10021</v>
      </c>
      <c r="R2287" t="s">
        <v>10022</v>
      </c>
      <c r="S2287" t="s">
        <v>31</v>
      </c>
      <c r="T2287">
        <v>0</v>
      </c>
    </row>
    <row r="2288" spans="1:20" x14ac:dyDescent="0.25">
      <c r="A2288" t="s">
        <v>10023</v>
      </c>
      <c r="B2288" s="1">
        <v>45796</v>
      </c>
      <c r="C2288" s="5">
        <v>0.12504629629629629</v>
      </c>
      <c r="D2288">
        <v>185.37</v>
      </c>
      <c r="E2288" t="s">
        <v>44</v>
      </c>
      <c r="F2288" t="s">
        <v>2163</v>
      </c>
      <c r="G2288" t="s">
        <v>124</v>
      </c>
      <c r="H2288" t="s">
        <v>35</v>
      </c>
      <c r="I2288" t="s">
        <v>10024</v>
      </c>
      <c r="J2288">
        <v>56</v>
      </c>
      <c r="K2288" t="s">
        <v>37</v>
      </c>
      <c r="L2288" t="s">
        <v>35</v>
      </c>
      <c r="M2288" t="s">
        <v>105</v>
      </c>
      <c r="P2288" t="s">
        <v>113</v>
      </c>
      <c r="Q2288" t="s">
        <v>10025</v>
      </c>
      <c r="R2288" t="s">
        <v>10026</v>
      </c>
      <c r="S2288" t="s">
        <v>31</v>
      </c>
      <c r="T2288">
        <v>0</v>
      </c>
    </row>
    <row r="2289" spans="1:20" x14ac:dyDescent="0.25">
      <c r="A2289" t="s">
        <v>10027</v>
      </c>
      <c r="B2289" s="1">
        <v>45861</v>
      </c>
      <c r="C2289" s="5">
        <v>0.93475694444444446</v>
      </c>
      <c r="D2289">
        <v>145.24</v>
      </c>
      <c r="E2289" t="s">
        <v>44</v>
      </c>
      <c r="F2289" t="s">
        <v>423</v>
      </c>
      <c r="G2289" t="s">
        <v>96</v>
      </c>
      <c r="H2289" t="s">
        <v>110</v>
      </c>
      <c r="I2289" t="s">
        <v>10028</v>
      </c>
      <c r="J2289">
        <v>38</v>
      </c>
      <c r="K2289" t="s">
        <v>49</v>
      </c>
      <c r="L2289" t="s">
        <v>38</v>
      </c>
      <c r="M2289" t="s">
        <v>105</v>
      </c>
      <c r="P2289" t="s">
        <v>28</v>
      </c>
      <c r="Q2289" t="s">
        <v>10029</v>
      </c>
      <c r="R2289" t="s">
        <v>10030</v>
      </c>
      <c r="S2289" t="s">
        <v>31</v>
      </c>
      <c r="T2289">
        <v>0</v>
      </c>
    </row>
    <row r="2290" spans="1:20" x14ac:dyDescent="0.25">
      <c r="A2290" t="s">
        <v>10031</v>
      </c>
      <c r="B2290" s="1">
        <v>45902</v>
      </c>
      <c r="C2290" s="5">
        <v>0.31253472222222223</v>
      </c>
      <c r="D2290">
        <v>36.83</v>
      </c>
      <c r="E2290" t="s">
        <v>44</v>
      </c>
      <c r="F2290" t="s">
        <v>903</v>
      </c>
      <c r="G2290" t="s">
        <v>34</v>
      </c>
      <c r="H2290" t="s">
        <v>97</v>
      </c>
      <c r="I2290" t="s">
        <v>10032</v>
      </c>
      <c r="J2290">
        <v>61</v>
      </c>
      <c r="K2290" t="s">
        <v>37</v>
      </c>
      <c r="L2290" t="s">
        <v>58</v>
      </c>
      <c r="M2290" t="s">
        <v>51</v>
      </c>
      <c r="N2290" t="s">
        <v>507</v>
      </c>
      <c r="O2290">
        <v>410561</v>
      </c>
      <c r="P2290" t="s">
        <v>28</v>
      </c>
      <c r="Q2290" t="s">
        <v>10033</v>
      </c>
      <c r="R2290" t="s">
        <v>10034</v>
      </c>
      <c r="S2290" t="s">
        <v>31</v>
      </c>
      <c r="T2290">
        <v>0</v>
      </c>
    </row>
    <row r="2291" spans="1:20" x14ac:dyDescent="0.25">
      <c r="A2291" t="s">
        <v>10035</v>
      </c>
      <c r="B2291" s="1">
        <v>45807</v>
      </c>
      <c r="C2291" s="5">
        <v>0.39893518518518517</v>
      </c>
      <c r="D2291">
        <v>82.58</v>
      </c>
      <c r="E2291" t="s">
        <v>44</v>
      </c>
      <c r="F2291" t="s">
        <v>10036</v>
      </c>
      <c r="G2291" t="s">
        <v>77</v>
      </c>
      <c r="H2291" t="s">
        <v>130</v>
      </c>
      <c r="I2291" t="s">
        <v>10037</v>
      </c>
      <c r="J2291">
        <v>44</v>
      </c>
      <c r="K2291" t="s">
        <v>25</v>
      </c>
      <c r="L2291" t="s">
        <v>58</v>
      </c>
      <c r="M2291" t="s">
        <v>84</v>
      </c>
      <c r="P2291" t="s">
        <v>28</v>
      </c>
      <c r="Q2291" t="s">
        <v>10038</v>
      </c>
      <c r="R2291" t="s">
        <v>10039</v>
      </c>
      <c r="S2291" t="s">
        <v>31</v>
      </c>
      <c r="T2291">
        <v>0</v>
      </c>
    </row>
    <row r="2292" spans="1:20" x14ac:dyDescent="0.25">
      <c r="A2292" t="s">
        <v>10040</v>
      </c>
      <c r="B2292" s="1">
        <v>45863</v>
      </c>
      <c r="C2292" s="5">
        <v>0.30348379629629629</v>
      </c>
      <c r="D2292">
        <v>53.31</v>
      </c>
      <c r="E2292" t="s">
        <v>44</v>
      </c>
      <c r="F2292" t="s">
        <v>763</v>
      </c>
      <c r="G2292" t="s">
        <v>57</v>
      </c>
      <c r="H2292" t="s">
        <v>119</v>
      </c>
      <c r="I2292" t="s">
        <v>10041</v>
      </c>
      <c r="J2292">
        <v>60</v>
      </c>
      <c r="K2292" t="s">
        <v>25</v>
      </c>
      <c r="L2292" t="s">
        <v>50</v>
      </c>
      <c r="M2292" t="s">
        <v>105</v>
      </c>
      <c r="P2292" t="s">
        <v>28</v>
      </c>
      <c r="Q2292" t="s">
        <v>10042</v>
      </c>
      <c r="R2292" t="s">
        <v>10043</v>
      </c>
      <c r="S2292" t="s">
        <v>31</v>
      </c>
      <c r="T2292">
        <v>0</v>
      </c>
    </row>
    <row r="2293" spans="1:20" x14ac:dyDescent="0.25">
      <c r="A2293" t="s">
        <v>10044</v>
      </c>
      <c r="B2293" s="1">
        <v>45908</v>
      </c>
      <c r="C2293" s="5">
        <v>0.91836805555555556</v>
      </c>
      <c r="D2293">
        <v>188.36</v>
      </c>
      <c r="E2293" t="s">
        <v>44</v>
      </c>
      <c r="F2293" t="s">
        <v>9455</v>
      </c>
      <c r="G2293" t="s">
        <v>89</v>
      </c>
      <c r="H2293" t="s">
        <v>97</v>
      </c>
      <c r="I2293" t="s">
        <v>7004</v>
      </c>
      <c r="J2293">
        <v>51</v>
      </c>
      <c r="K2293" t="s">
        <v>49</v>
      </c>
      <c r="L2293" t="s">
        <v>35</v>
      </c>
      <c r="M2293" t="s">
        <v>112</v>
      </c>
      <c r="P2293" t="s">
        <v>28</v>
      </c>
      <c r="Q2293" t="s">
        <v>10045</v>
      </c>
      <c r="R2293" t="s">
        <v>10046</v>
      </c>
      <c r="S2293" t="s">
        <v>31</v>
      </c>
      <c r="T2293">
        <v>0</v>
      </c>
    </row>
    <row r="2294" spans="1:20" x14ac:dyDescent="0.25">
      <c r="A2294" t="s">
        <v>10047</v>
      </c>
      <c r="B2294" s="1">
        <v>45861</v>
      </c>
      <c r="C2294" s="5">
        <v>0.89521990740740742</v>
      </c>
      <c r="D2294">
        <v>194.43</v>
      </c>
      <c r="E2294" t="s">
        <v>44</v>
      </c>
      <c r="F2294" t="s">
        <v>1529</v>
      </c>
      <c r="G2294" t="s">
        <v>34</v>
      </c>
      <c r="H2294" t="s">
        <v>47</v>
      </c>
      <c r="I2294" t="s">
        <v>10048</v>
      </c>
      <c r="J2294">
        <v>19</v>
      </c>
      <c r="K2294" t="s">
        <v>49</v>
      </c>
      <c r="L2294" t="s">
        <v>110</v>
      </c>
      <c r="M2294" t="s">
        <v>39</v>
      </c>
      <c r="P2294" t="s">
        <v>28</v>
      </c>
      <c r="Q2294" t="s">
        <v>10049</v>
      </c>
      <c r="R2294" t="s">
        <v>10050</v>
      </c>
      <c r="S2294" t="s">
        <v>31</v>
      </c>
      <c r="T2294">
        <v>0</v>
      </c>
    </row>
    <row r="2295" spans="1:20" x14ac:dyDescent="0.25">
      <c r="A2295" t="s">
        <v>10051</v>
      </c>
      <c r="B2295" s="1">
        <v>45955</v>
      </c>
      <c r="C2295" s="5">
        <v>9.4247685185185184E-2</v>
      </c>
      <c r="D2295">
        <v>113.59</v>
      </c>
      <c r="E2295" t="s">
        <v>44</v>
      </c>
      <c r="F2295" t="s">
        <v>1666</v>
      </c>
      <c r="G2295" t="s">
        <v>64</v>
      </c>
      <c r="H2295" t="s">
        <v>58</v>
      </c>
      <c r="I2295" t="s">
        <v>10052</v>
      </c>
      <c r="J2295">
        <v>34</v>
      </c>
      <c r="K2295" t="s">
        <v>25</v>
      </c>
      <c r="L2295" t="s">
        <v>146</v>
      </c>
      <c r="M2295" t="s">
        <v>27</v>
      </c>
      <c r="P2295" t="s">
        <v>28</v>
      </c>
      <c r="Q2295" t="s">
        <v>10053</v>
      </c>
      <c r="R2295" t="s">
        <v>10054</v>
      </c>
      <c r="S2295" t="s">
        <v>31</v>
      </c>
      <c r="T2295">
        <v>0</v>
      </c>
    </row>
    <row r="2296" spans="1:20" x14ac:dyDescent="0.25">
      <c r="A2296" t="s">
        <v>10055</v>
      </c>
      <c r="B2296" s="1">
        <v>45909</v>
      </c>
      <c r="C2296" s="5">
        <v>6.5104166666666671E-2</v>
      </c>
      <c r="D2296">
        <v>125.33</v>
      </c>
      <c r="E2296" t="s">
        <v>44</v>
      </c>
      <c r="F2296" t="s">
        <v>5246</v>
      </c>
      <c r="G2296" t="s">
        <v>71</v>
      </c>
      <c r="H2296" t="s">
        <v>50</v>
      </c>
      <c r="I2296" t="s">
        <v>10056</v>
      </c>
      <c r="J2296">
        <v>44</v>
      </c>
      <c r="K2296" t="s">
        <v>25</v>
      </c>
      <c r="L2296" t="s">
        <v>91</v>
      </c>
      <c r="M2296" t="s">
        <v>84</v>
      </c>
      <c r="P2296" t="s">
        <v>28</v>
      </c>
      <c r="Q2296" t="s">
        <v>10057</v>
      </c>
      <c r="R2296" t="s">
        <v>10058</v>
      </c>
      <c r="S2296" t="s">
        <v>31</v>
      </c>
      <c r="T2296">
        <v>0</v>
      </c>
    </row>
    <row r="2297" spans="1:20" x14ac:dyDescent="0.25">
      <c r="A2297" t="s">
        <v>10059</v>
      </c>
      <c r="B2297" s="1">
        <v>45806</v>
      </c>
      <c r="C2297" s="5">
        <v>0.60611111111111116</v>
      </c>
      <c r="D2297">
        <v>28.42</v>
      </c>
      <c r="E2297" t="s">
        <v>44</v>
      </c>
      <c r="F2297" t="s">
        <v>1224</v>
      </c>
      <c r="G2297" t="s">
        <v>96</v>
      </c>
      <c r="H2297" t="s">
        <v>26</v>
      </c>
      <c r="I2297" t="s">
        <v>8771</v>
      </c>
      <c r="J2297">
        <v>23</v>
      </c>
      <c r="K2297" t="s">
        <v>37</v>
      </c>
      <c r="L2297" t="s">
        <v>66</v>
      </c>
      <c r="M2297" t="s">
        <v>84</v>
      </c>
      <c r="P2297" t="s">
        <v>28</v>
      </c>
      <c r="Q2297" t="s">
        <v>10060</v>
      </c>
      <c r="R2297" t="s">
        <v>10061</v>
      </c>
      <c r="S2297" t="s">
        <v>31</v>
      </c>
      <c r="T2297">
        <v>0</v>
      </c>
    </row>
    <row r="2298" spans="1:20" x14ac:dyDescent="0.25">
      <c r="A2298" t="s">
        <v>10062</v>
      </c>
      <c r="B2298" s="1">
        <v>45907</v>
      </c>
      <c r="C2298" s="5">
        <v>0.81658564814814816</v>
      </c>
      <c r="D2298">
        <v>94.4</v>
      </c>
      <c r="E2298" t="s">
        <v>44</v>
      </c>
      <c r="F2298" t="s">
        <v>4242</v>
      </c>
      <c r="G2298" t="s">
        <v>46</v>
      </c>
      <c r="H2298" t="s">
        <v>146</v>
      </c>
      <c r="I2298" t="s">
        <v>10063</v>
      </c>
      <c r="J2298">
        <v>69</v>
      </c>
      <c r="K2298" t="s">
        <v>25</v>
      </c>
      <c r="L2298" t="s">
        <v>35</v>
      </c>
      <c r="M2298" t="s">
        <v>112</v>
      </c>
      <c r="P2298" t="s">
        <v>28</v>
      </c>
      <c r="Q2298" t="s">
        <v>10064</v>
      </c>
      <c r="R2298" t="s">
        <v>10065</v>
      </c>
      <c r="S2298" t="s">
        <v>31</v>
      </c>
      <c r="T2298">
        <v>0</v>
      </c>
    </row>
    <row r="2299" spans="1:20" x14ac:dyDescent="0.25">
      <c r="A2299" t="s">
        <v>10066</v>
      </c>
      <c r="B2299" s="1">
        <v>45815</v>
      </c>
      <c r="C2299" s="5">
        <v>0.5705324074074074</v>
      </c>
      <c r="D2299">
        <v>46.32</v>
      </c>
      <c r="E2299" t="s">
        <v>44</v>
      </c>
      <c r="F2299" t="s">
        <v>1082</v>
      </c>
      <c r="G2299" t="s">
        <v>46</v>
      </c>
      <c r="H2299" t="s">
        <v>35</v>
      </c>
      <c r="I2299" t="s">
        <v>10067</v>
      </c>
      <c r="J2299">
        <v>24</v>
      </c>
      <c r="K2299" t="s">
        <v>25</v>
      </c>
      <c r="L2299" t="s">
        <v>26</v>
      </c>
      <c r="M2299" t="s">
        <v>27</v>
      </c>
      <c r="P2299" t="s">
        <v>28</v>
      </c>
      <c r="Q2299" t="s">
        <v>10068</v>
      </c>
      <c r="R2299" t="s">
        <v>10069</v>
      </c>
      <c r="S2299" t="s">
        <v>101</v>
      </c>
      <c r="T2299">
        <v>0</v>
      </c>
    </row>
    <row r="2300" spans="1:20" x14ac:dyDescent="0.25">
      <c r="A2300" t="s">
        <v>10070</v>
      </c>
      <c r="B2300" s="1">
        <v>45944</v>
      </c>
      <c r="C2300" s="5">
        <v>0.68459490740740736</v>
      </c>
      <c r="D2300">
        <v>24.56</v>
      </c>
      <c r="E2300" t="s">
        <v>44</v>
      </c>
      <c r="F2300" t="s">
        <v>2659</v>
      </c>
      <c r="G2300" t="s">
        <v>71</v>
      </c>
      <c r="H2300" t="s">
        <v>50</v>
      </c>
      <c r="I2300" t="s">
        <v>10071</v>
      </c>
      <c r="J2300">
        <v>74</v>
      </c>
      <c r="K2300" t="s">
        <v>49</v>
      </c>
      <c r="L2300" t="s">
        <v>97</v>
      </c>
      <c r="M2300" t="s">
        <v>39</v>
      </c>
      <c r="P2300" t="s">
        <v>28</v>
      </c>
      <c r="Q2300" t="s">
        <v>10072</v>
      </c>
      <c r="R2300" t="s">
        <v>10073</v>
      </c>
      <c r="S2300" t="s">
        <v>31</v>
      </c>
      <c r="T2300">
        <v>0</v>
      </c>
    </row>
    <row r="2301" spans="1:20" x14ac:dyDescent="0.25">
      <c r="A2301" t="s">
        <v>10074</v>
      </c>
      <c r="B2301" s="1">
        <v>45944</v>
      </c>
      <c r="C2301" s="5">
        <v>0.67109953703703706</v>
      </c>
      <c r="D2301">
        <v>194.51</v>
      </c>
      <c r="E2301" t="s">
        <v>44</v>
      </c>
      <c r="F2301" t="s">
        <v>6596</v>
      </c>
      <c r="G2301" t="s">
        <v>96</v>
      </c>
      <c r="H2301" t="s">
        <v>110</v>
      </c>
      <c r="I2301" t="s">
        <v>10075</v>
      </c>
      <c r="J2301">
        <v>40</v>
      </c>
      <c r="K2301" t="s">
        <v>49</v>
      </c>
      <c r="L2301" t="s">
        <v>35</v>
      </c>
      <c r="M2301" t="s">
        <v>51</v>
      </c>
      <c r="N2301" t="s">
        <v>345</v>
      </c>
      <c r="O2301">
        <v>457250</v>
      </c>
      <c r="P2301" t="s">
        <v>28</v>
      </c>
      <c r="Q2301" t="s">
        <v>10076</v>
      </c>
      <c r="R2301" t="s">
        <v>10077</v>
      </c>
      <c r="S2301" t="s">
        <v>31</v>
      </c>
      <c r="T2301">
        <v>0</v>
      </c>
    </row>
    <row r="2302" spans="1:20" x14ac:dyDescent="0.25">
      <c r="A2302" t="s">
        <v>10078</v>
      </c>
      <c r="B2302" s="1">
        <v>45892</v>
      </c>
      <c r="C2302" s="5">
        <v>0.22194444444444444</v>
      </c>
      <c r="D2302">
        <v>53.66</v>
      </c>
      <c r="E2302" t="s">
        <v>44</v>
      </c>
      <c r="F2302" t="s">
        <v>1598</v>
      </c>
      <c r="G2302" t="s">
        <v>22</v>
      </c>
      <c r="H2302" t="s">
        <v>50</v>
      </c>
      <c r="I2302" t="s">
        <v>10079</v>
      </c>
      <c r="J2302">
        <v>31</v>
      </c>
      <c r="K2302" t="s">
        <v>49</v>
      </c>
      <c r="L2302" t="s">
        <v>97</v>
      </c>
      <c r="M2302" t="s">
        <v>51</v>
      </c>
      <c r="N2302" t="s">
        <v>870</v>
      </c>
      <c r="O2302">
        <v>443615</v>
      </c>
      <c r="P2302" t="s">
        <v>28</v>
      </c>
      <c r="Q2302" t="s">
        <v>10080</v>
      </c>
      <c r="R2302" t="s">
        <v>10081</v>
      </c>
      <c r="S2302" t="s">
        <v>31</v>
      </c>
      <c r="T2302">
        <v>0</v>
      </c>
    </row>
    <row r="2303" spans="1:20" x14ac:dyDescent="0.25">
      <c r="A2303" t="s">
        <v>10082</v>
      </c>
      <c r="B2303" s="1">
        <v>45827</v>
      </c>
      <c r="C2303" s="5">
        <v>0.82574074074074078</v>
      </c>
      <c r="D2303">
        <v>55.37</v>
      </c>
      <c r="E2303" t="s">
        <v>44</v>
      </c>
      <c r="F2303" t="s">
        <v>768</v>
      </c>
      <c r="G2303" t="s">
        <v>46</v>
      </c>
      <c r="H2303" t="s">
        <v>146</v>
      </c>
      <c r="I2303" t="s">
        <v>10083</v>
      </c>
      <c r="J2303">
        <v>27</v>
      </c>
      <c r="K2303" t="s">
        <v>37</v>
      </c>
      <c r="L2303" t="s">
        <v>130</v>
      </c>
      <c r="M2303" t="s">
        <v>84</v>
      </c>
      <c r="P2303" t="s">
        <v>28</v>
      </c>
      <c r="Q2303" t="s">
        <v>10084</v>
      </c>
      <c r="R2303" t="s">
        <v>10085</v>
      </c>
      <c r="S2303" t="s">
        <v>31</v>
      </c>
      <c r="T2303">
        <v>0</v>
      </c>
    </row>
    <row r="2304" spans="1:20" x14ac:dyDescent="0.25">
      <c r="A2304" t="s">
        <v>10086</v>
      </c>
      <c r="B2304" s="1">
        <v>45804</v>
      </c>
      <c r="C2304" s="5">
        <v>0.10796296296296297</v>
      </c>
      <c r="D2304">
        <v>8.26</v>
      </c>
      <c r="E2304" t="s">
        <v>44</v>
      </c>
      <c r="F2304" t="s">
        <v>9885</v>
      </c>
      <c r="G2304" t="s">
        <v>77</v>
      </c>
      <c r="H2304" t="s">
        <v>146</v>
      </c>
      <c r="I2304" t="s">
        <v>10087</v>
      </c>
      <c r="J2304">
        <v>30</v>
      </c>
      <c r="K2304" t="s">
        <v>37</v>
      </c>
      <c r="L2304" t="s">
        <v>58</v>
      </c>
      <c r="M2304" t="s">
        <v>51</v>
      </c>
      <c r="N2304" t="s">
        <v>345</v>
      </c>
      <c r="O2304">
        <v>495366</v>
      </c>
      <c r="P2304" t="s">
        <v>28</v>
      </c>
      <c r="Q2304" t="s">
        <v>10088</v>
      </c>
      <c r="R2304" t="s">
        <v>10089</v>
      </c>
      <c r="S2304" t="s">
        <v>31</v>
      </c>
      <c r="T2304">
        <v>0</v>
      </c>
    </row>
    <row r="2305" spans="1:20" x14ac:dyDescent="0.25">
      <c r="A2305" t="s">
        <v>10090</v>
      </c>
      <c r="B2305" s="1">
        <v>45795</v>
      </c>
      <c r="C2305" s="5">
        <v>0.51333333333333331</v>
      </c>
      <c r="D2305">
        <v>104.47</v>
      </c>
      <c r="E2305" t="s">
        <v>44</v>
      </c>
      <c r="F2305" t="s">
        <v>8932</v>
      </c>
      <c r="G2305" t="s">
        <v>71</v>
      </c>
      <c r="H2305" t="s">
        <v>23</v>
      </c>
      <c r="I2305" t="s">
        <v>10091</v>
      </c>
      <c r="J2305">
        <v>52</v>
      </c>
      <c r="K2305" t="s">
        <v>25</v>
      </c>
      <c r="L2305" t="s">
        <v>146</v>
      </c>
      <c r="M2305" t="s">
        <v>51</v>
      </c>
      <c r="N2305" t="s">
        <v>870</v>
      </c>
      <c r="O2305">
        <v>431230</v>
      </c>
      <c r="P2305" t="s">
        <v>28</v>
      </c>
      <c r="Q2305" t="s">
        <v>10092</v>
      </c>
      <c r="R2305" t="s">
        <v>10093</v>
      </c>
      <c r="S2305" t="s">
        <v>31</v>
      </c>
      <c r="T2305">
        <v>1</v>
      </c>
    </row>
    <row r="2306" spans="1:20" x14ac:dyDescent="0.25">
      <c r="A2306" t="s">
        <v>10094</v>
      </c>
      <c r="B2306" s="1">
        <v>45935</v>
      </c>
      <c r="C2306" s="5">
        <v>0.84835648148148146</v>
      </c>
      <c r="D2306">
        <v>12.52</v>
      </c>
      <c r="E2306" t="s">
        <v>44</v>
      </c>
      <c r="F2306" t="s">
        <v>7799</v>
      </c>
      <c r="G2306" t="s">
        <v>124</v>
      </c>
      <c r="H2306" t="s">
        <v>248</v>
      </c>
      <c r="I2306" t="s">
        <v>10095</v>
      </c>
      <c r="J2306">
        <v>60</v>
      </c>
      <c r="K2306" t="s">
        <v>25</v>
      </c>
      <c r="L2306" t="s">
        <v>38</v>
      </c>
      <c r="M2306" t="s">
        <v>84</v>
      </c>
      <c r="P2306" t="s">
        <v>28</v>
      </c>
      <c r="Q2306" t="s">
        <v>10096</v>
      </c>
      <c r="R2306" t="s">
        <v>10097</v>
      </c>
      <c r="S2306" t="s">
        <v>101</v>
      </c>
      <c r="T2306">
        <v>0</v>
      </c>
    </row>
    <row r="2307" spans="1:20" x14ac:dyDescent="0.25">
      <c r="A2307" t="s">
        <v>10098</v>
      </c>
      <c r="B2307" s="1">
        <v>45900</v>
      </c>
      <c r="C2307" s="5">
        <v>0.42809027777777775</v>
      </c>
      <c r="D2307">
        <v>536.25</v>
      </c>
      <c r="E2307" t="s">
        <v>44</v>
      </c>
      <c r="F2307" t="s">
        <v>10099</v>
      </c>
      <c r="G2307" t="s">
        <v>96</v>
      </c>
      <c r="H2307" t="s">
        <v>146</v>
      </c>
      <c r="I2307" t="s">
        <v>10100</v>
      </c>
      <c r="J2307">
        <v>68</v>
      </c>
      <c r="K2307" t="s">
        <v>37</v>
      </c>
      <c r="L2307" t="s">
        <v>97</v>
      </c>
      <c r="M2307" t="s">
        <v>105</v>
      </c>
      <c r="P2307" t="s">
        <v>28</v>
      </c>
      <c r="Q2307" t="s">
        <v>10101</v>
      </c>
      <c r="R2307" t="s">
        <v>10102</v>
      </c>
      <c r="S2307" t="s">
        <v>31</v>
      </c>
      <c r="T2307">
        <v>0</v>
      </c>
    </row>
    <row r="2308" spans="1:20" x14ac:dyDescent="0.25">
      <c r="A2308" t="s">
        <v>10103</v>
      </c>
      <c r="B2308" s="1">
        <v>45797</v>
      </c>
      <c r="C2308" s="5">
        <v>0.10547453703703703</v>
      </c>
      <c r="D2308">
        <v>84.01</v>
      </c>
      <c r="E2308" t="s">
        <v>44</v>
      </c>
      <c r="F2308" t="s">
        <v>1306</v>
      </c>
      <c r="G2308" t="s">
        <v>96</v>
      </c>
      <c r="H2308" t="s">
        <v>23</v>
      </c>
      <c r="I2308" t="s">
        <v>10104</v>
      </c>
      <c r="J2308">
        <v>48</v>
      </c>
      <c r="K2308" t="s">
        <v>49</v>
      </c>
      <c r="L2308" t="s">
        <v>23</v>
      </c>
      <c r="M2308" t="s">
        <v>84</v>
      </c>
      <c r="P2308" t="s">
        <v>113</v>
      </c>
      <c r="Q2308" t="s">
        <v>10105</v>
      </c>
      <c r="R2308" t="s">
        <v>10106</v>
      </c>
      <c r="S2308" t="s">
        <v>31</v>
      </c>
      <c r="T2308">
        <v>0</v>
      </c>
    </row>
    <row r="2309" spans="1:20" x14ac:dyDescent="0.25">
      <c r="A2309" t="s">
        <v>10107</v>
      </c>
      <c r="B2309" s="1">
        <v>45828</v>
      </c>
      <c r="C2309" s="5">
        <v>8.2638888888888887E-2</v>
      </c>
      <c r="D2309">
        <v>172.51</v>
      </c>
      <c r="E2309" t="s">
        <v>44</v>
      </c>
      <c r="F2309" t="s">
        <v>898</v>
      </c>
      <c r="G2309" t="s">
        <v>46</v>
      </c>
      <c r="H2309" t="s">
        <v>119</v>
      </c>
      <c r="I2309" t="s">
        <v>10108</v>
      </c>
      <c r="J2309">
        <v>53</v>
      </c>
      <c r="K2309" t="s">
        <v>37</v>
      </c>
      <c r="L2309" t="s">
        <v>47</v>
      </c>
      <c r="M2309" t="s">
        <v>105</v>
      </c>
      <c r="P2309" t="s">
        <v>28</v>
      </c>
      <c r="Q2309" t="s">
        <v>10109</v>
      </c>
      <c r="R2309" t="s">
        <v>10110</v>
      </c>
      <c r="S2309" t="s">
        <v>31</v>
      </c>
      <c r="T2309">
        <v>0</v>
      </c>
    </row>
    <row r="2310" spans="1:20" x14ac:dyDescent="0.25">
      <c r="A2310" t="s">
        <v>10111</v>
      </c>
      <c r="B2310" s="1">
        <v>45909</v>
      </c>
      <c r="C2310" s="5">
        <v>0.72567129629629634</v>
      </c>
      <c r="D2310">
        <v>192.32</v>
      </c>
      <c r="E2310" t="s">
        <v>44</v>
      </c>
      <c r="F2310" t="s">
        <v>9288</v>
      </c>
      <c r="G2310" t="s">
        <v>124</v>
      </c>
      <c r="H2310" t="s">
        <v>97</v>
      </c>
      <c r="I2310" t="s">
        <v>10112</v>
      </c>
      <c r="J2310">
        <v>34</v>
      </c>
      <c r="K2310" t="s">
        <v>49</v>
      </c>
      <c r="L2310" t="s">
        <v>248</v>
      </c>
      <c r="M2310" t="s">
        <v>51</v>
      </c>
      <c r="N2310" t="s">
        <v>507</v>
      </c>
      <c r="O2310">
        <v>454718</v>
      </c>
      <c r="P2310" t="s">
        <v>28</v>
      </c>
      <c r="Q2310" t="s">
        <v>10113</v>
      </c>
      <c r="R2310" t="s">
        <v>10114</v>
      </c>
      <c r="S2310" t="s">
        <v>31</v>
      </c>
      <c r="T2310">
        <v>0</v>
      </c>
    </row>
    <row r="2311" spans="1:20" x14ac:dyDescent="0.25">
      <c r="A2311" t="s">
        <v>10115</v>
      </c>
      <c r="B2311" s="1">
        <v>45806</v>
      </c>
      <c r="C2311" s="5">
        <v>0.87958333333333338</v>
      </c>
      <c r="D2311">
        <v>388.08</v>
      </c>
      <c r="E2311" t="s">
        <v>44</v>
      </c>
      <c r="F2311" t="s">
        <v>10116</v>
      </c>
      <c r="G2311" t="s">
        <v>124</v>
      </c>
      <c r="H2311" t="s">
        <v>66</v>
      </c>
      <c r="I2311" t="s">
        <v>5331</v>
      </c>
      <c r="J2311">
        <v>37</v>
      </c>
      <c r="K2311" t="s">
        <v>25</v>
      </c>
      <c r="L2311" t="s">
        <v>66</v>
      </c>
      <c r="M2311" t="s">
        <v>112</v>
      </c>
      <c r="P2311" t="s">
        <v>113</v>
      </c>
      <c r="Q2311" t="s">
        <v>10117</v>
      </c>
      <c r="R2311" t="s">
        <v>10118</v>
      </c>
      <c r="S2311" t="s">
        <v>31</v>
      </c>
      <c r="T2311">
        <v>0</v>
      </c>
    </row>
    <row r="2312" spans="1:20" x14ac:dyDescent="0.25">
      <c r="A2312" t="s">
        <v>10119</v>
      </c>
      <c r="B2312" s="1">
        <v>45823</v>
      </c>
      <c r="C2312" s="5">
        <v>2.4097222222222221E-2</v>
      </c>
      <c r="D2312">
        <v>106.19</v>
      </c>
      <c r="E2312" t="s">
        <v>44</v>
      </c>
      <c r="F2312" t="s">
        <v>10120</v>
      </c>
      <c r="G2312" t="s">
        <v>64</v>
      </c>
      <c r="H2312" t="s">
        <v>248</v>
      </c>
      <c r="I2312" t="s">
        <v>10121</v>
      </c>
      <c r="J2312">
        <v>53</v>
      </c>
      <c r="K2312" t="s">
        <v>49</v>
      </c>
      <c r="L2312" t="s">
        <v>23</v>
      </c>
      <c r="M2312" t="s">
        <v>84</v>
      </c>
      <c r="P2312" t="s">
        <v>28</v>
      </c>
      <c r="Q2312" t="s">
        <v>10122</v>
      </c>
      <c r="R2312" t="s">
        <v>10123</v>
      </c>
      <c r="S2312" t="s">
        <v>31</v>
      </c>
      <c r="T2312">
        <v>0</v>
      </c>
    </row>
    <row r="2313" spans="1:20" x14ac:dyDescent="0.25">
      <c r="A2313" t="s">
        <v>10124</v>
      </c>
      <c r="B2313" s="1">
        <v>45796</v>
      </c>
      <c r="C2313" s="5">
        <v>0.14961805555555555</v>
      </c>
      <c r="D2313">
        <v>1.61</v>
      </c>
      <c r="E2313" t="s">
        <v>44</v>
      </c>
      <c r="F2313" t="s">
        <v>3115</v>
      </c>
      <c r="G2313" t="s">
        <v>96</v>
      </c>
      <c r="H2313" t="s">
        <v>58</v>
      </c>
      <c r="I2313" t="s">
        <v>10125</v>
      </c>
      <c r="J2313">
        <v>67</v>
      </c>
      <c r="K2313" t="s">
        <v>37</v>
      </c>
      <c r="L2313" t="s">
        <v>146</v>
      </c>
      <c r="M2313" t="s">
        <v>84</v>
      </c>
      <c r="P2313" t="s">
        <v>28</v>
      </c>
      <c r="Q2313" t="s">
        <v>10126</v>
      </c>
      <c r="R2313" t="s">
        <v>10127</v>
      </c>
      <c r="S2313" t="s">
        <v>31</v>
      </c>
      <c r="T2313">
        <v>0</v>
      </c>
    </row>
    <row r="2314" spans="1:20" x14ac:dyDescent="0.25">
      <c r="A2314" t="s">
        <v>10128</v>
      </c>
      <c r="B2314" s="1">
        <v>45911</v>
      </c>
      <c r="C2314" s="5">
        <v>0.59684027777777782</v>
      </c>
      <c r="D2314">
        <v>784.1</v>
      </c>
      <c r="E2314" t="s">
        <v>44</v>
      </c>
      <c r="F2314" t="s">
        <v>1224</v>
      </c>
      <c r="G2314" t="s">
        <v>22</v>
      </c>
      <c r="H2314" t="s">
        <v>97</v>
      </c>
      <c r="I2314" t="s">
        <v>10129</v>
      </c>
      <c r="J2314">
        <v>27</v>
      </c>
      <c r="K2314" t="s">
        <v>49</v>
      </c>
      <c r="L2314" t="s">
        <v>23</v>
      </c>
      <c r="M2314" t="s">
        <v>39</v>
      </c>
      <c r="P2314" t="s">
        <v>28</v>
      </c>
      <c r="Q2314" t="s">
        <v>10130</v>
      </c>
      <c r="R2314" t="s">
        <v>10131</v>
      </c>
      <c r="S2314" t="s">
        <v>31</v>
      </c>
      <c r="T2314">
        <v>0</v>
      </c>
    </row>
    <row r="2315" spans="1:20" x14ac:dyDescent="0.25">
      <c r="A2315" t="s">
        <v>10132</v>
      </c>
      <c r="B2315" s="1">
        <v>45875</v>
      </c>
      <c r="C2315" s="5">
        <v>0.27936342592592595</v>
      </c>
      <c r="D2315">
        <v>114.67</v>
      </c>
      <c r="E2315" t="s">
        <v>44</v>
      </c>
      <c r="F2315" t="s">
        <v>2308</v>
      </c>
      <c r="G2315" t="s">
        <v>71</v>
      </c>
      <c r="H2315" t="s">
        <v>146</v>
      </c>
      <c r="I2315" t="s">
        <v>10133</v>
      </c>
      <c r="J2315">
        <v>40</v>
      </c>
      <c r="K2315" t="s">
        <v>49</v>
      </c>
      <c r="L2315" t="s">
        <v>146</v>
      </c>
      <c r="M2315" t="s">
        <v>27</v>
      </c>
      <c r="P2315" t="s">
        <v>113</v>
      </c>
      <c r="Q2315" t="s">
        <v>10134</v>
      </c>
      <c r="R2315" t="s">
        <v>10135</v>
      </c>
      <c r="S2315" t="s">
        <v>31</v>
      </c>
      <c r="T2315">
        <v>0</v>
      </c>
    </row>
    <row r="2316" spans="1:20" x14ac:dyDescent="0.25">
      <c r="A2316" t="s">
        <v>10136</v>
      </c>
      <c r="B2316" s="1">
        <v>45908</v>
      </c>
      <c r="C2316" s="5">
        <v>0.77178240740740744</v>
      </c>
      <c r="D2316">
        <v>74.59</v>
      </c>
      <c r="E2316" t="s">
        <v>44</v>
      </c>
      <c r="F2316" t="s">
        <v>10137</v>
      </c>
      <c r="G2316" t="s">
        <v>64</v>
      </c>
      <c r="H2316" t="s">
        <v>50</v>
      </c>
      <c r="I2316" t="s">
        <v>10138</v>
      </c>
      <c r="J2316">
        <v>58</v>
      </c>
      <c r="K2316" t="s">
        <v>49</v>
      </c>
      <c r="L2316" t="s">
        <v>119</v>
      </c>
      <c r="M2316" t="s">
        <v>39</v>
      </c>
      <c r="P2316" t="s">
        <v>28</v>
      </c>
      <c r="Q2316" t="s">
        <v>10139</v>
      </c>
      <c r="R2316" t="s">
        <v>10140</v>
      </c>
      <c r="S2316" t="s">
        <v>31</v>
      </c>
      <c r="T2316">
        <v>1</v>
      </c>
    </row>
    <row r="2317" spans="1:20" x14ac:dyDescent="0.25">
      <c r="A2317" t="s">
        <v>10141</v>
      </c>
      <c r="B2317" s="1">
        <v>45905</v>
      </c>
      <c r="C2317" s="5">
        <v>0.45372685185185185</v>
      </c>
      <c r="D2317">
        <v>45.5</v>
      </c>
      <c r="E2317" t="s">
        <v>44</v>
      </c>
      <c r="F2317" t="s">
        <v>10142</v>
      </c>
      <c r="G2317" t="s">
        <v>57</v>
      </c>
      <c r="H2317" t="s">
        <v>26</v>
      </c>
      <c r="I2317" t="s">
        <v>10143</v>
      </c>
      <c r="J2317">
        <v>58</v>
      </c>
      <c r="K2317" t="s">
        <v>37</v>
      </c>
      <c r="L2317" t="s">
        <v>58</v>
      </c>
      <c r="M2317" t="s">
        <v>27</v>
      </c>
      <c r="P2317" t="s">
        <v>28</v>
      </c>
      <c r="Q2317" t="s">
        <v>10144</v>
      </c>
      <c r="R2317" t="s">
        <v>10145</v>
      </c>
      <c r="S2317" t="s">
        <v>31</v>
      </c>
      <c r="T2317">
        <v>0</v>
      </c>
    </row>
    <row r="2318" spans="1:20" x14ac:dyDescent="0.25">
      <c r="A2318" t="s">
        <v>10146</v>
      </c>
      <c r="B2318" s="1">
        <v>45936</v>
      </c>
      <c r="C2318" s="5">
        <v>0.67200231481481476</v>
      </c>
      <c r="D2318">
        <v>109.52</v>
      </c>
      <c r="E2318" t="s">
        <v>44</v>
      </c>
      <c r="F2318" t="s">
        <v>4379</v>
      </c>
      <c r="G2318" t="s">
        <v>89</v>
      </c>
      <c r="H2318" t="s">
        <v>110</v>
      </c>
      <c r="I2318" t="s">
        <v>10147</v>
      </c>
      <c r="J2318">
        <v>70</v>
      </c>
      <c r="K2318" t="s">
        <v>49</v>
      </c>
      <c r="L2318" t="s">
        <v>58</v>
      </c>
      <c r="M2318" t="s">
        <v>51</v>
      </c>
      <c r="N2318" t="s">
        <v>52</v>
      </c>
      <c r="O2318">
        <v>543054</v>
      </c>
      <c r="P2318" t="s">
        <v>28</v>
      </c>
      <c r="Q2318" t="s">
        <v>10148</v>
      </c>
      <c r="R2318" t="s">
        <v>10149</v>
      </c>
      <c r="S2318" t="s">
        <v>31</v>
      </c>
      <c r="T2318">
        <v>0</v>
      </c>
    </row>
    <row r="2319" spans="1:20" x14ac:dyDescent="0.25">
      <c r="A2319" t="s">
        <v>10150</v>
      </c>
      <c r="B2319" s="1">
        <v>45933</v>
      </c>
      <c r="C2319" s="5">
        <v>0.66232638888888884</v>
      </c>
      <c r="D2319">
        <v>147.94</v>
      </c>
      <c r="E2319" t="s">
        <v>44</v>
      </c>
      <c r="F2319" t="s">
        <v>5255</v>
      </c>
      <c r="G2319" t="s">
        <v>124</v>
      </c>
      <c r="H2319" t="s">
        <v>146</v>
      </c>
      <c r="I2319" t="s">
        <v>10151</v>
      </c>
      <c r="J2319">
        <v>33</v>
      </c>
      <c r="K2319" t="s">
        <v>49</v>
      </c>
      <c r="L2319" t="s">
        <v>248</v>
      </c>
      <c r="M2319" t="s">
        <v>105</v>
      </c>
      <c r="P2319" t="s">
        <v>28</v>
      </c>
      <c r="Q2319" t="s">
        <v>10152</v>
      </c>
      <c r="R2319" t="s">
        <v>10153</v>
      </c>
      <c r="S2319" t="s">
        <v>31</v>
      </c>
      <c r="T2319">
        <v>0</v>
      </c>
    </row>
    <row r="2320" spans="1:20" x14ac:dyDescent="0.25">
      <c r="A2320" t="s">
        <v>10154</v>
      </c>
      <c r="B2320" s="1">
        <v>45944</v>
      </c>
      <c r="C2320" s="5">
        <v>0.61973379629629632</v>
      </c>
      <c r="D2320">
        <v>74.19</v>
      </c>
      <c r="E2320" t="s">
        <v>44</v>
      </c>
      <c r="F2320" t="s">
        <v>1301</v>
      </c>
      <c r="G2320" t="s">
        <v>77</v>
      </c>
      <c r="H2320" t="s">
        <v>248</v>
      </c>
      <c r="I2320" t="s">
        <v>10155</v>
      </c>
      <c r="J2320">
        <v>50</v>
      </c>
      <c r="K2320" t="s">
        <v>37</v>
      </c>
      <c r="L2320" t="s">
        <v>66</v>
      </c>
      <c r="M2320" t="s">
        <v>51</v>
      </c>
      <c r="N2320" t="s">
        <v>52</v>
      </c>
      <c r="O2320">
        <v>520439</v>
      </c>
      <c r="P2320" t="s">
        <v>28</v>
      </c>
      <c r="Q2320" t="s">
        <v>10156</v>
      </c>
      <c r="R2320" t="s">
        <v>10157</v>
      </c>
      <c r="S2320" t="s">
        <v>31</v>
      </c>
      <c r="T2320">
        <v>1</v>
      </c>
    </row>
    <row r="2321" spans="1:20" x14ac:dyDescent="0.25">
      <c r="A2321" t="s">
        <v>10158</v>
      </c>
      <c r="B2321" s="1">
        <v>45807</v>
      </c>
      <c r="C2321" s="5">
        <v>0.48021990740740739</v>
      </c>
      <c r="D2321">
        <v>106.33</v>
      </c>
      <c r="E2321" t="s">
        <v>44</v>
      </c>
      <c r="F2321" t="s">
        <v>5512</v>
      </c>
      <c r="G2321" t="s">
        <v>46</v>
      </c>
      <c r="H2321" t="s">
        <v>119</v>
      </c>
      <c r="I2321" t="s">
        <v>10159</v>
      </c>
      <c r="J2321">
        <v>70</v>
      </c>
      <c r="K2321" t="s">
        <v>49</v>
      </c>
      <c r="L2321" t="s">
        <v>58</v>
      </c>
      <c r="M2321" t="s">
        <v>105</v>
      </c>
      <c r="P2321" t="s">
        <v>28</v>
      </c>
      <c r="Q2321" t="s">
        <v>10160</v>
      </c>
      <c r="R2321" t="s">
        <v>10161</v>
      </c>
      <c r="S2321" t="s">
        <v>101</v>
      </c>
      <c r="T2321">
        <v>0</v>
      </c>
    </row>
    <row r="2322" spans="1:20" x14ac:dyDescent="0.25">
      <c r="A2322" t="s">
        <v>10162</v>
      </c>
      <c r="B2322" s="1">
        <v>45868</v>
      </c>
      <c r="C2322" s="5">
        <v>0.82320601851851849</v>
      </c>
      <c r="D2322">
        <v>94.87</v>
      </c>
      <c r="E2322" t="s">
        <v>44</v>
      </c>
      <c r="F2322" t="s">
        <v>4491</v>
      </c>
      <c r="G2322" t="s">
        <v>71</v>
      </c>
      <c r="H2322" t="s">
        <v>50</v>
      </c>
      <c r="I2322" t="s">
        <v>10163</v>
      </c>
      <c r="J2322">
        <v>52</v>
      </c>
      <c r="K2322" t="s">
        <v>25</v>
      </c>
      <c r="L2322" t="s">
        <v>110</v>
      </c>
      <c r="M2322" t="s">
        <v>105</v>
      </c>
      <c r="P2322" t="s">
        <v>28</v>
      </c>
      <c r="Q2322" t="s">
        <v>10164</v>
      </c>
      <c r="R2322" t="s">
        <v>10165</v>
      </c>
      <c r="S2322" t="s">
        <v>31</v>
      </c>
      <c r="T2322">
        <v>0</v>
      </c>
    </row>
    <row r="2323" spans="1:20" x14ac:dyDescent="0.25">
      <c r="A2323" t="s">
        <v>10166</v>
      </c>
      <c r="B2323" s="1">
        <v>45825</v>
      </c>
      <c r="C2323" s="5">
        <v>0.47758101851851853</v>
      </c>
      <c r="D2323">
        <v>198.25</v>
      </c>
      <c r="E2323" t="s">
        <v>44</v>
      </c>
      <c r="F2323" t="s">
        <v>8023</v>
      </c>
      <c r="G2323" t="s">
        <v>96</v>
      </c>
      <c r="H2323" t="s">
        <v>130</v>
      </c>
      <c r="I2323" t="s">
        <v>10167</v>
      </c>
      <c r="K2323" t="s">
        <v>49</v>
      </c>
      <c r="L2323" t="s">
        <v>23</v>
      </c>
      <c r="M2323" t="s">
        <v>51</v>
      </c>
      <c r="N2323" t="s">
        <v>507</v>
      </c>
      <c r="O2323">
        <v>453501</v>
      </c>
      <c r="P2323" t="s">
        <v>28</v>
      </c>
      <c r="Q2323" t="s">
        <v>10168</v>
      </c>
      <c r="R2323" t="s">
        <v>10169</v>
      </c>
      <c r="S2323" t="s">
        <v>31</v>
      </c>
      <c r="T2323">
        <v>0</v>
      </c>
    </row>
    <row r="2324" spans="1:20" x14ac:dyDescent="0.25">
      <c r="A2324" t="s">
        <v>10170</v>
      </c>
      <c r="B2324" s="1">
        <v>45924</v>
      </c>
      <c r="C2324" s="5">
        <v>0.41127314814814814</v>
      </c>
      <c r="D2324">
        <v>196.54</v>
      </c>
      <c r="E2324" t="s">
        <v>44</v>
      </c>
      <c r="F2324" t="s">
        <v>447</v>
      </c>
      <c r="G2324" t="s">
        <v>46</v>
      </c>
      <c r="H2324" t="s">
        <v>50</v>
      </c>
      <c r="I2324" t="s">
        <v>10171</v>
      </c>
      <c r="J2324">
        <v>25</v>
      </c>
      <c r="K2324" t="s">
        <v>49</v>
      </c>
      <c r="L2324" t="s">
        <v>130</v>
      </c>
      <c r="M2324" t="s">
        <v>51</v>
      </c>
      <c r="N2324" t="s">
        <v>52</v>
      </c>
      <c r="O2324">
        <v>506606</v>
      </c>
      <c r="P2324" t="s">
        <v>28</v>
      </c>
      <c r="Q2324" t="s">
        <v>10172</v>
      </c>
      <c r="R2324" t="s">
        <v>10173</v>
      </c>
      <c r="S2324" t="s">
        <v>101</v>
      </c>
      <c r="T2324">
        <v>0</v>
      </c>
    </row>
    <row r="2325" spans="1:20" x14ac:dyDescent="0.25">
      <c r="A2325" t="s">
        <v>10174</v>
      </c>
      <c r="B2325" s="1">
        <v>45936</v>
      </c>
      <c r="C2325" s="5">
        <v>0.30797453703703703</v>
      </c>
      <c r="D2325">
        <v>847.16</v>
      </c>
      <c r="E2325" t="s">
        <v>44</v>
      </c>
      <c r="F2325" t="s">
        <v>6265</v>
      </c>
      <c r="G2325" t="s">
        <v>34</v>
      </c>
      <c r="H2325" t="s">
        <v>110</v>
      </c>
      <c r="I2325" t="s">
        <v>10175</v>
      </c>
      <c r="J2325">
        <v>70</v>
      </c>
      <c r="K2325" t="s">
        <v>25</v>
      </c>
      <c r="L2325" t="s">
        <v>23</v>
      </c>
      <c r="M2325" t="s">
        <v>27</v>
      </c>
      <c r="P2325" t="s">
        <v>28</v>
      </c>
      <c r="Q2325" t="s">
        <v>10176</v>
      </c>
      <c r="R2325" t="s">
        <v>10177</v>
      </c>
      <c r="S2325" t="s">
        <v>31</v>
      </c>
      <c r="T2325">
        <v>0</v>
      </c>
    </row>
    <row r="2326" spans="1:20" x14ac:dyDescent="0.25">
      <c r="A2326" t="s">
        <v>10178</v>
      </c>
      <c r="B2326" s="1">
        <v>45903</v>
      </c>
      <c r="C2326" s="5">
        <v>0.96438657407407402</v>
      </c>
      <c r="D2326">
        <v>159.77000000000001</v>
      </c>
      <c r="E2326" t="s">
        <v>44</v>
      </c>
      <c r="F2326" t="s">
        <v>2640</v>
      </c>
      <c r="G2326" t="s">
        <v>57</v>
      </c>
      <c r="H2326" t="s">
        <v>110</v>
      </c>
      <c r="I2326" t="s">
        <v>10179</v>
      </c>
      <c r="J2326">
        <v>56</v>
      </c>
      <c r="K2326" t="s">
        <v>37</v>
      </c>
      <c r="L2326" t="s">
        <v>130</v>
      </c>
      <c r="M2326" t="s">
        <v>27</v>
      </c>
      <c r="P2326" t="s">
        <v>28</v>
      </c>
      <c r="Q2326" t="s">
        <v>10180</v>
      </c>
      <c r="R2326" t="s">
        <v>10181</v>
      </c>
      <c r="S2326" t="s">
        <v>31</v>
      </c>
      <c r="T2326">
        <v>1</v>
      </c>
    </row>
    <row r="2327" spans="1:20" x14ac:dyDescent="0.25">
      <c r="A2327" t="s">
        <v>10182</v>
      </c>
      <c r="B2327" s="1">
        <v>45895</v>
      </c>
      <c r="C2327" s="5">
        <v>0.44716435185185183</v>
      </c>
      <c r="D2327">
        <v>58.73</v>
      </c>
      <c r="E2327" t="s">
        <v>44</v>
      </c>
      <c r="F2327" t="s">
        <v>3375</v>
      </c>
      <c r="G2327" t="s">
        <v>34</v>
      </c>
      <c r="H2327" t="s">
        <v>119</v>
      </c>
      <c r="I2327" t="s">
        <v>10183</v>
      </c>
      <c r="J2327">
        <v>36</v>
      </c>
      <c r="K2327" t="s">
        <v>25</v>
      </c>
      <c r="L2327" t="s">
        <v>110</v>
      </c>
      <c r="M2327" t="s">
        <v>105</v>
      </c>
      <c r="P2327" t="s">
        <v>28</v>
      </c>
      <c r="Q2327" t="s">
        <v>10184</v>
      </c>
      <c r="R2327" t="s">
        <v>10185</v>
      </c>
      <c r="S2327" t="s">
        <v>31</v>
      </c>
      <c r="T2327">
        <v>0</v>
      </c>
    </row>
    <row r="2328" spans="1:20" x14ac:dyDescent="0.25">
      <c r="A2328" t="s">
        <v>10186</v>
      </c>
      <c r="B2328" s="1">
        <v>45851</v>
      </c>
      <c r="C2328" s="5">
        <v>0.78396990740740746</v>
      </c>
      <c r="D2328">
        <v>2.76</v>
      </c>
      <c r="E2328" t="s">
        <v>44</v>
      </c>
      <c r="F2328" t="s">
        <v>1622</v>
      </c>
      <c r="G2328" t="s">
        <v>22</v>
      </c>
      <c r="H2328" t="s">
        <v>110</v>
      </c>
      <c r="I2328" t="s">
        <v>10187</v>
      </c>
      <c r="J2328">
        <v>52</v>
      </c>
      <c r="K2328" t="s">
        <v>37</v>
      </c>
      <c r="L2328" t="s">
        <v>26</v>
      </c>
      <c r="M2328" t="s">
        <v>51</v>
      </c>
      <c r="N2328" t="s">
        <v>304</v>
      </c>
      <c r="O2328">
        <v>456804</v>
      </c>
      <c r="P2328" t="s">
        <v>28</v>
      </c>
      <c r="Q2328" t="s">
        <v>10188</v>
      </c>
      <c r="R2328" t="s">
        <v>10189</v>
      </c>
      <c r="S2328" t="s">
        <v>101</v>
      </c>
      <c r="T2328">
        <v>0</v>
      </c>
    </row>
    <row r="2329" spans="1:20" x14ac:dyDescent="0.25">
      <c r="A2329" t="s">
        <v>10190</v>
      </c>
      <c r="B2329" s="1">
        <v>45786</v>
      </c>
      <c r="C2329" s="5">
        <v>0.76260416666666664</v>
      </c>
      <c r="D2329">
        <v>52.97</v>
      </c>
      <c r="E2329" t="s">
        <v>44</v>
      </c>
      <c r="F2329" t="s">
        <v>177</v>
      </c>
      <c r="G2329" t="s">
        <v>34</v>
      </c>
      <c r="H2329" t="s">
        <v>97</v>
      </c>
      <c r="I2329" t="s">
        <v>10191</v>
      </c>
      <c r="J2329">
        <v>69</v>
      </c>
      <c r="K2329" t="s">
        <v>37</v>
      </c>
      <c r="L2329" t="s">
        <v>50</v>
      </c>
      <c r="M2329" t="s">
        <v>27</v>
      </c>
      <c r="P2329" t="s">
        <v>28</v>
      </c>
      <c r="Q2329" t="s">
        <v>10192</v>
      </c>
      <c r="R2329" t="s">
        <v>10193</v>
      </c>
      <c r="S2329" t="s">
        <v>42</v>
      </c>
      <c r="T2329">
        <v>0</v>
      </c>
    </row>
    <row r="2330" spans="1:20" x14ac:dyDescent="0.25">
      <c r="A2330" t="s">
        <v>10194</v>
      </c>
      <c r="B2330" s="1">
        <v>45925</v>
      </c>
      <c r="C2330" s="5">
        <v>0.64384259259259258</v>
      </c>
      <c r="D2330">
        <v>469.48</v>
      </c>
      <c r="E2330" t="s">
        <v>44</v>
      </c>
      <c r="F2330" t="s">
        <v>763</v>
      </c>
      <c r="G2330" t="s">
        <v>46</v>
      </c>
      <c r="H2330" t="s">
        <v>91</v>
      </c>
      <c r="I2330" t="s">
        <v>10195</v>
      </c>
      <c r="J2330">
        <v>31</v>
      </c>
      <c r="K2330" t="s">
        <v>25</v>
      </c>
      <c r="L2330" t="s">
        <v>97</v>
      </c>
      <c r="M2330" t="s">
        <v>39</v>
      </c>
      <c r="P2330" t="s">
        <v>28</v>
      </c>
      <c r="Q2330" t="s">
        <v>10196</v>
      </c>
      <c r="R2330" t="s">
        <v>10197</v>
      </c>
      <c r="S2330" t="s">
        <v>31</v>
      </c>
      <c r="T2330">
        <v>0</v>
      </c>
    </row>
    <row r="2331" spans="1:20" x14ac:dyDescent="0.25">
      <c r="A2331" t="s">
        <v>10198</v>
      </c>
      <c r="B2331" s="1">
        <v>45868</v>
      </c>
      <c r="C2331" s="5">
        <v>0.30733796296296295</v>
      </c>
      <c r="D2331">
        <v>169.75</v>
      </c>
      <c r="E2331" t="s">
        <v>44</v>
      </c>
      <c r="F2331" t="s">
        <v>6703</v>
      </c>
      <c r="G2331" t="s">
        <v>71</v>
      </c>
      <c r="H2331" t="s">
        <v>50</v>
      </c>
      <c r="I2331" t="s">
        <v>10199</v>
      </c>
      <c r="J2331">
        <v>40</v>
      </c>
      <c r="K2331" t="s">
        <v>25</v>
      </c>
      <c r="L2331" t="s">
        <v>66</v>
      </c>
      <c r="M2331" t="s">
        <v>51</v>
      </c>
      <c r="N2331" t="s">
        <v>870</v>
      </c>
      <c r="O2331">
        <v>474892</v>
      </c>
      <c r="P2331" t="s">
        <v>28</v>
      </c>
      <c r="Q2331" t="s">
        <v>10200</v>
      </c>
      <c r="R2331" t="s">
        <v>10201</v>
      </c>
      <c r="S2331" t="s">
        <v>42</v>
      </c>
      <c r="T2331">
        <v>0</v>
      </c>
    </row>
    <row r="2332" spans="1:20" x14ac:dyDescent="0.25">
      <c r="A2332" t="s">
        <v>10202</v>
      </c>
      <c r="B2332" s="1">
        <v>45894</v>
      </c>
      <c r="C2332" s="5">
        <v>0.8732523148148148</v>
      </c>
      <c r="D2332">
        <v>175.73</v>
      </c>
      <c r="E2332" t="s">
        <v>44</v>
      </c>
      <c r="F2332" t="s">
        <v>21</v>
      </c>
      <c r="G2332" t="s">
        <v>96</v>
      </c>
      <c r="H2332" t="s">
        <v>97</v>
      </c>
      <c r="I2332" t="s">
        <v>10203</v>
      </c>
      <c r="J2332">
        <v>35</v>
      </c>
      <c r="K2332" t="s">
        <v>37</v>
      </c>
      <c r="L2332" t="s">
        <v>110</v>
      </c>
      <c r="M2332" t="s">
        <v>112</v>
      </c>
      <c r="P2332" t="s">
        <v>28</v>
      </c>
      <c r="Q2332" t="s">
        <v>10204</v>
      </c>
      <c r="R2332" t="s">
        <v>10205</v>
      </c>
      <c r="S2332" t="s">
        <v>31</v>
      </c>
      <c r="T2332">
        <v>0</v>
      </c>
    </row>
    <row r="2333" spans="1:20" x14ac:dyDescent="0.25">
      <c r="A2333" t="s">
        <v>10206</v>
      </c>
      <c r="B2333" s="1">
        <v>45881</v>
      </c>
      <c r="C2333" s="5">
        <v>0.48787037037037034</v>
      </c>
      <c r="D2333">
        <v>98.73</v>
      </c>
      <c r="E2333" t="s">
        <v>44</v>
      </c>
      <c r="F2333" t="s">
        <v>5430</v>
      </c>
      <c r="G2333" t="s">
        <v>46</v>
      </c>
      <c r="H2333" t="s">
        <v>248</v>
      </c>
      <c r="I2333" t="s">
        <v>10207</v>
      </c>
      <c r="J2333">
        <v>29</v>
      </c>
      <c r="K2333" t="s">
        <v>49</v>
      </c>
      <c r="L2333" t="s">
        <v>23</v>
      </c>
      <c r="M2333" t="s">
        <v>27</v>
      </c>
      <c r="P2333" t="s">
        <v>28</v>
      </c>
      <c r="Q2333" t="s">
        <v>10208</v>
      </c>
      <c r="R2333" t="s">
        <v>10209</v>
      </c>
      <c r="S2333" t="s">
        <v>31</v>
      </c>
      <c r="T2333">
        <v>0</v>
      </c>
    </row>
    <row r="2334" spans="1:20" x14ac:dyDescent="0.25">
      <c r="A2334" t="s">
        <v>10210</v>
      </c>
      <c r="B2334" s="1">
        <v>45901</v>
      </c>
      <c r="C2334" s="5">
        <v>0.25614583333333335</v>
      </c>
      <c r="D2334">
        <v>449.85</v>
      </c>
      <c r="E2334" t="s">
        <v>44</v>
      </c>
      <c r="F2334" t="s">
        <v>9093</v>
      </c>
      <c r="G2334" t="s">
        <v>124</v>
      </c>
      <c r="H2334" t="s">
        <v>23</v>
      </c>
      <c r="I2334" t="s">
        <v>10211</v>
      </c>
      <c r="J2334">
        <v>69</v>
      </c>
      <c r="K2334" t="s">
        <v>37</v>
      </c>
      <c r="L2334" t="s">
        <v>26</v>
      </c>
      <c r="M2334" t="s">
        <v>51</v>
      </c>
      <c r="N2334" t="s">
        <v>304</v>
      </c>
      <c r="O2334">
        <v>458022</v>
      </c>
      <c r="P2334" t="s">
        <v>28</v>
      </c>
      <c r="Q2334" t="s">
        <v>10212</v>
      </c>
      <c r="R2334" t="s">
        <v>10213</v>
      </c>
      <c r="S2334" t="s">
        <v>31</v>
      </c>
      <c r="T2334">
        <v>0</v>
      </c>
    </row>
    <row r="2335" spans="1:20" x14ac:dyDescent="0.25">
      <c r="A2335" t="s">
        <v>10214</v>
      </c>
      <c r="B2335" s="1">
        <v>45809</v>
      </c>
      <c r="C2335" s="5">
        <v>0.33292824074074073</v>
      </c>
      <c r="D2335">
        <v>18.2</v>
      </c>
      <c r="E2335" t="s">
        <v>44</v>
      </c>
      <c r="F2335" t="s">
        <v>868</v>
      </c>
      <c r="G2335" t="s">
        <v>64</v>
      </c>
      <c r="H2335" t="s">
        <v>146</v>
      </c>
      <c r="I2335" t="s">
        <v>10215</v>
      </c>
      <c r="J2335">
        <v>23</v>
      </c>
      <c r="K2335" t="s">
        <v>37</v>
      </c>
      <c r="L2335" t="s">
        <v>47</v>
      </c>
      <c r="M2335" t="s">
        <v>112</v>
      </c>
      <c r="P2335" t="s">
        <v>28</v>
      </c>
      <c r="Q2335" t="s">
        <v>10216</v>
      </c>
      <c r="R2335" t="s">
        <v>10217</v>
      </c>
      <c r="S2335" t="s">
        <v>31</v>
      </c>
      <c r="T2335">
        <v>0</v>
      </c>
    </row>
    <row r="2336" spans="1:20" x14ac:dyDescent="0.25">
      <c r="A2336" t="s">
        <v>10218</v>
      </c>
      <c r="B2336" s="1">
        <v>45811</v>
      </c>
      <c r="C2336" s="5">
        <v>0.28334490740740742</v>
      </c>
      <c r="D2336">
        <v>115.79</v>
      </c>
      <c r="E2336" t="s">
        <v>44</v>
      </c>
      <c r="F2336" t="s">
        <v>4504</v>
      </c>
      <c r="G2336" t="s">
        <v>34</v>
      </c>
      <c r="H2336" t="s">
        <v>248</v>
      </c>
      <c r="I2336" t="s">
        <v>10219</v>
      </c>
      <c r="J2336">
        <v>20</v>
      </c>
      <c r="K2336" t="s">
        <v>25</v>
      </c>
      <c r="L2336" t="s">
        <v>110</v>
      </c>
      <c r="M2336" t="s">
        <v>112</v>
      </c>
      <c r="P2336" t="s">
        <v>28</v>
      </c>
      <c r="Q2336" t="s">
        <v>10220</v>
      </c>
      <c r="R2336" t="s">
        <v>10221</v>
      </c>
      <c r="S2336" t="s">
        <v>101</v>
      </c>
      <c r="T2336">
        <v>0</v>
      </c>
    </row>
    <row r="2337" spans="1:20" x14ac:dyDescent="0.25">
      <c r="A2337" t="s">
        <v>10222</v>
      </c>
      <c r="B2337" s="1">
        <v>45805</v>
      </c>
      <c r="C2337" s="5">
        <v>3.3333333333333333E-2</v>
      </c>
      <c r="D2337">
        <v>21.45</v>
      </c>
      <c r="E2337" t="s">
        <v>44</v>
      </c>
      <c r="F2337" t="s">
        <v>3418</v>
      </c>
      <c r="G2337" t="s">
        <v>64</v>
      </c>
      <c r="H2337" t="s">
        <v>97</v>
      </c>
      <c r="I2337" t="s">
        <v>10223</v>
      </c>
      <c r="J2337">
        <v>32</v>
      </c>
      <c r="K2337" t="s">
        <v>25</v>
      </c>
      <c r="L2337" t="s">
        <v>130</v>
      </c>
      <c r="M2337" t="s">
        <v>84</v>
      </c>
      <c r="P2337" t="s">
        <v>28</v>
      </c>
      <c r="Q2337" t="s">
        <v>10224</v>
      </c>
      <c r="R2337" t="s">
        <v>10225</v>
      </c>
      <c r="S2337" t="s">
        <v>31</v>
      </c>
      <c r="T2337">
        <v>0</v>
      </c>
    </row>
    <row r="2338" spans="1:20" x14ac:dyDescent="0.25">
      <c r="A2338" t="s">
        <v>10226</v>
      </c>
      <c r="B2338" s="1">
        <v>45804</v>
      </c>
      <c r="C2338" s="5">
        <v>2.6041666666666668E-2</v>
      </c>
      <c r="D2338">
        <v>163.84</v>
      </c>
      <c r="E2338" t="s">
        <v>44</v>
      </c>
      <c r="F2338" t="s">
        <v>9906</v>
      </c>
      <c r="G2338" t="s">
        <v>124</v>
      </c>
      <c r="H2338" t="s">
        <v>91</v>
      </c>
      <c r="I2338" t="s">
        <v>10227</v>
      </c>
      <c r="J2338">
        <v>38</v>
      </c>
      <c r="K2338" t="s">
        <v>49</v>
      </c>
      <c r="L2338" t="s">
        <v>58</v>
      </c>
      <c r="M2338" t="s">
        <v>39</v>
      </c>
      <c r="P2338" t="s">
        <v>28</v>
      </c>
      <c r="Q2338" t="s">
        <v>10228</v>
      </c>
      <c r="R2338" t="s">
        <v>10229</v>
      </c>
      <c r="S2338" t="s">
        <v>31</v>
      </c>
      <c r="T2338">
        <v>0</v>
      </c>
    </row>
    <row r="2339" spans="1:20" x14ac:dyDescent="0.25">
      <c r="A2339" t="s">
        <v>10230</v>
      </c>
      <c r="B2339" s="1">
        <v>45957</v>
      </c>
      <c r="C2339" s="5">
        <v>0.54592592592592593</v>
      </c>
      <c r="D2339">
        <v>81.13</v>
      </c>
      <c r="E2339" t="s">
        <v>44</v>
      </c>
      <c r="F2339" t="s">
        <v>3261</v>
      </c>
      <c r="G2339" t="s">
        <v>46</v>
      </c>
      <c r="H2339" t="s">
        <v>58</v>
      </c>
      <c r="I2339" t="s">
        <v>10231</v>
      </c>
      <c r="J2339">
        <v>55</v>
      </c>
      <c r="K2339" t="s">
        <v>37</v>
      </c>
      <c r="L2339" t="s">
        <v>23</v>
      </c>
      <c r="M2339" t="s">
        <v>84</v>
      </c>
      <c r="P2339" t="s">
        <v>28</v>
      </c>
      <c r="Q2339" t="s">
        <v>10232</v>
      </c>
      <c r="R2339" t="s">
        <v>10233</v>
      </c>
      <c r="S2339" t="s">
        <v>42</v>
      </c>
      <c r="T2339">
        <v>0</v>
      </c>
    </row>
    <row r="2340" spans="1:20" x14ac:dyDescent="0.25">
      <c r="A2340" t="s">
        <v>10234</v>
      </c>
      <c r="B2340" s="1">
        <v>45909</v>
      </c>
      <c r="C2340" s="5">
        <v>0.19032407407407406</v>
      </c>
      <c r="D2340">
        <v>58.3</v>
      </c>
      <c r="E2340" t="s">
        <v>44</v>
      </c>
      <c r="F2340" t="s">
        <v>10235</v>
      </c>
      <c r="G2340" t="s">
        <v>22</v>
      </c>
      <c r="H2340" t="s">
        <v>47</v>
      </c>
      <c r="I2340" t="s">
        <v>10236</v>
      </c>
      <c r="J2340">
        <v>29</v>
      </c>
      <c r="K2340" t="s">
        <v>37</v>
      </c>
      <c r="L2340" t="s">
        <v>38</v>
      </c>
      <c r="M2340" t="s">
        <v>105</v>
      </c>
      <c r="P2340" t="s">
        <v>28</v>
      </c>
      <c r="Q2340" t="s">
        <v>10237</v>
      </c>
      <c r="R2340" t="s">
        <v>10238</v>
      </c>
      <c r="S2340" t="s">
        <v>31</v>
      </c>
      <c r="T2340">
        <v>0</v>
      </c>
    </row>
    <row r="2341" spans="1:20" x14ac:dyDescent="0.25">
      <c r="A2341" t="s">
        <v>10239</v>
      </c>
      <c r="B2341" s="1">
        <v>45879</v>
      </c>
      <c r="C2341" s="5">
        <v>0.10770833333333334</v>
      </c>
      <c r="D2341">
        <v>139.66999999999999</v>
      </c>
      <c r="E2341" t="s">
        <v>44</v>
      </c>
      <c r="F2341" t="s">
        <v>3826</v>
      </c>
      <c r="G2341" t="s">
        <v>124</v>
      </c>
      <c r="H2341" t="s">
        <v>248</v>
      </c>
      <c r="I2341" t="s">
        <v>10240</v>
      </c>
      <c r="J2341">
        <v>61</v>
      </c>
      <c r="K2341" t="s">
        <v>25</v>
      </c>
      <c r="L2341" t="s">
        <v>97</v>
      </c>
      <c r="M2341" t="s">
        <v>51</v>
      </c>
      <c r="N2341" t="s">
        <v>173</v>
      </c>
      <c r="O2341">
        <v>502654</v>
      </c>
      <c r="P2341" t="s">
        <v>28</v>
      </c>
      <c r="Q2341" t="s">
        <v>10241</v>
      </c>
      <c r="R2341" t="s">
        <v>10242</v>
      </c>
      <c r="S2341" t="s">
        <v>31</v>
      </c>
      <c r="T2341">
        <v>0</v>
      </c>
    </row>
    <row r="2342" spans="1:20" x14ac:dyDescent="0.25">
      <c r="A2342" t="s">
        <v>10243</v>
      </c>
      <c r="B2342" s="1">
        <v>45951</v>
      </c>
      <c r="C2342" s="5">
        <v>0.26670138888888889</v>
      </c>
      <c r="D2342">
        <v>159.21</v>
      </c>
      <c r="E2342" t="s">
        <v>44</v>
      </c>
      <c r="F2342" t="s">
        <v>5417</v>
      </c>
      <c r="G2342" t="s">
        <v>124</v>
      </c>
      <c r="H2342" t="s">
        <v>58</v>
      </c>
      <c r="I2342" t="s">
        <v>10244</v>
      </c>
      <c r="J2342">
        <v>68</v>
      </c>
      <c r="K2342" t="s">
        <v>49</v>
      </c>
      <c r="L2342" t="s">
        <v>91</v>
      </c>
      <c r="M2342" t="s">
        <v>51</v>
      </c>
      <c r="N2342" t="s">
        <v>507</v>
      </c>
      <c r="O2342">
        <v>404088</v>
      </c>
      <c r="P2342" t="s">
        <v>28</v>
      </c>
      <c r="Q2342" t="s">
        <v>10245</v>
      </c>
      <c r="R2342" t="s">
        <v>10246</v>
      </c>
      <c r="S2342" t="s">
        <v>31</v>
      </c>
      <c r="T2342">
        <v>0</v>
      </c>
    </row>
    <row r="2343" spans="1:20" x14ac:dyDescent="0.25">
      <c r="A2343" t="s">
        <v>10247</v>
      </c>
      <c r="B2343" s="1">
        <v>45823</v>
      </c>
      <c r="C2343" s="5">
        <v>0.8168171296296296</v>
      </c>
      <c r="D2343">
        <v>178.22</v>
      </c>
      <c r="E2343" t="s">
        <v>44</v>
      </c>
      <c r="F2343" t="s">
        <v>207</v>
      </c>
      <c r="G2343" t="s">
        <v>34</v>
      </c>
      <c r="H2343" t="s">
        <v>248</v>
      </c>
      <c r="I2343" t="s">
        <v>10248</v>
      </c>
      <c r="J2343">
        <v>21</v>
      </c>
      <c r="K2343" t="s">
        <v>49</v>
      </c>
      <c r="L2343" t="s">
        <v>58</v>
      </c>
      <c r="M2343" t="s">
        <v>27</v>
      </c>
      <c r="P2343" t="s">
        <v>28</v>
      </c>
      <c r="Q2343" t="s">
        <v>10249</v>
      </c>
      <c r="R2343" t="s">
        <v>10250</v>
      </c>
      <c r="S2343" t="s">
        <v>31</v>
      </c>
      <c r="T2343">
        <v>0</v>
      </c>
    </row>
    <row r="2344" spans="1:20" x14ac:dyDescent="0.25">
      <c r="A2344" t="s">
        <v>10251</v>
      </c>
      <c r="B2344" s="1">
        <v>45855</v>
      </c>
      <c r="C2344" s="5">
        <v>0.75819444444444439</v>
      </c>
      <c r="D2344">
        <v>123.3</v>
      </c>
      <c r="E2344" t="s">
        <v>44</v>
      </c>
      <c r="F2344" t="s">
        <v>2438</v>
      </c>
      <c r="G2344" t="s">
        <v>124</v>
      </c>
      <c r="H2344" t="s">
        <v>35</v>
      </c>
      <c r="I2344" t="s">
        <v>3027</v>
      </c>
      <c r="J2344">
        <v>40</v>
      </c>
      <c r="K2344" t="s">
        <v>49</v>
      </c>
      <c r="L2344" t="s">
        <v>23</v>
      </c>
      <c r="M2344" t="s">
        <v>105</v>
      </c>
      <c r="P2344" t="s">
        <v>28</v>
      </c>
      <c r="Q2344" t="s">
        <v>10252</v>
      </c>
      <c r="R2344" t="s">
        <v>10253</v>
      </c>
      <c r="S2344" t="s">
        <v>31</v>
      </c>
      <c r="T2344">
        <v>0</v>
      </c>
    </row>
    <row r="2345" spans="1:20" x14ac:dyDescent="0.25">
      <c r="A2345" t="s">
        <v>10254</v>
      </c>
      <c r="B2345" s="1">
        <v>45785</v>
      </c>
      <c r="C2345" s="5">
        <v>0.68212962962962964</v>
      </c>
      <c r="D2345">
        <v>161.97</v>
      </c>
      <c r="E2345" t="s">
        <v>44</v>
      </c>
      <c r="F2345" t="s">
        <v>10255</v>
      </c>
      <c r="G2345" t="s">
        <v>71</v>
      </c>
      <c r="H2345" t="s">
        <v>66</v>
      </c>
      <c r="I2345" t="s">
        <v>10256</v>
      </c>
      <c r="J2345">
        <v>49</v>
      </c>
      <c r="K2345" t="s">
        <v>25</v>
      </c>
      <c r="L2345" t="s">
        <v>50</v>
      </c>
      <c r="M2345" t="s">
        <v>27</v>
      </c>
      <c r="P2345" t="s">
        <v>28</v>
      </c>
      <c r="Q2345" t="s">
        <v>10257</v>
      </c>
      <c r="R2345" t="s">
        <v>10258</v>
      </c>
      <c r="S2345" t="s">
        <v>31</v>
      </c>
      <c r="T2345">
        <v>0</v>
      </c>
    </row>
    <row r="2346" spans="1:20" x14ac:dyDescent="0.25">
      <c r="A2346" t="s">
        <v>10259</v>
      </c>
      <c r="B2346" s="1">
        <v>45833</v>
      </c>
      <c r="C2346" s="5">
        <v>0.41413194444444446</v>
      </c>
      <c r="D2346">
        <v>29.28</v>
      </c>
      <c r="E2346" t="s">
        <v>44</v>
      </c>
      <c r="F2346" t="s">
        <v>9299</v>
      </c>
      <c r="G2346" t="s">
        <v>34</v>
      </c>
      <c r="H2346" t="s">
        <v>47</v>
      </c>
      <c r="I2346" t="s">
        <v>4636</v>
      </c>
      <c r="J2346">
        <v>36</v>
      </c>
      <c r="K2346" t="s">
        <v>25</v>
      </c>
      <c r="L2346" t="s">
        <v>97</v>
      </c>
      <c r="M2346" t="s">
        <v>51</v>
      </c>
      <c r="N2346" t="s">
        <v>870</v>
      </c>
      <c r="O2346">
        <v>446176</v>
      </c>
      <c r="P2346" t="s">
        <v>28</v>
      </c>
      <c r="Q2346" t="s">
        <v>10260</v>
      </c>
      <c r="R2346" t="s">
        <v>10261</v>
      </c>
      <c r="S2346" t="s">
        <v>31</v>
      </c>
      <c r="T2346">
        <v>0</v>
      </c>
    </row>
    <row r="2347" spans="1:20" x14ac:dyDescent="0.25">
      <c r="A2347" t="s">
        <v>10262</v>
      </c>
      <c r="B2347" s="1">
        <v>45945</v>
      </c>
      <c r="C2347" s="5">
        <v>0.1975925925925926</v>
      </c>
      <c r="D2347">
        <v>139.01</v>
      </c>
      <c r="E2347" t="s">
        <v>44</v>
      </c>
      <c r="F2347" t="s">
        <v>1692</v>
      </c>
      <c r="G2347" t="s">
        <v>22</v>
      </c>
      <c r="H2347" t="s">
        <v>38</v>
      </c>
      <c r="I2347" t="s">
        <v>10263</v>
      </c>
      <c r="J2347">
        <v>14</v>
      </c>
      <c r="K2347" t="s">
        <v>25</v>
      </c>
      <c r="L2347" t="s">
        <v>47</v>
      </c>
      <c r="M2347" t="s">
        <v>84</v>
      </c>
      <c r="P2347" t="s">
        <v>28</v>
      </c>
      <c r="Q2347" t="s">
        <v>10264</v>
      </c>
      <c r="R2347" t="s">
        <v>10265</v>
      </c>
      <c r="S2347" t="s">
        <v>31</v>
      </c>
      <c r="T2347">
        <v>0</v>
      </c>
    </row>
    <row r="2348" spans="1:20" x14ac:dyDescent="0.25">
      <c r="A2348" t="s">
        <v>10266</v>
      </c>
      <c r="B2348" s="1">
        <v>45928</v>
      </c>
      <c r="C2348" s="5">
        <v>0.57460648148148152</v>
      </c>
      <c r="D2348">
        <v>75.5</v>
      </c>
      <c r="E2348" t="s">
        <v>44</v>
      </c>
      <c r="F2348" t="s">
        <v>3789</v>
      </c>
      <c r="G2348" t="s">
        <v>46</v>
      </c>
      <c r="H2348" t="s">
        <v>97</v>
      </c>
      <c r="I2348" t="s">
        <v>10267</v>
      </c>
      <c r="K2348" t="s">
        <v>25</v>
      </c>
      <c r="L2348" t="s">
        <v>23</v>
      </c>
      <c r="M2348" t="s">
        <v>112</v>
      </c>
      <c r="P2348" t="s">
        <v>28</v>
      </c>
      <c r="Q2348" t="s">
        <v>10268</v>
      </c>
      <c r="R2348" t="s">
        <v>10269</v>
      </c>
      <c r="S2348" t="s">
        <v>31</v>
      </c>
      <c r="T2348">
        <v>0</v>
      </c>
    </row>
    <row r="2349" spans="1:20" x14ac:dyDescent="0.25">
      <c r="A2349" t="s">
        <v>10270</v>
      </c>
      <c r="B2349" s="1">
        <v>45857</v>
      </c>
      <c r="C2349" s="5">
        <v>0.8443518518518518</v>
      </c>
      <c r="D2349">
        <v>168.56</v>
      </c>
      <c r="E2349" t="s">
        <v>44</v>
      </c>
      <c r="F2349" t="s">
        <v>313</v>
      </c>
      <c r="G2349" t="s">
        <v>34</v>
      </c>
      <c r="H2349" t="s">
        <v>66</v>
      </c>
      <c r="I2349" t="s">
        <v>10271</v>
      </c>
      <c r="J2349">
        <v>65</v>
      </c>
      <c r="K2349" t="s">
        <v>37</v>
      </c>
      <c r="L2349" t="s">
        <v>119</v>
      </c>
      <c r="M2349" t="s">
        <v>39</v>
      </c>
      <c r="P2349" t="s">
        <v>28</v>
      </c>
      <c r="Q2349" t="s">
        <v>10272</v>
      </c>
      <c r="R2349" t="s">
        <v>10273</v>
      </c>
      <c r="S2349" t="s">
        <v>31</v>
      </c>
      <c r="T2349">
        <v>1</v>
      </c>
    </row>
    <row r="2350" spans="1:20" x14ac:dyDescent="0.25">
      <c r="A2350" t="s">
        <v>10274</v>
      </c>
      <c r="B2350" s="1">
        <v>45794</v>
      </c>
      <c r="C2350" s="5">
        <v>0.9357523148148148</v>
      </c>
      <c r="D2350">
        <v>67.75</v>
      </c>
      <c r="E2350" t="s">
        <v>44</v>
      </c>
      <c r="F2350" t="s">
        <v>4683</v>
      </c>
      <c r="G2350" t="s">
        <v>124</v>
      </c>
      <c r="H2350" t="s">
        <v>66</v>
      </c>
      <c r="I2350" t="s">
        <v>10275</v>
      </c>
      <c r="J2350">
        <v>47</v>
      </c>
      <c r="K2350" t="s">
        <v>37</v>
      </c>
      <c r="L2350" t="s">
        <v>58</v>
      </c>
      <c r="M2350" t="s">
        <v>84</v>
      </c>
      <c r="P2350" t="s">
        <v>28</v>
      </c>
      <c r="Q2350" t="s">
        <v>10276</v>
      </c>
      <c r="R2350" t="s">
        <v>10277</v>
      </c>
      <c r="S2350" t="s">
        <v>31</v>
      </c>
      <c r="T2350">
        <v>0</v>
      </c>
    </row>
    <row r="2351" spans="1:20" x14ac:dyDescent="0.25">
      <c r="A2351" t="s">
        <v>10278</v>
      </c>
      <c r="B2351" s="1">
        <v>45911</v>
      </c>
      <c r="C2351" s="5">
        <v>0.17332175925925927</v>
      </c>
      <c r="D2351">
        <v>129.15</v>
      </c>
      <c r="E2351" t="s">
        <v>44</v>
      </c>
      <c r="F2351" t="s">
        <v>2707</v>
      </c>
      <c r="G2351" t="s">
        <v>46</v>
      </c>
      <c r="H2351" t="s">
        <v>23</v>
      </c>
      <c r="I2351" t="s">
        <v>10279</v>
      </c>
      <c r="J2351">
        <v>41</v>
      </c>
      <c r="K2351" t="s">
        <v>25</v>
      </c>
      <c r="L2351" t="s">
        <v>130</v>
      </c>
      <c r="M2351" t="s">
        <v>105</v>
      </c>
      <c r="P2351" t="s">
        <v>28</v>
      </c>
      <c r="Q2351" t="s">
        <v>10280</v>
      </c>
      <c r="R2351" t="s">
        <v>10281</v>
      </c>
      <c r="S2351" t="s">
        <v>31</v>
      </c>
      <c r="T2351">
        <v>0</v>
      </c>
    </row>
    <row r="2352" spans="1:20" x14ac:dyDescent="0.25">
      <c r="A2352" t="s">
        <v>10282</v>
      </c>
      <c r="B2352" s="1">
        <v>45802</v>
      </c>
      <c r="C2352" s="5">
        <v>0.98554398148148148</v>
      </c>
      <c r="D2352">
        <v>18.36</v>
      </c>
      <c r="E2352" t="s">
        <v>44</v>
      </c>
      <c r="F2352" t="s">
        <v>3902</v>
      </c>
      <c r="G2352" t="s">
        <v>64</v>
      </c>
      <c r="H2352" t="s">
        <v>26</v>
      </c>
      <c r="I2352" t="s">
        <v>10283</v>
      </c>
      <c r="J2352">
        <v>40</v>
      </c>
      <c r="K2352" t="s">
        <v>49</v>
      </c>
      <c r="L2352" t="s">
        <v>35</v>
      </c>
      <c r="M2352" t="s">
        <v>84</v>
      </c>
      <c r="P2352" t="s">
        <v>28</v>
      </c>
      <c r="Q2352" t="s">
        <v>10284</v>
      </c>
      <c r="R2352" t="s">
        <v>10285</v>
      </c>
      <c r="S2352" t="s">
        <v>42</v>
      </c>
      <c r="T2352">
        <v>0</v>
      </c>
    </row>
    <row r="2353" spans="1:20" x14ac:dyDescent="0.25">
      <c r="A2353" t="s">
        <v>10286</v>
      </c>
      <c r="B2353" s="1">
        <v>45890</v>
      </c>
      <c r="C2353" s="5">
        <v>0.66480324074074071</v>
      </c>
      <c r="D2353">
        <v>184.14</v>
      </c>
      <c r="E2353" t="s">
        <v>44</v>
      </c>
      <c r="F2353" t="s">
        <v>7641</v>
      </c>
      <c r="G2353" t="s">
        <v>46</v>
      </c>
      <c r="H2353" t="s">
        <v>47</v>
      </c>
      <c r="I2353" t="s">
        <v>951</v>
      </c>
      <c r="J2353">
        <v>28</v>
      </c>
      <c r="K2353" t="s">
        <v>49</v>
      </c>
      <c r="L2353" t="s">
        <v>26</v>
      </c>
      <c r="M2353" t="s">
        <v>112</v>
      </c>
      <c r="P2353" t="s">
        <v>28</v>
      </c>
      <c r="Q2353" t="s">
        <v>10287</v>
      </c>
      <c r="R2353" t="s">
        <v>10288</v>
      </c>
      <c r="S2353" t="s">
        <v>31</v>
      </c>
      <c r="T2353">
        <v>0</v>
      </c>
    </row>
    <row r="2354" spans="1:20" x14ac:dyDescent="0.25">
      <c r="A2354" t="s">
        <v>10289</v>
      </c>
      <c r="B2354" s="1">
        <v>45931</v>
      </c>
      <c r="C2354" s="5">
        <v>0.68361111111111106</v>
      </c>
      <c r="D2354">
        <v>34.82</v>
      </c>
      <c r="E2354" t="s">
        <v>44</v>
      </c>
      <c r="F2354" t="s">
        <v>5671</v>
      </c>
      <c r="G2354" t="s">
        <v>124</v>
      </c>
      <c r="H2354" t="s">
        <v>23</v>
      </c>
      <c r="I2354" t="s">
        <v>10290</v>
      </c>
      <c r="J2354">
        <v>18</v>
      </c>
      <c r="K2354" t="s">
        <v>49</v>
      </c>
      <c r="L2354" t="s">
        <v>58</v>
      </c>
      <c r="M2354" t="s">
        <v>51</v>
      </c>
      <c r="N2354" t="s">
        <v>52</v>
      </c>
      <c r="O2354">
        <v>523823</v>
      </c>
      <c r="P2354" t="s">
        <v>28</v>
      </c>
      <c r="Q2354" t="s">
        <v>10291</v>
      </c>
      <c r="R2354" t="s">
        <v>10292</v>
      </c>
      <c r="S2354" t="s">
        <v>31</v>
      </c>
      <c r="T2354">
        <v>0</v>
      </c>
    </row>
    <row r="2355" spans="1:20" x14ac:dyDescent="0.25">
      <c r="A2355" t="s">
        <v>10293</v>
      </c>
      <c r="B2355" s="1">
        <v>45951</v>
      </c>
      <c r="C2355" s="5">
        <v>0.80612268518518515</v>
      </c>
      <c r="D2355">
        <v>117.18</v>
      </c>
      <c r="E2355" t="s">
        <v>44</v>
      </c>
      <c r="F2355" t="s">
        <v>616</v>
      </c>
      <c r="G2355" t="s">
        <v>89</v>
      </c>
      <c r="H2355" t="s">
        <v>146</v>
      </c>
      <c r="I2355" t="s">
        <v>10294</v>
      </c>
      <c r="J2355">
        <v>73</v>
      </c>
      <c r="K2355" t="s">
        <v>25</v>
      </c>
      <c r="L2355" t="s">
        <v>23</v>
      </c>
      <c r="M2355" t="s">
        <v>27</v>
      </c>
      <c r="P2355" t="s">
        <v>28</v>
      </c>
      <c r="Q2355" t="s">
        <v>10295</v>
      </c>
      <c r="R2355" t="s">
        <v>10296</v>
      </c>
      <c r="S2355" t="s">
        <v>101</v>
      </c>
      <c r="T2355">
        <v>0</v>
      </c>
    </row>
    <row r="2356" spans="1:20" x14ac:dyDescent="0.25">
      <c r="A2356" t="s">
        <v>10297</v>
      </c>
      <c r="B2356" s="1">
        <v>45935</v>
      </c>
      <c r="C2356" s="5">
        <v>0.16125</v>
      </c>
      <c r="D2356">
        <v>3</v>
      </c>
      <c r="E2356" t="s">
        <v>44</v>
      </c>
      <c r="F2356" t="s">
        <v>1637</v>
      </c>
      <c r="G2356" t="s">
        <v>77</v>
      </c>
      <c r="H2356" t="s">
        <v>110</v>
      </c>
      <c r="I2356" t="s">
        <v>10298</v>
      </c>
      <c r="J2356">
        <v>67</v>
      </c>
      <c r="K2356" t="s">
        <v>25</v>
      </c>
      <c r="L2356" t="s">
        <v>248</v>
      </c>
      <c r="M2356" t="s">
        <v>51</v>
      </c>
      <c r="N2356" t="s">
        <v>52</v>
      </c>
      <c r="O2356">
        <v>422239</v>
      </c>
      <c r="P2356" t="s">
        <v>28</v>
      </c>
      <c r="Q2356" t="s">
        <v>10299</v>
      </c>
      <c r="R2356" t="s">
        <v>10300</v>
      </c>
      <c r="S2356" t="s">
        <v>31</v>
      </c>
      <c r="T2356">
        <v>0</v>
      </c>
    </row>
    <row r="2357" spans="1:20" x14ac:dyDescent="0.25">
      <c r="A2357" t="s">
        <v>10301</v>
      </c>
      <c r="B2357" s="1">
        <v>45941</v>
      </c>
      <c r="C2357" s="5">
        <v>0.49722222222222223</v>
      </c>
      <c r="D2357">
        <v>166.92</v>
      </c>
      <c r="E2357" t="s">
        <v>44</v>
      </c>
      <c r="F2357" t="s">
        <v>1752</v>
      </c>
      <c r="G2357" t="s">
        <v>71</v>
      </c>
      <c r="H2357" t="s">
        <v>130</v>
      </c>
      <c r="I2357" t="s">
        <v>10302</v>
      </c>
      <c r="J2357">
        <v>34</v>
      </c>
      <c r="K2357" t="s">
        <v>25</v>
      </c>
      <c r="L2357" t="s">
        <v>38</v>
      </c>
      <c r="M2357" t="s">
        <v>105</v>
      </c>
      <c r="P2357" t="s">
        <v>28</v>
      </c>
      <c r="Q2357" t="s">
        <v>10303</v>
      </c>
      <c r="R2357" t="s">
        <v>10304</v>
      </c>
      <c r="S2357" t="s">
        <v>31</v>
      </c>
      <c r="T2357">
        <v>0</v>
      </c>
    </row>
    <row r="2358" spans="1:20" x14ac:dyDescent="0.25">
      <c r="A2358" t="s">
        <v>10305</v>
      </c>
      <c r="B2358" s="1">
        <v>45781</v>
      </c>
      <c r="C2358" s="5">
        <v>0.15953703703703703</v>
      </c>
      <c r="D2358">
        <v>48.62</v>
      </c>
      <c r="E2358" t="s">
        <v>44</v>
      </c>
      <c r="F2358" t="s">
        <v>140</v>
      </c>
      <c r="G2358" t="s">
        <v>77</v>
      </c>
      <c r="H2358" t="s">
        <v>47</v>
      </c>
      <c r="I2358" t="s">
        <v>10306</v>
      </c>
      <c r="J2358">
        <v>48</v>
      </c>
      <c r="K2358" t="s">
        <v>25</v>
      </c>
      <c r="L2358" t="s">
        <v>38</v>
      </c>
      <c r="M2358" t="s">
        <v>84</v>
      </c>
      <c r="P2358" t="s">
        <v>28</v>
      </c>
      <c r="Q2358" t="s">
        <v>10307</v>
      </c>
      <c r="R2358" t="s">
        <v>10308</v>
      </c>
      <c r="S2358" t="s">
        <v>31</v>
      </c>
      <c r="T2358">
        <v>0</v>
      </c>
    </row>
    <row r="2359" spans="1:20" x14ac:dyDescent="0.25">
      <c r="A2359" t="s">
        <v>10309</v>
      </c>
      <c r="B2359" s="1">
        <v>45898</v>
      </c>
      <c r="C2359" s="5">
        <v>2.7118055555555555E-2</v>
      </c>
      <c r="D2359">
        <v>82.02</v>
      </c>
      <c r="E2359" t="s">
        <v>44</v>
      </c>
      <c r="F2359" t="s">
        <v>2645</v>
      </c>
      <c r="G2359" t="s">
        <v>89</v>
      </c>
      <c r="H2359" t="s">
        <v>97</v>
      </c>
      <c r="I2359" t="s">
        <v>10310</v>
      </c>
      <c r="J2359">
        <v>42</v>
      </c>
      <c r="K2359" t="s">
        <v>25</v>
      </c>
      <c r="L2359" t="s">
        <v>97</v>
      </c>
      <c r="M2359" t="s">
        <v>112</v>
      </c>
      <c r="P2359" t="s">
        <v>113</v>
      </c>
      <c r="Q2359" t="s">
        <v>10311</v>
      </c>
      <c r="R2359" t="s">
        <v>10312</v>
      </c>
      <c r="S2359" t="s">
        <v>31</v>
      </c>
      <c r="T2359">
        <v>0</v>
      </c>
    </row>
    <row r="2360" spans="1:20" x14ac:dyDescent="0.25">
      <c r="A2360" t="s">
        <v>10313</v>
      </c>
      <c r="B2360" s="1">
        <v>45891</v>
      </c>
      <c r="C2360" s="5">
        <v>0.58572916666666663</v>
      </c>
      <c r="D2360">
        <v>518.41</v>
      </c>
      <c r="E2360" t="s">
        <v>44</v>
      </c>
      <c r="F2360" t="s">
        <v>6148</v>
      </c>
      <c r="G2360" t="s">
        <v>64</v>
      </c>
      <c r="H2360" t="s">
        <v>97</v>
      </c>
      <c r="I2360" t="s">
        <v>10314</v>
      </c>
      <c r="J2360">
        <v>73</v>
      </c>
      <c r="K2360" t="s">
        <v>37</v>
      </c>
      <c r="L2360" t="s">
        <v>47</v>
      </c>
      <c r="M2360" t="s">
        <v>105</v>
      </c>
      <c r="P2360" t="s">
        <v>28</v>
      </c>
      <c r="Q2360" t="s">
        <v>10315</v>
      </c>
      <c r="R2360" t="s">
        <v>10316</v>
      </c>
      <c r="S2360" t="s">
        <v>31</v>
      </c>
      <c r="T2360">
        <v>0</v>
      </c>
    </row>
    <row r="2361" spans="1:20" x14ac:dyDescent="0.25">
      <c r="A2361" t="s">
        <v>10317</v>
      </c>
      <c r="B2361" s="1">
        <v>45824</v>
      </c>
      <c r="C2361" s="5">
        <v>0.98207175925925927</v>
      </c>
      <c r="D2361">
        <v>59.54</v>
      </c>
      <c r="E2361" t="s">
        <v>44</v>
      </c>
      <c r="F2361" t="s">
        <v>3314</v>
      </c>
      <c r="G2361" t="s">
        <v>77</v>
      </c>
      <c r="H2361" t="s">
        <v>119</v>
      </c>
      <c r="I2361" t="s">
        <v>10318</v>
      </c>
      <c r="J2361">
        <v>32</v>
      </c>
      <c r="K2361" t="s">
        <v>25</v>
      </c>
      <c r="L2361" t="s">
        <v>110</v>
      </c>
      <c r="M2361" t="s">
        <v>105</v>
      </c>
      <c r="P2361" t="s">
        <v>28</v>
      </c>
      <c r="Q2361" t="s">
        <v>10319</v>
      </c>
      <c r="R2361" t="s">
        <v>10320</v>
      </c>
      <c r="S2361" t="s">
        <v>31</v>
      </c>
      <c r="T2361">
        <v>0</v>
      </c>
    </row>
    <row r="2362" spans="1:20" x14ac:dyDescent="0.25">
      <c r="A2362" t="s">
        <v>10321</v>
      </c>
      <c r="B2362" s="1">
        <v>45796</v>
      </c>
      <c r="C2362" s="5">
        <v>0.37091435185185184</v>
      </c>
      <c r="D2362">
        <v>180.66</v>
      </c>
      <c r="E2362" t="s">
        <v>44</v>
      </c>
      <c r="F2362" t="s">
        <v>10322</v>
      </c>
      <c r="G2362" t="s">
        <v>22</v>
      </c>
      <c r="H2362" t="s">
        <v>110</v>
      </c>
      <c r="I2362" t="s">
        <v>10323</v>
      </c>
      <c r="J2362">
        <v>49</v>
      </c>
      <c r="K2362" t="s">
        <v>25</v>
      </c>
      <c r="L2362" t="s">
        <v>110</v>
      </c>
      <c r="M2362" t="s">
        <v>27</v>
      </c>
      <c r="P2362" t="s">
        <v>113</v>
      </c>
      <c r="Q2362" t="s">
        <v>10324</v>
      </c>
      <c r="R2362" t="s">
        <v>10325</v>
      </c>
      <c r="S2362" t="s">
        <v>31</v>
      </c>
      <c r="T2362">
        <v>0</v>
      </c>
    </row>
    <row r="2363" spans="1:20" x14ac:dyDescent="0.25">
      <c r="A2363" t="s">
        <v>10326</v>
      </c>
      <c r="B2363" s="1">
        <v>45878</v>
      </c>
      <c r="C2363" s="5">
        <v>0.17582175925925925</v>
      </c>
      <c r="D2363">
        <v>73.31</v>
      </c>
      <c r="E2363" t="s">
        <v>44</v>
      </c>
      <c r="F2363" t="s">
        <v>4775</v>
      </c>
      <c r="G2363" t="s">
        <v>71</v>
      </c>
      <c r="H2363" t="s">
        <v>38</v>
      </c>
      <c r="I2363" t="s">
        <v>10327</v>
      </c>
      <c r="J2363">
        <v>15</v>
      </c>
      <c r="K2363" t="s">
        <v>49</v>
      </c>
      <c r="L2363" t="s">
        <v>110</v>
      </c>
      <c r="M2363" t="s">
        <v>105</v>
      </c>
      <c r="P2363" t="s">
        <v>28</v>
      </c>
      <c r="Q2363" t="s">
        <v>10328</v>
      </c>
      <c r="R2363" t="s">
        <v>10329</v>
      </c>
      <c r="S2363" t="s">
        <v>31</v>
      </c>
      <c r="T2363">
        <v>0</v>
      </c>
    </row>
    <row r="2364" spans="1:20" x14ac:dyDescent="0.25">
      <c r="A2364" t="s">
        <v>10330</v>
      </c>
      <c r="B2364" s="1">
        <v>45804</v>
      </c>
      <c r="C2364" s="5">
        <v>0.18996527777777777</v>
      </c>
      <c r="D2364">
        <v>105.11</v>
      </c>
      <c r="E2364" t="s">
        <v>44</v>
      </c>
      <c r="F2364" t="s">
        <v>10331</v>
      </c>
      <c r="G2364" t="s">
        <v>71</v>
      </c>
      <c r="H2364" t="s">
        <v>50</v>
      </c>
      <c r="I2364" t="s">
        <v>10332</v>
      </c>
      <c r="J2364">
        <v>42</v>
      </c>
      <c r="K2364" t="s">
        <v>49</v>
      </c>
      <c r="L2364" t="s">
        <v>35</v>
      </c>
      <c r="M2364" t="s">
        <v>27</v>
      </c>
      <c r="P2364" t="s">
        <v>28</v>
      </c>
      <c r="Q2364" t="s">
        <v>10333</v>
      </c>
      <c r="R2364" t="s">
        <v>10334</v>
      </c>
      <c r="S2364" t="s">
        <v>101</v>
      </c>
      <c r="T2364">
        <v>0</v>
      </c>
    </row>
    <row r="2365" spans="1:20" x14ac:dyDescent="0.25">
      <c r="A2365" t="s">
        <v>10335</v>
      </c>
      <c r="B2365" s="1">
        <v>45875</v>
      </c>
      <c r="C2365" s="5">
        <v>0.71708333333333329</v>
      </c>
      <c r="D2365">
        <v>22.02</v>
      </c>
      <c r="E2365" t="s">
        <v>44</v>
      </c>
      <c r="F2365" t="s">
        <v>7703</v>
      </c>
      <c r="G2365" t="s">
        <v>64</v>
      </c>
      <c r="H2365" t="s">
        <v>91</v>
      </c>
      <c r="I2365" t="s">
        <v>10336</v>
      </c>
      <c r="J2365">
        <v>37</v>
      </c>
      <c r="K2365" t="s">
        <v>37</v>
      </c>
      <c r="L2365" t="s">
        <v>50</v>
      </c>
      <c r="M2365" t="s">
        <v>39</v>
      </c>
      <c r="P2365" t="s">
        <v>28</v>
      </c>
      <c r="Q2365" t="s">
        <v>10337</v>
      </c>
      <c r="R2365" t="s">
        <v>10338</v>
      </c>
      <c r="S2365" t="s">
        <v>31</v>
      </c>
      <c r="T2365">
        <v>0</v>
      </c>
    </row>
    <row r="2366" spans="1:20" x14ac:dyDescent="0.25">
      <c r="A2366" t="s">
        <v>10339</v>
      </c>
      <c r="B2366" s="1">
        <v>45837</v>
      </c>
      <c r="C2366" s="5">
        <v>8.6307870370370368E-2</v>
      </c>
      <c r="D2366">
        <v>196.62</v>
      </c>
      <c r="E2366" t="s">
        <v>44</v>
      </c>
      <c r="F2366" t="s">
        <v>495</v>
      </c>
      <c r="G2366" t="s">
        <v>57</v>
      </c>
      <c r="H2366" t="s">
        <v>248</v>
      </c>
      <c r="I2366" t="s">
        <v>10340</v>
      </c>
      <c r="J2366">
        <v>44</v>
      </c>
      <c r="K2366" t="s">
        <v>37</v>
      </c>
      <c r="L2366" t="s">
        <v>97</v>
      </c>
      <c r="M2366" t="s">
        <v>84</v>
      </c>
      <c r="P2366" t="s">
        <v>28</v>
      </c>
      <c r="Q2366" t="s">
        <v>10341</v>
      </c>
      <c r="R2366" t="s">
        <v>10342</v>
      </c>
      <c r="S2366" t="s">
        <v>31</v>
      </c>
      <c r="T2366">
        <v>0</v>
      </c>
    </row>
    <row r="2367" spans="1:20" x14ac:dyDescent="0.25">
      <c r="A2367" t="s">
        <v>10343</v>
      </c>
      <c r="B2367" s="1">
        <v>45903</v>
      </c>
      <c r="C2367" s="5">
        <v>0.46065972222222223</v>
      </c>
      <c r="D2367">
        <v>183.67</v>
      </c>
      <c r="E2367" t="s">
        <v>44</v>
      </c>
      <c r="F2367" t="s">
        <v>3553</v>
      </c>
      <c r="G2367" t="s">
        <v>77</v>
      </c>
      <c r="H2367" t="s">
        <v>47</v>
      </c>
      <c r="I2367" t="s">
        <v>10344</v>
      </c>
      <c r="J2367">
        <v>57</v>
      </c>
      <c r="K2367" t="s">
        <v>49</v>
      </c>
      <c r="L2367" t="s">
        <v>66</v>
      </c>
      <c r="M2367" t="s">
        <v>84</v>
      </c>
      <c r="P2367" t="s">
        <v>28</v>
      </c>
      <c r="Q2367" t="s">
        <v>10345</v>
      </c>
      <c r="R2367" t="s">
        <v>10346</v>
      </c>
      <c r="S2367" t="s">
        <v>31</v>
      </c>
      <c r="T2367">
        <v>0</v>
      </c>
    </row>
    <row r="2368" spans="1:20" x14ac:dyDescent="0.25">
      <c r="A2368" t="s">
        <v>10347</v>
      </c>
      <c r="B2368" s="1">
        <v>45924</v>
      </c>
      <c r="C2368" s="5">
        <v>0.61949074074074073</v>
      </c>
      <c r="D2368">
        <v>173.19</v>
      </c>
      <c r="E2368" t="s">
        <v>44</v>
      </c>
      <c r="F2368" t="s">
        <v>8626</v>
      </c>
      <c r="G2368" t="s">
        <v>57</v>
      </c>
      <c r="H2368" t="s">
        <v>58</v>
      </c>
      <c r="I2368" t="s">
        <v>10348</v>
      </c>
      <c r="J2368">
        <v>39</v>
      </c>
      <c r="K2368" t="s">
        <v>49</v>
      </c>
      <c r="L2368" t="s">
        <v>23</v>
      </c>
      <c r="M2368" t="s">
        <v>105</v>
      </c>
      <c r="P2368" t="s">
        <v>28</v>
      </c>
      <c r="Q2368" t="s">
        <v>10349</v>
      </c>
      <c r="R2368" t="s">
        <v>10350</v>
      </c>
      <c r="S2368" t="s">
        <v>101</v>
      </c>
      <c r="T2368">
        <v>0</v>
      </c>
    </row>
    <row r="2369" spans="1:20" x14ac:dyDescent="0.25">
      <c r="A2369" t="s">
        <v>10351</v>
      </c>
      <c r="B2369" s="1">
        <v>45854</v>
      </c>
      <c r="C2369" s="5">
        <v>0.81209490740740742</v>
      </c>
      <c r="D2369">
        <v>150.97999999999999</v>
      </c>
      <c r="E2369" t="s">
        <v>44</v>
      </c>
      <c r="F2369" t="s">
        <v>1548</v>
      </c>
      <c r="G2369" t="s">
        <v>34</v>
      </c>
      <c r="H2369" t="s">
        <v>26</v>
      </c>
      <c r="I2369" t="s">
        <v>10352</v>
      </c>
      <c r="J2369">
        <v>51</v>
      </c>
      <c r="K2369" t="s">
        <v>37</v>
      </c>
      <c r="L2369" t="s">
        <v>146</v>
      </c>
      <c r="M2369" t="s">
        <v>112</v>
      </c>
      <c r="P2369" t="s">
        <v>28</v>
      </c>
      <c r="Q2369" t="s">
        <v>10353</v>
      </c>
      <c r="R2369" t="s">
        <v>10354</v>
      </c>
      <c r="S2369" t="s">
        <v>31</v>
      </c>
      <c r="T2369">
        <v>0</v>
      </c>
    </row>
    <row r="2370" spans="1:20" x14ac:dyDescent="0.25">
      <c r="A2370" t="s">
        <v>10355</v>
      </c>
      <c r="B2370" s="1">
        <v>45898</v>
      </c>
      <c r="C2370" s="5">
        <v>9.1585648148148152E-2</v>
      </c>
      <c r="D2370">
        <v>857.54</v>
      </c>
      <c r="E2370" t="s">
        <v>44</v>
      </c>
      <c r="F2370" t="s">
        <v>4696</v>
      </c>
      <c r="G2370" t="s">
        <v>64</v>
      </c>
      <c r="H2370" t="s">
        <v>58</v>
      </c>
      <c r="I2370" t="s">
        <v>10356</v>
      </c>
      <c r="J2370">
        <v>72</v>
      </c>
      <c r="K2370" t="s">
        <v>25</v>
      </c>
      <c r="L2370" t="s">
        <v>66</v>
      </c>
      <c r="M2370" t="s">
        <v>51</v>
      </c>
      <c r="N2370" t="s">
        <v>507</v>
      </c>
      <c r="O2370">
        <v>427886</v>
      </c>
      <c r="P2370" t="s">
        <v>28</v>
      </c>
      <c r="Q2370" t="s">
        <v>10357</v>
      </c>
      <c r="R2370" t="s">
        <v>10358</v>
      </c>
      <c r="S2370" t="s">
        <v>31</v>
      </c>
      <c r="T2370">
        <v>0</v>
      </c>
    </row>
    <row r="2371" spans="1:20" x14ac:dyDescent="0.25">
      <c r="A2371" t="s">
        <v>10359</v>
      </c>
      <c r="B2371" s="1">
        <v>45826</v>
      </c>
      <c r="C2371" s="5">
        <v>0.67451388888888886</v>
      </c>
      <c r="D2371">
        <v>246.06</v>
      </c>
      <c r="E2371" t="s">
        <v>44</v>
      </c>
      <c r="F2371" t="s">
        <v>2985</v>
      </c>
      <c r="G2371" t="s">
        <v>46</v>
      </c>
      <c r="H2371" t="s">
        <v>130</v>
      </c>
      <c r="I2371" t="s">
        <v>10360</v>
      </c>
      <c r="J2371">
        <v>22</v>
      </c>
      <c r="K2371" t="s">
        <v>25</v>
      </c>
      <c r="L2371" t="s">
        <v>66</v>
      </c>
      <c r="M2371" t="s">
        <v>39</v>
      </c>
      <c r="P2371" t="s">
        <v>28</v>
      </c>
      <c r="Q2371" t="s">
        <v>10361</v>
      </c>
      <c r="R2371" t="s">
        <v>10362</v>
      </c>
      <c r="S2371" t="s">
        <v>31</v>
      </c>
      <c r="T2371">
        <v>0</v>
      </c>
    </row>
    <row r="2372" spans="1:20" x14ac:dyDescent="0.25">
      <c r="A2372" t="s">
        <v>10363</v>
      </c>
      <c r="B2372" s="1">
        <v>45784</v>
      </c>
      <c r="C2372" s="5">
        <v>0.21954861111111112</v>
      </c>
      <c r="D2372">
        <v>61.77</v>
      </c>
      <c r="E2372" t="s">
        <v>44</v>
      </c>
      <c r="F2372" t="s">
        <v>182</v>
      </c>
      <c r="G2372" t="s">
        <v>57</v>
      </c>
      <c r="H2372" t="s">
        <v>110</v>
      </c>
      <c r="I2372" t="s">
        <v>10364</v>
      </c>
      <c r="J2372">
        <v>29</v>
      </c>
      <c r="K2372" t="s">
        <v>49</v>
      </c>
      <c r="L2372" t="s">
        <v>38</v>
      </c>
      <c r="M2372" t="s">
        <v>105</v>
      </c>
      <c r="P2372" t="s">
        <v>28</v>
      </c>
      <c r="Q2372" t="s">
        <v>10365</v>
      </c>
      <c r="R2372" t="s">
        <v>10366</v>
      </c>
      <c r="S2372" t="s">
        <v>31</v>
      </c>
      <c r="T2372">
        <v>0</v>
      </c>
    </row>
    <row r="2373" spans="1:20" x14ac:dyDescent="0.25">
      <c r="A2373" t="s">
        <v>10367</v>
      </c>
      <c r="B2373" s="1">
        <v>45834</v>
      </c>
      <c r="C2373" s="5">
        <v>0.10021990740740741</v>
      </c>
      <c r="D2373">
        <v>132.49</v>
      </c>
      <c r="E2373" t="s">
        <v>44</v>
      </c>
      <c r="F2373" t="s">
        <v>3375</v>
      </c>
      <c r="G2373" t="s">
        <v>64</v>
      </c>
      <c r="H2373" t="s">
        <v>119</v>
      </c>
      <c r="I2373" t="s">
        <v>10368</v>
      </c>
      <c r="J2373">
        <v>70</v>
      </c>
      <c r="K2373" t="s">
        <v>49</v>
      </c>
      <c r="L2373" t="s">
        <v>110</v>
      </c>
      <c r="M2373" t="s">
        <v>39</v>
      </c>
      <c r="P2373" t="s">
        <v>28</v>
      </c>
      <c r="Q2373" t="s">
        <v>10369</v>
      </c>
      <c r="R2373" t="s">
        <v>10370</v>
      </c>
      <c r="S2373" t="s">
        <v>31</v>
      </c>
      <c r="T2373">
        <v>0</v>
      </c>
    </row>
    <row r="2374" spans="1:20" x14ac:dyDescent="0.25">
      <c r="A2374" t="s">
        <v>10371</v>
      </c>
      <c r="B2374" s="1">
        <v>45812</v>
      </c>
      <c r="C2374" s="5">
        <v>0.59383101851851849</v>
      </c>
      <c r="D2374">
        <v>175.42</v>
      </c>
      <c r="E2374" t="s">
        <v>44</v>
      </c>
      <c r="F2374" t="s">
        <v>7670</v>
      </c>
      <c r="G2374" t="s">
        <v>124</v>
      </c>
      <c r="H2374" t="s">
        <v>26</v>
      </c>
      <c r="I2374" t="s">
        <v>453</v>
      </c>
      <c r="J2374">
        <v>60</v>
      </c>
      <c r="K2374" t="s">
        <v>49</v>
      </c>
      <c r="L2374" t="s">
        <v>66</v>
      </c>
      <c r="M2374" t="s">
        <v>39</v>
      </c>
      <c r="P2374" t="s">
        <v>28</v>
      </c>
      <c r="Q2374" t="s">
        <v>10372</v>
      </c>
      <c r="R2374" t="s">
        <v>10373</v>
      </c>
      <c r="S2374" t="s">
        <v>31</v>
      </c>
      <c r="T2374">
        <v>0</v>
      </c>
    </row>
    <row r="2375" spans="1:20" x14ac:dyDescent="0.25">
      <c r="A2375" t="s">
        <v>10374</v>
      </c>
      <c r="B2375" s="1">
        <v>45930</v>
      </c>
      <c r="C2375" s="5">
        <v>0.26170138888888889</v>
      </c>
      <c r="D2375">
        <v>113.43</v>
      </c>
      <c r="E2375" t="s">
        <v>44</v>
      </c>
      <c r="F2375" t="s">
        <v>2368</v>
      </c>
      <c r="G2375" t="s">
        <v>89</v>
      </c>
      <c r="H2375" t="s">
        <v>47</v>
      </c>
      <c r="I2375" t="s">
        <v>10375</v>
      </c>
      <c r="J2375">
        <v>28</v>
      </c>
      <c r="K2375" t="s">
        <v>37</v>
      </c>
      <c r="L2375" t="s">
        <v>38</v>
      </c>
      <c r="M2375" t="s">
        <v>39</v>
      </c>
      <c r="P2375" t="s">
        <v>28</v>
      </c>
      <c r="Q2375" t="s">
        <v>10376</v>
      </c>
      <c r="R2375" t="s">
        <v>10377</v>
      </c>
      <c r="S2375" t="s">
        <v>31</v>
      </c>
      <c r="T2375">
        <v>0</v>
      </c>
    </row>
    <row r="2376" spans="1:20" x14ac:dyDescent="0.25">
      <c r="A2376" t="s">
        <v>10378</v>
      </c>
      <c r="B2376" s="1">
        <v>45864</v>
      </c>
      <c r="C2376" s="5">
        <v>1.0300925925925925E-2</v>
      </c>
      <c r="D2376">
        <v>166.45</v>
      </c>
      <c r="E2376" t="s">
        <v>44</v>
      </c>
      <c r="F2376" t="s">
        <v>1683</v>
      </c>
      <c r="G2376" t="s">
        <v>46</v>
      </c>
      <c r="H2376" t="s">
        <v>38</v>
      </c>
      <c r="I2376" t="s">
        <v>8675</v>
      </c>
      <c r="J2376">
        <v>59</v>
      </c>
      <c r="K2376" t="s">
        <v>25</v>
      </c>
      <c r="L2376" t="s">
        <v>66</v>
      </c>
      <c r="M2376" t="s">
        <v>112</v>
      </c>
      <c r="P2376" t="s">
        <v>28</v>
      </c>
      <c r="Q2376" t="s">
        <v>10379</v>
      </c>
      <c r="R2376" t="s">
        <v>10380</v>
      </c>
      <c r="S2376" t="s">
        <v>31</v>
      </c>
      <c r="T2376">
        <v>0</v>
      </c>
    </row>
    <row r="2377" spans="1:20" x14ac:dyDescent="0.25">
      <c r="A2377" t="s">
        <v>10381</v>
      </c>
      <c r="B2377" s="1">
        <v>45850</v>
      </c>
      <c r="C2377" s="5">
        <v>0.60850694444444442</v>
      </c>
      <c r="D2377">
        <v>167.29</v>
      </c>
      <c r="E2377" t="s">
        <v>44</v>
      </c>
      <c r="F2377" t="s">
        <v>713</v>
      </c>
      <c r="G2377" t="s">
        <v>57</v>
      </c>
      <c r="H2377" t="s">
        <v>58</v>
      </c>
      <c r="I2377" t="s">
        <v>10382</v>
      </c>
      <c r="J2377">
        <v>40</v>
      </c>
      <c r="K2377" t="s">
        <v>25</v>
      </c>
      <c r="L2377" t="s">
        <v>97</v>
      </c>
      <c r="M2377" t="s">
        <v>84</v>
      </c>
      <c r="P2377" t="s">
        <v>28</v>
      </c>
      <c r="Q2377" t="s">
        <v>10383</v>
      </c>
      <c r="R2377" t="s">
        <v>10384</v>
      </c>
      <c r="S2377" t="s">
        <v>31</v>
      </c>
      <c r="T2377">
        <v>0</v>
      </c>
    </row>
    <row r="2378" spans="1:20" x14ac:dyDescent="0.25">
      <c r="A2378" t="s">
        <v>10385</v>
      </c>
      <c r="B2378" s="1">
        <v>45843</v>
      </c>
      <c r="C2378" s="5">
        <v>0.39953703703703702</v>
      </c>
      <c r="D2378">
        <v>101.3</v>
      </c>
      <c r="E2378" t="s">
        <v>44</v>
      </c>
      <c r="F2378" t="s">
        <v>318</v>
      </c>
      <c r="G2378" t="s">
        <v>77</v>
      </c>
      <c r="H2378" t="s">
        <v>110</v>
      </c>
      <c r="I2378" t="s">
        <v>10386</v>
      </c>
      <c r="J2378">
        <v>59</v>
      </c>
      <c r="K2378" t="s">
        <v>37</v>
      </c>
      <c r="L2378" t="s">
        <v>38</v>
      </c>
      <c r="M2378" t="s">
        <v>39</v>
      </c>
      <c r="P2378" t="s">
        <v>28</v>
      </c>
      <c r="Q2378" t="s">
        <v>10387</v>
      </c>
      <c r="R2378" t="s">
        <v>10388</v>
      </c>
      <c r="S2378" t="s">
        <v>31</v>
      </c>
      <c r="T2378">
        <v>0</v>
      </c>
    </row>
    <row r="2379" spans="1:20" x14ac:dyDescent="0.25">
      <c r="A2379" t="s">
        <v>10389</v>
      </c>
      <c r="B2379" s="1">
        <v>45802</v>
      </c>
      <c r="C2379" s="5">
        <v>0.94337962962962962</v>
      </c>
      <c r="D2379">
        <v>138.99</v>
      </c>
      <c r="E2379" t="s">
        <v>44</v>
      </c>
      <c r="F2379" t="s">
        <v>481</v>
      </c>
      <c r="G2379" t="s">
        <v>57</v>
      </c>
      <c r="H2379" t="s">
        <v>146</v>
      </c>
      <c r="I2379" t="s">
        <v>10390</v>
      </c>
      <c r="J2379">
        <v>52</v>
      </c>
      <c r="K2379" t="s">
        <v>37</v>
      </c>
      <c r="L2379" t="s">
        <v>23</v>
      </c>
      <c r="M2379" t="s">
        <v>105</v>
      </c>
      <c r="P2379" t="s">
        <v>28</v>
      </c>
      <c r="Q2379" t="s">
        <v>10391</v>
      </c>
      <c r="R2379" t="s">
        <v>4634</v>
      </c>
      <c r="S2379" t="s">
        <v>31</v>
      </c>
      <c r="T2379">
        <v>0</v>
      </c>
    </row>
    <row r="2380" spans="1:20" x14ac:dyDescent="0.25">
      <c r="A2380" t="s">
        <v>10392</v>
      </c>
      <c r="B2380" s="1">
        <v>45822</v>
      </c>
      <c r="C2380" s="5">
        <v>0.46295138888888887</v>
      </c>
      <c r="D2380">
        <v>26.16</v>
      </c>
      <c r="E2380" t="s">
        <v>44</v>
      </c>
      <c r="F2380" t="s">
        <v>1785</v>
      </c>
      <c r="G2380" t="s">
        <v>77</v>
      </c>
      <c r="H2380" t="s">
        <v>91</v>
      </c>
      <c r="I2380" t="s">
        <v>10393</v>
      </c>
      <c r="J2380">
        <v>52</v>
      </c>
      <c r="K2380" t="s">
        <v>25</v>
      </c>
      <c r="L2380" t="s">
        <v>248</v>
      </c>
      <c r="M2380" t="s">
        <v>112</v>
      </c>
      <c r="P2380" t="s">
        <v>28</v>
      </c>
      <c r="Q2380" t="s">
        <v>10394</v>
      </c>
      <c r="R2380" t="s">
        <v>10395</v>
      </c>
      <c r="S2380" t="s">
        <v>31</v>
      </c>
      <c r="T2380">
        <v>0</v>
      </c>
    </row>
    <row r="2381" spans="1:20" x14ac:dyDescent="0.25">
      <c r="A2381" t="s">
        <v>10396</v>
      </c>
      <c r="B2381" s="1">
        <v>45802</v>
      </c>
      <c r="C2381" s="5">
        <v>0.55888888888888888</v>
      </c>
      <c r="D2381">
        <v>40.479999999999997</v>
      </c>
      <c r="E2381" t="s">
        <v>44</v>
      </c>
      <c r="F2381" t="s">
        <v>4556</v>
      </c>
      <c r="G2381" t="s">
        <v>77</v>
      </c>
      <c r="H2381" t="s">
        <v>58</v>
      </c>
      <c r="I2381" t="s">
        <v>10397</v>
      </c>
      <c r="J2381">
        <v>27</v>
      </c>
      <c r="K2381" t="s">
        <v>25</v>
      </c>
      <c r="L2381" t="s">
        <v>130</v>
      </c>
      <c r="M2381" t="s">
        <v>84</v>
      </c>
      <c r="P2381" t="s">
        <v>28</v>
      </c>
      <c r="Q2381" t="s">
        <v>10398</v>
      </c>
      <c r="R2381" t="s">
        <v>10399</v>
      </c>
      <c r="S2381" t="s">
        <v>101</v>
      </c>
      <c r="T2381">
        <v>0</v>
      </c>
    </row>
    <row r="2382" spans="1:20" x14ac:dyDescent="0.25">
      <c r="A2382" t="s">
        <v>10400</v>
      </c>
      <c r="B2382" s="1">
        <v>45839</v>
      </c>
      <c r="C2382" s="5">
        <v>0.57800925925925928</v>
      </c>
      <c r="D2382">
        <v>3808.66</v>
      </c>
      <c r="E2382" t="s">
        <v>44</v>
      </c>
      <c r="F2382" t="s">
        <v>182</v>
      </c>
      <c r="G2382" t="s">
        <v>71</v>
      </c>
      <c r="H2382" t="s">
        <v>66</v>
      </c>
      <c r="I2382" t="s">
        <v>10401</v>
      </c>
      <c r="J2382">
        <v>15</v>
      </c>
      <c r="K2382" t="s">
        <v>25</v>
      </c>
      <c r="L2382" t="s">
        <v>58</v>
      </c>
      <c r="M2382" t="s">
        <v>112</v>
      </c>
      <c r="P2382" t="s">
        <v>28</v>
      </c>
      <c r="Q2382" t="s">
        <v>10402</v>
      </c>
      <c r="R2382" t="s">
        <v>10403</v>
      </c>
      <c r="S2382" t="s">
        <v>31</v>
      </c>
      <c r="T2382">
        <v>0</v>
      </c>
    </row>
    <row r="2383" spans="1:20" x14ac:dyDescent="0.25">
      <c r="A2383" t="s">
        <v>10404</v>
      </c>
      <c r="B2383" s="1">
        <v>45862</v>
      </c>
      <c r="C2383" s="5">
        <v>0.95901620370370366</v>
      </c>
      <c r="D2383">
        <v>923.35</v>
      </c>
      <c r="E2383" t="s">
        <v>44</v>
      </c>
      <c r="F2383" t="s">
        <v>2340</v>
      </c>
      <c r="G2383" t="s">
        <v>57</v>
      </c>
      <c r="H2383" t="s">
        <v>110</v>
      </c>
      <c r="I2383" t="s">
        <v>10405</v>
      </c>
      <c r="J2383">
        <v>23</v>
      </c>
      <c r="K2383" t="s">
        <v>25</v>
      </c>
      <c r="L2383" t="s">
        <v>91</v>
      </c>
      <c r="M2383" t="s">
        <v>27</v>
      </c>
      <c r="P2383" t="s">
        <v>28</v>
      </c>
      <c r="Q2383" t="s">
        <v>10406</v>
      </c>
      <c r="R2383" t="s">
        <v>10407</v>
      </c>
      <c r="S2383" t="s">
        <v>31</v>
      </c>
      <c r="T2383">
        <v>0</v>
      </c>
    </row>
    <row r="2384" spans="1:20" x14ac:dyDescent="0.25">
      <c r="A2384" t="s">
        <v>10408</v>
      </c>
      <c r="B2384" s="1">
        <v>45843</v>
      </c>
      <c r="C2384" s="5">
        <v>0.51826388888888886</v>
      </c>
      <c r="D2384">
        <v>35.85</v>
      </c>
      <c r="E2384" t="s">
        <v>44</v>
      </c>
      <c r="F2384" t="s">
        <v>913</v>
      </c>
      <c r="G2384" t="s">
        <v>22</v>
      </c>
      <c r="H2384" t="s">
        <v>130</v>
      </c>
      <c r="I2384" t="s">
        <v>10409</v>
      </c>
      <c r="J2384">
        <v>27</v>
      </c>
      <c r="K2384" t="s">
        <v>25</v>
      </c>
      <c r="L2384" t="s">
        <v>47</v>
      </c>
      <c r="M2384" t="s">
        <v>105</v>
      </c>
      <c r="P2384" t="s">
        <v>28</v>
      </c>
      <c r="Q2384" t="s">
        <v>10410</v>
      </c>
      <c r="R2384" t="s">
        <v>10411</v>
      </c>
      <c r="S2384" t="s">
        <v>31</v>
      </c>
      <c r="T2384">
        <v>0</v>
      </c>
    </row>
    <row r="2385" spans="1:20" x14ac:dyDescent="0.25">
      <c r="A2385" t="s">
        <v>10412</v>
      </c>
      <c r="B2385" s="1">
        <v>45809</v>
      </c>
      <c r="C2385" s="5">
        <v>0.14266203703703703</v>
      </c>
      <c r="D2385">
        <v>98.53</v>
      </c>
      <c r="E2385" t="s">
        <v>44</v>
      </c>
      <c r="F2385" t="s">
        <v>1968</v>
      </c>
      <c r="G2385" t="s">
        <v>46</v>
      </c>
      <c r="H2385" t="s">
        <v>38</v>
      </c>
      <c r="I2385" t="s">
        <v>10413</v>
      </c>
      <c r="J2385">
        <v>67</v>
      </c>
      <c r="K2385" t="s">
        <v>37</v>
      </c>
      <c r="L2385" t="s">
        <v>26</v>
      </c>
      <c r="M2385" t="s">
        <v>27</v>
      </c>
      <c r="P2385" t="s">
        <v>28</v>
      </c>
      <c r="Q2385" t="s">
        <v>10414</v>
      </c>
      <c r="R2385" t="s">
        <v>10415</v>
      </c>
      <c r="S2385" t="s">
        <v>31</v>
      </c>
      <c r="T2385">
        <v>0</v>
      </c>
    </row>
    <row r="2386" spans="1:20" x14ac:dyDescent="0.25">
      <c r="A2386" t="s">
        <v>10416</v>
      </c>
      <c r="B2386" s="1">
        <v>45865</v>
      </c>
      <c r="C2386" s="5">
        <v>0.37689814814814815</v>
      </c>
      <c r="D2386">
        <v>27.07</v>
      </c>
      <c r="E2386" t="s">
        <v>44</v>
      </c>
      <c r="F2386" t="s">
        <v>3924</v>
      </c>
      <c r="G2386" t="s">
        <v>64</v>
      </c>
      <c r="H2386" t="s">
        <v>23</v>
      </c>
      <c r="I2386" t="s">
        <v>10417</v>
      </c>
      <c r="J2386">
        <v>67</v>
      </c>
      <c r="K2386" t="s">
        <v>25</v>
      </c>
      <c r="L2386" t="s">
        <v>50</v>
      </c>
      <c r="M2386" t="s">
        <v>27</v>
      </c>
      <c r="P2386" t="s">
        <v>28</v>
      </c>
      <c r="Q2386" t="s">
        <v>10418</v>
      </c>
      <c r="R2386" t="s">
        <v>10419</v>
      </c>
      <c r="S2386" t="s">
        <v>31</v>
      </c>
      <c r="T2386">
        <v>0</v>
      </c>
    </row>
    <row r="2387" spans="1:20" x14ac:dyDescent="0.25">
      <c r="A2387" t="s">
        <v>10420</v>
      </c>
      <c r="B2387" s="1">
        <v>45936</v>
      </c>
      <c r="C2387" s="5">
        <v>0.77359953703703699</v>
      </c>
      <c r="D2387">
        <v>22.81</v>
      </c>
      <c r="E2387" t="s">
        <v>44</v>
      </c>
      <c r="F2387" t="s">
        <v>82</v>
      </c>
      <c r="G2387" t="s">
        <v>64</v>
      </c>
      <c r="H2387" t="s">
        <v>26</v>
      </c>
      <c r="I2387" t="s">
        <v>10421</v>
      </c>
      <c r="J2387">
        <v>64</v>
      </c>
      <c r="K2387" t="s">
        <v>49</v>
      </c>
      <c r="L2387" t="s">
        <v>38</v>
      </c>
      <c r="M2387" t="s">
        <v>39</v>
      </c>
      <c r="P2387" t="s">
        <v>28</v>
      </c>
      <c r="Q2387" t="s">
        <v>10422</v>
      </c>
      <c r="R2387" t="s">
        <v>10423</v>
      </c>
      <c r="S2387" t="s">
        <v>31</v>
      </c>
      <c r="T2387">
        <v>0</v>
      </c>
    </row>
    <row r="2388" spans="1:20" x14ac:dyDescent="0.25">
      <c r="A2388" t="s">
        <v>10424</v>
      </c>
      <c r="B2388" s="1">
        <v>45873</v>
      </c>
      <c r="C2388" s="5">
        <v>0.29516203703703703</v>
      </c>
      <c r="D2388">
        <v>22.25</v>
      </c>
      <c r="E2388" t="s">
        <v>44</v>
      </c>
      <c r="F2388" t="s">
        <v>2354</v>
      </c>
      <c r="G2388" t="s">
        <v>89</v>
      </c>
      <c r="H2388" t="s">
        <v>50</v>
      </c>
      <c r="I2388" t="s">
        <v>10425</v>
      </c>
      <c r="J2388">
        <v>27</v>
      </c>
      <c r="K2388" t="s">
        <v>37</v>
      </c>
      <c r="L2388" t="s">
        <v>58</v>
      </c>
      <c r="M2388" t="s">
        <v>84</v>
      </c>
      <c r="P2388" t="s">
        <v>28</v>
      </c>
      <c r="Q2388" t="s">
        <v>10426</v>
      </c>
      <c r="R2388" t="s">
        <v>10427</v>
      </c>
      <c r="S2388" t="s">
        <v>31</v>
      </c>
      <c r="T2388">
        <v>0</v>
      </c>
    </row>
    <row r="2389" spans="1:20" x14ac:dyDescent="0.25">
      <c r="A2389" t="s">
        <v>10428</v>
      </c>
      <c r="B2389" s="1">
        <v>45857</v>
      </c>
      <c r="C2389" s="5">
        <v>0.55201388888888892</v>
      </c>
      <c r="D2389">
        <v>129.38999999999999</v>
      </c>
      <c r="E2389" t="s">
        <v>44</v>
      </c>
      <c r="F2389" t="s">
        <v>6677</v>
      </c>
      <c r="G2389" t="s">
        <v>96</v>
      </c>
      <c r="H2389" t="s">
        <v>35</v>
      </c>
      <c r="I2389" t="s">
        <v>10429</v>
      </c>
      <c r="J2389">
        <v>61</v>
      </c>
      <c r="K2389" t="s">
        <v>25</v>
      </c>
      <c r="L2389" t="s">
        <v>130</v>
      </c>
      <c r="M2389" t="s">
        <v>105</v>
      </c>
      <c r="P2389" t="s">
        <v>28</v>
      </c>
      <c r="Q2389" t="s">
        <v>10430</v>
      </c>
      <c r="R2389" t="s">
        <v>10431</v>
      </c>
      <c r="S2389" t="s">
        <v>42</v>
      </c>
      <c r="T2389">
        <v>0</v>
      </c>
    </row>
    <row r="2390" spans="1:20" x14ac:dyDescent="0.25">
      <c r="A2390" t="s">
        <v>10432</v>
      </c>
      <c r="B2390" s="1">
        <v>45906</v>
      </c>
      <c r="C2390" s="5">
        <v>0.22358796296296296</v>
      </c>
      <c r="D2390">
        <v>169.56</v>
      </c>
      <c r="E2390" t="s">
        <v>44</v>
      </c>
      <c r="F2390" t="s">
        <v>10433</v>
      </c>
      <c r="G2390" t="s">
        <v>34</v>
      </c>
      <c r="H2390" t="s">
        <v>66</v>
      </c>
      <c r="I2390" t="s">
        <v>10434</v>
      </c>
      <c r="J2390">
        <v>75</v>
      </c>
      <c r="K2390" t="s">
        <v>49</v>
      </c>
      <c r="L2390" t="s">
        <v>58</v>
      </c>
      <c r="M2390" t="s">
        <v>27</v>
      </c>
      <c r="P2390" t="s">
        <v>28</v>
      </c>
      <c r="Q2390" t="s">
        <v>10435</v>
      </c>
      <c r="R2390" t="s">
        <v>10436</v>
      </c>
      <c r="S2390" t="s">
        <v>31</v>
      </c>
      <c r="T2390">
        <v>0</v>
      </c>
    </row>
    <row r="2391" spans="1:20" x14ac:dyDescent="0.25">
      <c r="A2391" t="s">
        <v>10437</v>
      </c>
      <c r="B2391" s="1">
        <v>45873</v>
      </c>
      <c r="C2391" s="5">
        <v>0.99989583333333332</v>
      </c>
      <c r="D2391">
        <v>118.94</v>
      </c>
      <c r="E2391" t="s">
        <v>44</v>
      </c>
      <c r="F2391" t="s">
        <v>2707</v>
      </c>
      <c r="G2391" t="s">
        <v>89</v>
      </c>
      <c r="H2391" t="s">
        <v>35</v>
      </c>
      <c r="I2391" t="s">
        <v>5745</v>
      </c>
      <c r="J2391">
        <v>54</v>
      </c>
      <c r="K2391" t="s">
        <v>37</v>
      </c>
      <c r="L2391" t="s">
        <v>91</v>
      </c>
      <c r="M2391" t="s">
        <v>105</v>
      </c>
      <c r="P2391" t="s">
        <v>28</v>
      </c>
      <c r="Q2391" t="s">
        <v>10438</v>
      </c>
      <c r="R2391" t="s">
        <v>10439</v>
      </c>
      <c r="S2391" t="s">
        <v>31</v>
      </c>
      <c r="T2391">
        <v>0</v>
      </c>
    </row>
    <row r="2392" spans="1:20" x14ac:dyDescent="0.25">
      <c r="A2392" t="s">
        <v>10440</v>
      </c>
      <c r="B2392" s="1">
        <v>45934</v>
      </c>
      <c r="C2392" s="5">
        <v>0.64990740740740738</v>
      </c>
      <c r="D2392">
        <v>65.55</v>
      </c>
      <c r="E2392" t="s">
        <v>44</v>
      </c>
      <c r="F2392" t="s">
        <v>973</v>
      </c>
      <c r="G2392" t="s">
        <v>46</v>
      </c>
      <c r="H2392" t="s">
        <v>35</v>
      </c>
      <c r="I2392" t="s">
        <v>10441</v>
      </c>
      <c r="J2392">
        <v>51</v>
      </c>
      <c r="K2392" t="s">
        <v>25</v>
      </c>
      <c r="L2392" t="s">
        <v>119</v>
      </c>
      <c r="M2392" t="s">
        <v>39</v>
      </c>
      <c r="P2392" t="s">
        <v>28</v>
      </c>
      <c r="Q2392" t="s">
        <v>10442</v>
      </c>
      <c r="R2392" t="s">
        <v>10443</v>
      </c>
      <c r="S2392" t="s">
        <v>31</v>
      </c>
      <c r="T2392">
        <v>0</v>
      </c>
    </row>
    <row r="2393" spans="1:20" x14ac:dyDescent="0.25">
      <c r="A2393" t="s">
        <v>10444</v>
      </c>
      <c r="B2393" s="1">
        <v>45857</v>
      </c>
      <c r="C2393" s="5">
        <v>0.28189814814814818</v>
      </c>
      <c r="D2393">
        <v>113.95</v>
      </c>
      <c r="E2393" t="s">
        <v>44</v>
      </c>
      <c r="F2393" t="s">
        <v>9228</v>
      </c>
      <c r="G2393" t="s">
        <v>89</v>
      </c>
      <c r="H2393" t="s">
        <v>35</v>
      </c>
      <c r="I2393" t="s">
        <v>10445</v>
      </c>
      <c r="J2393">
        <v>34</v>
      </c>
      <c r="K2393" t="s">
        <v>37</v>
      </c>
      <c r="L2393" t="s">
        <v>38</v>
      </c>
      <c r="M2393" t="s">
        <v>112</v>
      </c>
      <c r="P2393" t="s">
        <v>28</v>
      </c>
      <c r="Q2393" t="s">
        <v>10446</v>
      </c>
      <c r="R2393" t="s">
        <v>10447</v>
      </c>
      <c r="S2393" t="s">
        <v>31</v>
      </c>
      <c r="T2393">
        <v>0</v>
      </c>
    </row>
    <row r="2394" spans="1:20" x14ac:dyDescent="0.25">
      <c r="A2394" t="s">
        <v>10448</v>
      </c>
      <c r="B2394" s="1">
        <v>45883</v>
      </c>
      <c r="C2394" s="5">
        <v>0.66494212962962962</v>
      </c>
      <c r="D2394">
        <v>83.23</v>
      </c>
      <c r="E2394" t="s">
        <v>44</v>
      </c>
      <c r="F2394" t="s">
        <v>541</v>
      </c>
      <c r="G2394" t="s">
        <v>34</v>
      </c>
      <c r="H2394" t="s">
        <v>38</v>
      </c>
      <c r="I2394" t="s">
        <v>10449</v>
      </c>
      <c r="J2394">
        <v>64</v>
      </c>
      <c r="K2394" t="s">
        <v>49</v>
      </c>
      <c r="L2394" t="s">
        <v>97</v>
      </c>
      <c r="M2394" t="s">
        <v>105</v>
      </c>
      <c r="P2394" t="s">
        <v>28</v>
      </c>
      <c r="Q2394" t="s">
        <v>10450</v>
      </c>
      <c r="R2394" t="s">
        <v>10451</v>
      </c>
      <c r="S2394" t="s">
        <v>31</v>
      </c>
      <c r="T2394">
        <v>0</v>
      </c>
    </row>
    <row r="2395" spans="1:20" x14ac:dyDescent="0.25">
      <c r="A2395" t="s">
        <v>10452</v>
      </c>
      <c r="B2395" s="1">
        <v>45857</v>
      </c>
      <c r="C2395" s="5">
        <v>0.37962962962962965</v>
      </c>
      <c r="D2395">
        <v>107.87</v>
      </c>
      <c r="E2395" t="s">
        <v>44</v>
      </c>
      <c r="F2395" t="s">
        <v>1306</v>
      </c>
      <c r="G2395" t="s">
        <v>124</v>
      </c>
      <c r="H2395" t="s">
        <v>248</v>
      </c>
      <c r="I2395" t="s">
        <v>10453</v>
      </c>
      <c r="J2395">
        <v>34</v>
      </c>
      <c r="K2395" t="s">
        <v>37</v>
      </c>
      <c r="L2395" t="s">
        <v>110</v>
      </c>
      <c r="M2395" t="s">
        <v>84</v>
      </c>
      <c r="P2395" t="s">
        <v>28</v>
      </c>
      <c r="Q2395" t="s">
        <v>10454</v>
      </c>
      <c r="R2395" t="s">
        <v>10455</v>
      </c>
      <c r="S2395" t="s">
        <v>101</v>
      </c>
      <c r="T2395">
        <v>0</v>
      </c>
    </row>
    <row r="2396" spans="1:20" x14ac:dyDescent="0.25">
      <c r="A2396" t="s">
        <v>10456</v>
      </c>
      <c r="B2396" s="1">
        <v>45947</v>
      </c>
      <c r="C2396" s="5">
        <v>8.4606481481481477E-2</v>
      </c>
      <c r="D2396">
        <v>71.45</v>
      </c>
      <c r="E2396" t="s">
        <v>44</v>
      </c>
      <c r="F2396" t="s">
        <v>2481</v>
      </c>
      <c r="G2396" t="s">
        <v>64</v>
      </c>
      <c r="H2396" t="s">
        <v>26</v>
      </c>
      <c r="I2396" t="s">
        <v>10457</v>
      </c>
      <c r="J2396">
        <v>65</v>
      </c>
      <c r="K2396" t="s">
        <v>25</v>
      </c>
      <c r="L2396" t="s">
        <v>119</v>
      </c>
      <c r="M2396" t="s">
        <v>39</v>
      </c>
      <c r="P2396" t="s">
        <v>28</v>
      </c>
      <c r="Q2396" t="s">
        <v>10458</v>
      </c>
      <c r="R2396" t="s">
        <v>10459</v>
      </c>
      <c r="S2396" t="s">
        <v>31</v>
      </c>
      <c r="T2396">
        <v>1</v>
      </c>
    </row>
    <row r="2397" spans="1:20" x14ac:dyDescent="0.25">
      <c r="A2397" t="s">
        <v>10460</v>
      </c>
      <c r="B2397" s="1">
        <v>45786</v>
      </c>
      <c r="C2397" s="5">
        <v>0.57821759259259264</v>
      </c>
      <c r="D2397">
        <v>55.52</v>
      </c>
      <c r="E2397" t="s">
        <v>44</v>
      </c>
      <c r="F2397" t="s">
        <v>1351</v>
      </c>
      <c r="G2397" t="s">
        <v>124</v>
      </c>
      <c r="H2397" t="s">
        <v>38</v>
      </c>
      <c r="I2397" t="s">
        <v>10461</v>
      </c>
      <c r="J2397">
        <v>73</v>
      </c>
      <c r="K2397" t="s">
        <v>49</v>
      </c>
      <c r="L2397" t="s">
        <v>58</v>
      </c>
      <c r="M2397" t="s">
        <v>105</v>
      </c>
      <c r="P2397" t="s">
        <v>28</v>
      </c>
      <c r="Q2397" t="s">
        <v>10462</v>
      </c>
      <c r="R2397" t="s">
        <v>10463</v>
      </c>
      <c r="S2397" t="s">
        <v>31</v>
      </c>
      <c r="T2397">
        <v>0</v>
      </c>
    </row>
    <row r="2398" spans="1:20" x14ac:dyDescent="0.25">
      <c r="A2398" t="s">
        <v>10464</v>
      </c>
      <c r="B2398" s="1">
        <v>45851</v>
      </c>
      <c r="C2398" s="5">
        <v>0.95699074074074075</v>
      </c>
      <c r="D2398">
        <v>438.55</v>
      </c>
      <c r="E2398" t="s">
        <v>44</v>
      </c>
      <c r="F2398" t="s">
        <v>5094</v>
      </c>
      <c r="G2398" t="s">
        <v>22</v>
      </c>
      <c r="H2398" t="s">
        <v>110</v>
      </c>
      <c r="I2398" t="s">
        <v>10465</v>
      </c>
      <c r="J2398">
        <v>44</v>
      </c>
      <c r="K2398" t="s">
        <v>25</v>
      </c>
      <c r="L2398" t="s">
        <v>91</v>
      </c>
      <c r="M2398" t="s">
        <v>39</v>
      </c>
      <c r="P2398" t="s">
        <v>28</v>
      </c>
      <c r="Q2398" t="s">
        <v>10466</v>
      </c>
      <c r="R2398" t="s">
        <v>10467</v>
      </c>
      <c r="S2398" t="s">
        <v>31</v>
      </c>
      <c r="T2398">
        <v>0</v>
      </c>
    </row>
    <row r="2399" spans="1:20" x14ac:dyDescent="0.25">
      <c r="A2399" t="s">
        <v>10468</v>
      </c>
      <c r="B2399" s="1">
        <v>45831</v>
      </c>
      <c r="C2399" s="5">
        <v>0.25231481481481483</v>
      </c>
      <c r="D2399">
        <v>758.19</v>
      </c>
      <c r="E2399" t="s">
        <v>44</v>
      </c>
      <c r="F2399" t="s">
        <v>743</v>
      </c>
      <c r="G2399" t="s">
        <v>89</v>
      </c>
      <c r="H2399" t="s">
        <v>91</v>
      </c>
      <c r="I2399" t="s">
        <v>10469</v>
      </c>
      <c r="J2399">
        <v>43</v>
      </c>
      <c r="K2399" t="s">
        <v>37</v>
      </c>
      <c r="L2399" t="s">
        <v>97</v>
      </c>
      <c r="M2399" t="s">
        <v>112</v>
      </c>
      <c r="P2399" t="s">
        <v>28</v>
      </c>
      <c r="Q2399" t="s">
        <v>10470</v>
      </c>
      <c r="R2399" t="s">
        <v>10471</v>
      </c>
      <c r="S2399" t="s">
        <v>31</v>
      </c>
      <c r="T2399">
        <v>0</v>
      </c>
    </row>
    <row r="2400" spans="1:20" x14ac:dyDescent="0.25">
      <c r="A2400" t="s">
        <v>10472</v>
      </c>
      <c r="B2400" s="1">
        <v>45892</v>
      </c>
      <c r="C2400" s="5">
        <v>0.33799768518518519</v>
      </c>
      <c r="D2400">
        <v>18</v>
      </c>
      <c r="E2400" t="s">
        <v>44</v>
      </c>
      <c r="F2400" t="s">
        <v>1683</v>
      </c>
      <c r="G2400" t="s">
        <v>57</v>
      </c>
      <c r="H2400" t="s">
        <v>119</v>
      </c>
      <c r="I2400" t="s">
        <v>10473</v>
      </c>
      <c r="J2400">
        <v>71</v>
      </c>
      <c r="K2400" t="s">
        <v>49</v>
      </c>
      <c r="L2400" t="s">
        <v>119</v>
      </c>
      <c r="M2400" t="s">
        <v>27</v>
      </c>
      <c r="P2400" t="s">
        <v>113</v>
      </c>
      <c r="Q2400" t="s">
        <v>10474</v>
      </c>
      <c r="R2400" t="s">
        <v>10475</v>
      </c>
      <c r="S2400" t="s">
        <v>31</v>
      </c>
      <c r="T2400">
        <v>0</v>
      </c>
    </row>
    <row r="2401" spans="1:20" x14ac:dyDescent="0.25">
      <c r="A2401" t="s">
        <v>10476</v>
      </c>
      <c r="B2401" s="1">
        <v>45912</v>
      </c>
      <c r="C2401" s="5">
        <v>0.47869212962962965</v>
      </c>
      <c r="D2401">
        <v>82.97</v>
      </c>
      <c r="E2401" t="s">
        <v>44</v>
      </c>
      <c r="F2401" t="s">
        <v>5094</v>
      </c>
      <c r="G2401" t="s">
        <v>124</v>
      </c>
      <c r="H2401" t="s">
        <v>35</v>
      </c>
      <c r="I2401" t="s">
        <v>10477</v>
      </c>
      <c r="J2401">
        <v>25</v>
      </c>
      <c r="K2401" t="s">
        <v>37</v>
      </c>
      <c r="L2401" t="s">
        <v>50</v>
      </c>
      <c r="M2401" t="s">
        <v>39</v>
      </c>
      <c r="P2401" t="s">
        <v>28</v>
      </c>
      <c r="Q2401" t="s">
        <v>10478</v>
      </c>
      <c r="R2401" t="s">
        <v>10479</v>
      </c>
      <c r="S2401" t="s">
        <v>31</v>
      </c>
      <c r="T2401">
        <v>0</v>
      </c>
    </row>
    <row r="2402" spans="1:20" x14ac:dyDescent="0.25">
      <c r="A2402" t="s">
        <v>10480</v>
      </c>
      <c r="B2402" s="1">
        <v>45937</v>
      </c>
      <c r="C2402" s="5">
        <v>0.18949074074074074</v>
      </c>
      <c r="D2402">
        <v>112.94</v>
      </c>
      <c r="E2402" t="s">
        <v>44</v>
      </c>
      <c r="F2402" t="s">
        <v>10481</v>
      </c>
      <c r="G2402" t="s">
        <v>77</v>
      </c>
      <c r="H2402" t="s">
        <v>146</v>
      </c>
      <c r="I2402" t="s">
        <v>10482</v>
      </c>
      <c r="J2402">
        <v>43</v>
      </c>
      <c r="K2402" t="s">
        <v>37</v>
      </c>
      <c r="L2402" t="s">
        <v>50</v>
      </c>
      <c r="M2402" t="s">
        <v>39</v>
      </c>
      <c r="P2402" t="s">
        <v>28</v>
      </c>
      <c r="Q2402" t="s">
        <v>10483</v>
      </c>
      <c r="R2402" t="s">
        <v>10484</v>
      </c>
      <c r="S2402" t="s">
        <v>42</v>
      </c>
      <c r="T2402">
        <v>0</v>
      </c>
    </row>
    <row r="2403" spans="1:20" x14ac:dyDescent="0.25">
      <c r="A2403" t="s">
        <v>10485</v>
      </c>
      <c r="B2403" s="1">
        <v>45906</v>
      </c>
      <c r="C2403" s="5">
        <v>0.73920138888888887</v>
      </c>
      <c r="D2403">
        <v>76.25</v>
      </c>
      <c r="E2403" t="s">
        <v>44</v>
      </c>
      <c r="F2403" t="s">
        <v>3366</v>
      </c>
      <c r="G2403" t="s">
        <v>96</v>
      </c>
      <c r="H2403" t="s">
        <v>97</v>
      </c>
      <c r="I2403" t="s">
        <v>10486</v>
      </c>
      <c r="J2403">
        <v>74</v>
      </c>
      <c r="K2403" t="s">
        <v>37</v>
      </c>
      <c r="L2403" t="s">
        <v>26</v>
      </c>
      <c r="M2403" t="s">
        <v>51</v>
      </c>
      <c r="N2403" t="s">
        <v>173</v>
      </c>
      <c r="O2403">
        <v>511725</v>
      </c>
      <c r="P2403" t="s">
        <v>28</v>
      </c>
      <c r="Q2403" t="s">
        <v>10487</v>
      </c>
      <c r="R2403" t="s">
        <v>10488</v>
      </c>
      <c r="S2403" t="s">
        <v>31</v>
      </c>
      <c r="T2403">
        <v>0</v>
      </c>
    </row>
    <row r="2404" spans="1:20" x14ac:dyDescent="0.25">
      <c r="A2404" t="s">
        <v>10489</v>
      </c>
      <c r="B2404" s="1">
        <v>45790</v>
      </c>
      <c r="C2404" s="5">
        <v>5.2800925925925925E-2</v>
      </c>
      <c r="D2404">
        <v>2686.08</v>
      </c>
      <c r="E2404" t="s">
        <v>44</v>
      </c>
      <c r="F2404" t="s">
        <v>8727</v>
      </c>
      <c r="G2404" t="s">
        <v>77</v>
      </c>
      <c r="H2404" t="s">
        <v>110</v>
      </c>
      <c r="I2404" t="s">
        <v>10490</v>
      </c>
      <c r="J2404">
        <v>72</v>
      </c>
      <c r="K2404" t="s">
        <v>37</v>
      </c>
      <c r="L2404" t="s">
        <v>66</v>
      </c>
      <c r="M2404" t="s">
        <v>39</v>
      </c>
      <c r="P2404" t="s">
        <v>28</v>
      </c>
      <c r="Q2404" t="s">
        <v>10491</v>
      </c>
      <c r="R2404" t="s">
        <v>10492</v>
      </c>
      <c r="S2404" t="s">
        <v>31</v>
      </c>
      <c r="T2404">
        <v>0</v>
      </c>
    </row>
    <row r="2405" spans="1:20" x14ac:dyDescent="0.25">
      <c r="A2405" t="s">
        <v>10493</v>
      </c>
      <c r="B2405" s="1">
        <v>45850</v>
      </c>
      <c r="C2405" s="5">
        <v>0.17690972222222223</v>
      </c>
      <c r="D2405">
        <v>133.69</v>
      </c>
      <c r="E2405" t="s">
        <v>44</v>
      </c>
      <c r="F2405" t="s">
        <v>3040</v>
      </c>
      <c r="G2405" t="s">
        <v>46</v>
      </c>
      <c r="H2405" t="s">
        <v>91</v>
      </c>
      <c r="I2405" t="s">
        <v>10494</v>
      </c>
      <c r="J2405">
        <v>28</v>
      </c>
      <c r="K2405" t="s">
        <v>25</v>
      </c>
      <c r="L2405" t="s">
        <v>50</v>
      </c>
      <c r="M2405" t="s">
        <v>39</v>
      </c>
      <c r="P2405" t="s">
        <v>28</v>
      </c>
      <c r="Q2405" t="s">
        <v>10495</v>
      </c>
      <c r="R2405" t="s">
        <v>10496</v>
      </c>
      <c r="S2405" t="s">
        <v>31</v>
      </c>
      <c r="T2405">
        <v>0</v>
      </c>
    </row>
    <row r="2406" spans="1:20" x14ac:dyDescent="0.25">
      <c r="A2406" t="s">
        <v>10497</v>
      </c>
      <c r="B2406" s="1">
        <v>45837</v>
      </c>
      <c r="C2406" s="5">
        <v>0.66423611111111114</v>
      </c>
      <c r="D2406">
        <v>88.07</v>
      </c>
      <c r="E2406" t="s">
        <v>44</v>
      </c>
      <c r="F2406" t="s">
        <v>2918</v>
      </c>
      <c r="G2406" t="s">
        <v>57</v>
      </c>
      <c r="H2406" t="s">
        <v>119</v>
      </c>
      <c r="I2406" t="s">
        <v>10498</v>
      </c>
      <c r="K2406" t="s">
        <v>25</v>
      </c>
      <c r="L2406" t="s">
        <v>110</v>
      </c>
      <c r="M2406" t="s">
        <v>105</v>
      </c>
      <c r="P2406" t="s">
        <v>28</v>
      </c>
      <c r="Q2406" t="s">
        <v>10499</v>
      </c>
      <c r="R2406" t="s">
        <v>10500</v>
      </c>
      <c r="S2406" t="s">
        <v>31</v>
      </c>
      <c r="T2406">
        <v>0</v>
      </c>
    </row>
    <row r="2407" spans="1:20" x14ac:dyDescent="0.25">
      <c r="A2407" t="s">
        <v>10501</v>
      </c>
      <c r="B2407" s="1">
        <v>45837</v>
      </c>
      <c r="C2407" s="5">
        <v>0.45893518518518517</v>
      </c>
      <c r="D2407">
        <v>18.5</v>
      </c>
      <c r="E2407" t="s">
        <v>44</v>
      </c>
      <c r="F2407" t="s">
        <v>6010</v>
      </c>
      <c r="G2407" t="s">
        <v>89</v>
      </c>
      <c r="H2407" t="s">
        <v>23</v>
      </c>
      <c r="I2407" t="s">
        <v>10502</v>
      </c>
      <c r="J2407">
        <v>33</v>
      </c>
      <c r="K2407" t="s">
        <v>25</v>
      </c>
      <c r="L2407" t="s">
        <v>35</v>
      </c>
      <c r="M2407" t="s">
        <v>27</v>
      </c>
      <c r="P2407" t="s">
        <v>28</v>
      </c>
      <c r="Q2407" t="s">
        <v>10503</v>
      </c>
      <c r="R2407" t="s">
        <v>10504</v>
      </c>
      <c r="S2407" t="s">
        <v>31</v>
      </c>
      <c r="T2407">
        <v>0</v>
      </c>
    </row>
    <row r="2408" spans="1:20" x14ac:dyDescent="0.25">
      <c r="A2408" t="s">
        <v>10505</v>
      </c>
      <c r="B2408" s="1">
        <v>45831</v>
      </c>
      <c r="C2408" s="5">
        <v>0.89421296296296293</v>
      </c>
      <c r="D2408">
        <v>19.239999999999998</v>
      </c>
      <c r="E2408" t="s">
        <v>44</v>
      </c>
      <c r="F2408" t="s">
        <v>10506</v>
      </c>
      <c r="G2408" t="s">
        <v>71</v>
      </c>
      <c r="H2408" t="s">
        <v>66</v>
      </c>
      <c r="I2408" t="s">
        <v>10507</v>
      </c>
      <c r="J2408">
        <v>25</v>
      </c>
      <c r="K2408" t="s">
        <v>37</v>
      </c>
      <c r="L2408" t="s">
        <v>146</v>
      </c>
      <c r="M2408" t="s">
        <v>84</v>
      </c>
      <c r="P2408" t="s">
        <v>28</v>
      </c>
      <c r="Q2408" t="s">
        <v>10508</v>
      </c>
      <c r="R2408" t="s">
        <v>10509</v>
      </c>
      <c r="S2408" t="s">
        <v>31</v>
      </c>
      <c r="T2408">
        <v>0</v>
      </c>
    </row>
    <row r="2409" spans="1:20" x14ac:dyDescent="0.25">
      <c r="A2409" t="s">
        <v>10510</v>
      </c>
      <c r="B2409" s="1">
        <v>45872</v>
      </c>
      <c r="C2409" s="5">
        <v>0.22534722222222223</v>
      </c>
      <c r="D2409">
        <v>106.14</v>
      </c>
      <c r="E2409" t="s">
        <v>44</v>
      </c>
      <c r="F2409" t="s">
        <v>3802</v>
      </c>
      <c r="G2409" t="s">
        <v>96</v>
      </c>
      <c r="H2409" t="s">
        <v>119</v>
      </c>
      <c r="I2409" t="s">
        <v>674</v>
      </c>
      <c r="J2409">
        <v>22</v>
      </c>
      <c r="K2409" t="s">
        <v>37</v>
      </c>
      <c r="L2409" t="s">
        <v>91</v>
      </c>
      <c r="M2409" t="s">
        <v>51</v>
      </c>
      <c r="N2409" t="s">
        <v>345</v>
      </c>
      <c r="O2409">
        <v>479896</v>
      </c>
      <c r="P2409" t="s">
        <v>28</v>
      </c>
      <c r="Q2409" t="s">
        <v>10511</v>
      </c>
      <c r="R2409" t="s">
        <v>10512</v>
      </c>
      <c r="S2409" t="s">
        <v>31</v>
      </c>
      <c r="T2409">
        <v>0</v>
      </c>
    </row>
    <row r="2410" spans="1:20" x14ac:dyDescent="0.25">
      <c r="A2410" t="s">
        <v>10513</v>
      </c>
      <c r="B2410" s="1">
        <v>45854</v>
      </c>
      <c r="C2410" s="5">
        <v>0.35832175925925924</v>
      </c>
      <c r="D2410">
        <v>13.6</v>
      </c>
      <c r="E2410" t="s">
        <v>44</v>
      </c>
      <c r="F2410" t="s">
        <v>313</v>
      </c>
      <c r="G2410" t="s">
        <v>34</v>
      </c>
      <c r="H2410" t="s">
        <v>248</v>
      </c>
      <c r="I2410" t="s">
        <v>10514</v>
      </c>
      <c r="J2410">
        <v>30</v>
      </c>
      <c r="K2410" t="s">
        <v>25</v>
      </c>
      <c r="L2410" t="s">
        <v>130</v>
      </c>
      <c r="M2410" t="s">
        <v>112</v>
      </c>
      <c r="P2410" t="s">
        <v>28</v>
      </c>
      <c r="Q2410" t="s">
        <v>10515</v>
      </c>
      <c r="R2410" t="s">
        <v>10516</v>
      </c>
      <c r="S2410" t="s">
        <v>42</v>
      </c>
      <c r="T2410">
        <v>0</v>
      </c>
    </row>
    <row r="2411" spans="1:20" x14ac:dyDescent="0.25">
      <c r="A2411" t="s">
        <v>10517</v>
      </c>
      <c r="B2411" s="1">
        <v>45810</v>
      </c>
      <c r="C2411" s="5">
        <v>0.616724537037037</v>
      </c>
      <c r="D2411">
        <v>107.42</v>
      </c>
      <c r="E2411" t="s">
        <v>44</v>
      </c>
      <c r="F2411" t="s">
        <v>8745</v>
      </c>
      <c r="G2411" t="s">
        <v>64</v>
      </c>
      <c r="H2411" t="s">
        <v>23</v>
      </c>
      <c r="I2411" t="s">
        <v>10518</v>
      </c>
      <c r="J2411">
        <v>29</v>
      </c>
      <c r="K2411" t="s">
        <v>37</v>
      </c>
      <c r="L2411" t="s">
        <v>91</v>
      </c>
      <c r="M2411" t="s">
        <v>27</v>
      </c>
      <c r="P2411" t="s">
        <v>28</v>
      </c>
      <c r="Q2411" t="s">
        <v>10519</v>
      </c>
      <c r="R2411" t="s">
        <v>10520</v>
      </c>
      <c r="S2411" t="s">
        <v>31</v>
      </c>
      <c r="T2411">
        <v>1</v>
      </c>
    </row>
    <row r="2412" spans="1:20" x14ac:dyDescent="0.25">
      <c r="A2412" t="s">
        <v>10521</v>
      </c>
      <c r="B2412" s="1">
        <v>45958</v>
      </c>
      <c r="C2412" s="5">
        <v>0.36856481481481479</v>
      </c>
      <c r="D2412">
        <v>177.15</v>
      </c>
      <c r="E2412" t="s">
        <v>44</v>
      </c>
      <c r="F2412" t="s">
        <v>2404</v>
      </c>
      <c r="G2412" t="s">
        <v>96</v>
      </c>
      <c r="H2412" t="s">
        <v>66</v>
      </c>
      <c r="I2412" t="s">
        <v>10522</v>
      </c>
      <c r="J2412">
        <v>73</v>
      </c>
      <c r="K2412" t="s">
        <v>37</v>
      </c>
      <c r="L2412" t="s">
        <v>35</v>
      </c>
      <c r="M2412" t="s">
        <v>27</v>
      </c>
      <c r="P2412" t="s">
        <v>28</v>
      </c>
      <c r="Q2412" t="s">
        <v>10523</v>
      </c>
      <c r="R2412" t="s">
        <v>10524</v>
      </c>
      <c r="S2412" t="s">
        <v>31</v>
      </c>
      <c r="T2412">
        <v>0</v>
      </c>
    </row>
    <row r="2413" spans="1:20" x14ac:dyDescent="0.25">
      <c r="A2413" t="s">
        <v>10525</v>
      </c>
      <c r="B2413" s="1">
        <v>45923</v>
      </c>
      <c r="C2413" s="5">
        <v>0.98517361111111112</v>
      </c>
      <c r="D2413">
        <v>92.87</v>
      </c>
      <c r="E2413" t="s">
        <v>44</v>
      </c>
      <c r="F2413" t="s">
        <v>7338</v>
      </c>
      <c r="G2413" t="s">
        <v>34</v>
      </c>
      <c r="H2413" t="s">
        <v>26</v>
      </c>
      <c r="I2413" t="s">
        <v>10526</v>
      </c>
      <c r="J2413">
        <v>64</v>
      </c>
      <c r="K2413" t="s">
        <v>49</v>
      </c>
      <c r="L2413" t="s">
        <v>146</v>
      </c>
      <c r="M2413" t="s">
        <v>51</v>
      </c>
      <c r="N2413" t="s">
        <v>507</v>
      </c>
      <c r="O2413">
        <v>432702</v>
      </c>
      <c r="P2413" t="s">
        <v>28</v>
      </c>
      <c r="Q2413" t="s">
        <v>10527</v>
      </c>
      <c r="R2413" t="s">
        <v>10528</v>
      </c>
      <c r="S2413" t="s">
        <v>31</v>
      </c>
      <c r="T2413">
        <v>0</v>
      </c>
    </row>
    <row r="2414" spans="1:20" x14ac:dyDescent="0.25">
      <c r="A2414" t="s">
        <v>10529</v>
      </c>
      <c r="B2414" s="1">
        <v>45901</v>
      </c>
      <c r="C2414" s="5">
        <v>9.4467592592592589E-2</v>
      </c>
      <c r="D2414">
        <v>23.55</v>
      </c>
      <c r="E2414" t="s">
        <v>44</v>
      </c>
      <c r="F2414" t="s">
        <v>4622</v>
      </c>
      <c r="G2414" t="s">
        <v>34</v>
      </c>
      <c r="H2414" t="s">
        <v>35</v>
      </c>
      <c r="I2414" t="s">
        <v>10530</v>
      </c>
      <c r="J2414">
        <v>23</v>
      </c>
      <c r="K2414" t="s">
        <v>25</v>
      </c>
      <c r="L2414" t="s">
        <v>110</v>
      </c>
      <c r="M2414" t="s">
        <v>112</v>
      </c>
      <c r="P2414" t="s">
        <v>28</v>
      </c>
      <c r="Q2414" t="s">
        <v>10531</v>
      </c>
      <c r="R2414" t="s">
        <v>10532</v>
      </c>
      <c r="S2414" t="s">
        <v>31</v>
      </c>
      <c r="T2414">
        <v>0</v>
      </c>
    </row>
    <row r="2415" spans="1:20" x14ac:dyDescent="0.25">
      <c r="A2415" t="s">
        <v>10533</v>
      </c>
      <c r="B2415" s="1">
        <v>45898</v>
      </c>
      <c r="C2415" s="5">
        <v>0.76050925925925927</v>
      </c>
      <c r="D2415">
        <v>152.83000000000001</v>
      </c>
      <c r="E2415" t="s">
        <v>44</v>
      </c>
      <c r="F2415" t="s">
        <v>4293</v>
      </c>
      <c r="G2415" t="s">
        <v>71</v>
      </c>
      <c r="H2415" t="s">
        <v>97</v>
      </c>
      <c r="I2415" t="s">
        <v>10534</v>
      </c>
      <c r="J2415">
        <v>34</v>
      </c>
      <c r="K2415" t="s">
        <v>37</v>
      </c>
      <c r="L2415" t="s">
        <v>23</v>
      </c>
      <c r="M2415" t="s">
        <v>51</v>
      </c>
      <c r="N2415" t="s">
        <v>870</v>
      </c>
      <c r="O2415">
        <v>534591</v>
      </c>
      <c r="P2415" t="s">
        <v>28</v>
      </c>
      <c r="Q2415" t="s">
        <v>10535</v>
      </c>
      <c r="R2415" t="s">
        <v>10536</v>
      </c>
      <c r="S2415" t="s">
        <v>31</v>
      </c>
      <c r="T2415">
        <v>0</v>
      </c>
    </row>
    <row r="2416" spans="1:20" x14ac:dyDescent="0.25">
      <c r="A2416" t="s">
        <v>10537</v>
      </c>
      <c r="B2416" s="1">
        <v>45864</v>
      </c>
      <c r="C2416" s="5">
        <v>0.91327546296296291</v>
      </c>
      <c r="D2416">
        <v>80.87</v>
      </c>
      <c r="E2416" t="s">
        <v>44</v>
      </c>
      <c r="F2416" t="s">
        <v>1082</v>
      </c>
      <c r="G2416" t="s">
        <v>96</v>
      </c>
      <c r="H2416" t="s">
        <v>119</v>
      </c>
      <c r="I2416" t="s">
        <v>10538</v>
      </c>
      <c r="J2416">
        <v>72</v>
      </c>
      <c r="K2416" t="s">
        <v>37</v>
      </c>
      <c r="L2416" t="s">
        <v>38</v>
      </c>
      <c r="M2416" t="s">
        <v>105</v>
      </c>
      <c r="P2416" t="s">
        <v>28</v>
      </c>
      <c r="Q2416" t="s">
        <v>10539</v>
      </c>
      <c r="R2416" t="s">
        <v>10540</v>
      </c>
      <c r="S2416" t="s">
        <v>101</v>
      </c>
      <c r="T2416">
        <v>0</v>
      </c>
    </row>
    <row r="2417" spans="1:20" x14ac:dyDescent="0.25">
      <c r="A2417" t="s">
        <v>10541</v>
      </c>
      <c r="B2417" s="1">
        <v>45835</v>
      </c>
      <c r="C2417" s="5">
        <v>0.48225694444444445</v>
      </c>
      <c r="D2417">
        <v>73.98</v>
      </c>
      <c r="E2417" t="s">
        <v>44</v>
      </c>
      <c r="F2417" t="s">
        <v>4242</v>
      </c>
      <c r="G2417" t="s">
        <v>124</v>
      </c>
      <c r="H2417" t="s">
        <v>38</v>
      </c>
      <c r="I2417" t="s">
        <v>10542</v>
      </c>
      <c r="J2417">
        <v>49</v>
      </c>
      <c r="K2417" t="s">
        <v>37</v>
      </c>
      <c r="L2417" t="s">
        <v>97</v>
      </c>
      <c r="M2417" t="s">
        <v>112</v>
      </c>
      <c r="P2417" t="s">
        <v>28</v>
      </c>
      <c r="Q2417" t="s">
        <v>10543</v>
      </c>
      <c r="R2417" t="s">
        <v>10544</v>
      </c>
      <c r="S2417" t="s">
        <v>31</v>
      </c>
      <c r="T2417">
        <v>0</v>
      </c>
    </row>
    <row r="2418" spans="1:20" x14ac:dyDescent="0.25">
      <c r="A2418" t="s">
        <v>10545</v>
      </c>
      <c r="B2418" s="1">
        <v>45831</v>
      </c>
      <c r="C2418" s="5">
        <v>0.99167824074074074</v>
      </c>
      <c r="D2418">
        <v>144.30000000000001</v>
      </c>
      <c r="E2418" t="s">
        <v>44</v>
      </c>
      <c r="F2418" t="s">
        <v>151</v>
      </c>
      <c r="G2418" t="s">
        <v>22</v>
      </c>
      <c r="H2418" t="s">
        <v>146</v>
      </c>
      <c r="I2418" t="s">
        <v>10546</v>
      </c>
      <c r="J2418">
        <v>69</v>
      </c>
      <c r="K2418" t="s">
        <v>25</v>
      </c>
      <c r="L2418" t="s">
        <v>91</v>
      </c>
      <c r="M2418" t="s">
        <v>27</v>
      </c>
      <c r="P2418" t="s">
        <v>28</v>
      </c>
      <c r="Q2418" t="s">
        <v>10547</v>
      </c>
      <c r="R2418" t="s">
        <v>10548</v>
      </c>
      <c r="S2418" t="s">
        <v>42</v>
      </c>
      <c r="T2418">
        <v>0</v>
      </c>
    </row>
    <row r="2419" spans="1:20" x14ac:dyDescent="0.25">
      <c r="A2419" t="s">
        <v>10549</v>
      </c>
      <c r="B2419" s="1">
        <v>45955</v>
      </c>
      <c r="C2419" s="5">
        <v>0.68055555555555558</v>
      </c>
      <c r="D2419">
        <v>194.67</v>
      </c>
      <c r="E2419" t="s">
        <v>44</v>
      </c>
      <c r="F2419" t="s">
        <v>4350</v>
      </c>
      <c r="G2419" t="s">
        <v>96</v>
      </c>
      <c r="H2419" t="s">
        <v>130</v>
      </c>
      <c r="I2419" t="s">
        <v>587</v>
      </c>
      <c r="K2419" t="s">
        <v>49</v>
      </c>
      <c r="L2419" t="s">
        <v>26</v>
      </c>
      <c r="M2419" t="s">
        <v>27</v>
      </c>
      <c r="P2419" t="s">
        <v>28</v>
      </c>
      <c r="Q2419" t="s">
        <v>10550</v>
      </c>
      <c r="R2419" t="s">
        <v>10551</v>
      </c>
      <c r="S2419" t="s">
        <v>31</v>
      </c>
      <c r="T2419">
        <v>0</v>
      </c>
    </row>
    <row r="2420" spans="1:20" x14ac:dyDescent="0.25">
      <c r="A2420" t="s">
        <v>10552</v>
      </c>
      <c r="B2420" s="1">
        <v>45882</v>
      </c>
      <c r="C2420" s="5">
        <v>0.74480324074074078</v>
      </c>
      <c r="D2420">
        <v>99.71</v>
      </c>
      <c r="E2420" t="s">
        <v>44</v>
      </c>
      <c r="F2420" t="s">
        <v>1301</v>
      </c>
      <c r="G2420" t="s">
        <v>46</v>
      </c>
      <c r="H2420" t="s">
        <v>91</v>
      </c>
      <c r="I2420" t="s">
        <v>10553</v>
      </c>
      <c r="J2420">
        <v>31</v>
      </c>
      <c r="K2420" t="s">
        <v>37</v>
      </c>
      <c r="L2420" t="s">
        <v>110</v>
      </c>
      <c r="M2420" t="s">
        <v>51</v>
      </c>
      <c r="N2420" t="s">
        <v>345</v>
      </c>
      <c r="O2420">
        <v>426846</v>
      </c>
      <c r="P2420" t="s">
        <v>28</v>
      </c>
      <c r="Q2420" t="s">
        <v>10554</v>
      </c>
      <c r="R2420" t="s">
        <v>10555</v>
      </c>
      <c r="S2420" t="s">
        <v>31</v>
      </c>
      <c r="T2420">
        <v>0</v>
      </c>
    </row>
    <row r="2421" spans="1:20" x14ac:dyDescent="0.25">
      <c r="A2421" t="s">
        <v>10556</v>
      </c>
      <c r="B2421" s="1">
        <v>45934</v>
      </c>
      <c r="C2421" s="5">
        <v>6.4571759259259259E-2</v>
      </c>
      <c r="D2421">
        <v>24.21</v>
      </c>
      <c r="E2421" t="s">
        <v>44</v>
      </c>
      <c r="F2421" t="s">
        <v>5393</v>
      </c>
      <c r="G2421" t="s">
        <v>34</v>
      </c>
      <c r="H2421" t="s">
        <v>130</v>
      </c>
      <c r="I2421" t="s">
        <v>10557</v>
      </c>
      <c r="J2421">
        <v>61</v>
      </c>
      <c r="K2421" t="s">
        <v>49</v>
      </c>
      <c r="L2421" t="s">
        <v>50</v>
      </c>
      <c r="M2421" t="s">
        <v>51</v>
      </c>
      <c r="N2421" t="s">
        <v>52</v>
      </c>
      <c r="O2421">
        <v>486912</v>
      </c>
      <c r="P2421" t="s">
        <v>28</v>
      </c>
      <c r="Q2421" t="s">
        <v>10558</v>
      </c>
      <c r="R2421" t="s">
        <v>10559</v>
      </c>
      <c r="S2421" t="s">
        <v>31</v>
      </c>
      <c r="T2421">
        <v>0</v>
      </c>
    </row>
    <row r="2422" spans="1:20" x14ac:dyDescent="0.25">
      <c r="A2422" t="s">
        <v>10560</v>
      </c>
      <c r="B2422" s="1">
        <v>45933</v>
      </c>
      <c r="C2422" s="5">
        <v>0.23856481481481481</v>
      </c>
      <c r="D2422">
        <v>166.1</v>
      </c>
      <c r="E2422" t="s">
        <v>44</v>
      </c>
      <c r="F2422" t="s">
        <v>3911</v>
      </c>
      <c r="G2422" t="s">
        <v>96</v>
      </c>
      <c r="H2422" t="s">
        <v>47</v>
      </c>
      <c r="I2422" t="s">
        <v>10561</v>
      </c>
      <c r="J2422">
        <v>40</v>
      </c>
      <c r="K2422" t="s">
        <v>37</v>
      </c>
      <c r="L2422" t="s">
        <v>110</v>
      </c>
      <c r="M2422" t="s">
        <v>84</v>
      </c>
      <c r="P2422" t="s">
        <v>28</v>
      </c>
      <c r="Q2422" t="s">
        <v>10562</v>
      </c>
      <c r="R2422" t="s">
        <v>10563</v>
      </c>
      <c r="S2422" t="s">
        <v>31</v>
      </c>
      <c r="T2422">
        <v>0</v>
      </c>
    </row>
    <row r="2423" spans="1:20" x14ac:dyDescent="0.25">
      <c r="A2423" t="s">
        <v>10564</v>
      </c>
      <c r="B2423" s="1">
        <v>45930</v>
      </c>
      <c r="C2423" s="5">
        <v>0.34006944444444442</v>
      </c>
      <c r="D2423">
        <v>48.25</v>
      </c>
      <c r="E2423" t="s">
        <v>44</v>
      </c>
      <c r="F2423" t="s">
        <v>2961</v>
      </c>
      <c r="G2423" t="s">
        <v>46</v>
      </c>
      <c r="H2423" t="s">
        <v>47</v>
      </c>
      <c r="I2423" t="s">
        <v>10565</v>
      </c>
      <c r="J2423">
        <v>26</v>
      </c>
      <c r="K2423" t="s">
        <v>37</v>
      </c>
      <c r="L2423" t="s">
        <v>38</v>
      </c>
      <c r="M2423" t="s">
        <v>105</v>
      </c>
      <c r="P2423" t="s">
        <v>28</v>
      </c>
      <c r="Q2423" t="s">
        <v>10566</v>
      </c>
      <c r="R2423" t="s">
        <v>10567</v>
      </c>
      <c r="S2423" t="s">
        <v>31</v>
      </c>
      <c r="T2423">
        <v>0</v>
      </c>
    </row>
    <row r="2424" spans="1:20" x14ac:dyDescent="0.25">
      <c r="A2424" t="s">
        <v>10568</v>
      </c>
      <c r="B2424" s="1">
        <v>45821</v>
      </c>
      <c r="C2424" s="5">
        <v>0.71894675925925922</v>
      </c>
      <c r="D2424">
        <v>146.02000000000001</v>
      </c>
      <c r="E2424" t="s">
        <v>44</v>
      </c>
      <c r="F2424" t="s">
        <v>8870</v>
      </c>
      <c r="G2424" t="s">
        <v>77</v>
      </c>
      <c r="H2424" t="s">
        <v>47</v>
      </c>
      <c r="I2424" t="s">
        <v>9759</v>
      </c>
      <c r="K2424" t="s">
        <v>37</v>
      </c>
      <c r="L2424" t="s">
        <v>91</v>
      </c>
      <c r="M2424" t="s">
        <v>112</v>
      </c>
      <c r="P2424" t="s">
        <v>28</v>
      </c>
      <c r="Q2424" t="s">
        <v>10569</v>
      </c>
      <c r="R2424" t="s">
        <v>10570</v>
      </c>
      <c r="S2424" t="s">
        <v>31</v>
      </c>
      <c r="T2424">
        <v>0</v>
      </c>
    </row>
    <row r="2425" spans="1:20" x14ac:dyDescent="0.25">
      <c r="A2425" t="s">
        <v>10571</v>
      </c>
      <c r="B2425" s="1">
        <v>45792</v>
      </c>
      <c r="C2425" s="5">
        <v>0.34047453703703706</v>
      </c>
      <c r="D2425">
        <v>164.23</v>
      </c>
      <c r="E2425" t="s">
        <v>44</v>
      </c>
      <c r="F2425" t="s">
        <v>2049</v>
      </c>
      <c r="G2425" t="s">
        <v>22</v>
      </c>
      <c r="H2425" t="s">
        <v>23</v>
      </c>
      <c r="I2425" t="s">
        <v>10572</v>
      </c>
      <c r="J2425">
        <v>44</v>
      </c>
      <c r="K2425" t="s">
        <v>37</v>
      </c>
      <c r="L2425" t="s">
        <v>47</v>
      </c>
      <c r="M2425" t="s">
        <v>27</v>
      </c>
      <c r="P2425" t="s">
        <v>28</v>
      </c>
      <c r="Q2425" t="s">
        <v>10573</v>
      </c>
      <c r="R2425" t="s">
        <v>10574</v>
      </c>
      <c r="S2425" t="s">
        <v>42</v>
      </c>
      <c r="T2425">
        <v>0</v>
      </c>
    </row>
    <row r="2426" spans="1:20" x14ac:dyDescent="0.25">
      <c r="A2426" t="s">
        <v>10575</v>
      </c>
      <c r="B2426" s="1">
        <v>45784</v>
      </c>
      <c r="C2426" s="5">
        <v>6.9375000000000006E-2</v>
      </c>
      <c r="D2426">
        <v>35.72</v>
      </c>
      <c r="E2426" t="s">
        <v>44</v>
      </c>
      <c r="F2426" t="s">
        <v>10036</v>
      </c>
      <c r="G2426" t="s">
        <v>46</v>
      </c>
      <c r="H2426" t="s">
        <v>23</v>
      </c>
      <c r="I2426" t="s">
        <v>10576</v>
      </c>
      <c r="J2426">
        <v>60</v>
      </c>
      <c r="K2426" t="s">
        <v>49</v>
      </c>
      <c r="L2426" t="s">
        <v>50</v>
      </c>
      <c r="M2426" t="s">
        <v>51</v>
      </c>
      <c r="N2426" t="s">
        <v>173</v>
      </c>
      <c r="O2426">
        <v>451727</v>
      </c>
      <c r="P2426" t="s">
        <v>28</v>
      </c>
      <c r="Q2426" t="s">
        <v>10577</v>
      </c>
      <c r="R2426" t="s">
        <v>10578</v>
      </c>
      <c r="S2426" t="s">
        <v>31</v>
      </c>
      <c r="T2426">
        <v>0</v>
      </c>
    </row>
    <row r="2427" spans="1:20" x14ac:dyDescent="0.25">
      <c r="A2427" t="s">
        <v>10579</v>
      </c>
      <c r="B2427" s="1">
        <v>45951</v>
      </c>
      <c r="C2427" s="5">
        <v>0.27758101851851852</v>
      </c>
      <c r="D2427">
        <v>121.47</v>
      </c>
      <c r="E2427" t="s">
        <v>44</v>
      </c>
      <c r="F2427" t="s">
        <v>2467</v>
      </c>
      <c r="G2427" t="s">
        <v>71</v>
      </c>
      <c r="H2427" t="s">
        <v>146</v>
      </c>
      <c r="I2427" t="s">
        <v>10580</v>
      </c>
      <c r="J2427">
        <v>20</v>
      </c>
      <c r="K2427" t="s">
        <v>37</v>
      </c>
      <c r="L2427" t="s">
        <v>58</v>
      </c>
      <c r="M2427" t="s">
        <v>39</v>
      </c>
      <c r="P2427" t="s">
        <v>28</v>
      </c>
      <c r="Q2427" t="s">
        <v>10581</v>
      </c>
      <c r="R2427" t="s">
        <v>10582</v>
      </c>
      <c r="S2427" t="s">
        <v>31</v>
      </c>
      <c r="T2427">
        <v>0</v>
      </c>
    </row>
    <row r="2428" spans="1:20" x14ac:dyDescent="0.25">
      <c r="A2428" t="s">
        <v>10583</v>
      </c>
      <c r="B2428" s="1">
        <v>45825</v>
      </c>
      <c r="C2428" s="5">
        <v>0.21391203703703704</v>
      </c>
      <c r="D2428">
        <v>786</v>
      </c>
      <c r="E2428" t="s">
        <v>44</v>
      </c>
      <c r="F2428" t="s">
        <v>9374</v>
      </c>
      <c r="G2428" t="s">
        <v>64</v>
      </c>
      <c r="H2428" t="s">
        <v>248</v>
      </c>
      <c r="I2428" t="s">
        <v>10584</v>
      </c>
      <c r="J2428">
        <v>72</v>
      </c>
      <c r="K2428" t="s">
        <v>49</v>
      </c>
      <c r="L2428" t="s">
        <v>50</v>
      </c>
      <c r="M2428" t="s">
        <v>84</v>
      </c>
      <c r="P2428" t="s">
        <v>28</v>
      </c>
      <c r="Q2428" t="s">
        <v>10585</v>
      </c>
      <c r="R2428" t="s">
        <v>10586</v>
      </c>
      <c r="S2428" t="s">
        <v>31</v>
      </c>
      <c r="T2428">
        <v>0</v>
      </c>
    </row>
    <row r="2429" spans="1:20" x14ac:dyDescent="0.25">
      <c r="A2429" t="s">
        <v>10587</v>
      </c>
      <c r="B2429" s="1">
        <v>45787</v>
      </c>
      <c r="C2429" s="5">
        <v>0.6404050925925926</v>
      </c>
      <c r="D2429">
        <v>179.83</v>
      </c>
      <c r="E2429" t="s">
        <v>44</v>
      </c>
      <c r="F2429" t="s">
        <v>2956</v>
      </c>
      <c r="G2429" t="s">
        <v>124</v>
      </c>
      <c r="H2429" t="s">
        <v>146</v>
      </c>
      <c r="I2429" t="s">
        <v>10588</v>
      </c>
      <c r="J2429">
        <v>71</v>
      </c>
      <c r="K2429" t="s">
        <v>37</v>
      </c>
      <c r="L2429" t="s">
        <v>47</v>
      </c>
      <c r="M2429" t="s">
        <v>112</v>
      </c>
      <c r="P2429" t="s">
        <v>28</v>
      </c>
      <c r="Q2429" t="s">
        <v>10589</v>
      </c>
      <c r="R2429" t="s">
        <v>10590</v>
      </c>
      <c r="S2429" t="s">
        <v>31</v>
      </c>
      <c r="T2429">
        <v>0</v>
      </c>
    </row>
    <row r="2430" spans="1:20" x14ac:dyDescent="0.25">
      <c r="A2430" t="s">
        <v>10591</v>
      </c>
      <c r="B2430" s="1">
        <v>45957</v>
      </c>
      <c r="C2430" s="5">
        <v>0.74410879629629634</v>
      </c>
      <c r="D2430">
        <v>27.68</v>
      </c>
      <c r="E2430" t="s">
        <v>44</v>
      </c>
      <c r="F2430" t="s">
        <v>328</v>
      </c>
      <c r="G2430" t="s">
        <v>46</v>
      </c>
      <c r="H2430" t="s">
        <v>119</v>
      </c>
      <c r="I2430" t="s">
        <v>10592</v>
      </c>
      <c r="J2430">
        <v>65</v>
      </c>
      <c r="K2430" t="s">
        <v>49</v>
      </c>
      <c r="L2430" t="s">
        <v>66</v>
      </c>
      <c r="M2430" t="s">
        <v>84</v>
      </c>
      <c r="P2430" t="s">
        <v>28</v>
      </c>
      <c r="Q2430" t="s">
        <v>10593</v>
      </c>
      <c r="R2430" t="s">
        <v>10594</v>
      </c>
      <c r="S2430" t="s">
        <v>31</v>
      </c>
      <c r="T2430">
        <v>0</v>
      </c>
    </row>
    <row r="2431" spans="1:20" x14ac:dyDescent="0.25">
      <c r="A2431" t="s">
        <v>10595</v>
      </c>
      <c r="B2431" s="1">
        <v>45854</v>
      </c>
      <c r="C2431" s="5">
        <v>0.11863425925925926</v>
      </c>
      <c r="D2431">
        <v>134.55000000000001</v>
      </c>
      <c r="E2431" t="s">
        <v>44</v>
      </c>
      <c r="F2431" t="s">
        <v>3942</v>
      </c>
      <c r="G2431" t="s">
        <v>64</v>
      </c>
      <c r="H2431" t="s">
        <v>248</v>
      </c>
      <c r="I2431" t="s">
        <v>10596</v>
      </c>
      <c r="K2431" t="s">
        <v>37</v>
      </c>
      <c r="L2431" t="s">
        <v>119</v>
      </c>
      <c r="M2431" t="s">
        <v>51</v>
      </c>
      <c r="N2431" t="s">
        <v>52</v>
      </c>
      <c r="O2431">
        <v>415710</v>
      </c>
      <c r="P2431" t="s">
        <v>28</v>
      </c>
      <c r="Q2431" t="s">
        <v>10597</v>
      </c>
      <c r="R2431" t="s">
        <v>10598</v>
      </c>
      <c r="S2431" t="s">
        <v>31</v>
      </c>
      <c r="T2431">
        <v>0</v>
      </c>
    </row>
    <row r="2432" spans="1:20" x14ac:dyDescent="0.25">
      <c r="A2432" t="s">
        <v>10599</v>
      </c>
      <c r="B2432" s="1">
        <v>45934</v>
      </c>
      <c r="C2432" s="5">
        <v>0.42137731481481483</v>
      </c>
      <c r="D2432">
        <v>104.56</v>
      </c>
      <c r="E2432" t="s">
        <v>44</v>
      </c>
      <c r="F2432" t="s">
        <v>3558</v>
      </c>
      <c r="G2432" t="s">
        <v>57</v>
      </c>
      <c r="H2432" t="s">
        <v>38</v>
      </c>
      <c r="I2432" t="s">
        <v>10600</v>
      </c>
      <c r="J2432">
        <v>37</v>
      </c>
      <c r="K2432" t="s">
        <v>25</v>
      </c>
      <c r="L2432" t="s">
        <v>146</v>
      </c>
      <c r="M2432" t="s">
        <v>39</v>
      </c>
      <c r="P2432" t="s">
        <v>28</v>
      </c>
      <c r="Q2432" t="s">
        <v>10601</v>
      </c>
      <c r="R2432" t="s">
        <v>10602</v>
      </c>
      <c r="S2432" t="s">
        <v>31</v>
      </c>
      <c r="T2432">
        <v>0</v>
      </c>
    </row>
    <row r="2433" spans="1:20" x14ac:dyDescent="0.25">
      <c r="A2433" t="s">
        <v>10603</v>
      </c>
      <c r="B2433" s="1">
        <v>45890</v>
      </c>
      <c r="C2433" s="5">
        <v>0.74509259259259264</v>
      </c>
      <c r="D2433">
        <v>46.73</v>
      </c>
      <c r="E2433" t="s">
        <v>44</v>
      </c>
      <c r="F2433" t="s">
        <v>5201</v>
      </c>
      <c r="G2433" t="s">
        <v>124</v>
      </c>
      <c r="H2433" t="s">
        <v>38</v>
      </c>
      <c r="I2433" t="s">
        <v>10604</v>
      </c>
      <c r="J2433">
        <v>34</v>
      </c>
      <c r="K2433" t="s">
        <v>49</v>
      </c>
      <c r="L2433" t="s">
        <v>248</v>
      </c>
      <c r="M2433" t="s">
        <v>39</v>
      </c>
      <c r="P2433" t="s">
        <v>28</v>
      </c>
      <c r="Q2433" t="s">
        <v>10605</v>
      </c>
      <c r="R2433" t="s">
        <v>10606</v>
      </c>
      <c r="S2433" t="s">
        <v>31</v>
      </c>
      <c r="T2433">
        <v>0</v>
      </c>
    </row>
    <row r="2434" spans="1:20" x14ac:dyDescent="0.25">
      <c r="A2434" t="s">
        <v>10607</v>
      </c>
      <c r="B2434" s="1">
        <v>45850</v>
      </c>
      <c r="C2434" s="5">
        <v>0.93884259259259262</v>
      </c>
      <c r="D2434">
        <v>705.54</v>
      </c>
      <c r="E2434" t="s">
        <v>44</v>
      </c>
      <c r="F2434" t="s">
        <v>6270</v>
      </c>
      <c r="G2434" t="s">
        <v>124</v>
      </c>
      <c r="H2434" t="s">
        <v>58</v>
      </c>
      <c r="I2434" t="s">
        <v>10608</v>
      </c>
      <c r="J2434">
        <v>37</v>
      </c>
      <c r="K2434" t="s">
        <v>49</v>
      </c>
      <c r="L2434" t="s">
        <v>35</v>
      </c>
      <c r="M2434" t="s">
        <v>112</v>
      </c>
      <c r="P2434" t="s">
        <v>28</v>
      </c>
      <c r="Q2434" t="s">
        <v>10609</v>
      </c>
      <c r="R2434" t="s">
        <v>10610</v>
      </c>
      <c r="S2434" t="s">
        <v>101</v>
      </c>
      <c r="T2434">
        <v>0</v>
      </c>
    </row>
    <row r="2435" spans="1:20" x14ac:dyDescent="0.25">
      <c r="A2435" t="s">
        <v>10611</v>
      </c>
      <c r="B2435" s="1">
        <v>45861</v>
      </c>
      <c r="C2435" s="5">
        <v>0.34233796296296298</v>
      </c>
      <c r="D2435">
        <v>17.3</v>
      </c>
      <c r="E2435" t="s">
        <v>44</v>
      </c>
      <c r="F2435" t="s">
        <v>5115</v>
      </c>
      <c r="G2435" t="s">
        <v>64</v>
      </c>
      <c r="H2435" t="s">
        <v>38</v>
      </c>
      <c r="I2435" t="s">
        <v>10612</v>
      </c>
      <c r="J2435">
        <v>51</v>
      </c>
      <c r="K2435" t="s">
        <v>49</v>
      </c>
      <c r="L2435" t="s">
        <v>38</v>
      </c>
      <c r="M2435" t="s">
        <v>39</v>
      </c>
      <c r="P2435" t="s">
        <v>113</v>
      </c>
      <c r="Q2435" t="s">
        <v>10613</v>
      </c>
      <c r="R2435" t="s">
        <v>10614</v>
      </c>
      <c r="S2435" t="s">
        <v>31</v>
      </c>
      <c r="T2435">
        <v>0</v>
      </c>
    </row>
    <row r="2436" spans="1:20" x14ac:dyDescent="0.25">
      <c r="A2436" t="s">
        <v>10615</v>
      </c>
      <c r="B2436" s="1">
        <v>45794</v>
      </c>
      <c r="C2436" s="5">
        <v>0.75517361111111114</v>
      </c>
      <c r="D2436">
        <v>99.77</v>
      </c>
      <c r="E2436" t="s">
        <v>44</v>
      </c>
      <c r="F2436" t="s">
        <v>8986</v>
      </c>
      <c r="G2436" t="s">
        <v>64</v>
      </c>
      <c r="H2436" t="s">
        <v>248</v>
      </c>
      <c r="I2436" t="s">
        <v>10616</v>
      </c>
      <c r="J2436">
        <v>40</v>
      </c>
      <c r="K2436" t="s">
        <v>49</v>
      </c>
      <c r="L2436" t="s">
        <v>23</v>
      </c>
      <c r="M2436" t="s">
        <v>27</v>
      </c>
      <c r="P2436" t="s">
        <v>28</v>
      </c>
      <c r="Q2436" t="s">
        <v>10617</v>
      </c>
      <c r="R2436" t="s">
        <v>10618</v>
      </c>
      <c r="S2436" t="s">
        <v>31</v>
      </c>
      <c r="T2436">
        <v>0</v>
      </c>
    </row>
    <row r="2437" spans="1:20" x14ac:dyDescent="0.25">
      <c r="A2437" t="s">
        <v>10619</v>
      </c>
      <c r="B2437" s="1">
        <v>45811</v>
      </c>
      <c r="C2437" s="5">
        <v>9.5208333333333339E-2</v>
      </c>
      <c r="D2437">
        <v>951.99</v>
      </c>
      <c r="E2437" t="s">
        <v>44</v>
      </c>
      <c r="F2437" t="s">
        <v>1818</v>
      </c>
      <c r="G2437" t="s">
        <v>96</v>
      </c>
      <c r="H2437" t="s">
        <v>38</v>
      </c>
      <c r="I2437" t="s">
        <v>10620</v>
      </c>
      <c r="J2437">
        <v>63</v>
      </c>
      <c r="K2437" t="s">
        <v>25</v>
      </c>
      <c r="L2437" t="s">
        <v>47</v>
      </c>
      <c r="M2437" t="s">
        <v>27</v>
      </c>
      <c r="P2437" t="s">
        <v>28</v>
      </c>
      <c r="Q2437" t="s">
        <v>10621</v>
      </c>
      <c r="R2437" t="s">
        <v>10622</v>
      </c>
      <c r="S2437" t="s">
        <v>31</v>
      </c>
      <c r="T2437">
        <v>0</v>
      </c>
    </row>
    <row r="2438" spans="1:20" x14ac:dyDescent="0.25">
      <c r="A2438" t="s">
        <v>10623</v>
      </c>
      <c r="B2438" s="1">
        <v>45882</v>
      </c>
      <c r="C2438" s="5">
        <v>0.65892361111111108</v>
      </c>
      <c r="D2438">
        <v>154.80000000000001</v>
      </c>
      <c r="E2438" t="s">
        <v>44</v>
      </c>
      <c r="F2438" t="s">
        <v>3758</v>
      </c>
      <c r="G2438" t="s">
        <v>57</v>
      </c>
      <c r="H2438" t="s">
        <v>58</v>
      </c>
      <c r="I2438" t="s">
        <v>10624</v>
      </c>
      <c r="J2438">
        <v>38</v>
      </c>
      <c r="K2438" t="s">
        <v>25</v>
      </c>
      <c r="L2438" t="s">
        <v>47</v>
      </c>
      <c r="M2438" t="s">
        <v>105</v>
      </c>
      <c r="P2438" t="s">
        <v>28</v>
      </c>
      <c r="Q2438" t="s">
        <v>10625</v>
      </c>
      <c r="R2438" t="s">
        <v>10626</v>
      </c>
      <c r="S2438" t="s">
        <v>42</v>
      </c>
      <c r="T2438">
        <v>0</v>
      </c>
    </row>
    <row r="2439" spans="1:20" x14ac:dyDescent="0.25">
      <c r="A2439" t="s">
        <v>10627</v>
      </c>
      <c r="B2439" s="1">
        <v>45810</v>
      </c>
      <c r="C2439" s="5">
        <v>0.5033333333333333</v>
      </c>
      <c r="D2439">
        <v>519.54</v>
      </c>
      <c r="E2439" t="s">
        <v>44</v>
      </c>
      <c r="F2439" t="s">
        <v>2433</v>
      </c>
      <c r="G2439" t="s">
        <v>46</v>
      </c>
      <c r="H2439" t="s">
        <v>146</v>
      </c>
      <c r="I2439" t="s">
        <v>1781</v>
      </c>
      <c r="J2439">
        <v>55</v>
      </c>
      <c r="K2439" t="s">
        <v>25</v>
      </c>
      <c r="L2439" t="s">
        <v>119</v>
      </c>
      <c r="M2439" t="s">
        <v>84</v>
      </c>
      <c r="P2439" t="s">
        <v>28</v>
      </c>
      <c r="Q2439" t="s">
        <v>10628</v>
      </c>
      <c r="R2439" t="s">
        <v>10629</v>
      </c>
      <c r="S2439" t="s">
        <v>31</v>
      </c>
      <c r="T2439">
        <v>0</v>
      </c>
    </row>
    <row r="2440" spans="1:20" x14ac:dyDescent="0.25">
      <c r="A2440" t="s">
        <v>10630</v>
      </c>
      <c r="B2440" s="1">
        <v>45928</v>
      </c>
      <c r="C2440" s="5">
        <v>0.63821759259259259</v>
      </c>
      <c r="D2440">
        <v>135.66999999999999</v>
      </c>
      <c r="E2440" t="s">
        <v>44</v>
      </c>
      <c r="F2440" t="s">
        <v>2363</v>
      </c>
      <c r="G2440" t="s">
        <v>22</v>
      </c>
      <c r="H2440" t="s">
        <v>26</v>
      </c>
      <c r="I2440" t="s">
        <v>10631</v>
      </c>
      <c r="J2440">
        <v>46</v>
      </c>
      <c r="K2440" t="s">
        <v>37</v>
      </c>
      <c r="L2440" t="s">
        <v>47</v>
      </c>
      <c r="M2440" t="s">
        <v>112</v>
      </c>
      <c r="P2440" t="s">
        <v>28</v>
      </c>
      <c r="Q2440" t="s">
        <v>10632</v>
      </c>
      <c r="R2440" t="s">
        <v>10633</v>
      </c>
      <c r="S2440" t="s">
        <v>31</v>
      </c>
      <c r="T2440">
        <v>0</v>
      </c>
    </row>
    <row r="2441" spans="1:20" x14ac:dyDescent="0.25">
      <c r="A2441" t="s">
        <v>10634</v>
      </c>
      <c r="B2441" s="1">
        <v>45892</v>
      </c>
      <c r="C2441" s="5">
        <v>0.52722222222222226</v>
      </c>
      <c r="D2441">
        <v>130.35</v>
      </c>
      <c r="E2441" t="s">
        <v>44</v>
      </c>
      <c r="F2441" t="s">
        <v>8478</v>
      </c>
      <c r="G2441" t="s">
        <v>96</v>
      </c>
      <c r="H2441" t="s">
        <v>23</v>
      </c>
      <c r="I2441" t="s">
        <v>10635</v>
      </c>
      <c r="J2441">
        <v>18</v>
      </c>
      <c r="K2441" t="s">
        <v>25</v>
      </c>
      <c r="L2441" t="s">
        <v>130</v>
      </c>
      <c r="M2441" t="s">
        <v>105</v>
      </c>
      <c r="P2441" t="s">
        <v>28</v>
      </c>
      <c r="Q2441" t="s">
        <v>10636</v>
      </c>
      <c r="R2441" t="s">
        <v>10637</v>
      </c>
      <c r="S2441" t="s">
        <v>31</v>
      </c>
      <c r="T2441">
        <v>0</v>
      </c>
    </row>
    <row r="2442" spans="1:20" x14ac:dyDescent="0.25">
      <c r="A2442" t="s">
        <v>10638</v>
      </c>
      <c r="B2442" s="1">
        <v>45865</v>
      </c>
      <c r="C2442" s="5">
        <v>0.10953703703703704</v>
      </c>
      <c r="D2442">
        <v>127.03</v>
      </c>
      <c r="E2442" t="s">
        <v>44</v>
      </c>
      <c r="F2442" t="s">
        <v>5368</v>
      </c>
      <c r="G2442" t="s">
        <v>96</v>
      </c>
      <c r="H2442" t="s">
        <v>23</v>
      </c>
      <c r="I2442" t="s">
        <v>10639</v>
      </c>
      <c r="J2442">
        <v>59</v>
      </c>
      <c r="K2442" t="s">
        <v>25</v>
      </c>
      <c r="L2442" t="s">
        <v>35</v>
      </c>
      <c r="M2442" t="s">
        <v>39</v>
      </c>
      <c r="P2442" t="s">
        <v>28</v>
      </c>
      <c r="Q2442" t="s">
        <v>10640</v>
      </c>
      <c r="R2442" t="s">
        <v>10641</v>
      </c>
      <c r="S2442" t="s">
        <v>31</v>
      </c>
      <c r="T2442">
        <v>0</v>
      </c>
    </row>
    <row r="2443" spans="1:20" x14ac:dyDescent="0.25">
      <c r="A2443" t="s">
        <v>10642</v>
      </c>
      <c r="B2443" s="1">
        <v>45871</v>
      </c>
      <c r="C2443" s="5">
        <v>0.58480324074074075</v>
      </c>
      <c r="D2443">
        <v>191.07</v>
      </c>
      <c r="E2443" t="s">
        <v>44</v>
      </c>
      <c r="F2443" t="s">
        <v>4067</v>
      </c>
      <c r="G2443" t="s">
        <v>77</v>
      </c>
      <c r="H2443" t="s">
        <v>130</v>
      </c>
      <c r="I2443" t="s">
        <v>10643</v>
      </c>
      <c r="J2443">
        <v>54</v>
      </c>
      <c r="K2443" t="s">
        <v>25</v>
      </c>
      <c r="L2443" t="s">
        <v>47</v>
      </c>
      <c r="M2443" t="s">
        <v>27</v>
      </c>
      <c r="P2443" t="s">
        <v>28</v>
      </c>
      <c r="Q2443" t="s">
        <v>10644</v>
      </c>
      <c r="R2443" t="s">
        <v>10645</v>
      </c>
      <c r="S2443" t="s">
        <v>31</v>
      </c>
      <c r="T2443">
        <v>0</v>
      </c>
    </row>
    <row r="2444" spans="1:20" x14ac:dyDescent="0.25">
      <c r="A2444" t="s">
        <v>10646</v>
      </c>
      <c r="B2444" s="1">
        <v>45923</v>
      </c>
      <c r="C2444" s="5">
        <v>0.28850694444444447</v>
      </c>
      <c r="D2444">
        <v>22.55</v>
      </c>
      <c r="E2444" t="s">
        <v>44</v>
      </c>
      <c r="F2444" t="s">
        <v>4284</v>
      </c>
      <c r="G2444" t="s">
        <v>89</v>
      </c>
      <c r="H2444" t="s">
        <v>38</v>
      </c>
      <c r="I2444" t="s">
        <v>10175</v>
      </c>
      <c r="J2444">
        <v>22</v>
      </c>
      <c r="K2444" t="s">
        <v>25</v>
      </c>
      <c r="L2444" t="s">
        <v>146</v>
      </c>
      <c r="M2444" t="s">
        <v>51</v>
      </c>
      <c r="N2444" t="s">
        <v>870</v>
      </c>
      <c r="O2444">
        <v>489663</v>
      </c>
      <c r="P2444" t="s">
        <v>28</v>
      </c>
      <c r="Q2444" t="s">
        <v>10647</v>
      </c>
      <c r="R2444" t="s">
        <v>10648</v>
      </c>
      <c r="S2444" t="s">
        <v>31</v>
      </c>
      <c r="T2444">
        <v>0</v>
      </c>
    </row>
    <row r="2445" spans="1:20" x14ac:dyDescent="0.25">
      <c r="A2445" t="s">
        <v>10649</v>
      </c>
      <c r="B2445" s="1">
        <v>45942</v>
      </c>
      <c r="C2445" s="5">
        <v>0.81177083333333333</v>
      </c>
      <c r="D2445">
        <v>194.96</v>
      </c>
      <c r="E2445" t="s">
        <v>44</v>
      </c>
      <c r="F2445" t="s">
        <v>3526</v>
      </c>
      <c r="G2445" t="s">
        <v>64</v>
      </c>
      <c r="H2445" t="s">
        <v>47</v>
      </c>
      <c r="I2445" t="s">
        <v>10650</v>
      </c>
      <c r="J2445">
        <v>18</v>
      </c>
      <c r="K2445" t="s">
        <v>25</v>
      </c>
      <c r="L2445" t="s">
        <v>58</v>
      </c>
      <c r="M2445" t="s">
        <v>51</v>
      </c>
      <c r="N2445" t="s">
        <v>52</v>
      </c>
      <c r="O2445">
        <v>430451</v>
      </c>
      <c r="P2445" t="s">
        <v>28</v>
      </c>
      <c r="Q2445" t="s">
        <v>10651</v>
      </c>
      <c r="R2445" t="s">
        <v>10652</v>
      </c>
      <c r="S2445" t="s">
        <v>31</v>
      </c>
      <c r="T2445">
        <v>0</v>
      </c>
    </row>
    <row r="2446" spans="1:20" x14ac:dyDescent="0.25">
      <c r="A2446" t="s">
        <v>10653</v>
      </c>
      <c r="B2446" s="1">
        <v>45905</v>
      </c>
      <c r="C2446" s="5">
        <v>0.32915509259259257</v>
      </c>
      <c r="D2446">
        <v>191.37</v>
      </c>
      <c r="E2446" t="s">
        <v>44</v>
      </c>
      <c r="F2446" t="s">
        <v>1823</v>
      </c>
      <c r="G2446" t="s">
        <v>64</v>
      </c>
      <c r="H2446" t="s">
        <v>146</v>
      </c>
      <c r="I2446" t="s">
        <v>10654</v>
      </c>
      <c r="J2446">
        <v>70</v>
      </c>
      <c r="K2446" t="s">
        <v>37</v>
      </c>
      <c r="L2446" t="s">
        <v>38</v>
      </c>
      <c r="M2446" t="s">
        <v>51</v>
      </c>
      <c r="N2446" t="s">
        <v>507</v>
      </c>
      <c r="O2446">
        <v>535141</v>
      </c>
      <c r="P2446" t="s">
        <v>28</v>
      </c>
      <c r="Q2446" t="s">
        <v>10655</v>
      </c>
      <c r="R2446" t="s">
        <v>10656</v>
      </c>
      <c r="S2446" t="s">
        <v>31</v>
      </c>
      <c r="T2446">
        <v>0</v>
      </c>
    </row>
    <row r="2447" spans="1:20" x14ac:dyDescent="0.25">
      <c r="A2447" t="s">
        <v>10657</v>
      </c>
      <c r="B2447" s="1">
        <v>45872</v>
      </c>
      <c r="C2447" s="5">
        <v>0.62304398148148143</v>
      </c>
      <c r="D2447">
        <v>34.28</v>
      </c>
      <c r="E2447" t="s">
        <v>44</v>
      </c>
      <c r="F2447" t="s">
        <v>6138</v>
      </c>
      <c r="G2447" t="s">
        <v>124</v>
      </c>
      <c r="H2447" t="s">
        <v>47</v>
      </c>
      <c r="I2447" t="s">
        <v>10658</v>
      </c>
      <c r="J2447">
        <v>54</v>
      </c>
      <c r="K2447" t="s">
        <v>37</v>
      </c>
      <c r="L2447" t="s">
        <v>38</v>
      </c>
      <c r="M2447" t="s">
        <v>39</v>
      </c>
      <c r="P2447" t="s">
        <v>28</v>
      </c>
      <c r="Q2447" t="s">
        <v>10659</v>
      </c>
      <c r="R2447" t="s">
        <v>10660</v>
      </c>
      <c r="S2447" t="s">
        <v>31</v>
      </c>
      <c r="T2447">
        <v>0</v>
      </c>
    </row>
    <row r="2448" spans="1:20" x14ac:dyDescent="0.25">
      <c r="A2448" t="s">
        <v>10661</v>
      </c>
      <c r="B2448" s="1">
        <v>45854</v>
      </c>
      <c r="C2448" s="5">
        <v>0.49365740740740743</v>
      </c>
      <c r="D2448">
        <v>21.82</v>
      </c>
      <c r="E2448" t="s">
        <v>44</v>
      </c>
      <c r="F2448" t="s">
        <v>1509</v>
      </c>
      <c r="G2448" t="s">
        <v>46</v>
      </c>
      <c r="H2448" t="s">
        <v>119</v>
      </c>
      <c r="I2448" t="s">
        <v>10662</v>
      </c>
      <c r="J2448">
        <v>71</v>
      </c>
      <c r="K2448" t="s">
        <v>37</v>
      </c>
      <c r="L2448" t="s">
        <v>119</v>
      </c>
      <c r="M2448" t="s">
        <v>105</v>
      </c>
      <c r="P2448" t="s">
        <v>113</v>
      </c>
      <c r="Q2448" t="s">
        <v>10663</v>
      </c>
      <c r="R2448" t="s">
        <v>10664</v>
      </c>
      <c r="S2448" t="s">
        <v>31</v>
      </c>
      <c r="T2448">
        <v>0</v>
      </c>
    </row>
    <row r="2449" spans="1:20" x14ac:dyDescent="0.25">
      <c r="A2449" t="s">
        <v>10665</v>
      </c>
      <c r="B2449" s="1">
        <v>45866</v>
      </c>
      <c r="C2449" s="5">
        <v>0.32530092592592591</v>
      </c>
      <c r="D2449">
        <v>183.83</v>
      </c>
      <c r="E2449" t="s">
        <v>44</v>
      </c>
      <c r="F2449" t="s">
        <v>5976</v>
      </c>
      <c r="G2449" t="s">
        <v>34</v>
      </c>
      <c r="H2449" t="s">
        <v>50</v>
      </c>
      <c r="I2449" t="s">
        <v>10666</v>
      </c>
      <c r="J2449">
        <v>19</v>
      </c>
      <c r="K2449" t="s">
        <v>25</v>
      </c>
      <c r="L2449" t="s">
        <v>248</v>
      </c>
      <c r="M2449" t="s">
        <v>105</v>
      </c>
      <c r="P2449" t="s">
        <v>28</v>
      </c>
      <c r="Q2449" t="s">
        <v>10667</v>
      </c>
      <c r="R2449" t="s">
        <v>10668</v>
      </c>
      <c r="S2449" t="s">
        <v>42</v>
      </c>
      <c r="T2449">
        <v>0</v>
      </c>
    </row>
    <row r="2450" spans="1:20" x14ac:dyDescent="0.25">
      <c r="A2450" t="s">
        <v>10669</v>
      </c>
      <c r="B2450" s="1">
        <v>45912</v>
      </c>
      <c r="C2450" s="5">
        <v>0.39012731481481483</v>
      </c>
      <c r="D2450">
        <v>5.71</v>
      </c>
      <c r="E2450" t="s">
        <v>44</v>
      </c>
      <c r="F2450" t="s">
        <v>713</v>
      </c>
      <c r="G2450" t="s">
        <v>124</v>
      </c>
      <c r="H2450" t="s">
        <v>66</v>
      </c>
      <c r="I2450" t="s">
        <v>10670</v>
      </c>
      <c r="J2450">
        <v>28</v>
      </c>
      <c r="K2450" t="s">
        <v>49</v>
      </c>
      <c r="L2450" t="s">
        <v>26</v>
      </c>
      <c r="M2450" t="s">
        <v>84</v>
      </c>
      <c r="P2450" t="s">
        <v>28</v>
      </c>
      <c r="Q2450" t="s">
        <v>10671</v>
      </c>
      <c r="R2450" t="s">
        <v>10672</v>
      </c>
      <c r="S2450" t="s">
        <v>31</v>
      </c>
      <c r="T2450">
        <v>0</v>
      </c>
    </row>
    <row r="2451" spans="1:20" x14ac:dyDescent="0.25">
      <c r="A2451" t="s">
        <v>10673</v>
      </c>
      <c r="B2451" s="1">
        <v>45945</v>
      </c>
      <c r="C2451" s="5">
        <v>9.644675925925926E-2</v>
      </c>
      <c r="D2451">
        <v>192.2</v>
      </c>
      <c r="E2451" t="s">
        <v>44</v>
      </c>
      <c r="F2451" t="s">
        <v>1509</v>
      </c>
      <c r="G2451" t="s">
        <v>64</v>
      </c>
      <c r="H2451" t="s">
        <v>47</v>
      </c>
      <c r="I2451" t="s">
        <v>10674</v>
      </c>
      <c r="J2451">
        <v>49</v>
      </c>
      <c r="K2451" t="s">
        <v>25</v>
      </c>
      <c r="L2451" t="s">
        <v>47</v>
      </c>
      <c r="M2451" t="s">
        <v>105</v>
      </c>
      <c r="P2451" t="s">
        <v>113</v>
      </c>
      <c r="Q2451" t="s">
        <v>10675</v>
      </c>
      <c r="R2451" t="s">
        <v>10676</v>
      </c>
      <c r="S2451" t="s">
        <v>31</v>
      </c>
      <c r="T2451">
        <v>0</v>
      </c>
    </row>
    <row r="2452" spans="1:20" x14ac:dyDescent="0.25">
      <c r="A2452" t="s">
        <v>10677</v>
      </c>
      <c r="B2452" s="1">
        <v>45882</v>
      </c>
      <c r="C2452" s="5">
        <v>0.27278935185185182</v>
      </c>
      <c r="D2452">
        <v>146.22</v>
      </c>
      <c r="E2452" t="s">
        <v>44</v>
      </c>
      <c r="F2452" t="s">
        <v>1480</v>
      </c>
      <c r="G2452" t="s">
        <v>22</v>
      </c>
      <c r="H2452" t="s">
        <v>35</v>
      </c>
      <c r="I2452" t="s">
        <v>10678</v>
      </c>
      <c r="J2452">
        <v>69</v>
      </c>
      <c r="K2452" t="s">
        <v>49</v>
      </c>
      <c r="L2452" t="s">
        <v>119</v>
      </c>
      <c r="M2452" t="s">
        <v>51</v>
      </c>
      <c r="N2452" t="s">
        <v>304</v>
      </c>
      <c r="O2452">
        <v>539130</v>
      </c>
      <c r="P2452" t="s">
        <v>28</v>
      </c>
      <c r="Q2452" t="s">
        <v>10679</v>
      </c>
      <c r="R2452" t="s">
        <v>10680</v>
      </c>
      <c r="S2452" t="s">
        <v>31</v>
      </c>
      <c r="T2452">
        <v>0</v>
      </c>
    </row>
    <row r="2453" spans="1:20" x14ac:dyDescent="0.25">
      <c r="A2453" t="s">
        <v>10681</v>
      </c>
      <c r="B2453" s="1">
        <v>45853</v>
      </c>
      <c r="C2453" s="5">
        <v>0.31627314814814816</v>
      </c>
      <c r="D2453">
        <v>160.51</v>
      </c>
      <c r="E2453" t="s">
        <v>44</v>
      </c>
      <c r="F2453" t="s">
        <v>2317</v>
      </c>
      <c r="G2453" t="s">
        <v>64</v>
      </c>
      <c r="H2453" t="s">
        <v>35</v>
      </c>
      <c r="I2453" t="s">
        <v>10682</v>
      </c>
      <c r="J2453">
        <v>33</v>
      </c>
      <c r="K2453" t="s">
        <v>37</v>
      </c>
      <c r="L2453" t="s">
        <v>26</v>
      </c>
      <c r="M2453" t="s">
        <v>27</v>
      </c>
      <c r="P2453" t="s">
        <v>28</v>
      </c>
      <c r="Q2453" t="s">
        <v>10683</v>
      </c>
      <c r="R2453" t="s">
        <v>10684</v>
      </c>
      <c r="S2453" t="s">
        <v>31</v>
      </c>
      <c r="T2453">
        <v>0</v>
      </c>
    </row>
    <row r="2454" spans="1:20" x14ac:dyDescent="0.25">
      <c r="A2454" t="s">
        <v>10685</v>
      </c>
      <c r="B2454" s="1">
        <v>45872</v>
      </c>
      <c r="C2454" s="5">
        <v>0.79168981481481482</v>
      </c>
      <c r="D2454">
        <v>107.87</v>
      </c>
      <c r="E2454" t="s">
        <v>44</v>
      </c>
      <c r="F2454" t="s">
        <v>374</v>
      </c>
      <c r="G2454" t="s">
        <v>71</v>
      </c>
      <c r="H2454" t="s">
        <v>146</v>
      </c>
      <c r="I2454" t="s">
        <v>10686</v>
      </c>
      <c r="J2454">
        <v>23</v>
      </c>
      <c r="K2454" t="s">
        <v>37</v>
      </c>
      <c r="L2454" t="s">
        <v>47</v>
      </c>
      <c r="M2454" t="s">
        <v>51</v>
      </c>
      <c r="N2454" t="s">
        <v>173</v>
      </c>
      <c r="O2454">
        <v>499605</v>
      </c>
      <c r="P2454" t="s">
        <v>28</v>
      </c>
      <c r="Q2454" t="s">
        <v>10687</v>
      </c>
      <c r="R2454" t="s">
        <v>10688</v>
      </c>
      <c r="S2454" t="s">
        <v>31</v>
      </c>
      <c r="T2454">
        <v>0</v>
      </c>
    </row>
    <row r="2455" spans="1:20" x14ac:dyDescent="0.25">
      <c r="A2455" t="s">
        <v>10689</v>
      </c>
      <c r="B2455" s="1">
        <v>45838</v>
      </c>
      <c r="C2455" s="5">
        <v>0.84615740740740741</v>
      </c>
      <c r="D2455">
        <v>130.79</v>
      </c>
      <c r="E2455" t="s">
        <v>44</v>
      </c>
      <c r="F2455" t="s">
        <v>1480</v>
      </c>
      <c r="G2455" t="s">
        <v>89</v>
      </c>
      <c r="H2455" t="s">
        <v>35</v>
      </c>
      <c r="I2455" t="s">
        <v>10690</v>
      </c>
      <c r="J2455">
        <v>46</v>
      </c>
      <c r="K2455" t="s">
        <v>49</v>
      </c>
      <c r="L2455" t="s">
        <v>38</v>
      </c>
      <c r="M2455" t="s">
        <v>112</v>
      </c>
      <c r="P2455" t="s">
        <v>28</v>
      </c>
      <c r="Q2455" t="s">
        <v>10691</v>
      </c>
      <c r="R2455" t="s">
        <v>10692</v>
      </c>
      <c r="S2455" t="s">
        <v>31</v>
      </c>
      <c r="T2455">
        <v>0</v>
      </c>
    </row>
    <row r="2456" spans="1:20" x14ac:dyDescent="0.25">
      <c r="A2456" t="s">
        <v>10693</v>
      </c>
      <c r="B2456" s="1">
        <v>45827</v>
      </c>
      <c r="C2456" s="5">
        <v>0.10655092592592592</v>
      </c>
      <c r="D2456">
        <v>46.36</v>
      </c>
      <c r="E2456" t="s">
        <v>44</v>
      </c>
      <c r="F2456" t="s">
        <v>2144</v>
      </c>
      <c r="G2456" t="s">
        <v>57</v>
      </c>
      <c r="H2456" t="s">
        <v>248</v>
      </c>
      <c r="I2456" t="s">
        <v>10694</v>
      </c>
      <c r="J2456">
        <v>46</v>
      </c>
      <c r="K2456" t="s">
        <v>37</v>
      </c>
      <c r="L2456" t="s">
        <v>58</v>
      </c>
      <c r="M2456" t="s">
        <v>51</v>
      </c>
      <c r="N2456" t="s">
        <v>870</v>
      </c>
      <c r="O2456">
        <v>405781</v>
      </c>
      <c r="P2456" t="s">
        <v>28</v>
      </c>
      <c r="Q2456" t="s">
        <v>10695</v>
      </c>
      <c r="R2456" t="s">
        <v>10696</v>
      </c>
      <c r="S2456" t="s">
        <v>31</v>
      </c>
      <c r="T2456">
        <v>0</v>
      </c>
    </row>
    <row r="2457" spans="1:20" x14ac:dyDescent="0.25">
      <c r="A2457" t="s">
        <v>10697</v>
      </c>
      <c r="B2457" s="1">
        <v>45795</v>
      </c>
      <c r="C2457" s="5">
        <v>0.45902777777777776</v>
      </c>
      <c r="D2457">
        <v>91.47</v>
      </c>
      <c r="E2457" t="s">
        <v>44</v>
      </c>
      <c r="F2457" t="s">
        <v>8686</v>
      </c>
      <c r="G2457" t="s">
        <v>71</v>
      </c>
      <c r="H2457" t="s">
        <v>47</v>
      </c>
      <c r="I2457" t="s">
        <v>10698</v>
      </c>
      <c r="J2457">
        <v>71</v>
      </c>
      <c r="K2457" t="s">
        <v>25</v>
      </c>
      <c r="L2457" t="s">
        <v>23</v>
      </c>
      <c r="M2457" t="s">
        <v>27</v>
      </c>
      <c r="P2457" t="s">
        <v>28</v>
      </c>
      <c r="Q2457" t="s">
        <v>10699</v>
      </c>
      <c r="R2457" t="s">
        <v>10700</v>
      </c>
      <c r="S2457" t="s">
        <v>31</v>
      </c>
      <c r="T2457">
        <v>0</v>
      </c>
    </row>
    <row r="2458" spans="1:20" x14ac:dyDescent="0.25">
      <c r="A2458" t="s">
        <v>10701</v>
      </c>
      <c r="B2458" s="1">
        <v>45826</v>
      </c>
      <c r="C2458" s="5">
        <v>0.37788194444444445</v>
      </c>
      <c r="D2458">
        <v>29.23</v>
      </c>
      <c r="E2458" t="s">
        <v>44</v>
      </c>
      <c r="F2458" t="s">
        <v>10702</v>
      </c>
      <c r="G2458" t="s">
        <v>96</v>
      </c>
      <c r="H2458" t="s">
        <v>110</v>
      </c>
      <c r="I2458" t="s">
        <v>10703</v>
      </c>
      <c r="J2458">
        <v>26</v>
      </c>
      <c r="K2458" t="s">
        <v>25</v>
      </c>
      <c r="L2458" t="s">
        <v>35</v>
      </c>
      <c r="M2458" t="s">
        <v>51</v>
      </c>
      <c r="N2458" t="s">
        <v>345</v>
      </c>
      <c r="O2458">
        <v>419647</v>
      </c>
      <c r="P2458" t="s">
        <v>28</v>
      </c>
      <c r="Q2458" t="s">
        <v>10704</v>
      </c>
      <c r="R2458" t="s">
        <v>10705</v>
      </c>
      <c r="S2458" t="s">
        <v>101</v>
      </c>
      <c r="T2458">
        <v>0</v>
      </c>
    </row>
    <row r="2459" spans="1:20" x14ac:dyDescent="0.25">
      <c r="A2459" t="s">
        <v>10706</v>
      </c>
      <c r="B2459" s="1">
        <v>45960</v>
      </c>
      <c r="C2459" s="5">
        <v>0.2225</v>
      </c>
      <c r="D2459">
        <v>86.78</v>
      </c>
      <c r="E2459" t="s">
        <v>44</v>
      </c>
      <c r="F2459" t="s">
        <v>7721</v>
      </c>
      <c r="G2459" t="s">
        <v>124</v>
      </c>
      <c r="H2459" t="s">
        <v>91</v>
      </c>
      <c r="I2459" t="s">
        <v>10707</v>
      </c>
      <c r="J2459">
        <v>44</v>
      </c>
      <c r="K2459" t="s">
        <v>49</v>
      </c>
      <c r="L2459" t="s">
        <v>119</v>
      </c>
      <c r="M2459" t="s">
        <v>112</v>
      </c>
      <c r="P2459" t="s">
        <v>28</v>
      </c>
      <c r="Q2459" t="s">
        <v>10708</v>
      </c>
      <c r="R2459" t="s">
        <v>10709</v>
      </c>
      <c r="S2459" t="s">
        <v>42</v>
      </c>
      <c r="T2459">
        <v>0</v>
      </c>
    </row>
    <row r="2460" spans="1:20" x14ac:dyDescent="0.25">
      <c r="A2460" t="s">
        <v>10710</v>
      </c>
      <c r="B2460" s="1">
        <v>45850</v>
      </c>
      <c r="C2460" s="5">
        <v>0.95600694444444445</v>
      </c>
      <c r="D2460">
        <v>91.67</v>
      </c>
      <c r="E2460" t="s">
        <v>44</v>
      </c>
      <c r="F2460" t="s">
        <v>9007</v>
      </c>
      <c r="G2460" t="s">
        <v>46</v>
      </c>
      <c r="H2460" t="s">
        <v>130</v>
      </c>
      <c r="I2460" t="s">
        <v>10711</v>
      </c>
      <c r="J2460">
        <v>41</v>
      </c>
      <c r="K2460" t="s">
        <v>49</v>
      </c>
      <c r="L2460" t="s">
        <v>119</v>
      </c>
      <c r="M2460" t="s">
        <v>27</v>
      </c>
      <c r="P2460" t="s">
        <v>28</v>
      </c>
      <c r="Q2460" t="s">
        <v>10712</v>
      </c>
      <c r="R2460" t="s">
        <v>10713</v>
      </c>
      <c r="S2460" t="s">
        <v>31</v>
      </c>
      <c r="T2460">
        <v>0</v>
      </c>
    </row>
    <row r="2461" spans="1:20" x14ac:dyDescent="0.25">
      <c r="A2461" t="s">
        <v>10714</v>
      </c>
      <c r="B2461" s="1">
        <v>45934</v>
      </c>
      <c r="C2461" s="5">
        <v>4.5833333333333334E-3</v>
      </c>
      <c r="D2461">
        <v>679.47</v>
      </c>
      <c r="E2461" t="s">
        <v>44</v>
      </c>
      <c r="F2461" t="s">
        <v>8783</v>
      </c>
      <c r="G2461" t="s">
        <v>124</v>
      </c>
      <c r="H2461" t="s">
        <v>130</v>
      </c>
      <c r="I2461" t="s">
        <v>10715</v>
      </c>
      <c r="J2461">
        <v>46</v>
      </c>
      <c r="K2461" t="s">
        <v>25</v>
      </c>
      <c r="L2461" t="s">
        <v>35</v>
      </c>
      <c r="M2461" t="s">
        <v>105</v>
      </c>
      <c r="P2461" t="s">
        <v>28</v>
      </c>
      <c r="Q2461" t="s">
        <v>10716</v>
      </c>
      <c r="R2461" t="s">
        <v>10717</v>
      </c>
      <c r="S2461" t="s">
        <v>31</v>
      </c>
      <c r="T2461">
        <v>0</v>
      </c>
    </row>
    <row r="2462" spans="1:20" x14ac:dyDescent="0.25">
      <c r="A2462" t="s">
        <v>10718</v>
      </c>
      <c r="B2462" s="1">
        <v>45926</v>
      </c>
      <c r="C2462" s="5">
        <v>0.55518518518518523</v>
      </c>
      <c r="D2462">
        <v>948.51</v>
      </c>
      <c r="E2462" t="s">
        <v>44</v>
      </c>
      <c r="F2462" t="s">
        <v>423</v>
      </c>
      <c r="G2462" t="s">
        <v>57</v>
      </c>
      <c r="H2462" t="s">
        <v>119</v>
      </c>
      <c r="I2462" t="s">
        <v>10719</v>
      </c>
      <c r="J2462">
        <v>53</v>
      </c>
      <c r="K2462" t="s">
        <v>37</v>
      </c>
      <c r="L2462" t="s">
        <v>26</v>
      </c>
      <c r="M2462" t="s">
        <v>51</v>
      </c>
      <c r="N2462" t="s">
        <v>870</v>
      </c>
      <c r="O2462">
        <v>549016</v>
      </c>
      <c r="P2462" t="s">
        <v>28</v>
      </c>
      <c r="Q2462" t="s">
        <v>10720</v>
      </c>
      <c r="R2462" t="s">
        <v>10721</v>
      </c>
      <c r="S2462" t="s">
        <v>31</v>
      </c>
      <c r="T2462">
        <v>0</v>
      </c>
    </row>
    <row r="2463" spans="1:20" x14ac:dyDescent="0.25">
      <c r="A2463" t="s">
        <v>10722</v>
      </c>
      <c r="B2463" s="1">
        <v>45854</v>
      </c>
      <c r="C2463" s="5">
        <v>0.15207175925925925</v>
      </c>
      <c r="D2463">
        <v>900.54</v>
      </c>
      <c r="E2463" t="s">
        <v>44</v>
      </c>
      <c r="F2463" t="s">
        <v>1514</v>
      </c>
      <c r="G2463" t="s">
        <v>71</v>
      </c>
      <c r="H2463" t="s">
        <v>248</v>
      </c>
      <c r="I2463" t="s">
        <v>10723</v>
      </c>
      <c r="J2463">
        <v>23</v>
      </c>
      <c r="K2463" t="s">
        <v>49</v>
      </c>
      <c r="L2463" t="s">
        <v>23</v>
      </c>
      <c r="M2463" t="s">
        <v>27</v>
      </c>
      <c r="P2463" t="s">
        <v>28</v>
      </c>
      <c r="Q2463" t="s">
        <v>10724</v>
      </c>
      <c r="R2463" t="s">
        <v>10725</v>
      </c>
      <c r="S2463" t="s">
        <v>31</v>
      </c>
      <c r="T2463">
        <v>0</v>
      </c>
    </row>
    <row r="2464" spans="1:20" x14ac:dyDescent="0.25">
      <c r="A2464" t="s">
        <v>10726</v>
      </c>
      <c r="B2464" s="1">
        <v>45845</v>
      </c>
      <c r="C2464" s="5">
        <v>0.2618402777777778</v>
      </c>
      <c r="D2464">
        <v>10.02</v>
      </c>
      <c r="E2464" t="s">
        <v>44</v>
      </c>
      <c r="F2464" t="s">
        <v>7491</v>
      </c>
      <c r="G2464" t="s">
        <v>46</v>
      </c>
      <c r="H2464" t="s">
        <v>248</v>
      </c>
      <c r="I2464" t="s">
        <v>10727</v>
      </c>
      <c r="J2464">
        <v>59</v>
      </c>
      <c r="K2464" t="s">
        <v>37</v>
      </c>
      <c r="L2464" t="s">
        <v>38</v>
      </c>
      <c r="M2464" t="s">
        <v>51</v>
      </c>
      <c r="N2464" t="s">
        <v>304</v>
      </c>
      <c r="O2464">
        <v>512148</v>
      </c>
      <c r="P2464" t="s">
        <v>28</v>
      </c>
      <c r="Q2464" t="s">
        <v>10728</v>
      </c>
      <c r="R2464" t="s">
        <v>10729</v>
      </c>
      <c r="S2464" t="s">
        <v>31</v>
      </c>
      <c r="T2464">
        <v>0</v>
      </c>
    </row>
    <row r="2465" spans="1:20" x14ac:dyDescent="0.25">
      <c r="A2465" t="s">
        <v>10730</v>
      </c>
      <c r="B2465" s="1">
        <v>45909</v>
      </c>
      <c r="C2465" s="5">
        <v>0.34666666666666668</v>
      </c>
      <c r="D2465">
        <v>42.29</v>
      </c>
      <c r="E2465" t="s">
        <v>44</v>
      </c>
      <c r="F2465" t="s">
        <v>2200</v>
      </c>
      <c r="G2465" t="s">
        <v>64</v>
      </c>
      <c r="H2465" t="s">
        <v>47</v>
      </c>
      <c r="I2465" t="s">
        <v>10731</v>
      </c>
      <c r="J2465">
        <v>72</v>
      </c>
      <c r="K2465" t="s">
        <v>25</v>
      </c>
      <c r="L2465" t="s">
        <v>248</v>
      </c>
      <c r="M2465" t="s">
        <v>51</v>
      </c>
      <c r="N2465" t="s">
        <v>870</v>
      </c>
      <c r="O2465">
        <v>402524</v>
      </c>
      <c r="P2465" t="s">
        <v>28</v>
      </c>
      <c r="Q2465" t="s">
        <v>10732</v>
      </c>
      <c r="R2465" t="s">
        <v>10733</v>
      </c>
      <c r="S2465" t="s">
        <v>31</v>
      </c>
      <c r="T2465">
        <v>0</v>
      </c>
    </row>
    <row r="2466" spans="1:20" x14ac:dyDescent="0.25">
      <c r="A2466" t="s">
        <v>10734</v>
      </c>
      <c r="B2466" s="1">
        <v>45845</v>
      </c>
      <c r="C2466" s="5">
        <v>9.8067129629629629E-2</v>
      </c>
      <c r="D2466">
        <v>182.21</v>
      </c>
      <c r="E2466" t="s">
        <v>44</v>
      </c>
      <c r="F2466" t="s">
        <v>3681</v>
      </c>
      <c r="G2466" t="s">
        <v>22</v>
      </c>
      <c r="H2466" t="s">
        <v>23</v>
      </c>
      <c r="I2466" t="s">
        <v>10735</v>
      </c>
      <c r="J2466">
        <v>41</v>
      </c>
      <c r="K2466" t="s">
        <v>49</v>
      </c>
      <c r="L2466" t="s">
        <v>50</v>
      </c>
      <c r="M2466" t="s">
        <v>27</v>
      </c>
      <c r="P2466" t="s">
        <v>28</v>
      </c>
      <c r="Q2466" t="s">
        <v>10736</v>
      </c>
      <c r="R2466" t="s">
        <v>10737</v>
      </c>
      <c r="S2466" t="s">
        <v>31</v>
      </c>
      <c r="T2466">
        <v>0</v>
      </c>
    </row>
    <row r="2467" spans="1:20" x14ac:dyDescent="0.25">
      <c r="A2467" t="s">
        <v>10738</v>
      </c>
      <c r="B2467" s="1">
        <v>45851</v>
      </c>
      <c r="C2467" s="5">
        <v>0.66328703703703706</v>
      </c>
      <c r="D2467">
        <v>96.3</v>
      </c>
      <c r="E2467" t="s">
        <v>44</v>
      </c>
      <c r="F2467" t="s">
        <v>5858</v>
      </c>
      <c r="G2467" t="s">
        <v>89</v>
      </c>
      <c r="H2467" t="s">
        <v>66</v>
      </c>
      <c r="I2467" t="s">
        <v>10739</v>
      </c>
      <c r="J2467">
        <v>49</v>
      </c>
      <c r="K2467" t="s">
        <v>49</v>
      </c>
      <c r="L2467" t="s">
        <v>23</v>
      </c>
      <c r="M2467" t="s">
        <v>84</v>
      </c>
      <c r="P2467" t="s">
        <v>28</v>
      </c>
      <c r="Q2467" t="s">
        <v>10740</v>
      </c>
      <c r="R2467" t="s">
        <v>10741</v>
      </c>
      <c r="S2467" t="s">
        <v>31</v>
      </c>
      <c r="T2467">
        <v>0</v>
      </c>
    </row>
    <row r="2468" spans="1:20" x14ac:dyDescent="0.25">
      <c r="A2468" t="s">
        <v>10742</v>
      </c>
      <c r="B2468" s="1">
        <v>45870</v>
      </c>
      <c r="C2468" s="5">
        <v>7.5787037037037042E-2</v>
      </c>
      <c r="D2468">
        <v>90.94</v>
      </c>
      <c r="E2468" t="s">
        <v>44</v>
      </c>
      <c r="F2468" t="s">
        <v>2805</v>
      </c>
      <c r="G2468" t="s">
        <v>22</v>
      </c>
      <c r="H2468" t="s">
        <v>91</v>
      </c>
      <c r="I2468" t="s">
        <v>10743</v>
      </c>
      <c r="J2468">
        <v>68</v>
      </c>
      <c r="K2468" t="s">
        <v>49</v>
      </c>
      <c r="L2468" t="s">
        <v>35</v>
      </c>
      <c r="M2468" t="s">
        <v>39</v>
      </c>
      <c r="P2468" t="s">
        <v>28</v>
      </c>
      <c r="Q2468" t="s">
        <v>10744</v>
      </c>
      <c r="R2468" t="s">
        <v>10745</v>
      </c>
      <c r="S2468" t="s">
        <v>101</v>
      </c>
      <c r="T2468">
        <v>0</v>
      </c>
    </row>
    <row r="2469" spans="1:20" x14ac:dyDescent="0.25">
      <c r="A2469" t="s">
        <v>10746</v>
      </c>
      <c r="B2469" s="1">
        <v>45928</v>
      </c>
      <c r="C2469" s="5">
        <v>0.48774305555555558</v>
      </c>
      <c r="D2469">
        <v>100.69</v>
      </c>
      <c r="E2469" t="s">
        <v>44</v>
      </c>
      <c r="F2469" t="s">
        <v>7403</v>
      </c>
      <c r="G2469" t="s">
        <v>46</v>
      </c>
      <c r="H2469" t="s">
        <v>23</v>
      </c>
      <c r="I2469" t="s">
        <v>10747</v>
      </c>
      <c r="J2469">
        <v>25</v>
      </c>
      <c r="K2469" t="s">
        <v>25</v>
      </c>
      <c r="L2469" t="s">
        <v>146</v>
      </c>
      <c r="M2469" t="s">
        <v>51</v>
      </c>
      <c r="N2469" t="s">
        <v>304</v>
      </c>
      <c r="O2469">
        <v>492037</v>
      </c>
      <c r="P2469" t="s">
        <v>28</v>
      </c>
      <c r="Q2469" t="s">
        <v>10748</v>
      </c>
      <c r="R2469" t="s">
        <v>10749</v>
      </c>
      <c r="S2469" t="s">
        <v>31</v>
      </c>
      <c r="T2469">
        <v>0</v>
      </c>
    </row>
    <row r="2470" spans="1:20" x14ac:dyDescent="0.25">
      <c r="A2470" t="s">
        <v>10750</v>
      </c>
      <c r="B2470" s="1">
        <v>45834</v>
      </c>
      <c r="C2470" s="5">
        <v>0.64554398148148151</v>
      </c>
      <c r="D2470">
        <v>22.37</v>
      </c>
      <c r="E2470" t="s">
        <v>44</v>
      </c>
      <c r="F2470" t="s">
        <v>1133</v>
      </c>
      <c r="G2470" t="s">
        <v>22</v>
      </c>
      <c r="H2470" t="s">
        <v>35</v>
      </c>
      <c r="I2470" t="s">
        <v>10751</v>
      </c>
      <c r="J2470">
        <v>42</v>
      </c>
      <c r="K2470" t="s">
        <v>25</v>
      </c>
      <c r="L2470" t="s">
        <v>58</v>
      </c>
      <c r="M2470" t="s">
        <v>39</v>
      </c>
      <c r="P2470" t="s">
        <v>28</v>
      </c>
      <c r="Q2470" t="s">
        <v>10752</v>
      </c>
      <c r="R2470" t="s">
        <v>10753</v>
      </c>
      <c r="S2470" t="s">
        <v>31</v>
      </c>
      <c r="T2470">
        <v>0</v>
      </c>
    </row>
    <row r="2471" spans="1:20" x14ac:dyDescent="0.25">
      <c r="A2471" t="s">
        <v>10754</v>
      </c>
      <c r="B2471" s="1">
        <v>45790</v>
      </c>
      <c r="C2471" s="5">
        <v>0.55136574074074074</v>
      </c>
      <c r="D2471">
        <v>568.66999999999996</v>
      </c>
      <c r="E2471" t="s">
        <v>44</v>
      </c>
      <c r="F2471" t="s">
        <v>6772</v>
      </c>
      <c r="G2471" t="s">
        <v>71</v>
      </c>
      <c r="H2471" t="s">
        <v>50</v>
      </c>
      <c r="I2471" t="s">
        <v>10755</v>
      </c>
      <c r="J2471">
        <v>64</v>
      </c>
      <c r="K2471" t="s">
        <v>25</v>
      </c>
      <c r="L2471" t="s">
        <v>119</v>
      </c>
      <c r="M2471" t="s">
        <v>105</v>
      </c>
      <c r="P2471" t="s">
        <v>28</v>
      </c>
      <c r="Q2471" t="s">
        <v>10756</v>
      </c>
      <c r="R2471" t="s">
        <v>10757</v>
      </c>
      <c r="S2471" t="s">
        <v>31</v>
      </c>
      <c r="T2471">
        <v>0</v>
      </c>
    </row>
    <row r="2472" spans="1:20" x14ac:dyDescent="0.25">
      <c r="A2472" t="s">
        <v>10758</v>
      </c>
      <c r="B2472" s="1">
        <v>45956</v>
      </c>
      <c r="C2472" s="5">
        <v>0.9253703703703704</v>
      </c>
      <c r="D2472">
        <v>141.58000000000001</v>
      </c>
      <c r="E2472" t="s">
        <v>44</v>
      </c>
      <c r="F2472" t="s">
        <v>3821</v>
      </c>
      <c r="G2472" t="s">
        <v>124</v>
      </c>
      <c r="H2472" t="s">
        <v>248</v>
      </c>
      <c r="I2472" t="s">
        <v>10759</v>
      </c>
      <c r="J2472">
        <v>27</v>
      </c>
      <c r="K2472" t="s">
        <v>49</v>
      </c>
      <c r="L2472" t="s">
        <v>91</v>
      </c>
      <c r="M2472" t="s">
        <v>112</v>
      </c>
      <c r="P2472" t="s">
        <v>28</v>
      </c>
      <c r="Q2472" t="s">
        <v>10760</v>
      </c>
      <c r="R2472" t="s">
        <v>10761</v>
      </c>
      <c r="S2472" t="s">
        <v>31</v>
      </c>
      <c r="T2472">
        <v>0</v>
      </c>
    </row>
    <row r="2473" spans="1:20" x14ac:dyDescent="0.25">
      <c r="A2473" t="s">
        <v>10762</v>
      </c>
      <c r="B2473" s="1">
        <v>45833</v>
      </c>
      <c r="C2473" s="5">
        <v>0.36649305555555556</v>
      </c>
      <c r="D2473">
        <v>189.48</v>
      </c>
      <c r="E2473" t="s">
        <v>44</v>
      </c>
      <c r="F2473" t="s">
        <v>1869</v>
      </c>
      <c r="G2473" t="s">
        <v>89</v>
      </c>
      <c r="H2473" t="s">
        <v>146</v>
      </c>
      <c r="I2473" t="s">
        <v>10763</v>
      </c>
      <c r="J2473">
        <v>21</v>
      </c>
      <c r="K2473" t="s">
        <v>25</v>
      </c>
      <c r="L2473" t="s">
        <v>110</v>
      </c>
      <c r="M2473" t="s">
        <v>39</v>
      </c>
      <c r="P2473" t="s">
        <v>28</v>
      </c>
      <c r="Q2473" t="s">
        <v>10764</v>
      </c>
      <c r="R2473" t="s">
        <v>10765</v>
      </c>
      <c r="S2473" t="s">
        <v>42</v>
      </c>
      <c r="T2473">
        <v>0</v>
      </c>
    </row>
    <row r="2474" spans="1:20" x14ac:dyDescent="0.25">
      <c r="A2474" t="s">
        <v>10766</v>
      </c>
      <c r="B2474" s="1">
        <v>45825</v>
      </c>
      <c r="C2474" s="5">
        <v>0.61587962962962961</v>
      </c>
      <c r="D2474">
        <v>143.63</v>
      </c>
      <c r="E2474" t="s">
        <v>44</v>
      </c>
      <c r="F2474" t="s">
        <v>898</v>
      </c>
      <c r="G2474" t="s">
        <v>34</v>
      </c>
      <c r="H2474" t="s">
        <v>50</v>
      </c>
      <c r="I2474" t="s">
        <v>10767</v>
      </c>
      <c r="J2474">
        <v>36</v>
      </c>
      <c r="K2474" t="s">
        <v>37</v>
      </c>
      <c r="L2474" t="s">
        <v>50</v>
      </c>
      <c r="M2474" t="s">
        <v>84</v>
      </c>
      <c r="P2474" t="s">
        <v>113</v>
      </c>
      <c r="Q2474" t="s">
        <v>10768</v>
      </c>
      <c r="R2474" t="s">
        <v>10769</v>
      </c>
      <c r="S2474" t="s">
        <v>42</v>
      </c>
      <c r="T2474">
        <v>0</v>
      </c>
    </row>
    <row r="2475" spans="1:20" x14ac:dyDescent="0.25">
      <c r="A2475" t="s">
        <v>10770</v>
      </c>
      <c r="B2475" s="1">
        <v>45950</v>
      </c>
      <c r="C2475" s="5">
        <v>0.10344907407407407</v>
      </c>
      <c r="D2475">
        <v>120.51</v>
      </c>
      <c r="E2475" t="s">
        <v>44</v>
      </c>
      <c r="F2475" t="s">
        <v>3748</v>
      </c>
      <c r="G2475" t="s">
        <v>57</v>
      </c>
      <c r="H2475" t="s">
        <v>38</v>
      </c>
      <c r="I2475" t="s">
        <v>10771</v>
      </c>
      <c r="J2475">
        <v>20</v>
      </c>
      <c r="K2475" t="s">
        <v>25</v>
      </c>
      <c r="L2475" t="s">
        <v>110</v>
      </c>
      <c r="M2475" t="s">
        <v>39</v>
      </c>
      <c r="P2475" t="s">
        <v>28</v>
      </c>
      <c r="Q2475" t="s">
        <v>10772</v>
      </c>
      <c r="R2475" t="s">
        <v>10773</v>
      </c>
      <c r="S2475" t="s">
        <v>101</v>
      </c>
      <c r="T2475">
        <v>0</v>
      </c>
    </row>
    <row r="2476" spans="1:20" x14ac:dyDescent="0.25">
      <c r="A2476" t="s">
        <v>10774</v>
      </c>
      <c r="B2476" s="1">
        <v>45796</v>
      </c>
      <c r="C2476" s="5">
        <v>0.99502314814814818</v>
      </c>
      <c r="D2476">
        <v>120.78</v>
      </c>
      <c r="E2476" t="s">
        <v>44</v>
      </c>
      <c r="F2476" t="s">
        <v>4710</v>
      </c>
      <c r="G2476" t="s">
        <v>89</v>
      </c>
      <c r="H2476" t="s">
        <v>26</v>
      </c>
      <c r="I2476" t="s">
        <v>10775</v>
      </c>
      <c r="J2476">
        <v>37</v>
      </c>
      <c r="K2476" t="s">
        <v>25</v>
      </c>
      <c r="L2476" t="s">
        <v>97</v>
      </c>
      <c r="M2476" t="s">
        <v>84</v>
      </c>
      <c r="P2476" t="s">
        <v>28</v>
      </c>
      <c r="Q2476" t="s">
        <v>10776</v>
      </c>
      <c r="R2476" t="s">
        <v>10777</v>
      </c>
      <c r="S2476" t="s">
        <v>31</v>
      </c>
      <c r="T2476">
        <v>0</v>
      </c>
    </row>
    <row r="2477" spans="1:20" x14ac:dyDescent="0.25">
      <c r="A2477" t="s">
        <v>10778</v>
      </c>
      <c r="B2477" s="1">
        <v>45786</v>
      </c>
      <c r="C2477" s="5">
        <v>0.41030092592592593</v>
      </c>
      <c r="D2477">
        <v>125.82</v>
      </c>
      <c r="E2477" t="s">
        <v>44</v>
      </c>
      <c r="F2477" t="s">
        <v>7242</v>
      </c>
      <c r="G2477" t="s">
        <v>124</v>
      </c>
      <c r="H2477" t="s">
        <v>130</v>
      </c>
      <c r="I2477" t="s">
        <v>10779</v>
      </c>
      <c r="J2477">
        <v>51</v>
      </c>
      <c r="K2477" t="s">
        <v>49</v>
      </c>
      <c r="L2477" t="s">
        <v>91</v>
      </c>
      <c r="M2477" t="s">
        <v>51</v>
      </c>
      <c r="N2477" t="s">
        <v>173</v>
      </c>
      <c r="O2477">
        <v>554029</v>
      </c>
      <c r="P2477" t="s">
        <v>28</v>
      </c>
      <c r="Q2477" t="s">
        <v>10780</v>
      </c>
      <c r="R2477" t="s">
        <v>10781</v>
      </c>
      <c r="S2477" t="s">
        <v>31</v>
      </c>
      <c r="T2477">
        <v>0</v>
      </c>
    </row>
    <row r="2478" spans="1:20" x14ac:dyDescent="0.25">
      <c r="A2478" t="s">
        <v>10782</v>
      </c>
      <c r="B2478" s="1">
        <v>45804</v>
      </c>
      <c r="C2478" s="5">
        <v>0.67644675925925923</v>
      </c>
      <c r="D2478">
        <v>11.3</v>
      </c>
      <c r="E2478" t="s">
        <v>44</v>
      </c>
      <c r="F2478" t="s">
        <v>10783</v>
      </c>
      <c r="G2478" t="s">
        <v>64</v>
      </c>
      <c r="H2478" t="s">
        <v>38</v>
      </c>
      <c r="I2478" t="s">
        <v>10784</v>
      </c>
      <c r="J2478">
        <v>25</v>
      </c>
      <c r="K2478" t="s">
        <v>25</v>
      </c>
      <c r="L2478" t="s">
        <v>97</v>
      </c>
      <c r="M2478" t="s">
        <v>112</v>
      </c>
      <c r="P2478" t="s">
        <v>28</v>
      </c>
      <c r="Q2478" t="s">
        <v>10785</v>
      </c>
      <c r="R2478" t="s">
        <v>10786</v>
      </c>
      <c r="S2478" t="s">
        <v>31</v>
      </c>
      <c r="T2478">
        <v>0</v>
      </c>
    </row>
    <row r="2479" spans="1:20" x14ac:dyDescent="0.25">
      <c r="A2479" t="s">
        <v>10787</v>
      </c>
      <c r="B2479" s="1">
        <v>45932</v>
      </c>
      <c r="C2479" s="5">
        <v>0.24509259259259258</v>
      </c>
      <c r="D2479">
        <v>3813.6</v>
      </c>
      <c r="E2479" t="s">
        <v>44</v>
      </c>
      <c r="F2479" t="s">
        <v>399</v>
      </c>
      <c r="G2479" t="s">
        <v>96</v>
      </c>
      <c r="H2479" t="s">
        <v>38</v>
      </c>
      <c r="I2479" t="s">
        <v>10788</v>
      </c>
      <c r="J2479">
        <v>28</v>
      </c>
      <c r="K2479" t="s">
        <v>49</v>
      </c>
      <c r="L2479" t="s">
        <v>35</v>
      </c>
      <c r="M2479" t="s">
        <v>105</v>
      </c>
      <c r="P2479" t="s">
        <v>28</v>
      </c>
      <c r="Q2479" t="s">
        <v>10789</v>
      </c>
      <c r="R2479" t="s">
        <v>10790</v>
      </c>
      <c r="S2479" t="s">
        <v>31</v>
      </c>
      <c r="T2479">
        <v>0</v>
      </c>
    </row>
    <row r="2480" spans="1:20" x14ac:dyDescent="0.25">
      <c r="A2480" t="s">
        <v>10791</v>
      </c>
      <c r="B2480" s="1">
        <v>45912</v>
      </c>
      <c r="C2480" s="5">
        <v>0.73829861111111106</v>
      </c>
      <c r="D2480">
        <v>82.54</v>
      </c>
      <c r="E2480" t="s">
        <v>44</v>
      </c>
      <c r="F2480" t="s">
        <v>1973</v>
      </c>
      <c r="G2480" t="s">
        <v>57</v>
      </c>
      <c r="H2480" t="s">
        <v>50</v>
      </c>
      <c r="I2480" t="s">
        <v>10792</v>
      </c>
      <c r="J2480">
        <v>37</v>
      </c>
      <c r="K2480" t="s">
        <v>25</v>
      </c>
      <c r="L2480" t="s">
        <v>23</v>
      </c>
      <c r="M2480" t="s">
        <v>105</v>
      </c>
      <c r="P2480" t="s">
        <v>28</v>
      </c>
      <c r="Q2480" t="s">
        <v>10793</v>
      </c>
      <c r="R2480" t="s">
        <v>10794</v>
      </c>
      <c r="S2480" t="s">
        <v>31</v>
      </c>
      <c r="T2480">
        <v>0</v>
      </c>
    </row>
    <row r="2481" spans="1:20" x14ac:dyDescent="0.25">
      <c r="A2481" t="s">
        <v>10795</v>
      </c>
      <c r="B2481" s="1">
        <v>45947</v>
      </c>
      <c r="C2481" s="5">
        <v>0.87804398148148144</v>
      </c>
      <c r="D2481">
        <v>151.68</v>
      </c>
      <c r="E2481" t="s">
        <v>44</v>
      </c>
      <c r="F2481" t="s">
        <v>3385</v>
      </c>
      <c r="G2481" t="s">
        <v>71</v>
      </c>
      <c r="H2481" t="s">
        <v>248</v>
      </c>
      <c r="I2481" t="s">
        <v>10796</v>
      </c>
      <c r="J2481">
        <v>37</v>
      </c>
      <c r="K2481" t="s">
        <v>25</v>
      </c>
      <c r="L2481" t="s">
        <v>248</v>
      </c>
      <c r="M2481" t="s">
        <v>112</v>
      </c>
      <c r="P2481" t="s">
        <v>113</v>
      </c>
      <c r="Q2481" t="s">
        <v>10797</v>
      </c>
      <c r="R2481" t="s">
        <v>10798</v>
      </c>
      <c r="S2481" t="s">
        <v>31</v>
      </c>
      <c r="T2481">
        <v>0</v>
      </c>
    </row>
    <row r="2482" spans="1:20" x14ac:dyDescent="0.25">
      <c r="A2482" t="s">
        <v>10799</v>
      </c>
      <c r="B2482" s="1">
        <v>45804</v>
      </c>
      <c r="C2482" s="5">
        <v>0.70001157407407411</v>
      </c>
      <c r="D2482">
        <v>83.34</v>
      </c>
      <c r="E2482" t="s">
        <v>44</v>
      </c>
      <c r="F2482" t="s">
        <v>2190</v>
      </c>
      <c r="G2482" t="s">
        <v>46</v>
      </c>
      <c r="H2482" t="s">
        <v>50</v>
      </c>
      <c r="I2482" t="s">
        <v>10800</v>
      </c>
      <c r="J2482">
        <v>37</v>
      </c>
      <c r="K2482" t="s">
        <v>25</v>
      </c>
      <c r="L2482" t="s">
        <v>91</v>
      </c>
      <c r="M2482" t="s">
        <v>84</v>
      </c>
      <c r="P2482" t="s">
        <v>28</v>
      </c>
      <c r="Q2482" t="s">
        <v>10801</v>
      </c>
      <c r="R2482" t="s">
        <v>10802</v>
      </c>
      <c r="S2482" t="s">
        <v>42</v>
      </c>
      <c r="T2482">
        <v>0</v>
      </c>
    </row>
    <row r="2483" spans="1:20" x14ac:dyDescent="0.25">
      <c r="A2483" t="s">
        <v>10803</v>
      </c>
      <c r="B2483" s="1">
        <v>45863</v>
      </c>
      <c r="C2483" s="5">
        <v>0.79984953703703698</v>
      </c>
      <c r="D2483">
        <v>30.18</v>
      </c>
      <c r="E2483" t="s">
        <v>44</v>
      </c>
      <c r="F2483" t="s">
        <v>2556</v>
      </c>
      <c r="G2483" t="s">
        <v>46</v>
      </c>
      <c r="H2483" t="s">
        <v>248</v>
      </c>
      <c r="I2483" t="s">
        <v>10804</v>
      </c>
      <c r="J2483">
        <v>13</v>
      </c>
      <c r="K2483" t="s">
        <v>49</v>
      </c>
      <c r="L2483" t="s">
        <v>130</v>
      </c>
      <c r="M2483" t="s">
        <v>27</v>
      </c>
      <c r="P2483" t="s">
        <v>28</v>
      </c>
      <c r="Q2483" t="s">
        <v>10805</v>
      </c>
      <c r="R2483" t="s">
        <v>10806</v>
      </c>
      <c r="S2483" t="s">
        <v>31</v>
      </c>
      <c r="T2483">
        <v>0</v>
      </c>
    </row>
    <row r="2484" spans="1:20" x14ac:dyDescent="0.25">
      <c r="A2484" t="s">
        <v>10807</v>
      </c>
      <c r="B2484" s="1">
        <v>45929</v>
      </c>
      <c r="C2484" s="5">
        <v>0.72105324074074073</v>
      </c>
      <c r="D2484">
        <v>296.58</v>
      </c>
      <c r="E2484" t="s">
        <v>44</v>
      </c>
      <c r="F2484" t="s">
        <v>4473</v>
      </c>
      <c r="G2484" t="s">
        <v>64</v>
      </c>
      <c r="H2484" t="s">
        <v>66</v>
      </c>
      <c r="I2484" t="s">
        <v>10808</v>
      </c>
      <c r="J2484">
        <v>21</v>
      </c>
      <c r="K2484" t="s">
        <v>49</v>
      </c>
      <c r="L2484" t="s">
        <v>47</v>
      </c>
      <c r="M2484" t="s">
        <v>84</v>
      </c>
      <c r="P2484" t="s">
        <v>28</v>
      </c>
      <c r="Q2484" t="s">
        <v>10809</v>
      </c>
      <c r="R2484" t="s">
        <v>10810</v>
      </c>
      <c r="S2484" t="s">
        <v>31</v>
      </c>
      <c r="T2484">
        <v>0</v>
      </c>
    </row>
    <row r="2485" spans="1:20" x14ac:dyDescent="0.25">
      <c r="A2485" t="s">
        <v>10811</v>
      </c>
      <c r="B2485" s="1">
        <v>45895</v>
      </c>
      <c r="C2485" s="5">
        <v>0.50335648148148149</v>
      </c>
      <c r="D2485">
        <v>127.1</v>
      </c>
      <c r="E2485" t="s">
        <v>44</v>
      </c>
      <c r="F2485" t="s">
        <v>8383</v>
      </c>
      <c r="G2485" t="s">
        <v>71</v>
      </c>
      <c r="H2485" t="s">
        <v>97</v>
      </c>
      <c r="I2485" t="s">
        <v>10743</v>
      </c>
      <c r="J2485">
        <v>49</v>
      </c>
      <c r="K2485" t="s">
        <v>37</v>
      </c>
      <c r="L2485" t="s">
        <v>91</v>
      </c>
      <c r="M2485" t="s">
        <v>84</v>
      </c>
      <c r="P2485" t="s">
        <v>28</v>
      </c>
      <c r="Q2485" t="s">
        <v>10812</v>
      </c>
      <c r="R2485" t="s">
        <v>10813</v>
      </c>
      <c r="S2485" t="s">
        <v>31</v>
      </c>
      <c r="T2485">
        <v>0</v>
      </c>
    </row>
    <row r="2486" spans="1:20" x14ac:dyDescent="0.25">
      <c r="A2486" t="s">
        <v>10814</v>
      </c>
      <c r="B2486" s="1">
        <v>45817</v>
      </c>
      <c r="C2486" s="5">
        <v>0.3865277777777778</v>
      </c>
      <c r="D2486">
        <v>192.32</v>
      </c>
      <c r="E2486" t="s">
        <v>44</v>
      </c>
      <c r="F2486" t="s">
        <v>6668</v>
      </c>
      <c r="G2486" t="s">
        <v>57</v>
      </c>
      <c r="H2486" t="s">
        <v>26</v>
      </c>
      <c r="I2486" t="s">
        <v>10815</v>
      </c>
      <c r="J2486">
        <v>61</v>
      </c>
      <c r="K2486" t="s">
        <v>25</v>
      </c>
      <c r="L2486" t="s">
        <v>91</v>
      </c>
      <c r="M2486" t="s">
        <v>51</v>
      </c>
      <c r="N2486" t="s">
        <v>345</v>
      </c>
      <c r="O2486">
        <v>532737</v>
      </c>
      <c r="P2486" t="s">
        <v>28</v>
      </c>
      <c r="Q2486" t="s">
        <v>10816</v>
      </c>
      <c r="R2486" t="s">
        <v>10817</v>
      </c>
      <c r="S2486" t="s">
        <v>31</v>
      </c>
      <c r="T2486">
        <v>0</v>
      </c>
    </row>
    <row r="2487" spans="1:20" x14ac:dyDescent="0.25">
      <c r="A2487" t="s">
        <v>10818</v>
      </c>
      <c r="B2487" s="1">
        <v>45906</v>
      </c>
      <c r="C2487" s="5">
        <v>0.96626157407407409</v>
      </c>
      <c r="D2487">
        <v>194.45</v>
      </c>
      <c r="E2487" t="s">
        <v>44</v>
      </c>
      <c r="F2487" t="s">
        <v>6270</v>
      </c>
      <c r="G2487" t="s">
        <v>57</v>
      </c>
      <c r="H2487" t="s">
        <v>23</v>
      </c>
      <c r="I2487" t="s">
        <v>10819</v>
      </c>
      <c r="J2487">
        <v>67</v>
      </c>
      <c r="K2487" t="s">
        <v>49</v>
      </c>
      <c r="L2487" t="s">
        <v>23</v>
      </c>
      <c r="M2487" t="s">
        <v>112</v>
      </c>
      <c r="P2487" t="s">
        <v>113</v>
      </c>
      <c r="Q2487" t="s">
        <v>10820</v>
      </c>
      <c r="R2487" t="s">
        <v>10821</v>
      </c>
      <c r="S2487" t="s">
        <v>31</v>
      </c>
      <c r="T2487">
        <v>0</v>
      </c>
    </row>
    <row r="2488" spans="1:20" x14ac:dyDescent="0.25">
      <c r="A2488" t="s">
        <v>10822</v>
      </c>
      <c r="B2488" s="1">
        <v>45859</v>
      </c>
      <c r="C2488" s="5">
        <v>0.81254629629629627</v>
      </c>
      <c r="D2488">
        <v>30.61</v>
      </c>
      <c r="E2488" t="s">
        <v>44</v>
      </c>
      <c r="F2488" t="s">
        <v>10823</v>
      </c>
      <c r="G2488" t="s">
        <v>124</v>
      </c>
      <c r="H2488" t="s">
        <v>110</v>
      </c>
      <c r="I2488" t="s">
        <v>10824</v>
      </c>
      <c r="J2488">
        <v>43</v>
      </c>
      <c r="K2488" t="s">
        <v>37</v>
      </c>
      <c r="L2488" t="s">
        <v>130</v>
      </c>
      <c r="M2488" t="s">
        <v>39</v>
      </c>
      <c r="P2488" t="s">
        <v>28</v>
      </c>
      <c r="Q2488" t="s">
        <v>10825</v>
      </c>
      <c r="R2488" t="s">
        <v>10826</v>
      </c>
      <c r="S2488" t="s">
        <v>31</v>
      </c>
      <c r="T2488">
        <v>0</v>
      </c>
    </row>
    <row r="2489" spans="1:20" x14ac:dyDescent="0.25">
      <c r="A2489" t="s">
        <v>10827</v>
      </c>
      <c r="B2489" s="1">
        <v>45890</v>
      </c>
      <c r="C2489" s="5">
        <v>0.421875</v>
      </c>
      <c r="D2489">
        <v>101.27</v>
      </c>
      <c r="E2489" t="s">
        <v>44</v>
      </c>
      <c r="F2489" t="s">
        <v>8754</v>
      </c>
      <c r="G2489" t="s">
        <v>57</v>
      </c>
      <c r="H2489" t="s">
        <v>66</v>
      </c>
      <c r="I2489" t="s">
        <v>10828</v>
      </c>
      <c r="K2489" t="s">
        <v>49</v>
      </c>
      <c r="L2489" t="s">
        <v>130</v>
      </c>
      <c r="M2489" t="s">
        <v>51</v>
      </c>
      <c r="N2489" t="s">
        <v>345</v>
      </c>
      <c r="O2489">
        <v>422451</v>
      </c>
      <c r="P2489" t="s">
        <v>28</v>
      </c>
      <c r="Q2489" t="s">
        <v>10829</v>
      </c>
      <c r="R2489" t="s">
        <v>10830</v>
      </c>
      <c r="S2489" t="s">
        <v>31</v>
      </c>
      <c r="T2489">
        <v>0</v>
      </c>
    </row>
    <row r="2490" spans="1:20" x14ac:dyDescent="0.25">
      <c r="A2490" t="s">
        <v>10831</v>
      </c>
      <c r="B2490" s="1">
        <v>45834</v>
      </c>
      <c r="C2490" s="5">
        <v>0.25532407407407409</v>
      </c>
      <c r="D2490">
        <v>2.97</v>
      </c>
      <c r="E2490" t="s">
        <v>44</v>
      </c>
      <c r="F2490" t="s">
        <v>2299</v>
      </c>
      <c r="G2490" t="s">
        <v>64</v>
      </c>
      <c r="H2490" t="s">
        <v>97</v>
      </c>
      <c r="I2490" t="s">
        <v>10832</v>
      </c>
      <c r="J2490">
        <v>36</v>
      </c>
      <c r="K2490" t="s">
        <v>37</v>
      </c>
      <c r="L2490" t="s">
        <v>58</v>
      </c>
      <c r="M2490" t="s">
        <v>51</v>
      </c>
      <c r="N2490" t="s">
        <v>52</v>
      </c>
      <c r="O2490">
        <v>542701</v>
      </c>
      <c r="P2490" t="s">
        <v>28</v>
      </c>
      <c r="Q2490" t="s">
        <v>10833</v>
      </c>
      <c r="R2490" t="s">
        <v>10834</v>
      </c>
      <c r="S2490" t="s">
        <v>31</v>
      </c>
      <c r="T2490">
        <v>0</v>
      </c>
    </row>
    <row r="2491" spans="1:20" x14ac:dyDescent="0.25">
      <c r="A2491" t="s">
        <v>10835</v>
      </c>
      <c r="B2491" s="1">
        <v>45955</v>
      </c>
      <c r="C2491" s="5">
        <v>0.12247685185185185</v>
      </c>
      <c r="D2491">
        <v>66.39</v>
      </c>
      <c r="E2491" t="s">
        <v>44</v>
      </c>
      <c r="F2491" t="s">
        <v>1451</v>
      </c>
      <c r="G2491" t="s">
        <v>22</v>
      </c>
      <c r="H2491" t="s">
        <v>38</v>
      </c>
      <c r="I2491" t="s">
        <v>10836</v>
      </c>
      <c r="J2491">
        <v>61</v>
      </c>
      <c r="K2491" t="s">
        <v>37</v>
      </c>
      <c r="L2491" t="s">
        <v>97</v>
      </c>
      <c r="M2491" t="s">
        <v>51</v>
      </c>
      <c r="N2491" t="s">
        <v>52</v>
      </c>
      <c r="O2491">
        <v>494871</v>
      </c>
      <c r="P2491" t="s">
        <v>28</v>
      </c>
      <c r="Q2491" t="s">
        <v>10837</v>
      </c>
      <c r="R2491" t="s">
        <v>10838</v>
      </c>
      <c r="S2491" t="s">
        <v>101</v>
      </c>
      <c r="T2491">
        <v>0</v>
      </c>
    </row>
    <row r="2492" spans="1:20" x14ac:dyDescent="0.25">
      <c r="A2492" t="s">
        <v>10839</v>
      </c>
      <c r="B2492" s="1">
        <v>45919</v>
      </c>
      <c r="C2492" s="5">
        <v>0.31115740740740738</v>
      </c>
      <c r="D2492">
        <v>163.22999999999999</v>
      </c>
      <c r="E2492" t="s">
        <v>44</v>
      </c>
      <c r="F2492" t="s">
        <v>2961</v>
      </c>
      <c r="G2492" t="s">
        <v>22</v>
      </c>
      <c r="H2492" t="s">
        <v>97</v>
      </c>
      <c r="I2492" t="s">
        <v>10840</v>
      </c>
      <c r="J2492">
        <v>29</v>
      </c>
      <c r="K2492" t="s">
        <v>37</v>
      </c>
      <c r="L2492" t="s">
        <v>91</v>
      </c>
      <c r="M2492" t="s">
        <v>39</v>
      </c>
      <c r="P2492" t="s">
        <v>28</v>
      </c>
      <c r="Q2492" t="s">
        <v>10841</v>
      </c>
      <c r="R2492" t="s">
        <v>10842</v>
      </c>
      <c r="S2492" t="s">
        <v>31</v>
      </c>
      <c r="T2492">
        <v>0</v>
      </c>
    </row>
    <row r="2493" spans="1:20" x14ac:dyDescent="0.25">
      <c r="A2493" t="s">
        <v>10843</v>
      </c>
      <c r="B2493" s="1">
        <v>45873</v>
      </c>
      <c r="C2493" s="5">
        <v>0.14964120370370371</v>
      </c>
      <c r="D2493">
        <v>152.04</v>
      </c>
      <c r="E2493" t="s">
        <v>44</v>
      </c>
      <c r="F2493" t="s">
        <v>3708</v>
      </c>
      <c r="G2493" t="s">
        <v>89</v>
      </c>
      <c r="H2493" t="s">
        <v>38</v>
      </c>
      <c r="I2493" t="s">
        <v>5620</v>
      </c>
      <c r="J2493">
        <v>22</v>
      </c>
      <c r="K2493" t="s">
        <v>25</v>
      </c>
      <c r="L2493" t="s">
        <v>248</v>
      </c>
      <c r="M2493" t="s">
        <v>84</v>
      </c>
      <c r="P2493" t="s">
        <v>28</v>
      </c>
      <c r="Q2493" t="s">
        <v>10844</v>
      </c>
      <c r="R2493" t="s">
        <v>10845</v>
      </c>
      <c r="S2493" t="s">
        <v>31</v>
      </c>
      <c r="T2493">
        <v>0</v>
      </c>
    </row>
    <row r="2494" spans="1:20" x14ac:dyDescent="0.25">
      <c r="A2494" t="s">
        <v>10846</v>
      </c>
      <c r="B2494" s="1">
        <v>45783</v>
      </c>
      <c r="C2494" s="5">
        <v>0.72078703703703706</v>
      </c>
      <c r="D2494">
        <v>86.66</v>
      </c>
      <c r="E2494" t="s">
        <v>44</v>
      </c>
      <c r="F2494" t="s">
        <v>4852</v>
      </c>
      <c r="G2494" t="s">
        <v>34</v>
      </c>
      <c r="H2494" t="s">
        <v>110</v>
      </c>
      <c r="I2494" t="s">
        <v>10847</v>
      </c>
      <c r="J2494">
        <v>46</v>
      </c>
      <c r="K2494" t="s">
        <v>49</v>
      </c>
      <c r="L2494" t="s">
        <v>50</v>
      </c>
      <c r="M2494" t="s">
        <v>39</v>
      </c>
      <c r="P2494" t="s">
        <v>28</v>
      </c>
      <c r="Q2494" t="s">
        <v>10848</v>
      </c>
      <c r="R2494" t="s">
        <v>10849</v>
      </c>
      <c r="S2494" t="s">
        <v>31</v>
      </c>
      <c r="T2494">
        <v>0</v>
      </c>
    </row>
    <row r="2495" spans="1:20" x14ac:dyDescent="0.25">
      <c r="A2495" t="s">
        <v>10850</v>
      </c>
      <c r="B2495" s="1">
        <v>45931</v>
      </c>
      <c r="C2495" s="5">
        <v>0.21359953703703705</v>
      </c>
      <c r="D2495">
        <v>88.53</v>
      </c>
      <c r="E2495" t="s">
        <v>44</v>
      </c>
      <c r="F2495" t="s">
        <v>2176</v>
      </c>
      <c r="G2495" t="s">
        <v>96</v>
      </c>
      <c r="H2495" t="s">
        <v>35</v>
      </c>
      <c r="I2495" t="s">
        <v>10851</v>
      </c>
      <c r="J2495">
        <v>71</v>
      </c>
      <c r="K2495" t="s">
        <v>37</v>
      </c>
      <c r="L2495" t="s">
        <v>35</v>
      </c>
      <c r="M2495" t="s">
        <v>51</v>
      </c>
      <c r="N2495" t="s">
        <v>507</v>
      </c>
      <c r="O2495">
        <v>465696</v>
      </c>
      <c r="P2495" t="s">
        <v>113</v>
      </c>
      <c r="Q2495" t="s">
        <v>10852</v>
      </c>
      <c r="R2495" t="s">
        <v>10853</v>
      </c>
      <c r="S2495" t="s">
        <v>31</v>
      </c>
      <c r="T2495">
        <v>0</v>
      </c>
    </row>
    <row r="2496" spans="1:20" x14ac:dyDescent="0.25">
      <c r="A2496" t="s">
        <v>10854</v>
      </c>
      <c r="B2496" s="1">
        <v>45908</v>
      </c>
      <c r="C2496" s="5">
        <v>0.86714120370370373</v>
      </c>
      <c r="D2496">
        <v>2.37</v>
      </c>
      <c r="E2496" t="s">
        <v>44</v>
      </c>
      <c r="F2496" t="s">
        <v>4775</v>
      </c>
      <c r="G2496" t="s">
        <v>64</v>
      </c>
      <c r="H2496" t="s">
        <v>110</v>
      </c>
      <c r="I2496" t="s">
        <v>1347</v>
      </c>
      <c r="J2496">
        <v>29</v>
      </c>
      <c r="K2496" t="s">
        <v>49</v>
      </c>
      <c r="L2496" t="s">
        <v>91</v>
      </c>
      <c r="M2496" t="s">
        <v>51</v>
      </c>
      <c r="N2496" t="s">
        <v>507</v>
      </c>
      <c r="O2496">
        <v>535675</v>
      </c>
      <c r="P2496" t="s">
        <v>28</v>
      </c>
      <c r="Q2496" t="s">
        <v>10855</v>
      </c>
      <c r="R2496" t="s">
        <v>10856</v>
      </c>
      <c r="S2496" t="s">
        <v>31</v>
      </c>
      <c r="T2496">
        <v>0</v>
      </c>
    </row>
    <row r="2497" spans="1:20" x14ac:dyDescent="0.25">
      <c r="A2497" t="s">
        <v>10857</v>
      </c>
      <c r="B2497" s="1">
        <v>45958</v>
      </c>
      <c r="C2497" s="5">
        <v>0.68436342592592592</v>
      </c>
      <c r="D2497">
        <v>496.8</v>
      </c>
      <c r="E2497" t="s">
        <v>44</v>
      </c>
      <c r="F2497" t="s">
        <v>1790</v>
      </c>
      <c r="G2497" t="s">
        <v>124</v>
      </c>
      <c r="H2497" t="s">
        <v>58</v>
      </c>
      <c r="I2497" t="s">
        <v>10858</v>
      </c>
      <c r="J2497">
        <v>16</v>
      </c>
      <c r="K2497" t="s">
        <v>49</v>
      </c>
      <c r="L2497" t="s">
        <v>130</v>
      </c>
      <c r="M2497" t="s">
        <v>112</v>
      </c>
      <c r="P2497" t="s">
        <v>28</v>
      </c>
      <c r="Q2497" t="s">
        <v>10859</v>
      </c>
      <c r="R2497" t="s">
        <v>10745</v>
      </c>
      <c r="S2497" t="s">
        <v>31</v>
      </c>
      <c r="T2497">
        <v>0</v>
      </c>
    </row>
    <row r="2498" spans="1:20" x14ac:dyDescent="0.25">
      <c r="A2498" t="s">
        <v>10860</v>
      </c>
      <c r="B2498" s="1">
        <v>45840</v>
      </c>
      <c r="C2498" s="5">
        <v>0.38718750000000002</v>
      </c>
      <c r="D2498">
        <v>115.8</v>
      </c>
      <c r="E2498" t="s">
        <v>44</v>
      </c>
      <c r="F2498" t="s">
        <v>6265</v>
      </c>
      <c r="G2498" t="s">
        <v>77</v>
      </c>
      <c r="H2498" t="s">
        <v>248</v>
      </c>
      <c r="I2498" t="s">
        <v>10861</v>
      </c>
      <c r="J2498">
        <v>53</v>
      </c>
      <c r="K2498" t="s">
        <v>49</v>
      </c>
      <c r="L2498" t="s">
        <v>66</v>
      </c>
      <c r="M2498" t="s">
        <v>112</v>
      </c>
      <c r="P2498" t="s">
        <v>28</v>
      </c>
      <c r="Q2498" t="s">
        <v>10862</v>
      </c>
      <c r="R2498" t="s">
        <v>10863</v>
      </c>
      <c r="S2498" t="s">
        <v>101</v>
      </c>
      <c r="T2498">
        <v>1</v>
      </c>
    </row>
    <row r="2499" spans="1:20" x14ac:dyDescent="0.25">
      <c r="A2499" t="s">
        <v>10864</v>
      </c>
      <c r="B2499" s="1">
        <v>45875</v>
      </c>
      <c r="C2499" s="5">
        <v>2.4062500000000001E-2</v>
      </c>
      <c r="D2499">
        <v>166.27</v>
      </c>
      <c r="E2499" t="s">
        <v>44</v>
      </c>
      <c r="F2499" t="s">
        <v>2707</v>
      </c>
      <c r="G2499" t="s">
        <v>77</v>
      </c>
      <c r="H2499" t="s">
        <v>130</v>
      </c>
      <c r="I2499" t="s">
        <v>10865</v>
      </c>
      <c r="J2499">
        <v>53</v>
      </c>
      <c r="K2499" t="s">
        <v>49</v>
      </c>
      <c r="L2499" t="s">
        <v>119</v>
      </c>
      <c r="M2499" t="s">
        <v>51</v>
      </c>
      <c r="N2499" t="s">
        <v>173</v>
      </c>
      <c r="O2499">
        <v>409813</v>
      </c>
      <c r="P2499" t="s">
        <v>28</v>
      </c>
      <c r="Q2499" t="s">
        <v>10866</v>
      </c>
      <c r="R2499" t="s">
        <v>10867</v>
      </c>
      <c r="S2499" t="s">
        <v>31</v>
      </c>
      <c r="T2499">
        <v>0</v>
      </c>
    </row>
    <row r="2500" spans="1:20" x14ac:dyDescent="0.25">
      <c r="A2500" t="s">
        <v>10868</v>
      </c>
      <c r="B2500" s="1">
        <v>45848</v>
      </c>
      <c r="C2500" s="5">
        <v>0.83414351851851853</v>
      </c>
      <c r="D2500">
        <v>159.97</v>
      </c>
      <c r="E2500" t="s">
        <v>44</v>
      </c>
      <c r="F2500" t="s">
        <v>3763</v>
      </c>
      <c r="G2500" t="s">
        <v>89</v>
      </c>
      <c r="H2500" t="s">
        <v>23</v>
      </c>
      <c r="I2500" t="s">
        <v>10869</v>
      </c>
      <c r="J2500">
        <v>30</v>
      </c>
      <c r="K2500" t="s">
        <v>37</v>
      </c>
      <c r="L2500" t="s">
        <v>47</v>
      </c>
      <c r="M2500" t="s">
        <v>84</v>
      </c>
      <c r="P2500" t="s">
        <v>28</v>
      </c>
      <c r="Q2500" t="s">
        <v>10870</v>
      </c>
      <c r="R2500" t="s">
        <v>10871</v>
      </c>
      <c r="S2500" t="s">
        <v>31</v>
      </c>
      <c r="T2500">
        <v>0</v>
      </c>
    </row>
    <row r="2501" spans="1:20" x14ac:dyDescent="0.25">
      <c r="A2501" t="s">
        <v>10872</v>
      </c>
      <c r="B2501" s="1">
        <v>45913</v>
      </c>
      <c r="C2501" s="5">
        <v>0.75627314814814817</v>
      </c>
      <c r="D2501">
        <v>196.7</v>
      </c>
      <c r="E2501" t="s">
        <v>44</v>
      </c>
      <c r="F2501" t="s">
        <v>1612</v>
      </c>
      <c r="G2501" t="s">
        <v>96</v>
      </c>
      <c r="H2501" t="s">
        <v>38</v>
      </c>
      <c r="I2501" t="s">
        <v>10873</v>
      </c>
      <c r="J2501">
        <v>65</v>
      </c>
      <c r="K2501" t="s">
        <v>49</v>
      </c>
      <c r="L2501" t="s">
        <v>47</v>
      </c>
      <c r="M2501" t="s">
        <v>27</v>
      </c>
      <c r="P2501" t="s">
        <v>28</v>
      </c>
      <c r="Q2501" t="s">
        <v>10874</v>
      </c>
      <c r="R2501" t="s">
        <v>10875</v>
      </c>
      <c r="S2501" t="s">
        <v>31</v>
      </c>
      <c r="T2501">
        <v>0</v>
      </c>
    </row>
    <row r="2502" spans="1:20" x14ac:dyDescent="0.25">
      <c r="A2502" t="s">
        <v>10876</v>
      </c>
      <c r="B2502" s="1">
        <v>45894</v>
      </c>
      <c r="C2502" s="5">
        <v>0.80960648148148151</v>
      </c>
      <c r="D2502">
        <v>171.29</v>
      </c>
      <c r="E2502" t="s">
        <v>44</v>
      </c>
      <c r="F2502" t="s">
        <v>2494</v>
      </c>
      <c r="G2502" t="s">
        <v>124</v>
      </c>
      <c r="H2502" t="s">
        <v>248</v>
      </c>
      <c r="I2502" t="s">
        <v>10877</v>
      </c>
      <c r="J2502">
        <v>21</v>
      </c>
      <c r="K2502" t="s">
        <v>25</v>
      </c>
      <c r="L2502" t="s">
        <v>26</v>
      </c>
      <c r="M2502" t="s">
        <v>27</v>
      </c>
      <c r="P2502" t="s">
        <v>28</v>
      </c>
      <c r="Q2502" t="s">
        <v>10878</v>
      </c>
      <c r="R2502" t="s">
        <v>10879</v>
      </c>
      <c r="S2502" t="s">
        <v>31</v>
      </c>
      <c r="T2502">
        <v>0</v>
      </c>
    </row>
    <row r="2503" spans="1:20" x14ac:dyDescent="0.25">
      <c r="A2503" t="s">
        <v>10880</v>
      </c>
      <c r="B2503" s="1">
        <v>45823</v>
      </c>
      <c r="C2503" s="5">
        <v>0.11722222222222223</v>
      </c>
      <c r="D2503">
        <v>92.93</v>
      </c>
      <c r="E2503" t="s">
        <v>44</v>
      </c>
      <c r="F2503" t="s">
        <v>4696</v>
      </c>
      <c r="G2503" t="s">
        <v>22</v>
      </c>
      <c r="H2503" t="s">
        <v>38</v>
      </c>
      <c r="I2503" t="s">
        <v>10881</v>
      </c>
      <c r="J2503">
        <v>36</v>
      </c>
      <c r="K2503" t="s">
        <v>25</v>
      </c>
      <c r="L2503" t="s">
        <v>97</v>
      </c>
      <c r="M2503" t="s">
        <v>39</v>
      </c>
      <c r="P2503" t="s">
        <v>28</v>
      </c>
      <c r="Q2503" t="s">
        <v>10882</v>
      </c>
      <c r="R2503" t="s">
        <v>10883</v>
      </c>
      <c r="S2503" t="s">
        <v>31</v>
      </c>
      <c r="T2503">
        <v>0</v>
      </c>
    </row>
    <row r="2504" spans="1:20" x14ac:dyDescent="0.25">
      <c r="A2504" t="s">
        <v>10884</v>
      </c>
      <c r="B2504" s="1">
        <v>45826</v>
      </c>
      <c r="C2504" s="5">
        <v>0.13631944444444444</v>
      </c>
      <c r="D2504">
        <v>17.45</v>
      </c>
      <c r="E2504" t="s">
        <v>44</v>
      </c>
      <c r="F2504" t="s">
        <v>3526</v>
      </c>
      <c r="G2504" t="s">
        <v>124</v>
      </c>
      <c r="H2504" t="s">
        <v>97</v>
      </c>
      <c r="I2504" t="s">
        <v>3362</v>
      </c>
      <c r="J2504">
        <v>31</v>
      </c>
      <c r="K2504" t="s">
        <v>25</v>
      </c>
      <c r="L2504" t="s">
        <v>130</v>
      </c>
      <c r="M2504" t="s">
        <v>27</v>
      </c>
      <c r="P2504" t="s">
        <v>28</v>
      </c>
      <c r="Q2504" t="s">
        <v>10885</v>
      </c>
      <c r="R2504" t="s">
        <v>10886</v>
      </c>
      <c r="S2504" t="s">
        <v>31</v>
      </c>
      <c r="T2504">
        <v>0</v>
      </c>
    </row>
    <row r="2505" spans="1:20" x14ac:dyDescent="0.25">
      <c r="A2505" t="s">
        <v>10887</v>
      </c>
      <c r="B2505" s="1">
        <v>45805</v>
      </c>
      <c r="C2505" s="5">
        <v>0.27682870370370372</v>
      </c>
      <c r="D2505">
        <v>36.33</v>
      </c>
      <c r="E2505" t="s">
        <v>44</v>
      </c>
      <c r="F2505" t="s">
        <v>5322</v>
      </c>
      <c r="G2505" t="s">
        <v>57</v>
      </c>
      <c r="H2505" t="s">
        <v>38</v>
      </c>
      <c r="I2505" t="s">
        <v>10888</v>
      </c>
      <c r="J2505">
        <v>55</v>
      </c>
      <c r="K2505" t="s">
        <v>25</v>
      </c>
      <c r="L2505" t="s">
        <v>23</v>
      </c>
      <c r="M2505" t="s">
        <v>84</v>
      </c>
      <c r="P2505" t="s">
        <v>28</v>
      </c>
      <c r="Q2505" t="s">
        <v>10889</v>
      </c>
      <c r="R2505" t="s">
        <v>10890</v>
      </c>
      <c r="S2505" t="s">
        <v>31</v>
      </c>
      <c r="T2505">
        <v>0</v>
      </c>
    </row>
    <row r="2506" spans="1:20" x14ac:dyDescent="0.25">
      <c r="A2506" t="s">
        <v>10891</v>
      </c>
      <c r="B2506" s="1">
        <v>45871</v>
      </c>
      <c r="C2506" s="5">
        <v>0.41563657407407406</v>
      </c>
      <c r="D2506">
        <v>386.07</v>
      </c>
      <c r="E2506" t="s">
        <v>44</v>
      </c>
      <c r="F2506" t="s">
        <v>4811</v>
      </c>
      <c r="G2506" t="s">
        <v>57</v>
      </c>
      <c r="H2506" t="s">
        <v>119</v>
      </c>
      <c r="I2506" t="s">
        <v>10892</v>
      </c>
      <c r="J2506">
        <v>70</v>
      </c>
      <c r="K2506" t="s">
        <v>49</v>
      </c>
      <c r="L2506" t="s">
        <v>248</v>
      </c>
      <c r="M2506" t="s">
        <v>112</v>
      </c>
      <c r="P2506" t="s">
        <v>28</v>
      </c>
      <c r="Q2506" t="s">
        <v>10893</v>
      </c>
      <c r="R2506" t="s">
        <v>10894</v>
      </c>
      <c r="S2506" t="s">
        <v>31</v>
      </c>
      <c r="T2506">
        <v>0</v>
      </c>
    </row>
    <row r="2507" spans="1:20" x14ac:dyDescent="0.25">
      <c r="A2507" t="s">
        <v>10895</v>
      </c>
      <c r="B2507" s="1">
        <v>45880</v>
      </c>
      <c r="C2507" s="5">
        <v>0.16077546296296297</v>
      </c>
      <c r="D2507">
        <v>166.92</v>
      </c>
      <c r="E2507" t="s">
        <v>44</v>
      </c>
      <c r="F2507" t="s">
        <v>7144</v>
      </c>
      <c r="G2507" t="s">
        <v>89</v>
      </c>
      <c r="H2507" t="s">
        <v>66</v>
      </c>
      <c r="I2507" t="s">
        <v>10896</v>
      </c>
      <c r="J2507">
        <v>38</v>
      </c>
      <c r="K2507" t="s">
        <v>49</v>
      </c>
      <c r="L2507" t="s">
        <v>91</v>
      </c>
      <c r="M2507" t="s">
        <v>105</v>
      </c>
      <c r="P2507" t="s">
        <v>28</v>
      </c>
      <c r="Q2507" t="s">
        <v>10897</v>
      </c>
      <c r="R2507" t="s">
        <v>10898</v>
      </c>
      <c r="S2507" t="s">
        <v>31</v>
      </c>
      <c r="T2507">
        <v>0</v>
      </c>
    </row>
    <row r="2508" spans="1:20" x14ac:dyDescent="0.25">
      <c r="A2508" t="s">
        <v>10899</v>
      </c>
      <c r="B2508" s="1">
        <v>45831</v>
      </c>
      <c r="C2508" s="5">
        <v>0.9185416666666667</v>
      </c>
      <c r="D2508">
        <v>194</v>
      </c>
      <c r="E2508" t="s">
        <v>44</v>
      </c>
      <c r="F2508" t="s">
        <v>10099</v>
      </c>
      <c r="G2508" t="s">
        <v>57</v>
      </c>
      <c r="H2508" t="s">
        <v>97</v>
      </c>
      <c r="I2508" t="s">
        <v>10900</v>
      </c>
      <c r="J2508">
        <v>66</v>
      </c>
      <c r="K2508" t="s">
        <v>37</v>
      </c>
      <c r="L2508" t="s">
        <v>248</v>
      </c>
      <c r="M2508" t="s">
        <v>112</v>
      </c>
      <c r="P2508" t="s">
        <v>28</v>
      </c>
      <c r="Q2508" t="s">
        <v>10901</v>
      </c>
      <c r="R2508" t="s">
        <v>9429</v>
      </c>
      <c r="S2508" t="s">
        <v>42</v>
      </c>
      <c r="T2508">
        <v>0</v>
      </c>
    </row>
    <row r="2509" spans="1:20" x14ac:dyDescent="0.25">
      <c r="A2509" t="s">
        <v>10902</v>
      </c>
      <c r="B2509" s="1">
        <v>45818</v>
      </c>
      <c r="C2509" s="5">
        <v>0.78978009259259263</v>
      </c>
      <c r="D2509">
        <v>20.97</v>
      </c>
      <c r="E2509" t="s">
        <v>44</v>
      </c>
      <c r="F2509" t="s">
        <v>156</v>
      </c>
      <c r="G2509" t="s">
        <v>71</v>
      </c>
      <c r="H2509" t="s">
        <v>23</v>
      </c>
      <c r="I2509" t="s">
        <v>10903</v>
      </c>
      <c r="J2509">
        <v>42</v>
      </c>
      <c r="K2509" t="s">
        <v>25</v>
      </c>
      <c r="L2509" t="s">
        <v>110</v>
      </c>
      <c r="M2509" t="s">
        <v>112</v>
      </c>
      <c r="P2509" t="s">
        <v>28</v>
      </c>
      <c r="Q2509" t="s">
        <v>10904</v>
      </c>
      <c r="R2509" t="s">
        <v>10905</v>
      </c>
      <c r="S2509" t="s">
        <v>31</v>
      </c>
      <c r="T2509">
        <v>1</v>
      </c>
    </row>
    <row r="2510" spans="1:20" x14ac:dyDescent="0.25">
      <c r="A2510" t="s">
        <v>10906</v>
      </c>
      <c r="B2510" s="1">
        <v>45788</v>
      </c>
      <c r="C2510" s="5">
        <v>0.95001157407407411</v>
      </c>
      <c r="D2510">
        <v>81.62</v>
      </c>
      <c r="E2510" t="s">
        <v>44</v>
      </c>
      <c r="F2510" t="s">
        <v>10907</v>
      </c>
      <c r="G2510" t="s">
        <v>22</v>
      </c>
      <c r="H2510" t="s">
        <v>110</v>
      </c>
      <c r="I2510" t="s">
        <v>10908</v>
      </c>
      <c r="J2510">
        <v>32</v>
      </c>
      <c r="K2510" t="s">
        <v>37</v>
      </c>
      <c r="L2510" t="s">
        <v>119</v>
      </c>
      <c r="M2510" t="s">
        <v>112</v>
      </c>
      <c r="P2510" t="s">
        <v>28</v>
      </c>
      <c r="Q2510" t="s">
        <v>10909</v>
      </c>
      <c r="R2510" t="s">
        <v>10910</v>
      </c>
      <c r="S2510" t="s">
        <v>31</v>
      </c>
      <c r="T2510">
        <v>0</v>
      </c>
    </row>
    <row r="2511" spans="1:20" x14ac:dyDescent="0.25">
      <c r="A2511" t="s">
        <v>10911</v>
      </c>
      <c r="B2511" s="1">
        <v>45805</v>
      </c>
      <c r="C2511" s="5">
        <v>0.56928240740740743</v>
      </c>
      <c r="D2511">
        <v>86.63</v>
      </c>
      <c r="E2511" t="s">
        <v>44</v>
      </c>
      <c r="F2511" t="s">
        <v>1120</v>
      </c>
      <c r="G2511" t="s">
        <v>57</v>
      </c>
      <c r="H2511" t="s">
        <v>26</v>
      </c>
      <c r="I2511" t="s">
        <v>10912</v>
      </c>
      <c r="J2511">
        <v>53</v>
      </c>
      <c r="K2511" t="s">
        <v>25</v>
      </c>
      <c r="L2511" t="s">
        <v>130</v>
      </c>
      <c r="M2511" t="s">
        <v>27</v>
      </c>
      <c r="P2511" t="s">
        <v>28</v>
      </c>
      <c r="Q2511" t="s">
        <v>10913</v>
      </c>
      <c r="R2511" t="s">
        <v>7067</v>
      </c>
      <c r="S2511" t="s">
        <v>101</v>
      </c>
      <c r="T2511">
        <v>0</v>
      </c>
    </row>
    <row r="2512" spans="1:20" x14ac:dyDescent="0.25">
      <c r="A2512" t="s">
        <v>10914</v>
      </c>
      <c r="B2512" s="1">
        <v>45878</v>
      </c>
      <c r="C2512" s="5">
        <v>0.76241898148148146</v>
      </c>
      <c r="D2512">
        <v>97.56</v>
      </c>
      <c r="E2512" t="s">
        <v>44</v>
      </c>
      <c r="F2512" t="s">
        <v>2494</v>
      </c>
      <c r="G2512" t="s">
        <v>89</v>
      </c>
      <c r="H2512" t="s">
        <v>119</v>
      </c>
      <c r="I2512" t="s">
        <v>10915</v>
      </c>
      <c r="J2512">
        <v>18</v>
      </c>
      <c r="K2512" t="s">
        <v>25</v>
      </c>
      <c r="L2512" t="s">
        <v>38</v>
      </c>
      <c r="M2512" t="s">
        <v>39</v>
      </c>
      <c r="P2512" t="s">
        <v>28</v>
      </c>
      <c r="Q2512" t="s">
        <v>10916</v>
      </c>
      <c r="R2512" t="s">
        <v>10917</v>
      </c>
      <c r="S2512" t="s">
        <v>31</v>
      </c>
      <c r="T2512">
        <v>0</v>
      </c>
    </row>
    <row r="2513" spans="1:20" x14ac:dyDescent="0.25">
      <c r="A2513" t="s">
        <v>10918</v>
      </c>
      <c r="B2513" s="1">
        <v>45956</v>
      </c>
      <c r="C2513" s="5">
        <v>0.63747685185185188</v>
      </c>
      <c r="D2513">
        <v>954.5</v>
      </c>
      <c r="E2513" t="s">
        <v>44</v>
      </c>
      <c r="F2513" t="s">
        <v>8247</v>
      </c>
      <c r="G2513" t="s">
        <v>57</v>
      </c>
      <c r="H2513" t="s">
        <v>248</v>
      </c>
      <c r="I2513" t="s">
        <v>10919</v>
      </c>
      <c r="J2513">
        <v>23</v>
      </c>
      <c r="K2513" t="s">
        <v>37</v>
      </c>
      <c r="L2513" t="s">
        <v>146</v>
      </c>
      <c r="M2513" t="s">
        <v>27</v>
      </c>
      <c r="P2513" t="s">
        <v>28</v>
      </c>
      <c r="Q2513" t="s">
        <v>10920</v>
      </c>
      <c r="R2513" t="s">
        <v>10921</v>
      </c>
      <c r="S2513" t="s">
        <v>31</v>
      </c>
      <c r="T2513">
        <v>1</v>
      </c>
    </row>
    <row r="2514" spans="1:20" x14ac:dyDescent="0.25">
      <c r="A2514" t="s">
        <v>10922</v>
      </c>
      <c r="B2514" s="1">
        <v>45787</v>
      </c>
      <c r="C2514" s="5">
        <v>0.52532407407407411</v>
      </c>
      <c r="D2514">
        <v>131.06</v>
      </c>
      <c r="E2514" t="s">
        <v>44</v>
      </c>
      <c r="F2514" t="s">
        <v>601</v>
      </c>
      <c r="G2514" t="s">
        <v>124</v>
      </c>
      <c r="H2514" t="s">
        <v>50</v>
      </c>
      <c r="I2514" t="s">
        <v>10923</v>
      </c>
      <c r="J2514">
        <v>27</v>
      </c>
      <c r="K2514" t="s">
        <v>25</v>
      </c>
      <c r="L2514" t="s">
        <v>119</v>
      </c>
      <c r="M2514" t="s">
        <v>27</v>
      </c>
      <c r="P2514" t="s">
        <v>28</v>
      </c>
      <c r="Q2514" t="s">
        <v>10924</v>
      </c>
      <c r="R2514" t="s">
        <v>10925</v>
      </c>
      <c r="S2514" t="s">
        <v>31</v>
      </c>
      <c r="T2514">
        <v>0</v>
      </c>
    </row>
    <row r="2515" spans="1:20" x14ac:dyDescent="0.25">
      <c r="A2515" t="s">
        <v>10926</v>
      </c>
      <c r="B2515" s="1">
        <v>45905</v>
      </c>
      <c r="C2515" s="5">
        <v>0.48335648148148147</v>
      </c>
      <c r="D2515">
        <v>116.35</v>
      </c>
      <c r="E2515" t="s">
        <v>44</v>
      </c>
      <c r="F2515" t="s">
        <v>1548</v>
      </c>
      <c r="G2515" t="s">
        <v>46</v>
      </c>
      <c r="H2515" t="s">
        <v>97</v>
      </c>
      <c r="I2515" t="s">
        <v>10927</v>
      </c>
      <c r="J2515">
        <v>62</v>
      </c>
      <c r="K2515" t="s">
        <v>37</v>
      </c>
      <c r="L2515" t="s">
        <v>50</v>
      </c>
      <c r="M2515" t="s">
        <v>39</v>
      </c>
      <c r="P2515" t="s">
        <v>28</v>
      </c>
      <c r="Q2515" t="s">
        <v>10928</v>
      </c>
      <c r="R2515" t="s">
        <v>10929</v>
      </c>
      <c r="S2515" t="s">
        <v>31</v>
      </c>
      <c r="T2515">
        <v>0</v>
      </c>
    </row>
    <row r="2516" spans="1:20" x14ac:dyDescent="0.25">
      <c r="A2516" t="s">
        <v>10930</v>
      </c>
      <c r="B2516" s="1">
        <v>45827</v>
      </c>
      <c r="C2516" s="5">
        <v>0.29386574074074073</v>
      </c>
      <c r="D2516">
        <v>186.34</v>
      </c>
      <c r="E2516" t="s">
        <v>44</v>
      </c>
      <c r="F2516" t="s">
        <v>5072</v>
      </c>
      <c r="G2516" t="s">
        <v>57</v>
      </c>
      <c r="H2516" t="s">
        <v>119</v>
      </c>
      <c r="I2516" t="s">
        <v>10931</v>
      </c>
      <c r="J2516">
        <v>20</v>
      </c>
      <c r="K2516" t="s">
        <v>37</v>
      </c>
      <c r="L2516" t="s">
        <v>110</v>
      </c>
      <c r="M2516" t="s">
        <v>27</v>
      </c>
      <c r="P2516" t="s">
        <v>28</v>
      </c>
      <c r="Q2516" t="s">
        <v>10932</v>
      </c>
      <c r="R2516" t="s">
        <v>10933</v>
      </c>
      <c r="S2516" t="s">
        <v>31</v>
      </c>
      <c r="T2516">
        <v>0</v>
      </c>
    </row>
    <row r="2517" spans="1:20" x14ac:dyDescent="0.25">
      <c r="A2517" t="s">
        <v>10934</v>
      </c>
      <c r="B2517" s="1">
        <v>45879</v>
      </c>
      <c r="C2517" s="5">
        <v>4.4409722222222225E-2</v>
      </c>
      <c r="D2517">
        <v>44.9</v>
      </c>
      <c r="E2517" t="s">
        <v>44</v>
      </c>
      <c r="F2517" t="s">
        <v>2635</v>
      </c>
      <c r="G2517" t="s">
        <v>46</v>
      </c>
      <c r="H2517" t="s">
        <v>130</v>
      </c>
      <c r="I2517" t="s">
        <v>10935</v>
      </c>
      <c r="J2517">
        <v>39</v>
      </c>
      <c r="K2517" t="s">
        <v>49</v>
      </c>
      <c r="L2517" t="s">
        <v>248</v>
      </c>
      <c r="M2517" t="s">
        <v>105</v>
      </c>
      <c r="P2517" t="s">
        <v>28</v>
      </c>
      <c r="Q2517" t="s">
        <v>10936</v>
      </c>
      <c r="R2517" t="s">
        <v>10937</v>
      </c>
      <c r="S2517" t="s">
        <v>31</v>
      </c>
      <c r="T2517">
        <v>0</v>
      </c>
    </row>
    <row r="2518" spans="1:20" x14ac:dyDescent="0.25">
      <c r="A2518" t="s">
        <v>10938</v>
      </c>
      <c r="B2518" s="1">
        <v>45781</v>
      </c>
      <c r="C2518" s="5">
        <v>0.54903935185185182</v>
      </c>
      <c r="D2518">
        <v>438.71</v>
      </c>
      <c r="E2518" t="s">
        <v>44</v>
      </c>
      <c r="F2518" t="s">
        <v>7821</v>
      </c>
      <c r="G2518" t="s">
        <v>22</v>
      </c>
      <c r="H2518" t="s">
        <v>23</v>
      </c>
      <c r="I2518" t="s">
        <v>10939</v>
      </c>
      <c r="J2518">
        <v>72</v>
      </c>
      <c r="K2518" t="s">
        <v>37</v>
      </c>
      <c r="L2518" t="s">
        <v>23</v>
      </c>
      <c r="M2518" t="s">
        <v>112</v>
      </c>
      <c r="P2518" t="s">
        <v>113</v>
      </c>
      <c r="Q2518" t="s">
        <v>10940</v>
      </c>
      <c r="R2518" t="s">
        <v>10941</v>
      </c>
      <c r="S2518" t="s">
        <v>31</v>
      </c>
      <c r="T2518">
        <v>0</v>
      </c>
    </row>
    <row r="2519" spans="1:20" x14ac:dyDescent="0.25">
      <c r="A2519" t="s">
        <v>10942</v>
      </c>
      <c r="B2519" s="1">
        <v>45926</v>
      </c>
      <c r="C2519" s="5">
        <v>0.52695601851851848</v>
      </c>
      <c r="D2519">
        <v>367.09</v>
      </c>
      <c r="E2519" t="s">
        <v>44</v>
      </c>
      <c r="F2519" t="s">
        <v>263</v>
      </c>
      <c r="G2519" t="s">
        <v>96</v>
      </c>
      <c r="H2519" t="s">
        <v>119</v>
      </c>
      <c r="I2519" t="s">
        <v>10943</v>
      </c>
      <c r="J2519">
        <v>29</v>
      </c>
      <c r="K2519" t="s">
        <v>25</v>
      </c>
      <c r="L2519" t="s">
        <v>110</v>
      </c>
      <c r="M2519" t="s">
        <v>39</v>
      </c>
      <c r="P2519" t="s">
        <v>28</v>
      </c>
      <c r="Q2519" t="s">
        <v>10944</v>
      </c>
      <c r="R2519" t="s">
        <v>10945</v>
      </c>
      <c r="S2519" t="s">
        <v>31</v>
      </c>
      <c r="T2519">
        <v>0</v>
      </c>
    </row>
    <row r="2520" spans="1:20" x14ac:dyDescent="0.25">
      <c r="A2520" t="s">
        <v>10946</v>
      </c>
      <c r="B2520" s="1">
        <v>45798</v>
      </c>
      <c r="C2520" s="5">
        <v>0.26327546296296295</v>
      </c>
      <c r="D2520">
        <v>25.07</v>
      </c>
      <c r="E2520" t="s">
        <v>44</v>
      </c>
      <c r="F2520" t="s">
        <v>5824</v>
      </c>
      <c r="G2520" t="s">
        <v>89</v>
      </c>
      <c r="H2520" t="s">
        <v>58</v>
      </c>
      <c r="I2520" t="s">
        <v>10947</v>
      </c>
      <c r="J2520">
        <v>25</v>
      </c>
      <c r="K2520" t="s">
        <v>49</v>
      </c>
      <c r="L2520" t="s">
        <v>66</v>
      </c>
      <c r="M2520" t="s">
        <v>112</v>
      </c>
      <c r="P2520" t="s">
        <v>28</v>
      </c>
      <c r="Q2520" t="s">
        <v>10948</v>
      </c>
      <c r="R2520" t="s">
        <v>10949</v>
      </c>
      <c r="S2520" t="s">
        <v>31</v>
      </c>
      <c r="T2520">
        <v>0</v>
      </c>
    </row>
    <row r="2521" spans="1:20" x14ac:dyDescent="0.25">
      <c r="A2521" t="s">
        <v>10950</v>
      </c>
      <c r="B2521" s="1">
        <v>45845</v>
      </c>
      <c r="C2521" s="5">
        <v>0.29041666666666666</v>
      </c>
      <c r="D2521">
        <v>1132.96</v>
      </c>
      <c r="E2521" t="s">
        <v>44</v>
      </c>
      <c r="F2521" t="s">
        <v>4732</v>
      </c>
      <c r="G2521" t="s">
        <v>57</v>
      </c>
      <c r="H2521" t="s">
        <v>110</v>
      </c>
      <c r="I2521" t="s">
        <v>10951</v>
      </c>
      <c r="J2521">
        <v>39</v>
      </c>
      <c r="K2521" t="s">
        <v>37</v>
      </c>
      <c r="L2521" t="s">
        <v>66</v>
      </c>
      <c r="M2521" t="s">
        <v>27</v>
      </c>
      <c r="P2521" t="s">
        <v>28</v>
      </c>
      <c r="Q2521" t="s">
        <v>10952</v>
      </c>
      <c r="R2521" t="s">
        <v>10953</v>
      </c>
      <c r="S2521" t="s">
        <v>31</v>
      </c>
      <c r="T2521">
        <v>0</v>
      </c>
    </row>
    <row r="2522" spans="1:20" x14ac:dyDescent="0.25">
      <c r="A2522" t="s">
        <v>10954</v>
      </c>
      <c r="B2522" s="1">
        <v>45852</v>
      </c>
      <c r="C2522" s="5">
        <v>0.93003472222222228</v>
      </c>
      <c r="D2522">
        <v>8.42</v>
      </c>
      <c r="E2522" t="s">
        <v>44</v>
      </c>
      <c r="F2522" t="s">
        <v>21</v>
      </c>
      <c r="G2522" t="s">
        <v>22</v>
      </c>
      <c r="H2522" t="s">
        <v>97</v>
      </c>
      <c r="I2522" t="s">
        <v>10955</v>
      </c>
      <c r="J2522">
        <v>57</v>
      </c>
      <c r="K2522" t="s">
        <v>25</v>
      </c>
      <c r="L2522" t="s">
        <v>110</v>
      </c>
      <c r="M2522" t="s">
        <v>112</v>
      </c>
      <c r="P2522" t="s">
        <v>28</v>
      </c>
      <c r="Q2522" t="s">
        <v>10956</v>
      </c>
      <c r="R2522" t="s">
        <v>10957</v>
      </c>
      <c r="S2522" t="s">
        <v>31</v>
      </c>
      <c r="T2522">
        <v>0</v>
      </c>
    </row>
    <row r="2523" spans="1:20" x14ac:dyDescent="0.25">
      <c r="A2523" t="s">
        <v>10958</v>
      </c>
      <c r="B2523" s="1">
        <v>45867</v>
      </c>
      <c r="C2523" s="5">
        <v>0.575775462962963</v>
      </c>
      <c r="D2523">
        <v>83.54</v>
      </c>
      <c r="E2523" t="s">
        <v>44</v>
      </c>
      <c r="F2523" t="s">
        <v>56</v>
      </c>
      <c r="G2523" t="s">
        <v>34</v>
      </c>
      <c r="H2523" t="s">
        <v>130</v>
      </c>
      <c r="I2523" t="s">
        <v>10959</v>
      </c>
      <c r="J2523">
        <v>27</v>
      </c>
      <c r="K2523" t="s">
        <v>37</v>
      </c>
      <c r="L2523" t="s">
        <v>35</v>
      </c>
      <c r="M2523" t="s">
        <v>51</v>
      </c>
      <c r="N2523" t="s">
        <v>52</v>
      </c>
      <c r="O2523">
        <v>438396</v>
      </c>
      <c r="P2523" t="s">
        <v>28</v>
      </c>
      <c r="Q2523" t="s">
        <v>10960</v>
      </c>
      <c r="R2523" t="s">
        <v>10961</v>
      </c>
      <c r="S2523" t="s">
        <v>31</v>
      </c>
      <c r="T2523">
        <v>0</v>
      </c>
    </row>
    <row r="2524" spans="1:20" x14ac:dyDescent="0.25">
      <c r="A2524" t="s">
        <v>10962</v>
      </c>
      <c r="B2524" s="1">
        <v>45947</v>
      </c>
      <c r="C2524" s="5">
        <v>0.94005787037037036</v>
      </c>
      <c r="D2524">
        <v>755.62</v>
      </c>
      <c r="E2524" t="s">
        <v>44</v>
      </c>
      <c r="F2524" t="s">
        <v>10963</v>
      </c>
      <c r="G2524" t="s">
        <v>34</v>
      </c>
      <c r="H2524" t="s">
        <v>35</v>
      </c>
      <c r="I2524" t="s">
        <v>10964</v>
      </c>
      <c r="J2524">
        <v>19</v>
      </c>
      <c r="K2524" t="s">
        <v>49</v>
      </c>
      <c r="L2524" t="s">
        <v>26</v>
      </c>
      <c r="M2524" t="s">
        <v>27</v>
      </c>
      <c r="P2524" t="s">
        <v>28</v>
      </c>
      <c r="Q2524" t="s">
        <v>10965</v>
      </c>
      <c r="R2524" t="s">
        <v>10966</v>
      </c>
      <c r="S2524" t="s">
        <v>31</v>
      </c>
      <c r="T2524">
        <v>0</v>
      </c>
    </row>
    <row r="2525" spans="1:20" x14ac:dyDescent="0.25">
      <c r="A2525" t="s">
        <v>10967</v>
      </c>
      <c r="B2525" s="1">
        <v>45947</v>
      </c>
      <c r="C2525" s="5">
        <v>0.93451388888888887</v>
      </c>
      <c r="D2525">
        <v>18.420000000000002</v>
      </c>
      <c r="E2525" t="s">
        <v>44</v>
      </c>
      <c r="F2525" t="s">
        <v>3017</v>
      </c>
      <c r="G2525" t="s">
        <v>89</v>
      </c>
      <c r="H2525" t="s">
        <v>91</v>
      </c>
      <c r="I2525" t="s">
        <v>10968</v>
      </c>
      <c r="J2525">
        <v>17</v>
      </c>
      <c r="K2525" t="s">
        <v>49</v>
      </c>
      <c r="L2525" t="s">
        <v>130</v>
      </c>
      <c r="M2525" t="s">
        <v>51</v>
      </c>
      <c r="N2525" t="s">
        <v>304</v>
      </c>
      <c r="O2525">
        <v>435288</v>
      </c>
      <c r="P2525" t="s">
        <v>28</v>
      </c>
      <c r="Q2525" t="s">
        <v>10969</v>
      </c>
      <c r="R2525" t="s">
        <v>10970</v>
      </c>
      <c r="S2525" t="s">
        <v>31</v>
      </c>
      <c r="T2525">
        <v>0</v>
      </c>
    </row>
    <row r="2526" spans="1:20" x14ac:dyDescent="0.25">
      <c r="A2526" t="s">
        <v>10971</v>
      </c>
      <c r="B2526" s="1">
        <v>45942</v>
      </c>
      <c r="C2526" s="5">
        <v>0.35069444444444442</v>
      </c>
      <c r="D2526">
        <v>6.59</v>
      </c>
      <c r="E2526" t="s">
        <v>44</v>
      </c>
      <c r="F2526" t="s">
        <v>5566</v>
      </c>
      <c r="G2526" t="s">
        <v>96</v>
      </c>
      <c r="H2526" t="s">
        <v>110</v>
      </c>
      <c r="I2526" t="s">
        <v>10972</v>
      </c>
      <c r="J2526">
        <v>45</v>
      </c>
      <c r="K2526" t="s">
        <v>25</v>
      </c>
      <c r="L2526" t="s">
        <v>23</v>
      </c>
      <c r="M2526" t="s">
        <v>112</v>
      </c>
      <c r="P2526" t="s">
        <v>28</v>
      </c>
      <c r="Q2526" t="s">
        <v>10973</v>
      </c>
      <c r="R2526" t="s">
        <v>10974</v>
      </c>
      <c r="S2526" t="s">
        <v>101</v>
      </c>
      <c r="T2526">
        <v>0</v>
      </c>
    </row>
    <row r="2527" spans="1:20" x14ac:dyDescent="0.25">
      <c r="A2527" t="s">
        <v>10975</v>
      </c>
      <c r="B2527" s="1">
        <v>45874</v>
      </c>
      <c r="C2527" s="5">
        <v>0.83550925925925923</v>
      </c>
      <c r="D2527">
        <v>121.48</v>
      </c>
      <c r="E2527" t="s">
        <v>44</v>
      </c>
      <c r="F2527" t="s">
        <v>4678</v>
      </c>
      <c r="G2527" t="s">
        <v>22</v>
      </c>
      <c r="H2527" t="s">
        <v>130</v>
      </c>
      <c r="I2527" t="s">
        <v>10976</v>
      </c>
      <c r="J2527">
        <v>27</v>
      </c>
      <c r="K2527" t="s">
        <v>25</v>
      </c>
      <c r="L2527" t="s">
        <v>248</v>
      </c>
      <c r="M2527" t="s">
        <v>84</v>
      </c>
      <c r="P2527" t="s">
        <v>28</v>
      </c>
      <c r="Q2527" t="s">
        <v>10977</v>
      </c>
      <c r="R2527" t="s">
        <v>10978</v>
      </c>
      <c r="S2527" t="s">
        <v>42</v>
      </c>
      <c r="T2527">
        <v>0</v>
      </c>
    </row>
    <row r="2528" spans="1:20" x14ac:dyDescent="0.25">
      <c r="A2528" t="s">
        <v>10979</v>
      </c>
      <c r="B2528" s="1">
        <v>45925</v>
      </c>
      <c r="C2528" s="5">
        <v>0.67574074074074075</v>
      </c>
      <c r="D2528">
        <v>149.47</v>
      </c>
      <c r="E2528" t="s">
        <v>44</v>
      </c>
      <c r="F2528" t="s">
        <v>4788</v>
      </c>
      <c r="G2528" t="s">
        <v>46</v>
      </c>
      <c r="H2528" t="s">
        <v>97</v>
      </c>
      <c r="I2528" t="s">
        <v>10980</v>
      </c>
      <c r="J2528">
        <v>73</v>
      </c>
      <c r="K2528" t="s">
        <v>25</v>
      </c>
      <c r="L2528" t="s">
        <v>248</v>
      </c>
      <c r="M2528" t="s">
        <v>27</v>
      </c>
      <c r="P2528" t="s">
        <v>28</v>
      </c>
      <c r="Q2528" t="s">
        <v>10981</v>
      </c>
      <c r="R2528" t="s">
        <v>10982</v>
      </c>
      <c r="S2528" t="s">
        <v>101</v>
      </c>
      <c r="T2528">
        <v>0</v>
      </c>
    </row>
    <row r="2529" spans="1:20" x14ac:dyDescent="0.25">
      <c r="A2529" t="s">
        <v>10983</v>
      </c>
      <c r="B2529" s="1">
        <v>45934</v>
      </c>
      <c r="C2529" s="5">
        <v>0.17443287037037036</v>
      </c>
      <c r="D2529">
        <v>52.57</v>
      </c>
      <c r="E2529" t="s">
        <v>44</v>
      </c>
      <c r="F2529" t="s">
        <v>1543</v>
      </c>
      <c r="G2529" t="s">
        <v>124</v>
      </c>
      <c r="H2529" t="s">
        <v>130</v>
      </c>
      <c r="I2529" t="s">
        <v>10984</v>
      </c>
      <c r="J2529">
        <v>47</v>
      </c>
      <c r="K2529" t="s">
        <v>37</v>
      </c>
      <c r="L2529" t="s">
        <v>38</v>
      </c>
      <c r="M2529" t="s">
        <v>51</v>
      </c>
      <c r="N2529" t="s">
        <v>507</v>
      </c>
      <c r="O2529">
        <v>441453</v>
      </c>
      <c r="P2529" t="s">
        <v>28</v>
      </c>
      <c r="Q2529" t="s">
        <v>10985</v>
      </c>
      <c r="R2529" t="s">
        <v>10986</v>
      </c>
      <c r="S2529" t="s">
        <v>31</v>
      </c>
      <c r="T2529">
        <v>0</v>
      </c>
    </row>
    <row r="2530" spans="1:20" x14ac:dyDescent="0.25">
      <c r="A2530" t="s">
        <v>10987</v>
      </c>
      <c r="B2530" s="1">
        <v>45882</v>
      </c>
      <c r="C2530" s="5">
        <v>0.99344907407407412</v>
      </c>
      <c r="D2530">
        <v>149.6</v>
      </c>
      <c r="E2530" t="s">
        <v>44</v>
      </c>
      <c r="F2530" t="s">
        <v>10988</v>
      </c>
      <c r="G2530" t="s">
        <v>57</v>
      </c>
      <c r="H2530" t="s">
        <v>50</v>
      </c>
      <c r="I2530" t="s">
        <v>10989</v>
      </c>
      <c r="K2530" t="s">
        <v>25</v>
      </c>
      <c r="L2530" t="s">
        <v>146</v>
      </c>
      <c r="M2530" t="s">
        <v>39</v>
      </c>
      <c r="P2530" t="s">
        <v>28</v>
      </c>
      <c r="Q2530" t="s">
        <v>10990</v>
      </c>
      <c r="R2530" t="s">
        <v>10991</v>
      </c>
      <c r="S2530" t="s">
        <v>31</v>
      </c>
      <c r="T2530">
        <v>0</v>
      </c>
    </row>
    <row r="2531" spans="1:20" x14ac:dyDescent="0.25">
      <c r="A2531" t="s">
        <v>10992</v>
      </c>
      <c r="B2531" s="1">
        <v>45833</v>
      </c>
      <c r="C2531" s="5">
        <v>0.39432870370370371</v>
      </c>
      <c r="D2531">
        <v>933.06</v>
      </c>
      <c r="E2531" t="s">
        <v>44</v>
      </c>
      <c r="F2531" t="s">
        <v>10993</v>
      </c>
      <c r="G2531" t="s">
        <v>64</v>
      </c>
      <c r="H2531" t="s">
        <v>35</v>
      </c>
      <c r="I2531" t="s">
        <v>10994</v>
      </c>
      <c r="J2531">
        <v>32</v>
      </c>
      <c r="K2531" t="s">
        <v>37</v>
      </c>
      <c r="L2531" t="s">
        <v>97</v>
      </c>
      <c r="M2531" t="s">
        <v>112</v>
      </c>
      <c r="P2531" t="s">
        <v>28</v>
      </c>
      <c r="Q2531" t="s">
        <v>10995</v>
      </c>
      <c r="R2531" t="s">
        <v>10996</v>
      </c>
      <c r="S2531" t="s">
        <v>31</v>
      </c>
      <c r="T2531">
        <v>0</v>
      </c>
    </row>
    <row r="2532" spans="1:20" x14ac:dyDescent="0.25">
      <c r="A2532" t="s">
        <v>10997</v>
      </c>
      <c r="B2532" s="1">
        <v>45912</v>
      </c>
      <c r="C2532" s="5">
        <v>5.1458333333333335E-2</v>
      </c>
      <c r="D2532">
        <v>170.96</v>
      </c>
      <c r="E2532" t="s">
        <v>44</v>
      </c>
      <c r="F2532" t="s">
        <v>5183</v>
      </c>
      <c r="G2532" t="s">
        <v>89</v>
      </c>
      <c r="H2532" t="s">
        <v>50</v>
      </c>
      <c r="I2532" t="s">
        <v>10998</v>
      </c>
      <c r="J2532">
        <v>31</v>
      </c>
      <c r="K2532" t="s">
        <v>37</v>
      </c>
      <c r="L2532" t="s">
        <v>50</v>
      </c>
      <c r="M2532" t="s">
        <v>105</v>
      </c>
      <c r="P2532" t="s">
        <v>113</v>
      </c>
      <c r="Q2532" t="s">
        <v>10999</v>
      </c>
      <c r="R2532" t="s">
        <v>11000</v>
      </c>
      <c r="S2532" t="s">
        <v>31</v>
      </c>
      <c r="T2532">
        <v>0</v>
      </c>
    </row>
    <row r="2533" spans="1:20" x14ac:dyDescent="0.25">
      <c r="A2533" t="s">
        <v>11001</v>
      </c>
      <c r="B2533" s="1">
        <v>45835</v>
      </c>
      <c r="C2533" s="5">
        <v>0.53037037037037038</v>
      </c>
      <c r="D2533">
        <v>182.29</v>
      </c>
      <c r="E2533" t="s">
        <v>44</v>
      </c>
      <c r="F2533" t="s">
        <v>7850</v>
      </c>
      <c r="G2533" t="s">
        <v>57</v>
      </c>
      <c r="H2533" t="s">
        <v>110</v>
      </c>
      <c r="I2533" t="s">
        <v>11002</v>
      </c>
      <c r="J2533">
        <v>18</v>
      </c>
      <c r="K2533" t="s">
        <v>49</v>
      </c>
      <c r="L2533" t="s">
        <v>91</v>
      </c>
      <c r="M2533" t="s">
        <v>84</v>
      </c>
      <c r="P2533" t="s">
        <v>28</v>
      </c>
      <c r="Q2533" t="s">
        <v>11003</v>
      </c>
      <c r="R2533" t="s">
        <v>11004</v>
      </c>
      <c r="S2533" t="s">
        <v>31</v>
      </c>
      <c r="T2533">
        <v>0</v>
      </c>
    </row>
    <row r="2534" spans="1:20" x14ac:dyDescent="0.25">
      <c r="A2534" t="s">
        <v>11005</v>
      </c>
      <c r="B2534" s="1">
        <v>45810</v>
      </c>
      <c r="C2534" s="5">
        <v>0.42758101851851854</v>
      </c>
      <c r="D2534">
        <v>189.15</v>
      </c>
      <c r="E2534" t="s">
        <v>44</v>
      </c>
      <c r="F2534" t="s">
        <v>3934</v>
      </c>
      <c r="G2534" t="s">
        <v>57</v>
      </c>
      <c r="H2534" t="s">
        <v>58</v>
      </c>
      <c r="I2534" t="s">
        <v>11006</v>
      </c>
      <c r="J2534">
        <v>65</v>
      </c>
      <c r="K2534" t="s">
        <v>37</v>
      </c>
      <c r="L2534" t="s">
        <v>91</v>
      </c>
      <c r="M2534" t="s">
        <v>27</v>
      </c>
      <c r="P2534" t="s">
        <v>28</v>
      </c>
      <c r="Q2534" t="s">
        <v>11007</v>
      </c>
      <c r="R2534" t="s">
        <v>11008</v>
      </c>
      <c r="S2534" t="s">
        <v>31</v>
      </c>
      <c r="T2534">
        <v>0</v>
      </c>
    </row>
    <row r="2535" spans="1:20" x14ac:dyDescent="0.25">
      <c r="A2535" t="s">
        <v>11009</v>
      </c>
      <c r="B2535" s="1">
        <v>45917</v>
      </c>
      <c r="C2535" s="5">
        <v>0.80656249999999996</v>
      </c>
      <c r="D2535">
        <v>229.65</v>
      </c>
      <c r="E2535" t="s">
        <v>44</v>
      </c>
      <c r="F2535" t="s">
        <v>10823</v>
      </c>
      <c r="G2535" t="s">
        <v>57</v>
      </c>
      <c r="H2535" t="s">
        <v>38</v>
      </c>
      <c r="I2535" t="s">
        <v>11010</v>
      </c>
      <c r="J2535">
        <v>38</v>
      </c>
      <c r="K2535" t="s">
        <v>49</v>
      </c>
      <c r="L2535" t="s">
        <v>35</v>
      </c>
      <c r="M2535" t="s">
        <v>39</v>
      </c>
      <c r="P2535" t="s">
        <v>28</v>
      </c>
      <c r="Q2535" t="s">
        <v>11011</v>
      </c>
      <c r="R2535" t="s">
        <v>11012</v>
      </c>
      <c r="S2535" t="s">
        <v>31</v>
      </c>
      <c r="T2535">
        <v>0</v>
      </c>
    </row>
    <row r="2536" spans="1:20" x14ac:dyDescent="0.25">
      <c r="A2536" t="s">
        <v>11013</v>
      </c>
      <c r="B2536" s="1">
        <v>45888</v>
      </c>
      <c r="C2536" s="5">
        <v>0.13500000000000001</v>
      </c>
      <c r="D2536">
        <v>26.8</v>
      </c>
      <c r="E2536" t="s">
        <v>44</v>
      </c>
      <c r="F2536" t="s">
        <v>11014</v>
      </c>
      <c r="G2536" t="s">
        <v>71</v>
      </c>
      <c r="H2536" t="s">
        <v>23</v>
      </c>
      <c r="I2536" t="s">
        <v>11015</v>
      </c>
      <c r="J2536">
        <v>46</v>
      </c>
      <c r="K2536" t="s">
        <v>37</v>
      </c>
      <c r="L2536" t="s">
        <v>26</v>
      </c>
      <c r="M2536" t="s">
        <v>51</v>
      </c>
      <c r="N2536" t="s">
        <v>304</v>
      </c>
      <c r="O2536">
        <v>427957</v>
      </c>
      <c r="P2536" t="s">
        <v>28</v>
      </c>
      <c r="Q2536" t="s">
        <v>11016</v>
      </c>
      <c r="R2536" t="s">
        <v>11017</v>
      </c>
      <c r="S2536" t="s">
        <v>101</v>
      </c>
      <c r="T2536">
        <v>0</v>
      </c>
    </row>
    <row r="2537" spans="1:20" x14ac:dyDescent="0.25">
      <c r="A2537" t="s">
        <v>11018</v>
      </c>
      <c r="B2537" s="1">
        <v>45801</v>
      </c>
      <c r="C2537" s="5">
        <v>8.59375E-2</v>
      </c>
      <c r="D2537">
        <v>115.81</v>
      </c>
      <c r="E2537" t="s">
        <v>44</v>
      </c>
      <c r="F2537" t="s">
        <v>4025</v>
      </c>
      <c r="G2537" t="s">
        <v>89</v>
      </c>
      <c r="H2537" t="s">
        <v>110</v>
      </c>
      <c r="I2537" t="s">
        <v>11019</v>
      </c>
      <c r="J2537">
        <v>41</v>
      </c>
      <c r="K2537" t="s">
        <v>37</v>
      </c>
      <c r="L2537" t="s">
        <v>91</v>
      </c>
      <c r="M2537" t="s">
        <v>84</v>
      </c>
      <c r="P2537" t="s">
        <v>28</v>
      </c>
      <c r="Q2537" t="s">
        <v>11020</v>
      </c>
      <c r="R2537" t="s">
        <v>11021</v>
      </c>
      <c r="S2537" t="s">
        <v>31</v>
      </c>
      <c r="T2537">
        <v>0</v>
      </c>
    </row>
    <row r="2538" spans="1:20" x14ac:dyDescent="0.25">
      <c r="A2538" t="s">
        <v>11022</v>
      </c>
      <c r="B2538" s="1">
        <v>45811</v>
      </c>
      <c r="C2538" s="5">
        <v>0.20518518518518519</v>
      </c>
      <c r="D2538">
        <v>156.34</v>
      </c>
      <c r="E2538" t="s">
        <v>44</v>
      </c>
      <c r="F2538" t="s">
        <v>7586</v>
      </c>
      <c r="G2538" t="s">
        <v>124</v>
      </c>
      <c r="H2538" t="s">
        <v>58</v>
      </c>
      <c r="I2538" t="s">
        <v>11023</v>
      </c>
      <c r="J2538">
        <v>67</v>
      </c>
      <c r="K2538" t="s">
        <v>37</v>
      </c>
      <c r="L2538" t="s">
        <v>50</v>
      </c>
      <c r="M2538" t="s">
        <v>112</v>
      </c>
      <c r="P2538" t="s">
        <v>28</v>
      </c>
      <c r="Q2538" t="s">
        <v>11024</v>
      </c>
      <c r="R2538" t="s">
        <v>11025</v>
      </c>
      <c r="S2538" t="s">
        <v>31</v>
      </c>
      <c r="T2538">
        <v>0</v>
      </c>
    </row>
    <row r="2539" spans="1:20" x14ac:dyDescent="0.25">
      <c r="A2539" t="s">
        <v>11026</v>
      </c>
      <c r="B2539" s="1">
        <v>45862</v>
      </c>
      <c r="C2539" s="5">
        <v>0.74672453703703701</v>
      </c>
      <c r="D2539">
        <v>79.92</v>
      </c>
      <c r="E2539" t="s">
        <v>44</v>
      </c>
      <c r="F2539" t="s">
        <v>1993</v>
      </c>
      <c r="G2539" t="s">
        <v>22</v>
      </c>
      <c r="H2539" t="s">
        <v>146</v>
      </c>
      <c r="I2539" t="s">
        <v>11027</v>
      </c>
      <c r="J2539">
        <v>21</v>
      </c>
      <c r="K2539" t="s">
        <v>37</v>
      </c>
      <c r="L2539" t="s">
        <v>91</v>
      </c>
      <c r="M2539" t="s">
        <v>105</v>
      </c>
      <c r="P2539" t="s">
        <v>28</v>
      </c>
      <c r="Q2539" t="s">
        <v>11028</v>
      </c>
      <c r="R2539" t="s">
        <v>11029</v>
      </c>
      <c r="S2539" t="s">
        <v>31</v>
      </c>
      <c r="T2539">
        <v>0</v>
      </c>
    </row>
    <row r="2540" spans="1:20" x14ac:dyDescent="0.25">
      <c r="A2540" t="s">
        <v>11030</v>
      </c>
      <c r="B2540" s="1">
        <v>45842</v>
      </c>
      <c r="C2540" s="5">
        <v>0.14251157407407408</v>
      </c>
      <c r="D2540">
        <v>25.75</v>
      </c>
      <c r="E2540" t="s">
        <v>44</v>
      </c>
      <c r="F2540" t="s">
        <v>2249</v>
      </c>
      <c r="G2540" t="s">
        <v>124</v>
      </c>
      <c r="H2540" t="s">
        <v>119</v>
      </c>
      <c r="I2540" t="s">
        <v>11031</v>
      </c>
      <c r="J2540">
        <v>31</v>
      </c>
      <c r="K2540" t="s">
        <v>49</v>
      </c>
      <c r="L2540" t="s">
        <v>91</v>
      </c>
      <c r="M2540" t="s">
        <v>112</v>
      </c>
      <c r="P2540" t="s">
        <v>28</v>
      </c>
      <c r="Q2540" t="s">
        <v>11032</v>
      </c>
      <c r="R2540" t="s">
        <v>11033</v>
      </c>
      <c r="S2540" t="s">
        <v>31</v>
      </c>
      <c r="T2540">
        <v>0</v>
      </c>
    </row>
    <row r="2541" spans="1:20" x14ac:dyDescent="0.25">
      <c r="A2541" t="s">
        <v>11034</v>
      </c>
      <c r="B2541" s="1">
        <v>45948</v>
      </c>
      <c r="C2541" s="5">
        <v>0.37005787037037036</v>
      </c>
      <c r="D2541">
        <v>86.79</v>
      </c>
      <c r="E2541" t="s">
        <v>44</v>
      </c>
      <c r="F2541" t="s">
        <v>658</v>
      </c>
      <c r="G2541" t="s">
        <v>124</v>
      </c>
      <c r="H2541" t="s">
        <v>50</v>
      </c>
      <c r="I2541" t="s">
        <v>11035</v>
      </c>
      <c r="J2541">
        <v>27</v>
      </c>
      <c r="K2541" t="s">
        <v>37</v>
      </c>
      <c r="L2541" t="s">
        <v>248</v>
      </c>
      <c r="M2541" t="s">
        <v>51</v>
      </c>
      <c r="N2541" t="s">
        <v>52</v>
      </c>
      <c r="O2541">
        <v>443418</v>
      </c>
      <c r="P2541" t="s">
        <v>28</v>
      </c>
      <c r="Q2541" t="s">
        <v>11036</v>
      </c>
      <c r="R2541" t="s">
        <v>11037</v>
      </c>
      <c r="S2541" t="s">
        <v>31</v>
      </c>
      <c r="T2541">
        <v>0</v>
      </c>
    </row>
    <row r="2542" spans="1:20" x14ac:dyDescent="0.25">
      <c r="A2542" t="s">
        <v>11038</v>
      </c>
      <c r="B2542" s="1">
        <v>45948</v>
      </c>
      <c r="C2542" s="5">
        <v>0.26981481481481484</v>
      </c>
      <c r="D2542">
        <v>140.19999999999999</v>
      </c>
      <c r="E2542" t="s">
        <v>44</v>
      </c>
      <c r="F2542" t="s">
        <v>1035</v>
      </c>
      <c r="G2542" t="s">
        <v>64</v>
      </c>
      <c r="H2542" t="s">
        <v>130</v>
      </c>
      <c r="I2542" t="s">
        <v>11039</v>
      </c>
      <c r="J2542">
        <v>56</v>
      </c>
      <c r="K2542" t="s">
        <v>37</v>
      </c>
      <c r="L2542" t="s">
        <v>119</v>
      </c>
      <c r="M2542" t="s">
        <v>84</v>
      </c>
      <c r="P2542" t="s">
        <v>28</v>
      </c>
      <c r="Q2542" t="s">
        <v>11040</v>
      </c>
      <c r="R2542" t="s">
        <v>11041</v>
      </c>
      <c r="S2542" t="s">
        <v>31</v>
      </c>
      <c r="T2542">
        <v>0</v>
      </c>
    </row>
    <row r="2543" spans="1:20" x14ac:dyDescent="0.25">
      <c r="A2543" t="s">
        <v>11042</v>
      </c>
      <c r="B2543" s="1">
        <v>45888</v>
      </c>
      <c r="C2543" s="5">
        <v>0.10965277777777778</v>
      </c>
      <c r="D2543">
        <v>59.76</v>
      </c>
      <c r="E2543" t="s">
        <v>44</v>
      </c>
      <c r="F2543" t="s">
        <v>4242</v>
      </c>
      <c r="G2543" t="s">
        <v>71</v>
      </c>
      <c r="H2543" t="s">
        <v>35</v>
      </c>
      <c r="I2543" t="s">
        <v>11043</v>
      </c>
      <c r="J2543">
        <v>52</v>
      </c>
      <c r="K2543" t="s">
        <v>49</v>
      </c>
      <c r="L2543" t="s">
        <v>23</v>
      </c>
      <c r="M2543" t="s">
        <v>27</v>
      </c>
      <c r="P2543" t="s">
        <v>28</v>
      </c>
      <c r="Q2543" t="s">
        <v>11044</v>
      </c>
      <c r="R2543" t="s">
        <v>11045</v>
      </c>
      <c r="S2543" t="s">
        <v>101</v>
      </c>
      <c r="T2543">
        <v>0</v>
      </c>
    </row>
    <row r="2544" spans="1:20" x14ac:dyDescent="0.25">
      <c r="A2544" t="s">
        <v>11046</v>
      </c>
      <c r="B2544" s="1">
        <v>45888</v>
      </c>
      <c r="C2544" s="5">
        <v>0.18557870370370369</v>
      </c>
      <c r="D2544">
        <v>535.75</v>
      </c>
      <c r="E2544" t="s">
        <v>44</v>
      </c>
      <c r="F2544" t="s">
        <v>1215</v>
      </c>
      <c r="G2544" t="s">
        <v>22</v>
      </c>
      <c r="H2544" t="s">
        <v>50</v>
      </c>
      <c r="I2544" t="s">
        <v>11047</v>
      </c>
      <c r="J2544">
        <v>68</v>
      </c>
      <c r="K2544" t="s">
        <v>25</v>
      </c>
      <c r="L2544" t="s">
        <v>110</v>
      </c>
      <c r="M2544" t="s">
        <v>105</v>
      </c>
      <c r="P2544" t="s">
        <v>28</v>
      </c>
      <c r="Q2544" t="s">
        <v>11048</v>
      </c>
      <c r="R2544" t="s">
        <v>11049</v>
      </c>
      <c r="S2544" t="s">
        <v>31</v>
      </c>
      <c r="T2544">
        <v>0</v>
      </c>
    </row>
    <row r="2545" spans="1:20" x14ac:dyDescent="0.25">
      <c r="A2545" t="s">
        <v>11050</v>
      </c>
      <c r="B2545" s="1">
        <v>45905</v>
      </c>
      <c r="C2545" s="5">
        <v>3.3981481481481481E-2</v>
      </c>
      <c r="D2545">
        <v>14.82</v>
      </c>
      <c r="E2545" t="s">
        <v>44</v>
      </c>
      <c r="F2545" t="s">
        <v>11051</v>
      </c>
      <c r="G2545" t="s">
        <v>22</v>
      </c>
      <c r="H2545" t="s">
        <v>47</v>
      </c>
      <c r="I2545" t="s">
        <v>11052</v>
      </c>
      <c r="J2545">
        <v>53</v>
      </c>
      <c r="K2545" t="s">
        <v>37</v>
      </c>
      <c r="L2545" t="s">
        <v>47</v>
      </c>
      <c r="M2545" t="s">
        <v>51</v>
      </c>
      <c r="N2545" t="s">
        <v>870</v>
      </c>
      <c r="O2545">
        <v>528643</v>
      </c>
      <c r="P2545" t="s">
        <v>113</v>
      </c>
      <c r="Q2545" t="s">
        <v>11053</v>
      </c>
      <c r="R2545" t="s">
        <v>11054</v>
      </c>
      <c r="S2545" t="s">
        <v>31</v>
      </c>
      <c r="T2545">
        <v>0</v>
      </c>
    </row>
    <row r="2546" spans="1:20" x14ac:dyDescent="0.25">
      <c r="A2546" t="s">
        <v>11055</v>
      </c>
      <c r="B2546" s="1">
        <v>45802</v>
      </c>
      <c r="C2546" s="5">
        <v>0.25311342592592595</v>
      </c>
      <c r="D2546">
        <v>3737.75</v>
      </c>
      <c r="E2546" t="s">
        <v>44</v>
      </c>
      <c r="F2546" t="s">
        <v>10322</v>
      </c>
      <c r="G2546" t="s">
        <v>96</v>
      </c>
      <c r="H2546" t="s">
        <v>50</v>
      </c>
      <c r="I2546" t="s">
        <v>11056</v>
      </c>
      <c r="J2546">
        <v>49</v>
      </c>
      <c r="K2546" t="s">
        <v>25</v>
      </c>
      <c r="L2546" t="s">
        <v>146</v>
      </c>
      <c r="M2546" t="s">
        <v>39</v>
      </c>
      <c r="P2546" t="s">
        <v>28</v>
      </c>
      <c r="Q2546" t="s">
        <v>11057</v>
      </c>
      <c r="R2546" t="s">
        <v>11058</v>
      </c>
      <c r="S2546" t="s">
        <v>31</v>
      </c>
      <c r="T2546">
        <v>0</v>
      </c>
    </row>
    <row r="2547" spans="1:20" x14ac:dyDescent="0.25">
      <c r="A2547" t="s">
        <v>11059</v>
      </c>
      <c r="B2547" s="1">
        <v>45950</v>
      </c>
      <c r="C2547" s="5">
        <v>0.72112268518518519</v>
      </c>
      <c r="D2547">
        <v>180.24</v>
      </c>
      <c r="E2547" t="s">
        <v>44</v>
      </c>
      <c r="F2547" t="s">
        <v>4048</v>
      </c>
      <c r="G2547" t="s">
        <v>46</v>
      </c>
      <c r="H2547" t="s">
        <v>35</v>
      </c>
      <c r="I2547" t="s">
        <v>11060</v>
      </c>
      <c r="J2547">
        <v>74</v>
      </c>
      <c r="K2547" t="s">
        <v>37</v>
      </c>
      <c r="L2547" t="s">
        <v>248</v>
      </c>
      <c r="M2547" t="s">
        <v>51</v>
      </c>
      <c r="N2547" t="s">
        <v>345</v>
      </c>
      <c r="O2547">
        <v>491856</v>
      </c>
      <c r="P2547" t="s">
        <v>28</v>
      </c>
      <c r="Q2547" t="s">
        <v>11061</v>
      </c>
      <c r="R2547" t="s">
        <v>11062</v>
      </c>
      <c r="S2547" t="s">
        <v>31</v>
      </c>
      <c r="T2547">
        <v>0</v>
      </c>
    </row>
    <row r="2548" spans="1:20" x14ac:dyDescent="0.25">
      <c r="A2548" t="s">
        <v>11063</v>
      </c>
      <c r="B2548" s="1">
        <v>45860</v>
      </c>
      <c r="C2548" s="5">
        <v>0.77407407407407403</v>
      </c>
      <c r="D2548">
        <v>189.33</v>
      </c>
      <c r="E2548" t="s">
        <v>44</v>
      </c>
      <c r="F2548" t="s">
        <v>11064</v>
      </c>
      <c r="G2548" t="s">
        <v>71</v>
      </c>
      <c r="H2548" t="s">
        <v>58</v>
      </c>
      <c r="I2548" t="s">
        <v>11065</v>
      </c>
      <c r="J2548">
        <v>32</v>
      </c>
      <c r="K2548" t="s">
        <v>25</v>
      </c>
      <c r="L2548" t="s">
        <v>35</v>
      </c>
      <c r="M2548" t="s">
        <v>39</v>
      </c>
      <c r="P2548" t="s">
        <v>28</v>
      </c>
      <c r="Q2548" t="s">
        <v>11066</v>
      </c>
      <c r="R2548" t="s">
        <v>11067</v>
      </c>
      <c r="S2548" t="s">
        <v>101</v>
      </c>
      <c r="T2548">
        <v>0</v>
      </c>
    </row>
    <row r="2549" spans="1:20" x14ac:dyDescent="0.25">
      <c r="A2549" t="s">
        <v>11068</v>
      </c>
      <c r="B2549" s="1">
        <v>45879</v>
      </c>
      <c r="C2549" s="5">
        <v>0.11291666666666667</v>
      </c>
      <c r="D2549">
        <v>89.76</v>
      </c>
      <c r="E2549" t="s">
        <v>44</v>
      </c>
      <c r="F2549" t="s">
        <v>3279</v>
      </c>
      <c r="G2549" t="s">
        <v>64</v>
      </c>
      <c r="H2549" t="s">
        <v>58</v>
      </c>
      <c r="I2549" t="s">
        <v>11069</v>
      </c>
      <c r="J2549">
        <v>18</v>
      </c>
      <c r="K2549" t="s">
        <v>25</v>
      </c>
      <c r="L2549" t="s">
        <v>58</v>
      </c>
      <c r="M2549" t="s">
        <v>51</v>
      </c>
      <c r="N2549" t="s">
        <v>52</v>
      </c>
      <c r="O2549">
        <v>510885</v>
      </c>
      <c r="P2549" t="s">
        <v>113</v>
      </c>
      <c r="Q2549" t="s">
        <v>11070</v>
      </c>
      <c r="R2549" t="s">
        <v>11071</v>
      </c>
      <c r="S2549" t="s">
        <v>31</v>
      </c>
      <c r="T2549">
        <v>0</v>
      </c>
    </row>
    <row r="2550" spans="1:20" x14ac:dyDescent="0.25">
      <c r="A2550" t="s">
        <v>11072</v>
      </c>
      <c r="B2550" s="1">
        <v>45813</v>
      </c>
      <c r="C2550" s="5">
        <v>0.76119212962962968</v>
      </c>
      <c r="D2550">
        <v>17.399999999999999</v>
      </c>
      <c r="E2550" t="s">
        <v>44</v>
      </c>
      <c r="F2550" t="s">
        <v>6455</v>
      </c>
      <c r="G2550" t="s">
        <v>96</v>
      </c>
      <c r="H2550" t="s">
        <v>110</v>
      </c>
      <c r="I2550" t="s">
        <v>11073</v>
      </c>
      <c r="J2550">
        <v>67</v>
      </c>
      <c r="K2550" t="s">
        <v>49</v>
      </c>
      <c r="L2550" t="s">
        <v>146</v>
      </c>
      <c r="M2550" t="s">
        <v>27</v>
      </c>
      <c r="P2550" t="s">
        <v>28</v>
      </c>
      <c r="Q2550" t="s">
        <v>11074</v>
      </c>
      <c r="R2550" t="s">
        <v>11075</v>
      </c>
      <c r="S2550" t="s">
        <v>31</v>
      </c>
      <c r="T2550">
        <v>0</v>
      </c>
    </row>
    <row r="2551" spans="1:20" x14ac:dyDescent="0.25">
      <c r="A2551" t="s">
        <v>11076</v>
      </c>
      <c r="B2551" s="1">
        <v>45923</v>
      </c>
      <c r="C2551" s="5">
        <v>0.39534722222222224</v>
      </c>
      <c r="D2551">
        <v>160.54</v>
      </c>
      <c r="E2551" t="s">
        <v>44</v>
      </c>
      <c r="F2551" t="s">
        <v>2089</v>
      </c>
      <c r="G2551" t="s">
        <v>71</v>
      </c>
      <c r="H2551" t="s">
        <v>50</v>
      </c>
      <c r="I2551" t="s">
        <v>11077</v>
      </c>
      <c r="J2551">
        <v>53</v>
      </c>
      <c r="K2551" t="s">
        <v>25</v>
      </c>
      <c r="L2551" t="s">
        <v>26</v>
      </c>
      <c r="M2551" t="s">
        <v>39</v>
      </c>
      <c r="P2551" t="s">
        <v>28</v>
      </c>
      <c r="Q2551" t="s">
        <v>11078</v>
      </c>
      <c r="R2551" t="s">
        <v>11079</v>
      </c>
      <c r="S2551" t="s">
        <v>31</v>
      </c>
      <c r="T2551">
        <v>0</v>
      </c>
    </row>
    <row r="2552" spans="1:20" x14ac:dyDescent="0.25">
      <c r="A2552" t="s">
        <v>11080</v>
      </c>
      <c r="B2552" s="1">
        <v>45928</v>
      </c>
      <c r="C2552" s="5">
        <v>0.5942708333333333</v>
      </c>
      <c r="D2552">
        <v>142.06</v>
      </c>
      <c r="E2552" t="s">
        <v>44</v>
      </c>
      <c r="F2552" t="s">
        <v>829</v>
      </c>
      <c r="G2552" t="s">
        <v>71</v>
      </c>
      <c r="H2552" t="s">
        <v>97</v>
      </c>
      <c r="I2552" t="s">
        <v>5418</v>
      </c>
      <c r="J2552">
        <v>35</v>
      </c>
      <c r="K2552" t="s">
        <v>37</v>
      </c>
      <c r="L2552" t="s">
        <v>58</v>
      </c>
      <c r="M2552" t="s">
        <v>84</v>
      </c>
      <c r="P2552" t="s">
        <v>28</v>
      </c>
      <c r="Q2552" t="s">
        <v>11081</v>
      </c>
      <c r="R2552" t="s">
        <v>11082</v>
      </c>
      <c r="S2552" t="s">
        <v>101</v>
      </c>
      <c r="T2552">
        <v>0</v>
      </c>
    </row>
    <row r="2553" spans="1:20" x14ac:dyDescent="0.25">
      <c r="A2553" t="s">
        <v>11083</v>
      </c>
      <c r="B2553" s="1">
        <v>45930</v>
      </c>
      <c r="C2553" s="5">
        <v>0.89681712962962967</v>
      </c>
      <c r="D2553">
        <v>124.59</v>
      </c>
      <c r="E2553" t="s">
        <v>44</v>
      </c>
      <c r="F2553" t="s">
        <v>11084</v>
      </c>
      <c r="G2553" t="s">
        <v>89</v>
      </c>
      <c r="H2553" t="s">
        <v>130</v>
      </c>
      <c r="I2553" t="s">
        <v>11085</v>
      </c>
      <c r="J2553">
        <v>56</v>
      </c>
      <c r="K2553" t="s">
        <v>25</v>
      </c>
      <c r="L2553" t="s">
        <v>119</v>
      </c>
      <c r="M2553" t="s">
        <v>27</v>
      </c>
      <c r="P2553" t="s">
        <v>28</v>
      </c>
      <c r="Q2553" t="s">
        <v>11086</v>
      </c>
      <c r="R2553" t="s">
        <v>11087</v>
      </c>
      <c r="S2553" t="s">
        <v>101</v>
      </c>
      <c r="T2553">
        <v>0</v>
      </c>
    </row>
    <row r="2554" spans="1:20" x14ac:dyDescent="0.25">
      <c r="A2554" t="s">
        <v>11088</v>
      </c>
      <c r="B2554" s="1">
        <v>45915</v>
      </c>
      <c r="C2554" s="5">
        <v>0.28703703703703703</v>
      </c>
      <c r="D2554">
        <v>110.02</v>
      </c>
      <c r="E2554" t="s">
        <v>44</v>
      </c>
      <c r="F2554" t="s">
        <v>3074</v>
      </c>
      <c r="G2554" t="s">
        <v>124</v>
      </c>
      <c r="H2554" t="s">
        <v>66</v>
      </c>
      <c r="I2554" t="s">
        <v>11089</v>
      </c>
      <c r="J2554">
        <v>75</v>
      </c>
      <c r="K2554" t="s">
        <v>37</v>
      </c>
      <c r="L2554" t="s">
        <v>91</v>
      </c>
      <c r="M2554" t="s">
        <v>27</v>
      </c>
      <c r="P2554" t="s">
        <v>28</v>
      </c>
      <c r="Q2554" t="s">
        <v>11090</v>
      </c>
      <c r="R2554" t="s">
        <v>11091</v>
      </c>
      <c r="S2554" t="s">
        <v>31</v>
      </c>
      <c r="T2554">
        <v>0</v>
      </c>
    </row>
    <row r="2555" spans="1:20" x14ac:dyDescent="0.25">
      <c r="A2555" t="s">
        <v>11092</v>
      </c>
      <c r="B2555" s="1">
        <v>45854</v>
      </c>
      <c r="C2555" s="5">
        <v>0.90743055555555552</v>
      </c>
      <c r="D2555">
        <v>49.85</v>
      </c>
      <c r="E2555" t="s">
        <v>44</v>
      </c>
      <c r="F2555" t="s">
        <v>2891</v>
      </c>
      <c r="G2555" t="s">
        <v>77</v>
      </c>
      <c r="H2555" t="s">
        <v>110</v>
      </c>
      <c r="I2555" t="s">
        <v>11093</v>
      </c>
      <c r="J2555">
        <v>71</v>
      </c>
      <c r="K2555" t="s">
        <v>49</v>
      </c>
      <c r="L2555" t="s">
        <v>23</v>
      </c>
      <c r="M2555" t="s">
        <v>39</v>
      </c>
      <c r="P2555" t="s">
        <v>28</v>
      </c>
      <c r="Q2555" t="s">
        <v>11094</v>
      </c>
      <c r="R2555" t="s">
        <v>11095</v>
      </c>
      <c r="S2555" t="s">
        <v>31</v>
      </c>
      <c r="T2555">
        <v>0</v>
      </c>
    </row>
    <row r="2556" spans="1:20" x14ac:dyDescent="0.25">
      <c r="A2556" t="s">
        <v>11096</v>
      </c>
      <c r="B2556" s="1">
        <v>45940</v>
      </c>
      <c r="C2556" s="5">
        <v>0.87111111111111106</v>
      </c>
      <c r="D2556">
        <v>15.06</v>
      </c>
      <c r="E2556" t="s">
        <v>44</v>
      </c>
      <c r="F2556" t="s">
        <v>2239</v>
      </c>
      <c r="G2556" t="s">
        <v>64</v>
      </c>
      <c r="H2556" t="s">
        <v>35</v>
      </c>
      <c r="I2556" t="s">
        <v>11097</v>
      </c>
      <c r="J2556">
        <v>40</v>
      </c>
      <c r="K2556" t="s">
        <v>25</v>
      </c>
      <c r="L2556" t="s">
        <v>97</v>
      </c>
      <c r="M2556" t="s">
        <v>39</v>
      </c>
      <c r="P2556" t="s">
        <v>28</v>
      </c>
      <c r="Q2556" t="s">
        <v>11098</v>
      </c>
      <c r="R2556" t="s">
        <v>11099</v>
      </c>
      <c r="S2556" t="s">
        <v>31</v>
      </c>
      <c r="T2556">
        <v>0</v>
      </c>
    </row>
    <row r="2557" spans="1:20" x14ac:dyDescent="0.25">
      <c r="A2557" t="s">
        <v>11100</v>
      </c>
      <c r="B2557" s="1">
        <v>45839</v>
      </c>
      <c r="C2557" s="5">
        <v>9.0902777777777777E-2</v>
      </c>
      <c r="D2557">
        <v>161.9</v>
      </c>
      <c r="E2557" t="s">
        <v>44</v>
      </c>
      <c r="F2557" t="s">
        <v>4448</v>
      </c>
      <c r="G2557" t="s">
        <v>34</v>
      </c>
      <c r="H2557" t="s">
        <v>58</v>
      </c>
      <c r="I2557" t="s">
        <v>8771</v>
      </c>
      <c r="J2557">
        <v>36</v>
      </c>
      <c r="K2557" t="s">
        <v>25</v>
      </c>
      <c r="L2557" t="s">
        <v>50</v>
      </c>
      <c r="M2557" t="s">
        <v>84</v>
      </c>
      <c r="P2557" t="s">
        <v>28</v>
      </c>
      <c r="Q2557" t="s">
        <v>11101</v>
      </c>
      <c r="R2557" t="s">
        <v>11102</v>
      </c>
      <c r="S2557" t="s">
        <v>31</v>
      </c>
      <c r="T2557">
        <v>0</v>
      </c>
    </row>
    <row r="2558" spans="1:20" x14ac:dyDescent="0.25">
      <c r="A2558" t="s">
        <v>11103</v>
      </c>
      <c r="B2558" s="1">
        <v>45887</v>
      </c>
      <c r="C2558" s="5">
        <v>0.72501157407407413</v>
      </c>
      <c r="D2558">
        <v>168</v>
      </c>
      <c r="E2558" t="s">
        <v>44</v>
      </c>
      <c r="F2558" t="s">
        <v>9352</v>
      </c>
      <c r="G2558" t="s">
        <v>89</v>
      </c>
      <c r="H2558" t="s">
        <v>130</v>
      </c>
      <c r="I2558" t="s">
        <v>11104</v>
      </c>
      <c r="J2558">
        <v>33</v>
      </c>
      <c r="K2558" t="s">
        <v>25</v>
      </c>
      <c r="L2558" t="s">
        <v>130</v>
      </c>
      <c r="M2558" t="s">
        <v>27</v>
      </c>
      <c r="P2558" t="s">
        <v>113</v>
      </c>
      <c r="Q2558" t="s">
        <v>11105</v>
      </c>
      <c r="R2558" t="s">
        <v>11106</v>
      </c>
      <c r="S2558" t="s">
        <v>42</v>
      </c>
      <c r="T2558">
        <v>0</v>
      </c>
    </row>
    <row r="2559" spans="1:20" x14ac:dyDescent="0.25">
      <c r="A2559" t="s">
        <v>11107</v>
      </c>
      <c r="B2559" s="1">
        <v>45908</v>
      </c>
      <c r="C2559" s="5">
        <v>0.6950925925925926</v>
      </c>
      <c r="D2559">
        <v>53.9</v>
      </c>
      <c r="E2559" t="s">
        <v>44</v>
      </c>
      <c r="F2559" t="s">
        <v>8210</v>
      </c>
      <c r="G2559" t="s">
        <v>71</v>
      </c>
      <c r="H2559" t="s">
        <v>66</v>
      </c>
      <c r="I2559" t="s">
        <v>11108</v>
      </c>
      <c r="J2559">
        <v>42</v>
      </c>
      <c r="K2559" t="s">
        <v>25</v>
      </c>
      <c r="L2559" t="s">
        <v>130</v>
      </c>
      <c r="M2559" t="s">
        <v>112</v>
      </c>
      <c r="P2559" t="s">
        <v>28</v>
      </c>
      <c r="Q2559" t="s">
        <v>11109</v>
      </c>
      <c r="R2559" t="s">
        <v>11110</v>
      </c>
      <c r="S2559" t="s">
        <v>31</v>
      </c>
      <c r="T2559">
        <v>0</v>
      </c>
    </row>
    <row r="2560" spans="1:20" x14ac:dyDescent="0.25">
      <c r="A2560" t="s">
        <v>11111</v>
      </c>
      <c r="B2560" s="1">
        <v>45841</v>
      </c>
      <c r="C2560" s="5">
        <v>0.80269675925925921</v>
      </c>
      <c r="D2560">
        <v>19.440000000000001</v>
      </c>
      <c r="E2560" t="s">
        <v>44</v>
      </c>
      <c r="F2560" t="s">
        <v>8754</v>
      </c>
      <c r="G2560" t="s">
        <v>22</v>
      </c>
      <c r="H2560" t="s">
        <v>35</v>
      </c>
      <c r="I2560" t="s">
        <v>11112</v>
      </c>
      <c r="J2560">
        <v>27</v>
      </c>
      <c r="K2560" t="s">
        <v>49</v>
      </c>
      <c r="L2560" t="s">
        <v>50</v>
      </c>
      <c r="M2560" t="s">
        <v>51</v>
      </c>
      <c r="N2560" t="s">
        <v>52</v>
      </c>
      <c r="O2560">
        <v>487893</v>
      </c>
      <c r="P2560" t="s">
        <v>28</v>
      </c>
      <c r="Q2560" t="s">
        <v>11113</v>
      </c>
      <c r="R2560" t="s">
        <v>11114</v>
      </c>
      <c r="S2560" t="s">
        <v>31</v>
      </c>
      <c r="T2560">
        <v>0</v>
      </c>
    </row>
    <row r="2561" spans="1:20" x14ac:dyDescent="0.25">
      <c r="A2561" t="s">
        <v>11115</v>
      </c>
      <c r="B2561" s="1">
        <v>45846</v>
      </c>
      <c r="C2561" s="5">
        <v>0.68789351851851854</v>
      </c>
      <c r="D2561">
        <v>46.41</v>
      </c>
      <c r="E2561" t="s">
        <v>44</v>
      </c>
      <c r="F2561" t="s">
        <v>2200</v>
      </c>
      <c r="G2561" t="s">
        <v>34</v>
      </c>
      <c r="H2561" t="s">
        <v>26</v>
      </c>
      <c r="I2561" t="s">
        <v>11116</v>
      </c>
      <c r="K2561" t="s">
        <v>49</v>
      </c>
      <c r="L2561" t="s">
        <v>47</v>
      </c>
      <c r="M2561" t="s">
        <v>112</v>
      </c>
      <c r="P2561" t="s">
        <v>28</v>
      </c>
      <c r="Q2561" t="s">
        <v>11117</v>
      </c>
      <c r="R2561" t="s">
        <v>11118</v>
      </c>
      <c r="S2561" t="s">
        <v>31</v>
      </c>
      <c r="T2561">
        <v>0</v>
      </c>
    </row>
    <row r="2562" spans="1:20" x14ac:dyDescent="0.25">
      <c r="A2562" t="s">
        <v>11119</v>
      </c>
      <c r="B2562" s="1">
        <v>45940</v>
      </c>
      <c r="C2562" s="5">
        <v>0.50620370370370371</v>
      </c>
      <c r="D2562">
        <v>137.97999999999999</v>
      </c>
      <c r="E2562" t="s">
        <v>44</v>
      </c>
      <c r="F2562" t="s">
        <v>5981</v>
      </c>
      <c r="G2562" t="s">
        <v>77</v>
      </c>
      <c r="H2562" t="s">
        <v>50</v>
      </c>
      <c r="I2562" t="s">
        <v>11120</v>
      </c>
      <c r="J2562">
        <v>59</v>
      </c>
      <c r="K2562" t="s">
        <v>37</v>
      </c>
      <c r="L2562" t="s">
        <v>91</v>
      </c>
      <c r="M2562" t="s">
        <v>84</v>
      </c>
      <c r="P2562" t="s">
        <v>28</v>
      </c>
      <c r="Q2562" t="s">
        <v>11121</v>
      </c>
      <c r="R2562" t="s">
        <v>11122</v>
      </c>
      <c r="S2562" t="s">
        <v>31</v>
      </c>
      <c r="T2562">
        <v>0</v>
      </c>
    </row>
    <row r="2563" spans="1:20" x14ac:dyDescent="0.25">
      <c r="A2563" t="s">
        <v>11123</v>
      </c>
      <c r="B2563" s="1">
        <v>45841</v>
      </c>
      <c r="C2563" s="5">
        <v>0.20091435185185186</v>
      </c>
      <c r="D2563">
        <v>26.08</v>
      </c>
      <c r="E2563" t="s">
        <v>44</v>
      </c>
      <c r="F2563" t="s">
        <v>1446</v>
      </c>
      <c r="G2563" t="s">
        <v>124</v>
      </c>
      <c r="H2563" t="s">
        <v>248</v>
      </c>
      <c r="I2563" t="s">
        <v>11124</v>
      </c>
      <c r="J2563">
        <v>43</v>
      </c>
      <c r="K2563" t="s">
        <v>25</v>
      </c>
      <c r="L2563" t="s">
        <v>35</v>
      </c>
      <c r="M2563" t="s">
        <v>105</v>
      </c>
      <c r="P2563" t="s">
        <v>28</v>
      </c>
      <c r="Q2563" t="s">
        <v>11125</v>
      </c>
      <c r="R2563" t="s">
        <v>11126</v>
      </c>
      <c r="S2563" t="s">
        <v>31</v>
      </c>
      <c r="T2563">
        <v>0</v>
      </c>
    </row>
    <row r="2564" spans="1:20" x14ac:dyDescent="0.25">
      <c r="A2564" t="s">
        <v>11127</v>
      </c>
      <c r="B2564" s="1">
        <v>45882</v>
      </c>
      <c r="C2564" s="5">
        <v>0.60932870370370373</v>
      </c>
      <c r="D2564">
        <v>92.29</v>
      </c>
      <c r="E2564" t="s">
        <v>44</v>
      </c>
      <c r="F2564" t="s">
        <v>2467</v>
      </c>
      <c r="G2564" t="s">
        <v>22</v>
      </c>
      <c r="H2564" t="s">
        <v>110</v>
      </c>
      <c r="I2564" t="s">
        <v>11128</v>
      </c>
      <c r="J2564">
        <v>27</v>
      </c>
      <c r="K2564" t="s">
        <v>49</v>
      </c>
      <c r="L2564" t="s">
        <v>130</v>
      </c>
      <c r="M2564" t="s">
        <v>84</v>
      </c>
      <c r="P2564" t="s">
        <v>28</v>
      </c>
      <c r="Q2564" t="s">
        <v>11129</v>
      </c>
      <c r="R2564" t="s">
        <v>11130</v>
      </c>
      <c r="S2564" t="s">
        <v>31</v>
      </c>
      <c r="T2564">
        <v>0</v>
      </c>
    </row>
    <row r="2565" spans="1:20" x14ac:dyDescent="0.25">
      <c r="A2565" t="s">
        <v>11131</v>
      </c>
      <c r="B2565" s="1">
        <v>45791</v>
      </c>
      <c r="C2565" s="5">
        <v>0.11725694444444444</v>
      </c>
      <c r="D2565">
        <v>162.4</v>
      </c>
      <c r="E2565" t="s">
        <v>44</v>
      </c>
      <c r="F2565" t="s">
        <v>556</v>
      </c>
      <c r="G2565" t="s">
        <v>89</v>
      </c>
      <c r="H2565" t="s">
        <v>91</v>
      </c>
      <c r="I2565" t="s">
        <v>11132</v>
      </c>
      <c r="J2565">
        <v>29</v>
      </c>
      <c r="K2565" t="s">
        <v>49</v>
      </c>
      <c r="L2565" t="s">
        <v>35</v>
      </c>
      <c r="M2565" t="s">
        <v>27</v>
      </c>
      <c r="P2565" t="s">
        <v>28</v>
      </c>
      <c r="Q2565" t="s">
        <v>11133</v>
      </c>
      <c r="R2565" t="s">
        <v>11134</v>
      </c>
      <c r="S2565" t="s">
        <v>31</v>
      </c>
      <c r="T2565">
        <v>0</v>
      </c>
    </row>
    <row r="2566" spans="1:20" x14ac:dyDescent="0.25">
      <c r="A2566" t="s">
        <v>11135</v>
      </c>
      <c r="B2566" s="1">
        <v>45947</v>
      </c>
      <c r="C2566" s="5">
        <v>0.25163194444444442</v>
      </c>
      <c r="D2566">
        <v>170.58</v>
      </c>
      <c r="E2566" t="s">
        <v>44</v>
      </c>
      <c r="F2566" t="s">
        <v>1110</v>
      </c>
      <c r="G2566" t="s">
        <v>89</v>
      </c>
      <c r="H2566" t="s">
        <v>50</v>
      </c>
      <c r="I2566" t="s">
        <v>11136</v>
      </c>
      <c r="J2566">
        <v>72</v>
      </c>
      <c r="K2566" t="s">
        <v>25</v>
      </c>
      <c r="L2566" t="s">
        <v>35</v>
      </c>
      <c r="M2566" t="s">
        <v>27</v>
      </c>
      <c r="P2566" t="s">
        <v>28</v>
      </c>
      <c r="Q2566" t="s">
        <v>11137</v>
      </c>
      <c r="R2566" t="s">
        <v>11138</v>
      </c>
      <c r="S2566" t="s">
        <v>31</v>
      </c>
      <c r="T2566">
        <v>0</v>
      </c>
    </row>
    <row r="2567" spans="1:20" x14ac:dyDescent="0.25">
      <c r="A2567" t="s">
        <v>11139</v>
      </c>
      <c r="B2567" s="1">
        <v>45815</v>
      </c>
      <c r="C2567" s="5">
        <v>0.77105324074074078</v>
      </c>
      <c r="D2567">
        <v>800.15</v>
      </c>
      <c r="E2567" t="s">
        <v>44</v>
      </c>
      <c r="F2567" t="s">
        <v>413</v>
      </c>
      <c r="G2567" t="s">
        <v>71</v>
      </c>
      <c r="H2567" t="s">
        <v>58</v>
      </c>
      <c r="I2567" t="s">
        <v>11140</v>
      </c>
      <c r="J2567">
        <v>68</v>
      </c>
      <c r="K2567" t="s">
        <v>49</v>
      </c>
      <c r="L2567" t="s">
        <v>119</v>
      </c>
      <c r="M2567" t="s">
        <v>84</v>
      </c>
      <c r="P2567" t="s">
        <v>28</v>
      </c>
      <c r="Q2567" t="s">
        <v>11141</v>
      </c>
      <c r="R2567" t="s">
        <v>11142</v>
      </c>
      <c r="S2567" t="s">
        <v>31</v>
      </c>
      <c r="T2567">
        <v>0</v>
      </c>
    </row>
    <row r="2568" spans="1:20" x14ac:dyDescent="0.25">
      <c r="A2568" t="s">
        <v>11143</v>
      </c>
      <c r="B2568" s="1">
        <v>45868</v>
      </c>
      <c r="C2568" s="5">
        <v>0.82671296296296293</v>
      </c>
      <c r="D2568">
        <v>578.11</v>
      </c>
      <c r="E2568" t="s">
        <v>44</v>
      </c>
      <c r="F2568" t="s">
        <v>2598</v>
      </c>
      <c r="G2568" t="s">
        <v>34</v>
      </c>
      <c r="H2568" t="s">
        <v>119</v>
      </c>
      <c r="I2568" t="s">
        <v>11144</v>
      </c>
      <c r="J2568">
        <v>67</v>
      </c>
      <c r="K2568" t="s">
        <v>37</v>
      </c>
      <c r="L2568" t="s">
        <v>97</v>
      </c>
      <c r="M2568" t="s">
        <v>39</v>
      </c>
      <c r="P2568" t="s">
        <v>28</v>
      </c>
      <c r="Q2568" t="s">
        <v>11145</v>
      </c>
      <c r="R2568" t="s">
        <v>11146</v>
      </c>
      <c r="S2568" t="s">
        <v>31</v>
      </c>
      <c r="T2568">
        <v>0</v>
      </c>
    </row>
    <row r="2569" spans="1:20" x14ac:dyDescent="0.25">
      <c r="A2569" t="s">
        <v>11147</v>
      </c>
      <c r="B2569" s="1">
        <v>45824</v>
      </c>
      <c r="C2569" s="5">
        <v>0.70221064814814815</v>
      </c>
      <c r="D2569">
        <v>156.88999999999999</v>
      </c>
      <c r="E2569" t="s">
        <v>44</v>
      </c>
      <c r="F2569" t="s">
        <v>10235</v>
      </c>
      <c r="G2569" t="s">
        <v>64</v>
      </c>
      <c r="H2569" t="s">
        <v>35</v>
      </c>
      <c r="I2569" t="s">
        <v>11148</v>
      </c>
      <c r="J2569">
        <v>32</v>
      </c>
      <c r="K2569" t="s">
        <v>37</v>
      </c>
      <c r="L2569" t="s">
        <v>35</v>
      </c>
      <c r="M2569" t="s">
        <v>105</v>
      </c>
      <c r="P2569" t="s">
        <v>113</v>
      </c>
      <c r="Q2569" t="s">
        <v>11149</v>
      </c>
      <c r="R2569" t="s">
        <v>11150</v>
      </c>
      <c r="S2569" t="s">
        <v>31</v>
      </c>
      <c r="T2569">
        <v>0</v>
      </c>
    </row>
    <row r="2570" spans="1:20" x14ac:dyDescent="0.25">
      <c r="A2570" t="s">
        <v>11151</v>
      </c>
      <c r="B2570" s="1">
        <v>45854</v>
      </c>
      <c r="C2570" s="5">
        <v>0.3198611111111111</v>
      </c>
      <c r="D2570">
        <v>104.98</v>
      </c>
      <c r="E2570" t="s">
        <v>44</v>
      </c>
      <c r="F2570" t="s">
        <v>3390</v>
      </c>
      <c r="G2570" t="s">
        <v>124</v>
      </c>
      <c r="H2570" t="s">
        <v>91</v>
      </c>
      <c r="I2570" t="s">
        <v>11152</v>
      </c>
      <c r="J2570">
        <v>41</v>
      </c>
      <c r="K2570" t="s">
        <v>37</v>
      </c>
      <c r="L2570" t="s">
        <v>35</v>
      </c>
      <c r="M2570" t="s">
        <v>51</v>
      </c>
      <c r="N2570" t="s">
        <v>870</v>
      </c>
      <c r="O2570">
        <v>520773</v>
      </c>
      <c r="P2570" t="s">
        <v>28</v>
      </c>
      <c r="Q2570" t="s">
        <v>11153</v>
      </c>
      <c r="R2570" t="s">
        <v>11154</v>
      </c>
      <c r="S2570" t="s">
        <v>101</v>
      </c>
      <c r="T2570">
        <v>0</v>
      </c>
    </row>
    <row r="2571" spans="1:20" x14ac:dyDescent="0.25">
      <c r="A2571" t="s">
        <v>11155</v>
      </c>
      <c r="B2571" s="1">
        <v>45835</v>
      </c>
      <c r="C2571" s="5">
        <v>0.63520833333333337</v>
      </c>
      <c r="D2571">
        <v>125.07</v>
      </c>
      <c r="E2571" t="s">
        <v>44</v>
      </c>
      <c r="F2571" t="s">
        <v>3088</v>
      </c>
      <c r="G2571" t="s">
        <v>34</v>
      </c>
      <c r="H2571" t="s">
        <v>26</v>
      </c>
      <c r="I2571" t="s">
        <v>11156</v>
      </c>
      <c r="J2571">
        <v>71</v>
      </c>
      <c r="K2571" t="s">
        <v>49</v>
      </c>
      <c r="L2571" t="s">
        <v>66</v>
      </c>
      <c r="M2571" t="s">
        <v>112</v>
      </c>
      <c r="P2571" t="s">
        <v>28</v>
      </c>
      <c r="Q2571" t="s">
        <v>11157</v>
      </c>
      <c r="R2571" t="s">
        <v>11158</v>
      </c>
      <c r="S2571" t="s">
        <v>31</v>
      </c>
      <c r="T2571">
        <v>1</v>
      </c>
    </row>
    <row r="2572" spans="1:20" x14ac:dyDescent="0.25">
      <c r="A2572" t="s">
        <v>11159</v>
      </c>
      <c r="B2572" s="1">
        <v>45810</v>
      </c>
      <c r="C2572" s="5">
        <v>0.11907407407407407</v>
      </c>
      <c r="D2572">
        <v>89.91</v>
      </c>
      <c r="E2572" t="s">
        <v>44</v>
      </c>
      <c r="F2572" t="s">
        <v>2075</v>
      </c>
      <c r="G2572" t="s">
        <v>89</v>
      </c>
      <c r="H2572" t="s">
        <v>130</v>
      </c>
      <c r="I2572" t="s">
        <v>11160</v>
      </c>
      <c r="J2572">
        <v>29</v>
      </c>
      <c r="K2572" t="s">
        <v>25</v>
      </c>
      <c r="L2572" t="s">
        <v>110</v>
      </c>
      <c r="M2572" t="s">
        <v>51</v>
      </c>
      <c r="N2572" t="s">
        <v>304</v>
      </c>
      <c r="O2572">
        <v>437917</v>
      </c>
      <c r="P2572" t="s">
        <v>28</v>
      </c>
      <c r="Q2572" t="s">
        <v>11161</v>
      </c>
      <c r="R2572" t="s">
        <v>11162</v>
      </c>
      <c r="S2572" t="s">
        <v>31</v>
      </c>
      <c r="T2572">
        <v>0</v>
      </c>
    </row>
    <row r="2573" spans="1:20" x14ac:dyDescent="0.25">
      <c r="A2573" t="s">
        <v>11163</v>
      </c>
      <c r="B2573" s="1">
        <v>45814</v>
      </c>
      <c r="C2573" s="5">
        <v>0.36461805555555554</v>
      </c>
      <c r="D2573">
        <v>123.59</v>
      </c>
      <c r="E2573" t="s">
        <v>44</v>
      </c>
      <c r="F2573" t="s">
        <v>2671</v>
      </c>
      <c r="G2573" t="s">
        <v>71</v>
      </c>
      <c r="H2573" t="s">
        <v>58</v>
      </c>
      <c r="I2573" t="s">
        <v>11164</v>
      </c>
      <c r="J2573">
        <v>75</v>
      </c>
      <c r="K2573" t="s">
        <v>25</v>
      </c>
      <c r="L2573" t="s">
        <v>23</v>
      </c>
      <c r="M2573" t="s">
        <v>105</v>
      </c>
      <c r="P2573" t="s">
        <v>28</v>
      </c>
      <c r="Q2573" t="s">
        <v>11165</v>
      </c>
      <c r="R2573" t="s">
        <v>11166</v>
      </c>
      <c r="S2573" t="s">
        <v>31</v>
      </c>
      <c r="T2573">
        <v>0</v>
      </c>
    </row>
    <row r="2574" spans="1:20" x14ac:dyDescent="0.25">
      <c r="A2574" t="s">
        <v>11167</v>
      </c>
      <c r="B2574" s="1">
        <v>45850</v>
      </c>
      <c r="C2574" s="5">
        <v>0.23231481481481481</v>
      </c>
      <c r="D2574">
        <v>65.650000000000006</v>
      </c>
      <c r="E2574" t="s">
        <v>44</v>
      </c>
      <c r="F2574" t="s">
        <v>5913</v>
      </c>
      <c r="G2574" t="s">
        <v>89</v>
      </c>
      <c r="H2574" t="s">
        <v>38</v>
      </c>
      <c r="I2574" t="s">
        <v>11168</v>
      </c>
      <c r="J2574">
        <v>55</v>
      </c>
      <c r="K2574" t="s">
        <v>37</v>
      </c>
      <c r="L2574" t="s">
        <v>47</v>
      </c>
      <c r="M2574" t="s">
        <v>112</v>
      </c>
      <c r="P2574" t="s">
        <v>28</v>
      </c>
      <c r="Q2574" t="s">
        <v>11169</v>
      </c>
      <c r="R2574" t="s">
        <v>2907</v>
      </c>
      <c r="S2574" t="s">
        <v>31</v>
      </c>
      <c r="T2574">
        <v>0</v>
      </c>
    </row>
    <row r="2575" spans="1:20" x14ac:dyDescent="0.25">
      <c r="A2575" t="s">
        <v>11170</v>
      </c>
      <c r="B2575" s="1">
        <v>45848</v>
      </c>
      <c r="C2575" s="5">
        <v>0.71517361111111111</v>
      </c>
      <c r="D2575">
        <v>16.41</v>
      </c>
      <c r="E2575" t="s">
        <v>44</v>
      </c>
      <c r="F2575" t="s">
        <v>1973</v>
      </c>
      <c r="G2575" t="s">
        <v>71</v>
      </c>
      <c r="H2575" t="s">
        <v>26</v>
      </c>
      <c r="I2575" t="s">
        <v>11171</v>
      </c>
      <c r="J2575">
        <v>52</v>
      </c>
      <c r="K2575" t="s">
        <v>25</v>
      </c>
      <c r="L2575" t="s">
        <v>47</v>
      </c>
      <c r="M2575" t="s">
        <v>105</v>
      </c>
      <c r="P2575" t="s">
        <v>28</v>
      </c>
      <c r="Q2575" t="s">
        <v>11172</v>
      </c>
      <c r="R2575" t="s">
        <v>11173</v>
      </c>
      <c r="S2575" t="s">
        <v>31</v>
      </c>
      <c r="T2575">
        <v>0</v>
      </c>
    </row>
    <row r="2576" spans="1:20" x14ac:dyDescent="0.25">
      <c r="A2576" t="s">
        <v>11174</v>
      </c>
      <c r="B2576" s="1">
        <v>45811</v>
      </c>
      <c r="C2576" s="5">
        <v>9.975694444444444E-2</v>
      </c>
      <c r="D2576">
        <v>88.19</v>
      </c>
      <c r="E2576" t="s">
        <v>44</v>
      </c>
      <c r="F2576" t="s">
        <v>313</v>
      </c>
      <c r="G2576" t="s">
        <v>57</v>
      </c>
      <c r="H2576" t="s">
        <v>91</v>
      </c>
      <c r="I2576" t="s">
        <v>11175</v>
      </c>
      <c r="J2576">
        <v>70</v>
      </c>
      <c r="K2576" t="s">
        <v>25</v>
      </c>
      <c r="L2576" t="s">
        <v>35</v>
      </c>
      <c r="M2576" t="s">
        <v>84</v>
      </c>
      <c r="P2576" t="s">
        <v>28</v>
      </c>
      <c r="Q2576" t="s">
        <v>11176</v>
      </c>
      <c r="R2576" t="s">
        <v>11177</v>
      </c>
      <c r="S2576" t="s">
        <v>31</v>
      </c>
      <c r="T2576">
        <v>0</v>
      </c>
    </row>
    <row r="2577" spans="1:20" x14ac:dyDescent="0.25">
      <c r="A2577" t="s">
        <v>11178</v>
      </c>
      <c r="B2577" s="1">
        <v>45820</v>
      </c>
      <c r="C2577" s="5">
        <v>5.6446759259259259E-2</v>
      </c>
      <c r="D2577">
        <v>2.69</v>
      </c>
      <c r="E2577" t="s">
        <v>44</v>
      </c>
      <c r="F2577" t="s">
        <v>983</v>
      </c>
      <c r="G2577" t="s">
        <v>57</v>
      </c>
      <c r="H2577" t="s">
        <v>66</v>
      </c>
      <c r="I2577" t="s">
        <v>11179</v>
      </c>
      <c r="J2577">
        <v>71</v>
      </c>
      <c r="K2577" t="s">
        <v>49</v>
      </c>
      <c r="L2577" t="s">
        <v>38</v>
      </c>
      <c r="M2577" t="s">
        <v>27</v>
      </c>
      <c r="P2577" t="s">
        <v>28</v>
      </c>
      <c r="Q2577" t="s">
        <v>11180</v>
      </c>
      <c r="R2577" t="s">
        <v>11181</v>
      </c>
      <c r="S2577" t="s">
        <v>101</v>
      </c>
      <c r="T2577">
        <v>0</v>
      </c>
    </row>
    <row r="2578" spans="1:20" x14ac:dyDescent="0.25">
      <c r="A2578" t="s">
        <v>11182</v>
      </c>
      <c r="B2578" s="1">
        <v>45934</v>
      </c>
      <c r="C2578" s="5">
        <v>0.39694444444444443</v>
      </c>
      <c r="D2578">
        <v>53.06</v>
      </c>
      <c r="E2578" t="s">
        <v>44</v>
      </c>
      <c r="F2578" t="s">
        <v>481</v>
      </c>
      <c r="G2578" t="s">
        <v>64</v>
      </c>
      <c r="H2578" t="s">
        <v>130</v>
      </c>
      <c r="I2578" t="s">
        <v>11183</v>
      </c>
      <c r="J2578">
        <v>61</v>
      </c>
      <c r="K2578" t="s">
        <v>37</v>
      </c>
      <c r="L2578" t="s">
        <v>38</v>
      </c>
      <c r="M2578" t="s">
        <v>105</v>
      </c>
      <c r="P2578" t="s">
        <v>28</v>
      </c>
      <c r="Q2578" t="s">
        <v>11184</v>
      </c>
      <c r="R2578" t="s">
        <v>11185</v>
      </c>
      <c r="S2578" t="s">
        <v>42</v>
      </c>
      <c r="T2578">
        <v>0</v>
      </c>
    </row>
    <row r="2579" spans="1:20" x14ac:dyDescent="0.25">
      <c r="A2579" t="s">
        <v>11186</v>
      </c>
      <c r="B2579" s="1">
        <v>45881</v>
      </c>
      <c r="C2579" s="5">
        <v>0.20030092592592594</v>
      </c>
      <c r="D2579">
        <v>27.93</v>
      </c>
      <c r="E2579" t="s">
        <v>44</v>
      </c>
      <c r="F2579" t="s">
        <v>1195</v>
      </c>
      <c r="G2579" t="s">
        <v>96</v>
      </c>
      <c r="H2579" t="s">
        <v>119</v>
      </c>
      <c r="I2579" t="s">
        <v>11187</v>
      </c>
      <c r="J2579">
        <v>33</v>
      </c>
      <c r="K2579" t="s">
        <v>37</v>
      </c>
      <c r="L2579" t="s">
        <v>130</v>
      </c>
      <c r="M2579" t="s">
        <v>105</v>
      </c>
      <c r="P2579" t="s">
        <v>28</v>
      </c>
      <c r="Q2579" t="s">
        <v>11188</v>
      </c>
      <c r="R2579" t="s">
        <v>11189</v>
      </c>
      <c r="S2579" t="s">
        <v>31</v>
      </c>
      <c r="T2579">
        <v>0</v>
      </c>
    </row>
    <row r="2580" spans="1:20" x14ac:dyDescent="0.25">
      <c r="A2580" t="s">
        <v>11190</v>
      </c>
      <c r="B2580" s="1">
        <v>45841</v>
      </c>
      <c r="C2580" s="5">
        <v>0.96229166666666666</v>
      </c>
      <c r="D2580">
        <v>79.849999999999994</v>
      </c>
      <c r="E2580" t="s">
        <v>44</v>
      </c>
      <c r="F2580" t="s">
        <v>10322</v>
      </c>
      <c r="G2580" t="s">
        <v>64</v>
      </c>
      <c r="H2580" t="s">
        <v>26</v>
      </c>
      <c r="I2580" t="s">
        <v>11191</v>
      </c>
      <c r="J2580">
        <v>59</v>
      </c>
      <c r="K2580" t="s">
        <v>37</v>
      </c>
      <c r="L2580" t="s">
        <v>50</v>
      </c>
      <c r="M2580" t="s">
        <v>112</v>
      </c>
      <c r="P2580" t="s">
        <v>28</v>
      </c>
      <c r="Q2580" t="s">
        <v>11192</v>
      </c>
      <c r="R2580" t="s">
        <v>11193</v>
      </c>
      <c r="S2580" t="s">
        <v>31</v>
      </c>
      <c r="T2580">
        <v>0</v>
      </c>
    </row>
    <row r="2581" spans="1:20" x14ac:dyDescent="0.25">
      <c r="A2581" t="s">
        <v>11194</v>
      </c>
      <c r="B2581" s="1">
        <v>45897</v>
      </c>
      <c r="C2581" s="5">
        <v>0.11743055555555555</v>
      </c>
      <c r="D2581">
        <v>70.64</v>
      </c>
      <c r="E2581" t="s">
        <v>44</v>
      </c>
      <c r="F2581" t="s">
        <v>6063</v>
      </c>
      <c r="G2581" t="s">
        <v>96</v>
      </c>
      <c r="H2581" t="s">
        <v>119</v>
      </c>
      <c r="I2581" t="s">
        <v>11195</v>
      </c>
      <c r="J2581">
        <v>53</v>
      </c>
      <c r="K2581" t="s">
        <v>25</v>
      </c>
      <c r="L2581" t="s">
        <v>26</v>
      </c>
      <c r="M2581" t="s">
        <v>51</v>
      </c>
      <c r="N2581" t="s">
        <v>507</v>
      </c>
      <c r="O2581">
        <v>553002</v>
      </c>
      <c r="P2581" t="s">
        <v>28</v>
      </c>
      <c r="Q2581" t="s">
        <v>11196</v>
      </c>
      <c r="R2581" t="s">
        <v>11197</v>
      </c>
      <c r="S2581" t="s">
        <v>31</v>
      </c>
      <c r="T2581">
        <v>0</v>
      </c>
    </row>
    <row r="2582" spans="1:20" x14ac:dyDescent="0.25">
      <c r="A2582" t="s">
        <v>11198</v>
      </c>
      <c r="B2582" s="1">
        <v>45850</v>
      </c>
      <c r="C2582" s="5">
        <v>0.79417824074074073</v>
      </c>
      <c r="D2582">
        <v>176.88</v>
      </c>
      <c r="E2582" t="s">
        <v>44</v>
      </c>
      <c r="F2582" t="s">
        <v>2249</v>
      </c>
      <c r="G2582" t="s">
        <v>34</v>
      </c>
      <c r="H2582" t="s">
        <v>38</v>
      </c>
      <c r="I2582" t="s">
        <v>11199</v>
      </c>
      <c r="J2582">
        <v>45</v>
      </c>
      <c r="K2582" t="s">
        <v>37</v>
      </c>
      <c r="L2582" t="s">
        <v>119</v>
      </c>
      <c r="M2582" t="s">
        <v>112</v>
      </c>
      <c r="P2582" t="s">
        <v>28</v>
      </c>
      <c r="Q2582" t="s">
        <v>11200</v>
      </c>
      <c r="R2582" t="s">
        <v>11201</v>
      </c>
      <c r="S2582" t="s">
        <v>31</v>
      </c>
      <c r="T2582">
        <v>0</v>
      </c>
    </row>
    <row r="2583" spans="1:20" x14ac:dyDescent="0.25">
      <c r="A2583" t="s">
        <v>11202</v>
      </c>
      <c r="B2583" s="1">
        <v>45948</v>
      </c>
      <c r="C2583" s="5">
        <v>0.31394675925925924</v>
      </c>
      <c r="D2583">
        <v>118.01</v>
      </c>
      <c r="E2583" t="s">
        <v>44</v>
      </c>
      <c r="F2583" t="s">
        <v>10331</v>
      </c>
      <c r="G2583" t="s">
        <v>124</v>
      </c>
      <c r="H2583" t="s">
        <v>146</v>
      </c>
      <c r="I2583" t="s">
        <v>11203</v>
      </c>
      <c r="J2583">
        <v>65</v>
      </c>
      <c r="K2583" t="s">
        <v>25</v>
      </c>
      <c r="L2583" t="s">
        <v>146</v>
      </c>
      <c r="M2583" t="s">
        <v>112</v>
      </c>
      <c r="P2583" t="s">
        <v>113</v>
      </c>
      <c r="Q2583" t="s">
        <v>11204</v>
      </c>
      <c r="R2583" t="s">
        <v>11205</v>
      </c>
      <c r="S2583" t="s">
        <v>31</v>
      </c>
      <c r="T2583">
        <v>0</v>
      </c>
    </row>
    <row r="2584" spans="1:20" x14ac:dyDescent="0.25">
      <c r="A2584" t="s">
        <v>11206</v>
      </c>
      <c r="B2584" s="1">
        <v>45788</v>
      </c>
      <c r="C2584" s="5">
        <v>0.98290509259259262</v>
      </c>
      <c r="D2584">
        <v>91.47</v>
      </c>
      <c r="E2584" t="s">
        <v>44</v>
      </c>
      <c r="F2584" t="s">
        <v>1321</v>
      </c>
      <c r="G2584" t="s">
        <v>96</v>
      </c>
      <c r="H2584" t="s">
        <v>130</v>
      </c>
      <c r="I2584" t="s">
        <v>11207</v>
      </c>
      <c r="J2584">
        <v>65</v>
      </c>
      <c r="K2584" t="s">
        <v>49</v>
      </c>
      <c r="L2584" t="s">
        <v>58</v>
      </c>
      <c r="M2584" t="s">
        <v>105</v>
      </c>
      <c r="P2584" t="s">
        <v>28</v>
      </c>
      <c r="Q2584" t="s">
        <v>11208</v>
      </c>
      <c r="R2584" t="s">
        <v>11209</v>
      </c>
      <c r="S2584" t="s">
        <v>31</v>
      </c>
      <c r="T2584">
        <v>0</v>
      </c>
    </row>
    <row r="2585" spans="1:20" x14ac:dyDescent="0.25">
      <c r="A2585" t="s">
        <v>11210</v>
      </c>
      <c r="B2585" s="1">
        <v>45826</v>
      </c>
      <c r="C2585" s="5">
        <v>0.73108796296296297</v>
      </c>
      <c r="D2585">
        <v>110.85</v>
      </c>
      <c r="E2585" t="s">
        <v>44</v>
      </c>
      <c r="F2585" t="s">
        <v>9168</v>
      </c>
      <c r="G2585" t="s">
        <v>22</v>
      </c>
      <c r="H2585" t="s">
        <v>58</v>
      </c>
      <c r="I2585" t="s">
        <v>11211</v>
      </c>
      <c r="J2585">
        <v>38</v>
      </c>
      <c r="K2585" t="s">
        <v>25</v>
      </c>
      <c r="L2585" t="s">
        <v>66</v>
      </c>
      <c r="M2585" t="s">
        <v>112</v>
      </c>
      <c r="P2585" t="s">
        <v>28</v>
      </c>
      <c r="Q2585" t="s">
        <v>11212</v>
      </c>
      <c r="R2585" t="s">
        <v>11213</v>
      </c>
      <c r="S2585" t="s">
        <v>31</v>
      </c>
      <c r="T2585">
        <v>0</v>
      </c>
    </row>
    <row r="2586" spans="1:20" x14ac:dyDescent="0.25">
      <c r="A2586" t="s">
        <v>11214</v>
      </c>
      <c r="B2586" s="1">
        <v>45945</v>
      </c>
      <c r="C2586" s="5">
        <v>0.8871296296296296</v>
      </c>
      <c r="D2586">
        <v>28.21</v>
      </c>
      <c r="E2586" t="s">
        <v>44</v>
      </c>
      <c r="F2586" t="s">
        <v>5815</v>
      </c>
      <c r="G2586" t="s">
        <v>124</v>
      </c>
      <c r="H2586" t="s">
        <v>119</v>
      </c>
      <c r="I2586" t="s">
        <v>11215</v>
      </c>
      <c r="J2586">
        <v>24</v>
      </c>
      <c r="K2586" t="s">
        <v>25</v>
      </c>
      <c r="L2586" t="s">
        <v>97</v>
      </c>
      <c r="M2586" t="s">
        <v>112</v>
      </c>
      <c r="P2586" t="s">
        <v>28</v>
      </c>
      <c r="Q2586" t="s">
        <v>11216</v>
      </c>
      <c r="R2586" t="s">
        <v>11217</v>
      </c>
      <c r="S2586" t="s">
        <v>31</v>
      </c>
      <c r="T2586">
        <v>0</v>
      </c>
    </row>
    <row r="2587" spans="1:20" x14ac:dyDescent="0.25">
      <c r="A2587" t="s">
        <v>11218</v>
      </c>
      <c r="B2587" s="1">
        <v>45899</v>
      </c>
      <c r="C2587" s="5">
        <v>0.67347222222222225</v>
      </c>
      <c r="D2587">
        <v>145.63999999999999</v>
      </c>
      <c r="E2587" t="s">
        <v>44</v>
      </c>
      <c r="F2587" t="s">
        <v>11219</v>
      </c>
      <c r="G2587" t="s">
        <v>96</v>
      </c>
      <c r="H2587" t="s">
        <v>50</v>
      </c>
      <c r="I2587" t="s">
        <v>11220</v>
      </c>
      <c r="J2587">
        <v>19</v>
      </c>
      <c r="K2587" t="s">
        <v>37</v>
      </c>
      <c r="L2587" t="s">
        <v>97</v>
      </c>
      <c r="M2587" t="s">
        <v>105</v>
      </c>
      <c r="P2587" t="s">
        <v>28</v>
      </c>
      <c r="Q2587" t="s">
        <v>11221</v>
      </c>
      <c r="R2587" t="s">
        <v>11222</v>
      </c>
      <c r="S2587" t="s">
        <v>31</v>
      </c>
      <c r="T2587">
        <v>0</v>
      </c>
    </row>
    <row r="2588" spans="1:20" x14ac:dyDescent="0.25">
      <c r="A2588" t="s">
        <v>11223</v>
      </c>
      <c r="B2588" s="1">
        <v>45846</v>
      </c>
      <c r="C2588" s="5">
        <v>0.27142361111111113</v>
      </c>
      <c r="D2588">
        <v>132.91999999999999</v>
      </c>
      <c r="E2588" t="s">
        <v>44</v>
      </c>
      <c r="F2588" t="s">
        <v>4443</v>
      </c>
      <c r="G2588" t="s">
        <v>64</v>
      </c>
      <c r="H2588" t="s">
        <v>35</v>
      </c>
      <c r="I2588" t="s">
        <v>11224</v>
      </c>
      <c r="J2588">
        <v>20</v>
      </c>
      <c r="K2588" t="s">
        <v>25</v>
      </c>
      <c r="L2588" t="s">
        <v>110</v>
      </c>
      <c r="M2588" t="s">
        <v>105</v>
      </c>
      <c r="P2588" t="s">
        <v>28</v>
      </c>
      <c r="Q2588" t="s">
        <v>11225</v>
      </c>
      <c r="R2588" t="s">
        <v>11226</v>
      </c>
      <c r="S2588" t="s">
        <v>31</v>
      </c>
      <c r="T2588">
        <v>0</v>
      </c>
    </row>
    <row r="2589" spans="1:20" x14ac:dyDescent="0.25">
      <c r="A2589" t="s">
        <v>11227</v>
      </c>
      <c r="B2589" s="1">
        <v>45889</v>
      </c>
      <c r="C2589" s="5">
        <v>0.59745370370370365</v>
      </c>
      <c r="D2589">
        <v>3.45</v>
      </c>
      <c r="E2589" t="s">
        <v>44</v>
      </c>
      <c r="F2589" t="s">
        <v>6235</v>
      </c>
      <c r="G2589" t="s">
        <v>124</v>
      </c>
      <c r="H2589" t="s">
        <v>23</v>
      </c>
      <c r="I2589" t="s">
        <v>11228</v>
      </c>
      <c r="J2589">
        <v>38</v>
      </c>
      <c r="K2589" t="s">
        <v>37</v>
      </c>
      <c r="L2589" t="s">
        <v>58</v>
      </c>
      <c r="M2589" t="s">
        <v>51</v>
      </c>
      <c r="N2589" t="s">
        <v>507</v>
      </c>
      <c r="O2589">
        <v>458750</v>
      </c>
      <c r="P2589" t="s">
        <v>28</v>
      </c>
      <c r="Q2589" t="s">
        <v>11229</v>
      </c>
      <c r="R2589" t="s">
        <v>11230</v>
      </c>
      <c r="S2589" t="s">
        <v>31</v>
      </c>
      <c r="T2589">
        <v>0</v>
      </c>
    </row>
    <row r="2590" spans="1:20" x14ac:dyDescent="0.25">
      <c r="A2590" t="s">
        <v>11231</v>
      </c>
      <c r="B2590" s="1">
        <v>45832</v>
      </c>
      <c r="C2590" s="5">
        <v>2.6168981481481481E-2</v>
      </c>
      <c r="D2590">
        <v>15.15</v>
      </c>
      <c r="E2590" t="s">
        <v>44</v>
      </c>
      <c r="F2590" t="s">
        <v>1398</v>
      </c>
      <c r="G2590" t="s">
        <v>124</v>
      </c>
      <c r="H2590" t="s">
        <v>97</v>
      </c>
      <c r="I2590" t="s">
        <v>11232</v>
      </c>
      <c r="J2590">
        <v>63</v>
      </c>
      <c r="K2590" t="s">
        <v>49</v>
      </c>
      <c r="L2590" t="s">
        <v>91</v>
      </c>
      <c r="M2590" t="s">
        <v>105</v>
      </c>
      <c r="P2590" t="s">
        <v>28</v>
      </c>
      <c r="Q2590" t="s">
        <v>11233</v>
      </c>
      <c r="R2590" t="s">
        <v>11234</v>
      </c>
      <c r="S2590" t="s">
        <v>31</v>
      </c>
      <c r="T2590">
        <v>0</v>
      </c>
    </row>
    <row r="2591" spans="1:20" x14ac:dyDescent="0.25">
      <c r="A2591" t="s">
        <v>11235</v>
      </c>
      <c r="B2591" s="1">
        <v>45789</v>
      </c>
      <c r="C2591" s="5">
        <v>3.5694444444444445E-2</v>
      </c>
      <c r="D2591">
        <v>191.69</v>
      </c>
      <c r="E2591" t="s">
        <v>44</v>
      </c>
      <c r="F2591" t="s">
        <v>3474</v>
      </c>
      <c r="G2591" t="s">
        <v>22</v>
      </c>
      <c r="H2591" t="s">
        <v>130</v>
      </c>
      <c r="I2591" t="s">
        <v>11236</v>
      </c>
      <c r="J2591">
        <v>28</v>
      </c>
      <c r="K2591" t="s">
        <v>25</v>
      </c>
      <c r="L2591" t="s">
        <v>35</v>
      </c>
      <c r="M2591" t="s">
        <v>39</v>
      </c>
      <c r="P2591" t="s">
        <v>28</v>
      </c>
      <c r="Q2591" t="s">
        <v>11237</v>
      </c>
      <c r="R2591" t="s">
        <v>11238</v>
      </c>
      <c r="S2591" t="s">
        <v>31</v>
      </c>
      <c r="T2591">
        <v>0</v>
      </c>
    </row>
    <row r="2592" spans="1:20" x14ac:dyDescent="0.25">
      <c r="A2592" t="s">
        <v>11239</v>
      </c>
      <c r="B2592" s="1">
        <v>45822</v>
      </c>
      <c r="C2592" s="5">
        <v>2.6053240740740741E-2</v>
      </c>
      <c r="D2592">
        <v>156.5</v>
      </c>
      <c r="E2592" t="s">
        <v>44</v>
      </c>
      <c r="F2592" t="s">
        <v>9963</v>
      </c>
      <c r="G2592" t="s">
        <v>22</v>
      </c>
      <c r="H2592" t="s">
        <v>47</v>
      </c>
      <c r="I2592" t="s">
        <v>11240</v>
      </c>
      <c r="J2592">
        <v>29</v>
      </c>
      <c r="K2592" t="s">
        <v>49</v>
      </c>
      <c r="L2592" t="s">
        <v>146</v>
      </c>
      <c r="M2592" t="s">
        <v>51</v>
      </c>
      <c r="N2592" t="s">
        <v>870</v>
      </c>
      <c r="O2592">
        <v>538829</v>
      </c>
      <c r="P2592" t="s">
        <v>28</v>
      </c>
      <c r="Q2592" t="s">
        <v>11241</v>
      </c>
      <c r="R2592" t="s">
        <v>11242</v>
      </c>
      <c r="S2592" t="s">
        <v>31</v>
      </c>
      <c r="T2592">
        <v>0</v>
      </c>
    </row>
    <row r="2593" spans="1:20" x14ac:dyDescent="0.25">
      <c r="A2593" t="s">
        <v>11243</v>
      </c>
      <c r="B2593" s="1">
        <v>45958</v>
      </c>
      <c r="C2593" s="5">
        <v>0.25443287037037038</v>
      </c>
      <c r="D2593">
        <v>115.71</v>
      </c>
      <c r="E2593" t="s">
        <v>44</v>
      </c>
      <c r="F2593" t="s">
        <v>9168</v>
      </c>
      <c r="G2593" t="s">
        <v>34</v>
      </c>
      <c r="H2593" t="s">
        <v>110</v>
      </c>
      <c r="I2593" t="s">
        <v>11244</v>
      </c>
      <c r="J2593">
        <v>43</v>
      </c>
      <c r="K2593" t="s">
        <v>25</v>
      </c>
      <c r="L2593" t="s">
        <v>248</v>
      </c>
      <c r="M2593" t="s">
        <v>51</v>
      </c>
      <c r="N2593" t="s">
        <v>507</v>
      </c>
      <c r="O2593">
        <v>450049</v>
      </c>
      <c r="P2593" t="s">
        <v>28</v>
      </c>
      <c r="Q2593" t="s">
        <v>11245</v>
      </c>
      <c r="R2593" t="s">
        <v>11246</v>
      </c>
      <c r="S2593" t="s">
        <v>31</v>
      </c>
      <c r="T2593">
        <v>0</v>
      </c>
    </row>
    <row r="2594" spans="1:20" x14ac:dyDescent="0.25">
      <c r="A2594" t="s">
        <v>11247</v>
      </c>
      <c r="B2594" s="1">
        <v>45941</v>
      </c>
      <c r="C2594" s="5">
        <v>0.77386574074074077</v>
      </c>
      <c r="D2594">
        <v>178.6</v>
      </c>
      <c r="E2594" t="s">
        <v>44</v>
      </c>
      <c r="F2594" t="s">
        <v>11248</v>
      </c>
      <c r="G2594" t="s">
        <v>46</v>
      </c>
      <c r="H2594" t="s">
        <v>146</v>
      </c>
      <c r="I2594" t="s">
        <v>11249</v>
      </c>
      <c r="J2594">
        <v>47</v>
      </c>
      <c r="K2594" t="s">
        <v>49</v>
      </c>
      <c r="L2594" t="s">
        <v>110</v>
      </c>
      <c r="M2594" t="s">
        <v>105</v>
      </c>
      <c r="P2594" t="s">
        <v>28</v>
      </c>
      <c r="Q2594" t="s">
        <v>11250</v>
      </c>
      <c r="R2594" t="s">
        <v>11251</v>
      </c>
      <c r="S2594" t="s">
        <v>31</v>
      </c>
      <c r="T2594">
        <v>0</v>
      </c>
    </row>
    <row r="2595" spans="1:20" x14ac:dyDescent="0.25">
      <c r="A2595" t="s">
        <v>11252</v>
      </c>
      <c r="B2595" s="1">
        <v>45956</v>
      </c>
      <c r="C2595" s="5">
        <v>0.32238425925925923</v>
      </c>
      <c r="D2595">
        <v>3.32</v>
      </c>
      <c r="E2595" t="s">
        <v>44</v>
      </c>
      <c r="F2595" t="s">
        <v>11253</v>
      </c>
      <c r="G2595" t="s">
        <v>64</v>
      </c>
      <c r="H2595" t="s">
        <v>23</v>
      </c>
      <c r="I2595" t="s">
        <v>11254</v>
      </c>
      <c r="J2595">
        <v>62</v>
      </c>
      <c r="K2595" t="s">
        <v>49</v>
      </c>
      <c r="L2595" t="s">
        <v>35</v>
      </c>
      <c r="M2595" t="s">
        <v>39</v>
      </c>
      <c r="P2595" t="s">
        <v>28</v>
      </c>
      <c r="Q2595" t="s">
        <v>11255</v>
      </c>
      <c r="R2595" t="s">
        <v>11256</v>
      </c>
      <c r="S2595" t="s">
        <v>31</v>
      </c>
      <c r="T2595">
        <v>0</v>
      </c>
    </row>
    <row r="2596" spans="1:20" x14ac:dyDescent="0.25">
      <c r="A2596" t="s">
        <v>11257</v>
      </c>
      <c r="B2596" s="1">
        <v>45820</v>
      </c>
      <c r="C2596" s="5">
        <v>0.19255787037037037</v>
      </c>
      <c r="D2596">
        <v>45.53</v>
      </c>
      <c r="E2596" t="s">
        <v>44</v>
      </c>
      <c r="F2596" t="s">
        <v>3238</v>
      </c>
      <c r="G2596" t="s">
        <v>96</v>
      </c>
      <c r="H2596" t="s">
        <v>38</v>
      </c>
      <c r="I2596" t="s">
        <v>11258</v>
      </c>
      <c r="J2596">
        <v>50</v>
      </c>
      <c r="K2596" t="s">
        <v>49</v>
      </c>
      <c r="L2596" t="s">
        <v>248</v>
      </c>
      <c r="M2596" t="s">
        <v>27</v>
      </c>
      <c r="P2596" t="s">
        <v>28</v>
      </c>
      <c r="Q2596" t="s">
        <v>11259</v>
      </c>
      <c r="R2596" t="s">
        <v>11260</v>
      </c>
      <c r="S2596" t="s">
        <v>31</v>
      </c>
      <c r="T2596">
        <v>0</v>
      </c>
    </row>
    <row r="2597" spans="1:20" x14ac:dyDescent="0.25">
      <c r="A2597" t="s">
        <v>11261</v>
      </c>
      <c r="B2597" s="1">
        <v>45802</v>
      </c>
      <c r="C2597" s="5">
        <v>0.89310185185185187</v>
      </c>
      <c r="D2597">
        <v>21.41</v>
      </c>
      <c r="E2597" t="s">
        <v>44</v>
      </c>
      <c r="F2597" t="s">
        <v>5115</v>
      </c>
      <c r="G2597" t="s">
        <v>34</v>
      </c>
      <c r="H2597" t="s">
        <v>66</v>
      </c>
      <c r="I2597" t="s">
        <v>11262</v>
      </c>
      <c r="J2597">
        <v>32</v>
      </c>
      <c r="K2597" t="s">
        <v>37</v>
      </c>
      <c r="L2597" t="s">
        <v>50</v>
      </c>
      <c r="M2597" t="s">
        <v>27</v>
      </c>
      <c r="P2597" t="s">
        <v>28</v>
      </c>
      <c r="Q2597" t="s">
        <v>11263</v>
      </c>
      <c r="R2597" t="s">
        <v>11264</v>
      </c>
      <c r="S2597" t="s">
        <v>31</v>
      </c>
      <c r="T2597">
        <v>0</v>
      </c>
    </row>
    <row r="2598" spans="1:20" x14ac:dyDescent="0.25">
      <c r="A2598" t="s">
        <v>11265</v>
      </c>
      <c r="B2598" s="1">
        <v>45797</v>
      </c>
      <c r="C2598" s="5">
        <v>0.15375</v>
      </c>
      <c r="D2598">
        <v>78.680000000000007</v>
      </c>
      <c r="E2598" t="s">
        <v>44</v>
      </c>
      <c r="F2598" t="s">
        <v>1538</v>
      </c>
      <c r="G2598" t="s">
        <v>96</v>
      </c>
      <c r="H2598" t="s">
        <v>146</v>
      </c>
      <c r="I2598" t="s">
        <v>11266</v>
      </c>
      <c r="J2598">
        <v>36</v>
      </c>
      <c r="K2598" t="s">
        <v>37</v>
      </c>
      <c r="L2598" t="s">
        <v>119</v>
      </c>
      <c r="M2598" t="s">
        <v>51</v>
      </c>
      <c r="N2598" t="s">
        <v>173</v>
      </c>
      <c r="O2598">
        <v>526586</v>
      </c>
      <c r="P2598" t="s">
        <v>28</v>
      </c>
      <c r="Q2598" t="s">
        <v>11267</v>
      </c>
      <c r="R2598" t="s">
        <v>11268</v>
      </c>
      <c r="S2598" t="s">
        <v>31</v>
      </c>
      <c r="T2598">
        <v>0</v>
      </c>
    </row>
    <row r="2599" spans="1:20" x14ac:dyDescent="0.25">
      <c r="A2599" t="s">
        <v>11269</v>
      </c>
      <c r="B2599" s="1">
        <v>45784</v>
      </c>
      <c r="C2599" s="5">
        <v>0.5577199074074074</v>
      </c>
      <c r="D2599">
        <v>165.14</v>
      </c>
      <c r="E2599" t="s">
        <v>44</v>
      </c>
      <c r="F2599" t="s">
        <v>3951</v>
      </c>
      <c r="G2599" t="s">
        <v>96</v>
      </c>
      <c r="H2599" t="s">
        <v>110</v>
      </c>
      <c r="I2599" t="s">
        <v>11270</v>
      </c>
      <c r="J2599">
        <v>75</v>
      </c>
      <c r="K2599" t="s">
        <v>37</v>
      </c>
      <c r="L2599" t="s">
        <v>146</v>
      </c>
      <c r="M2599" t="s">
        <v>51</v>
      </c>
      <c r="N2599" t="s">
        <v>52</v>
      </c>
      <c r="O2599">
        <v>426102</v>
      </c>
      <c r="P2599" t="s">
        <v>28</v>
      </c>
      <c r="Q2599" t="s">
        <v>11271</v>
      </c>
      <c r="R2599" t="s">
        <v>11272</v>
      </c>
      <c r="S2599" t="s">
        <v>31</v>
      </c>
      <c r="T2599">
        <v>1</v>
      </c>
    </row>
    <row r="2600" spans="1:20" x14ac:dyDescent="0.25">
      <c r="A2600" t="s">
        <v>11273</v>
      </c>
      <c r="B2600" s="1">
        <v>45840</v>
      </c>
      <c r="C2600" s="5">
        <v>0.87105324074074075</v>
      </c>
      <c r="D2600">
        <v>151.09</v>
      </c>
      <c r="E2600" t="s">
        <v>44</v>
      </c>
      <c r="F2600" t="s">
        <v>8430</v>
      </c>
      <c r="G2600" t="s">
        <v>57</v>
      </c>
      <c r="H2600" t="s">
        <v>35</v>
      </c>
      <c r="I2600" t="s">
        <v>11274</v>
      </c>
      <c r="J2600">
        <v>66</v>
      </c>
      <c r="K2600" t="s">
        <v>49</v>
      </c>
      <c r="L2600" t="s">
        <v>248</v>
      </c>
      <c r="M2600" t="s">
        <v>105</v>
      </c>
      <c r="P2600" t="s">
        <v>28</v>
      </c>
      <c r="Q2600" t="s">
        <v>11275</v>
      </c>
      <c r="R2600" t="s">
        <v>11276</v>
      </c>
      <c r="S2600" t="s">
        <v>31</v>
      </c>
      <c r="T2600">
        <v>0</v>
      </c>
    </row>
    <row r="2601" spans="1:20" x14ac:dyDescent="0.25">
      <c r="A2601" t="s">
        <v>11277</v>
      </c>
      <c r="B2601" s="1">
        <v>45834</v>
      </c>
      <c r="C2601" s="5">
        <v>0.50648148148148153</v>
      </c>
      <c r="D2601">
        <v>183.87</v>
      </c>
      <c r="E2601" t="s">
        <v>44</v>
      </c>
      <c r="F2601" t="s">
        <v>1252</v>
      </c>
      <c r="G2601" t="s">
        <v>22</v>
      </c>
      <c r="H2601" t="s">
        <v>97</v>
      </c>
      <c r="I2601" t="s">
        <v>11278</v>
      </c>
      <c r="J2601">
        <v>60</v>
      </c>
      <c r="K2601" t="s">
        <v>49</v>
      </c>
      <c r="L2601" t="s">
        <v>50</v>
      </c>
      <c r="M2601" t="s">
        <v>105</v>
      </c>
      <c r="P2601" t="s">
        <v>28</v>
      </c>
      <c r="Q2601" t="s">
        <v>11279</v>
      </c>
      <c r="R2601" t="s">
        <v>11280</v>
      </c>
      <c r="S2601" t="s">
        <v>101</v>
      </c>
      <c r="T2601">
        <v>0</v>
      </c>
    </row>
    <row r="2602" spans="1:20" x14ac:dyDescent="0.25">
      <c r="A2602" t="s">
        <v>11281</v>
      </c>
      <c r="B2602" s="1">
        <v>45828</v>
      </c>
      <c r="C2602" s="5">
        <v>0.41966435185185186</v>
      </c>
      <c r="D2602">
        <v>779.6</v>
      </c>
      <c r="E2602" t="s">
        <v>44</v>
      </c>
      <c r="F2602" t="s">
        <v>9288</v>
      </c>
      <c r="G2602" t="s">
        <v>34</v>
      </c>
      <c r="H2602" t="s">
        <v>38</v>
      </c>
      <c r="I2602" t="s">
        <v>11282</v>
      </c>
      <c r="J2602">
        <v>35</v>
      </c>
      <c r="K2602" t="s">
        <v>49</v>
      </c>
      <c r="L2602" t="s">
        <v>146</v>
      </c>
      <c r="M2602" t="s">
        <v>105</v>
      </c>
      <c r="P2602" t="s">
        <v>28</v>
      </c>
      <c r="Q2602" t="s">
        <v>11283</v>
      </c>
      <c r="R2602" t="s">
        <v>11284</v>
      </c>
      <c r="S2602" t="s">
        <v>31</v>
      </c>
      <c r="T2602">
        <v>0</v>
      </c>
    </row>
    <row r="2603" spans="1:20" x14ac:dyDescent="0.25">
      <c r="A2603" t="s">
        <v>11285</v>
      </c>
      <c r="B2603" s="1">
        <v>45854</v>
      </c>
      <c r="C2603" s="5">
        <v>0.55710648148148145</v>
      </c>
      <c r="D2603">
        <v>3.21</v>
      </c>
      <c r="E2603" t="s">
        <v>44</v>
      </c>
      <c r="F2603" t="s">
        <v>1724</v>
      </c>
      <c r="G2603" t="s">
        <v>96</v>
      </c>
      <c r="H2603" t="s">
        <v>23</v>
      </c>
      <c r="I2603" t="s">
        <v>11286</v>
      </c>
      <c r="J2603">
        <v>63</v>
      </c>
      <c r="K2603" t="s">
        <v>25</v>
      </c>
      <c r="L2603" t="s">
        <v>97</v>
      </c>
      <c r="M2603" t="s">
        <v>84</v>
      </c>
      <c r="P2603" t="s">
        <v>28</v>
      </c>
      <c r="Q2603" t="s">
        <v>11287</v>
      </c>
      <c r="R2603" t="s">
        <v>11288</v>
      </c>
      <c r="S2603" t="s">
        <v>31</v>
      </c>
      <c r="T2603">
        <v>0</v>
      </c>
    </row>
    <row r="2604" spans="1:20" x14ac:dyDescent="0.25">
      <c r="A2604" t="s">
        <v>11289</v>
      </c>
      <c r="B2604" s="1">
        <v>45848</v>
      </c>
      <c r="C2604" s="5">
        <v>0.94329861111111113</v>
      </c>
      <c r="D2604">
        <v>94.91</v>
      </c>
      <c r="E2604" t="s">
        <v>44</v>
      </c>
      <c r="F2604" t="s">
        <v>2833</v>
      </c>
      <c r="G2604" t="s">
        <v>71</v>
      </c>
      <c r="H2604" t="s">
        <v>146</v>
      </c>
      <c r="I2604" t="s">
        <v>11290</v>
      </c>
      <c r="J2604">
        <v>48</v>
      </c>
      <c r="K2604" t="s">
        <v>49</v>
      </c>
      <c r="L2604" t="s">
        <v>23</v>
      </c>
      <c r="M2604" t="s">
        <v>39</v>
      </c>
      <c r="P2604" t="s">
        <v>28</v>
      </c>
      <c r="Q2604" t="s">
        <v>11291</v>
      </c>
      <c r="R2604" t="s">
        <v>11292</v>
      </c>
      <c r="S2604" t="s">
        <v>31</v>
      </c>
      <c r="T2604">
        <v>0</v>
      </c>
    </row>
    <row r="2605" spans="1:20" x14ac:dyDescent="0.25">
      <c r="A2605" t="s">
        <v>11293</v>
      </c>
      <c r="B2605" s="1">
        <v>45780</v>
      </c>
      <c r="C2605" s="5">
        <v>0.85776620370370371</v>
      </c>
      <c r="D2605">
        <v>67.28</v>
      </c>
      <c r="E2605" t="s">
        <v>44</v>
      </c>
      <c r="F2605" t="s">
        <v>2575</v>
      </c>
      <c r="G2605" t="s">
        <v>77</v>
      </c>
      <c r="H2605" t="s">
        <v>97</v>
      </c>
      <c r="I2605" t="s">
        <v>11294</v>
      </c>
      <c r="J2605">
        <v>57</v>
      </c>
      <c r="K2605" t="s">
        <v>37</v>
      </c>
      <c r="L2605" t="s">
        <v>35</v>
      </c>
      <c r="M2605" t="s">
        <v>112</v>
      </c>
      <c r="P2605" t="s">
        <v>28</v>
      </c>
      <c r="Q2605" t="s">
        <v>11295</v>
      </c>
      <c r="R2605" t="s">
        <v>11296</v>
      </c>
      <c r="S2605" t="s">
        <v>31</v>
      </c>
      <c r="T2605">
        <v>0</v>
      </c>
    </row>
    <row r="2606" spans="1:20" x14ac:dyDescent="0.25">
      <c r="A2606" t="s">
        <v>11297</v>
      </c>
      <c r="B2606" s="1">
        <v>45876</v>
      </c>
      <c r="C2606" s="5">
        <v>0.71263888888888893</v>
      </c>
      <c r="D2606">
        <v>145.46</v>
      </c>
      <c r="E2606" t="s">
        <v>44</v>
      </c>
      <c r="F2606" t="s">
        <v>1612</v>
      </c>
      <c r="G2606" t="s">
        <v>22</v>
      </c>
      <c r="H2606" t="s">
        <v>58</v>
      </c>
      <c r="I2606" t="s">
        <v>4552</v>
      </c>
      <c r="J2606">
        <v>71</v>
      </c>
      <c r="K2606" t="s">
        <v>49</v>
      </c>
      <c r="L2606" t="s">
        <v>119</v>
      </c>
      <c r="M2606" t="s">
        <v>105</v>
      </c>
      <c r="P2606" t="s">
        <v>28</v>
      </c>
      <c r="Q2606" t="s">
        <v>11298</v>
      </c>
      <c r="R2606" t="s">
        <v>11299</v>
      </c>
      <c r="S2606" t="s">
        <v>31</v>
      </c>
      <c r="T2606">
        <v>0</v>
      </c>
    </row>
    <row r="2607" spans="1:20" x14ac:dyDescent="0.25">
      <c r="A2607" t="s">
        <v>11300</v>
      </c>
      <c r="B2607" s="1">
        <v>45918</v>
      </c>
      <c r="C2607" s="5">
        <v>0.17127314814814815</v>
      </c>
      <c r="D2607">
        <v>147</v>
      </c>
      <c r="E2607" t="s">
        <v>44</v>
      </c>
      <c r="F2607" t="s">
        <v>2810</v>
      </c>
      <c r="G2607" t="s">
        <v>64</v>
      </c>
      <c r="H2607" t="s">
        <v>119</v>
      </c>
      <c r="I2607" t="s">
        <v>11301</v>
      </c>
      <c r="J2607">
        <v>38</v>
      </c>
      <c r="K2607" t="s">
        <v>49</v>
      </c>
      <c r="L2607" t="s">
        <v>110</v>
      </c>
      <c r="M2607" t="s">
        <v>112</v>
      </c>
      <c r="P2607" t="s">
        <v>28</v>
      </c>
      <c r="Q2607" t="s">
        <v>11302</v>
      </c>
      <c r="R2607" t="s">
        <v>11303</v>
      </c>
      <c r="S2607" t="s">
        <v>101</v>
      </c>
      <c r="T2607">
        <v>0</v>
      </c>
    </row>
    <row r="2608" spans="1:20" x14ac:dyDescent="0.25">
      <c r="A2608" t="s">
        <v>11304</v>
      </c>
      <c r="B2608" s="1">
        <v>45929</v>
      </c>
      <c r="C2608" s="5">
        <v>0.1930787037037037</v>
      </c>
      <c r="D2608">
        <v>6.59</v>
      </c>
      <c r="E2608" t="s">
        <v>44</v>
      </c>
      <c r="F2608" t="s">
        <v>7799</v>
      </c>
      <c r="G2608" t="s">
        <v>34</v>
      </c>
      <c r="H2608" t="s">
        <v>66</v>
      </c>
      <c r="I2608" t="s">
        <v>11305</v>
      </c>
      <c r="J2608">
        <v>64</v>
      </c>
      <c r="K2608" t="s">
        <v>49</v>
      </c>
      <c r="L2608" t="s">
        <v>110</v>
      </c>
      <c r="M2608" t="s">
        <v>105</v>
      </c>
      <c r="P2608" t="s">
        <v>28</v>
      </c>
      <c r="Q2608" t="s">
        <v>11306</v>
      </c>
      <c r="R2608" t="s">
        <v>11307</v>
      </c>
      <c r="S2608" t="s">
        <v>31</v>
      </c>
      <c r="T2608">
        <v>0</v>
      </c>
    </row>
    <row r="2609" spans="1:20" x14ac:dyDescent="0.25">
      <c r="A2609" t="s">
        <v>11308</v>
      </c>
      <c r="B2609" s="1">
        <v>45846</v>
      </c>
      <c r="C2609" s="5">
        <v>8.8576388888888885E-2</v>
      </c>
      <c r="D2609">
        <v>166.44</v>
      </c>
      <c r="E2609" t="s">
        <v>44</v>
      </c>
      <c r="F2609" t="s">
        <v>2023</v>
      </c>
      <c r="G2609" t="s">
        <v>22</v>
      </c>
      <c r="H2609" t="s">
        <v>26</v>
      </c>
      <c r="I2609" t="s">
        <v>11309</v>
      </c>
      <c r="J2609">
        <v>24</v>
      </c>
      <c r="K2609" t="s">
        <v>49</v>
      </c>
      <c r="L2609" t="s">
        <v>97</v>
      </c>
      <c r="M2609" t="s">
        <v>27</v>
      </c>
      <c r="P2609" t="s">
        <v>28</v>
      </c>
      <c r="Q2609" t="s">
        <v>11310</v>
      </c>
      <c r="R2609" t="s">
        <v>11311</v>
      </c>
      <c r="S2609" t="s">
        <v>31</v>
      </c>
      <c r="T2609">
        <v>0</v>
      </c>
    </row>
    <row r="2610" spans="1:20" x14ac:dyDescent="0.25">
      <c r="A2610" t="s">
        <v>11312</v>
      </c>
      <c r="B2610" s="1">
        <v>45832</v>
      </c>
      <c r="C2610" s="5">
        <v>0.33789351851851851</v>
      </c>
      <c r="D2610">
        <v>180.32</v>
      </c>
      <c r="E2610" t="s">
        <v>44</v>
      </c>
      <c r="F2610" t="s">
        <v>5815</v>
      </c>
      <c r="G2610" t="s">
        <v>22</v>
      </c>
      <c r="H2610" t="s">
        <v>146</v>
      </c>
      <c r="I2610" t="s">
        <v>11313</v>
      </c>
      <c r="J2610">
        <v>54</v>
      </c>
      <c r="K2610" t="s">
        <v>37</v>
      </c>
      <c r="L2610" t="s">
        <v>58</v>
      </c>
      <c r="M2610" t="s">
        <v>84</v>
      </c>
      <c r="P2610" t="s">
        <v>28</v>
      </c>
      <c r="Q2610" t="s">
        <v>11314</v>
      </c>
      <c r="R2610" t="s">
        <v>11315</v>
      </c>
      <c r="S2610" t="s">
        <v>31</v>
      </c>
      <c r="T2610">
        <v>0</v>
      </c>
    </row>
    <row r="2611" spans="1:20" x14ac:dyDescent="0.25">
      <c r="A2611" t="s">
        <v>11316</v>
      </c>
      <c r="B2611" s="1">
        <v>45823</v>
      </c>
      <c r="C2611" s="5">
        <v>0.35372685185185188</v>
      </c>
      <c r="D2611">
        <v>22.66</v>
      </c>
      <c r="E2611" t="s">
        <v>44</v>
      </c>
      <c r="F2611" t="s">
        <v>272</v>
      </c>
      <c r="G2611" t="s">
        <v>46</v>
      </c>
      <c r="H2611" t="s">
        <v>110</v>
      </c>
      <c r="I2611" t="s">
        <v>11317</v>
      </c>
      <c r="J2611">
        <v>44</v>
      </c>
      <c r="K2611" t="s">
        <v>25</v>
      </c>
      <c r="L2611" t="s">
        <v>97</v>
      </c>
      <c r="M2611" t="s">
        <v>27</v>
      </c>
      <c r="P2611" t="s">
        <v>28</v>
      </c>
      <c r="Q2611" t="s">
        <v>11318</v>
      </c>
      <c r="R2611" t="s">
        <v>11319</v>
      </c>
      <c r="S2611" t="s">
        <v>31</v>
      </c>
      <c r="T2611">
        <v>0</v>
      </c>
    </row>
    <row r="2612" spans="1:20" x14ac:dyDescent="0.25">
      <c r="A2612" t="s">
        <v>11320</v>
      </c>
      <c r="B2612" s="1">
        <v>45884</v>
      </c>
      <c r="C2612" s="5">
        <v>0.72136574074074078</v>
      </c>
      <c r="D2612">
        <v>41.02</v>
      </c>
      <c r="E2612" t="s">
        <v>44</v>
      </c>
      <c r="F2612" t="s">
        <v>8932</v>
      </c>
      <c r="G2612" t="s">
        <v>57</v>
      </c>
      <c r="H2612" t="s">
        <v>91</v>
      </c>
      <c r="I2612" t="s">
        <v>11321</v>
      </c>
      <c r="J2612">
        <v>29</v>
      </c>
      <c r="K2612" t="s">
        <v>49</v>
      </c>
      <c r="L2612" t="s">
        <v>38</v>
      </c>
      <c r="M2612" t="s">
        <v>51</v>
      </c>
      <c r="N2612" t="s">
        <v>52</v>
      </c>
      <c r="O2612">
        <v>422698</v>
      </c>
      <c r="P2612" t="s">
        <v>28</v>
      </c>
      <c r="Q2612" t="s">
        <v>11322</v>
      </c>
      <c r="R2612" t="s">
        <v>11323</v>
      </c>
      <c r="S2612" t="s">
        <v>31</v>
      </c>
      <c r="T2612">
        <v>0</v>
      </c>
    </row>
    <row r="2613" spans="1:20" x14ac:dyDescent="0.25">
      <c r="A2613" t="s">
        <v>11324</v>
      </c>
      <c r="B2613" s="1">
        <v>45920</v>
      </c>
      <c r="C2613" s="5">
        <v>0.54545138888888889</v>
      </c>
      <c r="D2613">
        <v>153.78</v>
      </c>
      <c r="E2613" t="s">
        <v>44</v>
      </c>
      <c r="F2613" t="s">
        <v>8383</v>
      </c>
      <c r="G2613" t="s">
        <v>124</v>
      </c>
      <c r="H2613" t="s">
        <v>47</v>
      </c>
      <c r="I2613" t="s">
        <v>1337</v>
      </c>
      <c r="J2613">
        <v>61</v>
      </c>
      <c r="K2613" t="s">
        <v>49</v>
      </c>
      <c r="L2613" t="s">
        <v>146</v>
      </c>
      <c r="M2613" t="s">
        <v>84</v>
      </c>
      <c r="P2613" t="s">
        <v>28</v>
      </c>
      <c r="Q2613" t="s">
        <v>11325</v>
      </c>
      <c r="R2613" t="s">
        <v>11326</v>
      </c>
      <c r="S2613" t="s">
        <v>42</v>
      </c>
      <c r="T2613">
        <v>0</v>
      </c>
    </row>
    <row r="2614" spans="1:20" x14ac:dyDescent="0.25">
      <c r="A2614" t="s">
        <v>11327</v>
      </c>
      <c r="B2614" s="1">
        <v>45921</v>
      </c>
      <c r="C2614" s="5">
        <v>0.1582986111111111</v>
      </c>
      <c r="D2614">
        <v>192.42</v>
      </c>
      <c r="E2614" t="s">
        <v>44</v>
      </c>
      <c r="F2614" t="s">
        <v>1115</v>
      </c>
      <c r="G2614" t="s">
        <v>89</v>
      </c>
      <c r="H2614" t="s">
        <v>66</v>
      </c>
      <c r="I2614" t="s">
        <v>11328</v>
      </c>
      <c r="J2614">
        <v>32</v>
      </c>
      <c r="K2614" t="s">
        <v>37</v>
      </c>
      <c r="L2614" t="s">
        <v>119</v>
      </c>
      <c r="M2614" t="s">
        <v>105</v>
      </c>
      <c r="P2614" t="s">
        <v>28</v>
      </c>
      <c r="Q2614" t="s">
        <v>11329</v>
      </c>
      <c r="R2614" t="s">
        <v>11330</v>
      </c>
      <c r="S2614" t="s">
        <v>31</v>
      </c>
      <c r="T2614">
        <v>0</v>
      </c>
    </row>
    <row r="2615" spans="1:20" x14ac:dyDescent="0.25">
      <c r="A2615" t="s">
        <v>11331</v>
      </c>
      <c r="B2615" s="1">
        <v>45911</v>
      </c>
      <c r="C2615" s="5">
        <v>0.46511574074074075</v>
      </c>
      <c r="D2615">
        <v>33.92</v>
      </c>
      <c r="E2615" t="s">
        <v>44</v>
      </c>
      <c r="F2615" t="s">
        <v>571</v>
      </c>
      <c r="G2615" t="s">
        <v>89</v>
      </c>
      <c r="H2615" t="s">
        <v>50</v>
      </c>
      <c r="I2615" t="s">
        <v>11332</v>
      </c>
      <c r="J2615">
        <v>35</v>
      </c>
      <c r="K2615" t="s">
        <v>25</v>
      </c>
      <c r="L2615" t="s">
        <v>91</v>
      </c>
      <c r="M2615" t="s">
        <v>84</v>
      </c>
      <c r="P2615" t="s">
        <v>28</v>
      </c>
      <c r="Q2615" t="s">
        <v>11333</v>
      </c>
      <c r="R2615" t="s">
        <v>11334</v>
      </c>
      <c r="S2615" t="s">
        <v>31</v>
      </c>
      <c r="T2615">
        <v>0</v>
      </c>
    </row>
    <row r="2616" spans="1:20" x14ac:dyDescent="0.25">
      <c r="A2616" t="s">
        <v>11335</v>
      </c>
      <c r="B2616" s="1">
        <v>45850</v>
      </c>
      <c r="C2616" s="5">
        <v>0.77994212962962961</v>
      </c>
      <c r="D2616">
        <v>66.73</v>
      </c>
      <c r="E2616" t="s">
        <v>44</v>
      </c>
      <c r="F2616" t="s">
        <v>5858</v>
      </c>
      <c r="G2616" t="s">
        <v>46</v>
      </c>
      <c r="H2616" t="s">
        <v>91</v>
      </c>
      <c r="I2616" t="s">
        <v>11336</v>
      </c>
      <c r="J2616">
        <v>73</v>
      </c>
      <c r="K2616" t="s">
        <v>37</v>
      </c>
      <c r="L2616" t="s">
        <v>47</v>
      </c>
      <c r="M2616" t="s">
        <v>27</v>
      </c>
      <c r="P2616" t="s">
        <v>28</v>
      </c>
      <c r="Q2616" t="s">
        <v>11337</v>
      </c>
      <c r="R2616" t="s">
        <v>11338</v>
      </c>
      <c r="S2616" t="s">
        <v>31</v>
      </c>
      <c r="T2616">
        <v>0</v>
      </c>
    </row>
    <row r="2617" spans="1:20" x14ac:dyDescent="0.25">
      <c r="A2617" t="s">
        <v>11339</v>
      </c>
      <c r="B2617" s="1">
        <v>45815</v>
      </c>
      <c r="C2617" s="5">
        <v>0.4929398148148148</v>
      </c>
      <c r="D2617">
        <v>16.91</v>
      </c>
      <c r="E2617" t="s">
        <v>44</v>
      </c>
      <c r="F2617" t="s">
        <v>4561</v>
      </c>
      <c r="G2617" t="s">
        <v>124</v>
      </c>
      <c r="H2617" t="s">
        <v>26</v>
      </c>
      <c r="I2617" t="s">
        <v>11340</v>
      </c>
      <c r="J2617">
        <v>56</v>
      </c>
      <c r="K2617" t="s">
        <v>37</v>
      </c>
      <c r="L2617" t="s">
        <v>130</v>
      </c>
      <c r="M2617" t="s">
        <v>105</v>
      </c>
      <c r="P2617" t="s">
        <v>28</v>
      </c>
      <c r="Q2617" t="s">
        <v>11341</v>
      </c>
      <c r="R2617" t="s">
        <v>11342</v>
      </c>
      <c r="S2617" t="s">
        <v>31</v>
      </c>
      <c r="T2617">
        <v>0</v>
      </c>
    </row>
    <row r="2618" spans="1:20" x14ac:dyDescent="0.25">
      <c r="A2618" t="s">
        <v>11343</v>
      </c>
      <c r="B2618" s="1">
        <v>45784</v>
      </c>
      <c r="C2618" s="5">
        <v>0.78960648148148149</v>
      </c>
      <c r="D2618">
        <v>188.31</v>
      </c>
      <c r="E2618" t="s">
        <v>44</v>
      </c>
      <c r="F2618" t="s">
        <v>389</v>
      </c>
      <c r="G2618" t="s">
        <v>22</v>
      </c>
      <c r="H2618" t="s">
        <v>47</v>
      </c>
      <c r="I2618" t="s">
        <v>11344</v>
      </c>
      <c r="J2618">
        <v>59</v>
      </c>
      <c r="K2618" t="s">
        <v>25</v>
      </c>
      <c r="L2618" t="s">
        <v>146</v>
      </c>
      <c r="M2618" t="s">
        <v>84</v>
      </c>
      <c r="P2618" t="s">
        <v>28</v>
      </c>
      <c r="Q2618" t="s">
        <v>11345</v>
      </c>
      <c r="R2618" t="s">
        <v>11346</v>
      </c>
      <c r="S2618" t="s">
        <v>31</v>
      </c>
      <c r="T2618">
        <v>0</v>
      </c>
    </row>
    <row r="2619" spans="1:20" x14ac:dyDescent="0.25">
      <c r="A2619" t="s">
        <v>11347</v>
      </c>
      <c r="B2619" s="1">
        <v>45833</v>
      </c>
      <c r="C2619" s="5">
        <v>0.44892361111111112</v>
      </c>
      <c r="D2619">
        <v>3158.31</v>
      </c>
      <c r="E2619" t="s">
        <v>44</v>
      </c>
      <c r="F2619" t="s">
        <v>10506</v>
      </c>
      <c r="G2619" t="s">
        <v>22</v>
      </c>
      <c r="H2619" t="s">
        <v>248</v>
      </c>
      <c r="I2619" t="s">
        <v>11348</v>
      </c>
      <c r="J2619">
        <v>50</v>
      </c>
      <c r="K2619" t="s">
        <v>37</v>
      </c>
      <c r="L2619" t="s">
        <v>23</v>
      </c>
      <c r="M2619" t="s">
        <v>105</v>
      </c>
      <c r="P2619" t="s">
        <v>28</v>
      </c>
      <c r="Q2619" t="s">
        <v>11349</v>
      </c>
      <c r="R2619" t="s">
        <v>11350</v>
      </c>
      <c r="S2619" t="s">
        <v>31</v>
      </c>
      <c r="T2619">
        <v>0</v>
      </c>
    </row>
    <row r="2620" spans="1:20" x14ac:dyDescent="0.25">
      <c r="A2620" t="s">
        <v>11351</v>
      </c>
      <c r="B2620" s="1">
        <v>45900</v>
      </c>
      <c r="C2620" s="5">
        <v>7.7164351851851845E-2</v>
      </c>
      <c r="D2620">
        <v>296.57</v>
      </c>
      <c r="E2620" t="s">
        <v>44</v>
      </c>
      <c r="F2620" t="s">
        <v>1799</v>
      </c>
      <c r="G2620" t="s">
        <v>89</v>
      </c>
      <c r="H2620" t="s">
        <v>248</v>
      </c>
      <c r="I2620" t="s">
        <v>11352</v>
      </c>
      <c r="J2620">
        <v>31</v>
      </c>
      <c r="K2620" t="s">
        <v>37</v>
      </c>
      <c r="L2620" t="s">
        <v>110</v>
      </c>
      <c r="M2620" t="s">
        <v>112</v>
      </c>
      <c r="P2620" t="s">
        <v>28</v>
      </c>
      <c r="Q2620" t="s">
        <v>11353</v>
      </c>
      <c r="R2620" t="s">
        <v>11354</v>
      </c>
      <c r="S2620" t="s">
        <v>31</v>
      </c>
      <c r="T2620">
        <v>1</v>
      </c>
    </row>
    <row r="2621" spans="1:20" x14ac:dyDescent="0.25">
      <c r="A2621" t="s">
        <v>11355</v>
      </c>
      <c r="B2621" s="1">
        <v>45890</v>
      </c>
      <c r="C2621" s="5">
        <v>0.49800925925925926</v>
      </c>
      <c r="D2621">
        <v>117.85</v>
      </c>
      <c r="E2621" t="s">
        <v>44</v>
      </c>
      <c r="F2621" t="s">
        <v>9374</v>
      </c>
      <c r="G2621" t="s">
        <v>64</v>
      </c>
      <c r="H2621" t="s">
        <v>50</v>
      </c>
      <c r="I2621" t="s">
        <v>11356</v>
      </c>
      <c r="J2621">
        <v>37</v>
      </c>
      <c r="K2621" t="s">
        <v>37</v>
      </c>
      <c r="L2621" t="s">
        <v>146</v>
      </c>
      <c r="M2621" t="s">
        <v>112</v>
      </c>
      <c r="P2621" t="s">
        <v>28</v>
      </c>
      <c r="Q2621" t="s">
        <v>11357</v>
      </c>
      <c r="R2621" t="s">
        <v>11358</v>
      </c>
      <c r="S2621" t="s">
        <v>31</v>
      </c>
      <c r="T2621">
        <v>0</v>
      </c>
    </row>
    <row r="2622" spans="1:20" x14ac:dyDescent="0.25">
      <c r="A2622" t="s">
        <v>11359</v>
      </c>
      <c r="B2622" s="1">
        <v>45832</v>
      </c>
      <c r="C2622" s="5">
        <v>7.7812500000000007E-2</v>
      </c>
      <c r="D2622">
        <v>479.28</v>
      </c>
      <c r="E2622" t="s">
        <v>44</v>
      </c>
      <c r="F2622" t="s">
        <v>2956</v>
      </c>
      <c r="G2622" t="s">
        <v>89</v>
      </c>
      <c r="H2622" t="s">
        <v>38</v>
      </c>
      <c r="I2622" t="s">
        <v>11360</v>
      </c>
      <c r="J2622">
        <v>91</v>
      </c>
      <c r="K2622" t="s">
        <v>25</v>
      </c>
      <c r="L2622" t="s">
        <v>97</v>
      </c>
      <c r="M2622" t="s">
        <v>39</v>
      </c>
      <c r="P2622" t="s">
        <v>28</v>
      </c>
      <c r="Q2622" t="s">
        <v>11361</v>
      </c>
      <c r="R2622" t="s">
        <v>11362</v>
      </c>
      <c r="S2622" t="s">
        <v>31</v>
      </c>
      <c r="T2622">
        <v>0</v>
      </c>
    </row>
    <row r="2623" spans="1:20" x14ac:dyDescent="0.25">
      <c r="A2623" t="s">
        <v>11363</v>
      </c>
      <c r="B2623" s="1">
        <v>45848</v>
      </c>
      <c r="C2623" s="5">
        <v>0.48491898148148149</v>
      </c>
      <c r="D2623">
        <v>41.52</v>
      </c>
      <c r="E2623" t="s">
        <v>44</v>
      </c>
      <c r="F2623" t="s">
        <v>3469</v>
      </c>
      <c r="G2623" t="s">
        <v>22</v>
      </c>
      <c r="H2623" t="s">
        <v>23</v>
      </c>
      <c r="I2623" t="s">
        <v>11364</v>
      </c>
      <c r="J2623">
        <v>27</v>
      </c>
      <c r="K2623" t="s">
        <v>25</v>
      </c>
      <c r="L2623" t="s">
        <v>47</v>
      </c>
      <c r="M2623" t="s">
        <v>39</v>
      </c>
      <c r="P2623" t="s">
        <v>28</v>
      </c>
      <c r="Q2623" t="s">
        <v>11365</v>
      </c>
      <c r="R2623" t="s">
        <v>11366</v>
      </c>
      <c r="S2623" t="s">
        <v>31</v>
      </c>
      <c r="T2623">
        <v>0</v>
      </c>
    </row>
    <row r="2624" spans="1:20" x14ac:dyDescent="0.25">
      <c r="A2624" t="s">
        <v>11367</v>
      </c>
      <c r="B2624" s="1">
        <v>45851</v>
      </c>
      <c r="C2624" s="5">
        <v>0.57184027777777779</v>
      </c>
      <c r="D2624">
        <v>1940.09</v>
      </c>
      <c r="E2624" t="s">
        <v>44</v>
      </c>
      <c r="F2624" t="s">
        <v>1573</v>
      </c>
      <c r="G2624" t="s">
        <v>34</v>
      </c>
      <c r="H2624" t="s">
        <v>97</v>
      </c>
      <c r="I2624" t="s">
        <v>11368</v>
      </c>
      <c r="J2624">
        <v>22</v>
      </c>
      <c r="K2624" t="s">
        <v>37</v>
      </c>
      <c r="L2624" t="s">
        <v>50</v>
      </c>
      <c r="M2624" t="s">
        <v>105</v>
      </c>
      <c r="P2624" t="s">
        <v>28</v>
      </c>
      <c r="Q2624" t="s">
        <v>11369</v>
      </c>
      <c r="R2624" t="s">
        <v>11370</v>
      </c>
      <c r="S2624" t="s">
        <v>31</v>
      </c>
      <c r="T2624">
        <v>0</v>
      </c>
    </row>
    <row r="2625" spans="1:20" x14ac:dyDescent="0.25">
      <c r="A2625" t="s">
        <v>11371</v>
      </c>
      <c r="B2625" s="1">
        <v>45930</v>
      </c>
      <c r="C2625" s="5">
        <v>0.60157407407407404</v>
      </c>
      <c r="D2625">
        <v>427.59</v>
      </c>
      <c r="E2625" t="s">
        <v>44</v>
      </c>
      <c r="F2625" t="s">
        <v>2947</v>
      </c>
      <c r="G2625" t="s">
        <v>71</v>
      </c>
      <c r="H2625" t="s">
        <v>35</v>
      </c>
      <c r="I2625" t="s">
        <v>11372</v>
      </c>
      <c r="J2625">
        <v>66</v>
      </c>
      <c r="K2625" t="s">
        <v>49</v>
      </c>
      <c r="L2625" t="s">
        <v>130</v>
      </c>
      <c r="M2625" t="s">
        <v>39</v>
      </c>
      <c r="P2625" t="s">
        <v>28</v>
      </c>
      <c r="Q2625" t="s">
        <v>11373</v>
      </c>
      <c r="R2625" t="s">
        <v>11374</v>
      </c>
      <c r="S2625" t="s">
        <v>31</v>
      </c>
      <c r="T2625">
        <v>0</v>
      </c>
    </row>
    <row r="2626" spans="1:20" x14ac:dyDescent="0.25">
      <c r="A2626" t="s">
        <v>11375</v>
      </c>
      <c r="B2626" s="1">
        <v>45895</v>
      </c>
      <c r="C2626" s="5">
        <v>0.80787037037037035</v>
      </c>
      <c r="D2626">
        <v>160.27000000000001</v>
      </c>
      <c r="E2626" t="s">
        <v>44</v>
      </c>
      <c r="F2626" t="s">
        <v>7317</v>
      </c>
      <c r="G2626" t="s">
        <v>89</v>
      </c>
      <c r="H2626" t="s">
        <v>47</v>
      </c>
      <c r="I2626" t="s">
        <v>11376</v>
      </c>
      <c r="J2626">
        <v>74</v>
      </c>
      <c r="K2626" t="s">
        <v>25</v>
      </c>
      <c r="L2626" t="s">
        <v>119</v>
      </c>
      <c r="M2626" t="s">
        <v>112</v>
      </c>
      <c r="P2626" t="s">
        <v>28</v>
      </c>
      <c r="Q2626" t="s">
        <v>11377</v>
      </c>
      <c r="R2626" t="s">
        <v>11378</v>
      </c>
      <c r="S2626" t="s">
        <v>31</v>
      </c>
      <c r="T2626">
        <v>0</v>
      </c>
    </row>
    <row r="2627" spans="1:20" x14ac:dyDescent="0.25">
      <c r="A2627" t="s">
        <v>11379</v>
      </c>
      <c r="B2627" s="1">
        <v>45839</v>
      </c>
      <c r="C2627" s="5">
        <v>0.82832175925925922</v>
      </c>
      <c r="D2627">
        <v>132.04</v>
      </c>
      <c r="E2627" t="s">
        <v>44</v>
      </c>
      <c r="F2627" t="s">
        <v>11253</v>
      </c>
      <c r="G2627" t="s">
        <v>46</v>
      </c>
      <c r="H2627" t="s">
        <v>91</v>
      </c>
      <c r="I2627" t="s">
        <v>11380</v>
      </c>
      <c r="J2627">
        <v>34</v>
      </c>
      <c r="K2627" t="s">
        <v>37</v>
      </c>
      <c r="L2627" t="s">
        <v>248</v>
      </c>
      <c r="M2627" t="s">
        <v>84</v>
      </c>
      <c r="P2627" t="s">
        <v>28</v>
      </c>
      <c r="Q2627" t="s">
        <v>11381</v>
      </c>
      <c r="R2627" t="s">
        <v>11382</v>
      </c>
      <c r="S2627" t="s">
        <v>31</v>
      </c>
      <c r="T2627">
        <v>0</v>
      </c>
    </row>
    <row r="2628" spans="1:20" x14ac:dyDescent="0.25">
      <c r="A2628" t="s">
        <v>11383</v>
      </c>
      <c r="B2628" s="1">
        <v>45804</v>
      </c>
      <c r="C2628" s="5">
        <v>0.7681944444444444</v>
      </c>
      <c r="D2628">
        <v>85.32</v>
      </c>
      <c r="E2628" t="s">
        <v>44</v>
      </c>
      <c r="F2628" t="s">
        <v>328</v>
      </c>
      <c r="G2628" t="s">
        <v>124</v>
      </c>
      <c r="H2628" t="s">
        <v>58</v>
      </c>
      <c r="I2628" t="s">
        <v>11384</v>
      </c>
      <c r="J2628">
        <v>58</v>
      </c>
      <c r="K2628" t="s">
        <v>25</v>
      </c>
      <c r="L2628" t="s">
        <v>23</v>
      </c>
      <c r="M2628" t="s">
        <v>84</v>
      </c>
      <c r="P2628" t="s">
        <v>28</v>
      </c>
      <c r="Q2628" t="s">
        <v>11385</v>
      </c>
      <c r="R2628" t="s">
        <v>11386</v>
      </c>
      <c r="S2628" t="s">
        <v>31</v>
      </c>
      <c r="T2628">
        <v>0</v>
      </c>
    </row>
    <row r="2629" spans="1:20" x14ac:dyDescent="0.25">
      <c r="A2629" t="s">
        <v>11387</v>
      </c>
      <c r="B2629" s="1">
        <v>45933</v>
      </c>
      <c r="C2629" s="5">
        <v>0.23548611111111112</v>
      </c>
      <c r="D2629">
        <v>477.59</v>
      </c>
      <c r="E2629" t="s">
        <v>44</v>
      </c>
      <c r="F2629" t="s">
        <v>4421</v>
      </c>
      <c r="G2629" t="s">
        <v>89</v>
      </c>
      <c r="H2629" t="s">
        <v>58</v>
      </c>
      <c r="I2629" t="s">
        <v>11388</v>
      </c>
      <c r="J2629">
        <v>25</v>
      </c>
      <c r="K2629" t="s">
        <v>25</v>
      </c>
      <c r="L2629" t="s">
        <v>50</v>
      </c>
      <c r="M2629" t="s">
        <v>39</v>
      </c>
      <c r="P2629" t="s">
        <v>28</v>
      </c>
      <c r="Q2629" t="s">
        <v>11389</v>
      </c>
      <c r="R2629" t="s">
        <v>11390</v>
      </c>
      <c r="S2629" t="s">
        <v>31</v>
      </c>
      <c r="T2629">
        <v>0</v>
      </c>
    </row>
    <row r="2630" spans="1:20" x14ac:dyDescent="0.25">
      <c r="A2630" t="s">
        <v>11391</v>
      </c>
      <c r="B2630" s="1">
        <v>45921</v>
      </c>
      <c r="C2630" s="5">
        <v>0.74593750000000003</v>
      </c>
      <c r="D2630">
        <v>54.25</v>
      </c>
      <c r="E2630" t="s">
        <v>44</v>
      </c>
      <c r="F2630" t="s">
        <v>2340</v>
      </c>
      <c r="G2630" t="s">
        <v>124</v>
      </c>
      <c r="H2630" t="s">
        <v>91</v>
      </c>
      <c r="I2630" t="s">
        <v>11392</v>
      </c>
      <c r="J2630">
        <v>49</v>
      </c>
      <c r="K2630" t="s">
        <v>37</v>
      </c>
      <c r="L2630" t="s">
        <v>58</v>
      </c>
      <c r="M2630" t="s">
        <v>39</v>
      </c>
      <c r="P2630" t="s">
        <v>28</v>
      </c>
      <c r="Q2630" t="s">
        <v>11393</v>
      </c>
      <c r="R2630" t="s">
        <v>11394</v>
      </c>
      <c r="S2630" t="s">
        <v>31</v>
      </c>
      <c r="T2630">
        <v>0</v>
      </c>
    </row>
    <row r="2631" spans="1:20" x14ac:dyDescent="0.25">
      <c r="A2631" t="s">
        <v>11395</v>
      </c>
      <c r="B2631" s="1">
        <v>45782</v>
      </c>
      <c r="C2631" s="5">
        <v>4.8449074074074075E-2</v>
      </c>
      <c r="D2631">
        <v>115.65</v>
      </c>
      <c r="E2631" t="s">
        <v>44</v>
      </c>
      <c r="F2631" t="s">
        <v>4421</v>
      </c>
      <c r="G2631" t="s">
        <v>96</v>
      </c>
      <c r="H2631" t="s">
        <v>47</v>
      </c>
      <c r="I2631" t="s">
        <v>11396</v>
      </c>
      <c r="J2631">
        <v>44</v>
      </c>
      <c r="K2631" t="s">
        <v>49</v>
      </c>
      <c r="L2631" t="s">
        <v>248</v>
      </c>
      <c r="M2631" t="s">
        <v>51</v>
      </c>
      <c r="N2631" t="s">
        <v>507</v>
      </c>
      <c r="O2631">
        <v>555101</v>
      </c>
      <c r="P2631" t="s">
        <v>28</v>
      </c>
      <c r="Q2631" t="s">
        <v>11397</v>
      </c>
      <c r="R2631" t="s">
        <v>11398</v>
      </c>
      <c r="S2631" t="s">
        <v>31</v>
      </c>
      <c r="T2631">
        <v>0</v>
      </c>
    </row>
    <row r="2632" spans="1:20" x14ac:dyDescent="0.25">
      <c r="A2632" t="s">
        <v>11399</v>
      </c>
      <c r="B2632" s="1">
        <v>45823</v>
      </c>
      <c r="C2632" s="5">
        <v>0.5543865740740741</v>
      </c>
      <c r="D2632">
        <v>11.36</v>
      </c>
      <c r="E2632" t="s">
        <v>44</v>
      </c>
      <c r="F2632" t="s">
        <v>2144</v>
      </c>
      <c r="G2632" t="s">
        <v>89</v>
      </c>
      <c r="H2632" t="s">
        <v>130</v>
      </c>
      <c r="I2632" t="s">
        <v>11400</v>
      </c>
      <c r="J2632">
        <v>59</v>
      </c>
      <c r="K2632" t="s">
        <v>25</v>
      </c>
      <c r="L2632" t="s">
        <v>58</v>
      </c>
      <c r="M2632" t="s">
        <v>84</v>
      </c>
      <c r="P2632" t="s">
        <v>28</v>
      </c>
      <c r="Q2632" t="s">
        <v>11401</v>
      </c>
      <c r="R2632" t="s">
        <v>11402</v>
      </c>
      <c r="S2632" t="s">
        <v>31</v>
      </c>
      <c r="T2632">
        <v>0</v>
      </c>
    </row>
    <row r="2633" spans="1:20" x14ac:dyDescent="0.25">
      <c r="A2633" t="s">
        <v>11403</v>
      </c>
      <c r="B2633" s="1">
        <v>45783</v>
      </c>
      <c r="C2633" s="5">
        <v>0.68328703703703708</v>
      </c>
      <c r="D2633">
        <v>80.760000000000005</v>
      </c>
      <c r="E2633" t="s">
        <v>44</v>
      </c>
      <c r="F2633" t="s">
        <v>2612</v>
      </c>
      <c r="G2633" t="s">
        <v>46</v>
      </c>
      <c r="H2633" t="s">
        <v>110</v>
      </c>
      <c r="I2633" t="s">
        <v>11404</v>
      </c>
      <c r="J2633">
        <v>52</v>
      </c>
      <c r="K2633" t="s">
        <v>37</v>
      </c>
      <c r="L2633" t="s">
        <v>38</v>
      </c>
      <c r="M2633" t="s">
        <v>51</v>
      </c>
      <c r="N2633" t="s">
        <v>52</v>
      </c>
      <c r="O2633">
        <v>465072</v>
      </c>
      <c r="P2633" t="s">
        <v>28</v>
      </c>
      <c r="Q2633" t="s">
        <v>11405</v>
      </c>
      <c r="R2633" t="s">
        <v>11406</v>
      </c>
      <c r="S2633" t="s">
        <v>31</v>
      </c>
      <c r="T2633">
        <v>0</v>
      </c>
    </row>
    <row r="2634" spans="1:20" x14ac:dyDescent="0.25">
      <c r="A2634" t="s">
        <v>11407</v>
      </c>
      <c r="B2634" s="1">
        <v>45949</v>
      </c>
      <c r="C2634" s="5">
        <v>0.47381944444444446</v>
      </c>
      <c r="D2634">
        <v>149.22999999999999</v>
      </c>
      <c r="E2634" t="s">
        <v>44</v>
      </c>
      <c r="F2634" t="s">
        <v>10433</v>
      </c>
      <c r="G2634" t="s">
        <v>57</v>
      </c>
      <c r="H2634" t="s">
        <v>38</v>
      </c>
      <c r="I2634" t="s">
        <v>11408</v>
      </c>
      <c r="J2634">
        <v>18</v>
      </c>
      <c r="K2634" t="s">
        <v>25</v>
      </c>
      <c r="L2634" t="s">
        <v>130</v>
      </c>
      <c r="M2634" t="s">
        <v>51</v>
      </c>
      <c r="N2634" t="s">
        <v>304</v>
      </c>
      <c r="O2634">
        <v>554055</v>
      </c>
      <c r="P2634" t="s">
        <v>28</v>
      </c>
      <c r="Q2634" t="s">
        <v>11409</v>
      </c>
      <c r="R2634" t="s">
        <v>11410</v>
      </c>
      <c r="S2634" t="s">
        <v>31</v>
      </c>
      <c r="T2634">
        <v>0</v>
      </c>
    </row>
    <row r="2635" spans="1:20" x14ac:dyDescent="0.25">
      <c r="A2635" t="s">
        <v>11411</v>
      </c>
      <c r="B2635" s="1">
        <v>45811</v>
      </c>
      <c r="C2635" s="5">
        <v>0.65892361111111108</v>
      </c>
      <c r="D2635">
        <v>96.08</v>
      </c>
      <c r="E2635" t="s">
        <v>44</v>
      </c>
      <c r="F2635" t="s">
        <v>399</v>
      </c>
      <c r="G2635" t="s">
        <v>57</v>
      </c>
      <c r="H2635" t="s">
        <v>47</v>
      </c>
      <c r="I2635" t="s">
        <v>11412</v>
      </c>
      <c r="J2635">
        <v>23</v>
      </c>
      <c r="K2635" t="s">
        <v>37</v>
      </c>
      <c r="L2635" t="s">
        <v>130</v>
      </c>
      <c r="M2635" t="s">
        <v>27</v>
      </c>
      <c r="P2635" t="s">
        <v>28</v>
      </c>
      <c r="Q2635" t="s">
        <v>11413</v>
      </c>
      <c r="R2635" t="s">
        <v>11414</v>
      </c>
      <c r="S2635" t="s">
        <v>31</v>
      </c>
      <c r="T2635">
        <v>0</v>
      </c>
    </row>
    <row r="2636" spans="1:20" x14ac:dyDescent="0.25">
      <c r="A2636" t="s">
        <v>11415</v>
      </c>
      <c r="B2636" s="1">
        <v>45927</v>
      </c>
      <c r="C2636" s="5">
        <v>0.1247800925925926</v>
      </c>
      <c r="D2636">
        <v>171.96</v>
      </c>
      <c r="E2636" t="s">
        <v>44</v>
      </c>
      <c r="F2636" t="s">
        <v>3323</v>
      </c>
      <c r="G2636" t="s">
        <v>124</v>
      </c>
      <c r="H2636" t="s">
        <v>35</v>
      </c>
      <c r="I2636" t="s">
        <v>11416</v>
      </c>
      <c r="J2636">
        <v>70</v>
      </c>
      <c r="K2636" t="s">
        <v>25</v>
      </c>
      <c r="L2636" t="s">
        <v>130</v>
      </c>
      <c r="M2636" t="s">
        <v>112</v>
      </c>
      <c r="P2636" t="s">
        <v>28</v>
      </c>
      <c r="Q2636" t="s">
        <v>11417</v>
      </c>
      <c r="R2636" t="s">
        <v>11418</v>
      </c>
      <c r="S2636" t="s">
        <v>31</v>
      </c>
      <c r="T2636">
        <v>0</v>
      </c>
    </row>
    <row r="2637" spans="1:20" x14ac:dyDescent="0.25">
      <c r="A2637" t="s">
        <v>11419</v>
      </c>
      <c r="B2637" s="1">
        <v>45836</v>
      </c>
      <c r="C2637" s="5">
        <v>0.73442129629629627</v>
      </c>
      <c r="D2637">
        <v>199.15</v>
      </c>
      <c r="E2637" t="s">
        <v>44</v>
      </c>
      <c r="F2637" t="s">
        <v>4811</v>
      </c>
      <c r="G2637" t="s">
        <v>124</v>
      </c>
      <c r="H2637" t="s">
        <v>97</v>
      </c>
      <c r="I2637" t="s">
        <v>11420</v>
      </c>
      <c r="J2637">
        <v>53</v>
      </c>
      <c r="K2637" t="s">
        <v>37</v>
      </c>
      <c r="L2637" t="s">
        <v>26</v>
      </c>
      <c r="M2637" t="s">
        <v>51</v>
      </c>
      <c r="N2637" t="s">
        <v>507</v>
      </c>
      <c r="O2637">
        <v>430459</v>
      </c>
      <c r="P2637" t="s">
        <v>28</v>
      </c>
      <c r="Q2637" t="s">
        <v>11421</v>
      </c>
      <c r="R2637" t="s">
        <v>11422</v>
      </c>
      <c r="S2637" t="s">
        <v>31</v>
      </c>
      <c r="T2637">
        <v>0</v>
      </c>
    </row>
    <row r="2638" spans="1:20" x14ac:dyDescent="0.25">
      <c r="A2638" t="s">
        <v>11423</v>
      </c>
      <c r="B2638" s="1">
        <v>45891</v>
      </c>
      <c r="C2638" s="5">
        <v>0.87253472222222217</v>
      </c>
      <c r="D2638">
        <v>13.95</v>
      </c>
      <c r="E2638" t="s">
        <v>44</v>
      </c>
      <c r="F2638" t="s">
        <v>277</v>
      </c>
      <c r="G2638" t="s">
        <v>71</v>
      </c>
      <c r="H2638" t="s">
        <v>35</v>
      </c>
      <c r="I2638" t="s">
        <v>11424</v>
      </c>
      <c r="J2638">
        <v>43</v>
      </c>
      <c r="K2638" t="s">
        <v>25</v>
      </c>
      <c r="L2638" t="s">
        <v>119</v>
      </c>
      <c r="M2638" t="s">
        <v>105</v>
      </c>
      <c r="P2638" t="s">
        <v>28</v>
      </c>
      <c r="Q2638" t="s">
        <v>11425</v>
      </c>
      <c r="R2638" t="s">
        <v>11426</v>
      </c>
      <c r="S2638" t="s">
        <v>31</v>
      </c>
      <c r="T2638">
        <v>0</v>
      </c>
    </row>
    <row r="2639" spans="1:20" x14ac:dyDescent="0.25">
      <c r="A2639" t="s">
        <v>11427</v>
      </c>
      <c r="B2639" s="1">
        <v>45894</v>
      </c>
      <c r="C2639" s="5">
        <v>0.76758101851851857</v>
      </c>
      <c r="D2639">
        <v>171.15</v>
      </c>
      <c r="E2639" t="s">
        <v>44</v>
      </c>
      <c r="F2639" t="s">
        <v>389</v>
      </c>
      <c r="G2639" t="s">
        <v>77</v>
      </c>
      <c r="H2639" t="s">
        <v>58</v>
      </c>
      <c r="I2639" t="s">
        <v>11428</v>
      </c>
      <c r="J2639">
        <v>45</v>
      </c>
      <c r="K2639" t="s">
        <v>37</v>
      </c>
      <c r="L2639" t="s">
        <v>50</v>
      </c>
      <c r="M2639" t="s">
        <v>51</v>
      </c>
      <c r="N2639" t="s">
        <v>173</v>
      </c>
      <c r="O2639">
        <v>421394</v>
      </c>
      <c r="P2639" t="s">
        <v>28</v>
      </c>
      <c r="Q2639" t="s">
        <v>11429</v>
      </c>
      <c r="R2639" t="s">
        <v>11430</v>
      </c>
      <c r="S2639" t="s">
        <v>31</v>
      </c>
      <c r="T2639">
        <v>0</v>
      </c>
    </row>
    <row r="2640" spans="1:20" x14ac:dyDescent="0.25">
      <c r="A2640" t="s">
        <v>11431</v>
      </c>
      <c r="B2640" s="1">
        <v>45812</v>
      </c>
      <c r="C2640" s="5">
        <v>0.50259259259259259</v>
      </c>
      <c r="D2640">
        <v>108.11</v>
      </c>
      <c r="E2640" t="s">
        <v>44</v>
      </c>
      <c r="F2640" t="s">
        <v>1413</v>
      </c>
      <c r="G2640" t="s">
        <v>22</v>
      </c>
      <c r="H2640" t="s">
        <v>130</v>
      </c>
      <c r="I2640" t="s">
        <v>11432</v>
      </c>
      <c r="J2640">
        <v>58</v>
      </c>
      <c r="K2640" t="s">
        <v>25</v>
      </c>
      <c r="L2640" t="s">
        <v>146</v>
      </c>
      <c r="M2640" t="s">
        <v>39</v>
      </c>
      <c r="P2640" t="s">
        <v>28</v>
      </c>
      <c r="Q2640" t="s">
        <v>11433</v>
      </c>
      <c r="R2640" t="s">
        <v>11434</v>
      </c>
      <c r="S2640" t="s">
        <v>31</v>
      </c>
      <c r="T2640">
        <v>0</v>
      </c>
    </row>
    <row r="2641" spans="1:20" x14ac:dyDescent="0.25">
      <c r="A2641" t="s">
        <v>11435</v>
      </c>
      <c r="B2641" s="1">
        <v>45884</v>
      </c>
      <c r="C2641" s="5">
        <v>0.14853009259259259</v>
      </c>
      <c r="D2641">
        <v>120.28</v>
      </c>
      <c r="E2641" t="s">
        <v>44</v>
      </c>
      <c r="F2641" t="s">
        <v>11436</v>
      </c>
      <c r="G2641" t="s">
        <v>57</v>
      </c>
      <c r="H2641" t="s">
        <v>91</v>
      </c>
      <c r="I2641" t="s">
        <v>11437</v>
      </c>
      <c r="J2641">
        <v>55</v>
      </c>
      <c r="K2641" t="s">
        <v>49</v>
      </c>
      <c r="L2641" t="s">
        <v>23</v>
      </c>
      <c r="M2641" t="s">
        <v>39</v>
      </c>
      <c r="P2641" t="s">
        <v>28</v>
      </c>
      <c r="Q2641" t="s">
        <v>11438</v>
      </c>
      <c r="R2641" t="s">
        <v>11439</v>
      </c>
      <c r="S2641" t="s">
        <v>31</v>
      </c>
      <c r="T2641">
        <v>0</v>
      </c>
    </row>
    <row r="2642" spans="1:20" x14ac:dyDescent="0.25">
      <c r="A2642" t="s">
        <v>11440</v>
      </c>
      <c r="B2642" s="1">
        <v>45956</v>
      </c>
      <c r="C2642" s="5">
        <v>0.29144675925925928</v>
      </c>
      <c r="D2642">
        <v>149.96</v>
      </c>
      <c r="E2642" t="s">
        <v>44</v>
      </c>
      <c r="F2642" t="s">
        <v>893</v>
      </c>
      <c r="G2642" t="s">
        <v>46</v>
      </c>
      <c r="H2642" t="s">
        <v>66</v>
      </c>
      <c r="I2642" t="s">
        <v>11441</v>
      </c>
      <c r="J2642">
        <v>71</v>
      </c>
      <c r="K2642" t="s">
        <v>37</v>
      </c>
      <c r="L2642" t="s">
        <v>146</v>
      </c>
      <c r="M2642" t="s">
        <v>112</v>
      </c>
      <c r="P2642" t="s">
        <v>28</v>
      </c>
      <c r="Q2642" t="s">
        <v>11442</v>
      </c>
      <c r="R2642" t="s">
        <v>11443</v>
      </c>
      <c r="S2642" t="s">
        <v>31</v>
      </c>
      <c r="T2642">
        <v>0</v>
      </c>
    </row>
    <row r="2643" spans="1:20" x14ac:dyDescent="0.25">
      <c r="A2643" t="s">
        <v>11444</v>
      </c>
      <c r="B2643" s="1">
        <v>45796</v>
      </c>
      <c r="C2643" s="5">
        <v>2.3425925925925926E-2</v>
      </c>
      <c r="D2643">
        <v>149.93</v>
      </c>
      <c r="E2643" t="s">
        <v>44</v>
      </c>
      <c r="F2643" t="s">
        <v>4833</v>
      </c>
      <c r="G2643" t="s">
        <v>34</v>
      </c>
      <c r="H2643" t="s">
        <v>97</v>
      </c>
      <c r="I2643" t="s">
        <v>11445</v>
      </c>
      <c r="J2643">
        <v>34</v>
      </c>
      <c r="K2643" t="s">
        <v>37</v>
      </c>
      <c r="L2643" t="s">
        <v>66</v>
      </c>
      <c r="M2643" t="s">
        <v>39</v>
      </c>
      <c r="P2643" t="s">
        <v>28</v>
      </c>
      <c r="Q2643" t="s">
        <v>11446</v>
      </c>
      <c r="R2643" t="s">
        <v>11447</v>
      </c>
      <c r="S2643" t="s">
        <v>31</v>
      </c>
      <c r="T2643">
        <v>0</v>
      </c>
    </row>
    <row r="2644" spans="1:20" x14ac:dyDescent="0.25">
      <c r="A2644" t="s">
        <v>11448</v>
      </c>
      <c r="B2644" s="1">
        <v>45829</v>
      </c>
      <c r="C2644" s="5">
        <v>3.695601851851852E-2</v>
      </c>
      <c r="D2644">
        <v>544.15</v>
      </c>
      <c r="E2644" t="s">
        <v>44</v>
      </c>
      <c r="F2644" t="s">
        <v>1666</v>
      </c>
      <c r="G2644" t="s">
        <v>64</v>
      </c>
      <c r="H2644" t="s">
        <v>23</v>
      </c>
      <c r="I2644" t="s">
        <v>11449</v>
      </c>
      <c r="J2644">
        <v>74</v>
      </c>
      <c r="K2644" t="s">
        <v>37</v>
      </c>
      <c r="L2644" t="s">
        <v>58</v>
      </c>
      <c r="M2644" t="s">
        <v>112</v>
      </c>
      <c r="P2644" t="s">
        <v>28</v>
      </c>
      <c r="Q2644" t="s">
        <v>11450</v>
      </c>
      <c r="R2644" t="s">
        <v>11451</v>
      </c>
      <c r="S2644" t="s">
        <v>31</v>
      </c>
      <c r="T2644">
        <v>0</v>
      </c>
    </row>
    <row r="2645" spans="1:20" x14ac:dyDescent="0.25">
      <c r="A2645" t="s">
        <v>11452</v>
      </c>
      <c r="B2645" s="1">
        <v>45865</v>
      </c>
      <c r="C2645" s="5">
        <v>0.94414351851851852</v>
      </c>
      <c r="D2645">
        <v>65.680000000000007</v>
      </c>
      <c r="E2645" t="s">
        <v>44</v>
      </c>
      <c r="F2645" t="s">
        <v>5255</v>
      </c>
      <c r="G2645" t="s">
        <v>96</v>
      </c>
      <c r="H2645" t="s">
        <v>110</v>
      </c>
      <c r="I2645" t="s">
        <v>11453</v>
      </c>
      <c r="J2645">
        <v>25</v>
      </c>
      <c r="K2645" t="s">
        <v>25</v>
      </c>
      <c r="L2645" t="s">
        <v>58</v>
      </c>
      <c r="M2645" t="s">
        <v>51</v>
      </c>
      <c r="N2645" t="s">
        <v>507</v>
      </c>
      <c r="O2645">
        <v>510318</v>
      </c>
      <c r="P2645" t="s">
        <v>28</v>
      </c>
      <c r="Q2645" t="s">
        <v>11454</v>
      </c>
      <c r="R2645" t="s">
        <v>11455</v>
      </c>
      <c r="S2645" t="s">
        <v>31</v>
      </c>
      <c r="T2645">
        <v>0</v>
      </c>
    </row>
    <row r="2646" spans="1:20" x14ac:dyDescent="0.25">
      <c r="A2646" t="s">
        <v>11456</v>
      </c>
      <c r="B2646" s="1">
        <v>45931</v>
      </c>
      <c r="C2646" s="5">
        <v>0.66248842592592594</v>
      </c>
      <c r="D2646">
        <v>98.43</v>
      </c>
      <c r="E2646" t="s">
        <v>44</v>
      </c>
      <c r="F2646" t="s">
        <v>3035</v>
      </c>
      <c r="G2646" t="s">
        <v>89</v>
      </c>
      <c r="H2646" t="s">
        <v>97</v>
      </c>
      <c r="I2646" t="s">
        <v>7375</v>
      </c>
      <c r="J2646">
        <v>50</v>
      </c>
      <c r="K2646" t="s">
        <v>37</v>
      </c>
      <c r="L2646" t="s">
        <v>91</v>
      </c>
      <c r="M2646" t="s">
        <v>84</v>
      </c>
      <c r="P2646" t="s">
        <v>28</v>
      </c>
      <c r="Q2646" t="s">
        <v>11457</v>
      </c>
      <c r="R2646" t="s">
        <v>11458</v>
      </c>
      <c r="S2646" t="s">
        <v>31</v>
      </c>
      <c r="T2646">
        <v>0</v>
      </c>
    </row>
    <row r="2647" spans="1:20" x14ac:dyDescent="0.25">
      <c r="A2647" t="s">
        <v>11459</v>
      </c>
      <c r="B2647" s="1">
        <v>45791</v>
      </c>
      <c r="C2647" s="5">
        <v>0.16695601851851852</v>
      </c>
      <c r="D2647">
        <v>176.08</v>
      </c>
      <c r="E2647" t="s">
        <v>44</v>
      </c>
      <c r="F2647" t="s">
        <v>4882</v>
      </c>
      <c r="G2647" t="s">
        <v>34</v>
      </c>
      <c r="H2647" t="s">
        <v>119</v>
      </c>
      <c r="I2647" t="s">
        <v>11460</v>
      </c>
      <c r="J2647">
        <v>58</v>
      </c>
      <c r="K2647" t="s">
        <v>49</v>
      </c>
      <c r="L2647" t="s">
        <v>66</v>
      </c>
      <c r="M2647" t="s">
        <v>112</v>
      </c>
      <c r="P2647" t="s">
        <v>28</v>
      </c>
      <c r="Q2647" t="s">
        <v>11461</v>
      </c>
      <c r="R2647" t="s">
        <v>11462</v>
      </c>
      <c r="S2647" t="s">
        <v>31</v>
      </c>
      <c r="T2647">
        <v>0</v>
      </c>
    </row>
    <row r="2648" spans="1:20" x14ac:dyDescent="0.25">
      <c r="A2648" t="s">
        <v>11463</v>
      </c>
      <c r="B2648" s="1">
        <v>45882</v>
      </c>
      <c r="C2648" s="5">
        <v>0.95188657407407407</v>
      </c>
      <c r="D2648">
        <v>161.38</v>
      </c>
      <c r="E2648" t="s">
        <v>44</v>
      </c>
      <c r="F2648" t="s">
        <v>1480</v>
      </c>
      <c r="G2648" t="s">
        <v>124</v>
      </c>
      <c r="H2648" t="s">
        <v>130</v>
      </c>
      <c r="I2648" t="s">
        <v>11464</v>
      </c>
      <c r="J2648">
        <v>41</v>
      </c>
      <c r="K2648" t="s">
        <v>25</v>
      </c>
      <c r="L2648" t="s">
        <v>47</v>
      </c>
      <c r="M2648" t="s">
        <v>51</v>
      </c>
      <c r="N2648" t="s">
        <v>507</v>
      </c>
      <c r="O2648">
        <v>435466</v>
      </c>
      <c r="P2648" t="s">
        <v>28</v>
      </c>
      <c r="Q2648" t="s">
        <v>11465</v>
      </c>
      <c r="R2648" t="s">
        <v>11466</v>
      </c>
      <c r="S2648" t="s">
        <v>31</v>
      </c>
      <c r="T2648">
        <v>0</v>
      </c>
    </row>
    <row r="2649" spans="1:20" x14ac:dyDescent="0.25">
      <c r="A2649" t="s">
        <v>11467</v>
      </c>
      <c r="B2649" s="1">
        <v>45819</v>
      </c>
      <c r="C2649" s="5">
        <v>0.26255787037037037</v>
      </c>
      <c r="D2649">
        <v>93.58</v>
      </c>
      <c r="E2649" t="s">
        <v>44</v>
      </c>
      <c r="F2649" t="s">
        <v>11468</v>
      </c>
      <c r="G2649" t="s">
        <v>64</v>
      </c>
      <c r="H2649" t="s">
        <v>47</v>
      </c>
      <c r="I2649" t="s">
        <v>11469</v>
      </c>
      <c r="J2649">
        <v>21</v>
      </c>
      <c r="K2649" t="s">
        <v>49</v>
      </c>
      <c r="L2649" t="s">
        <v>23</v>
      </c>
      <c r="M2649" t="s">
        <v>39</v>
      </c>
      <c r="P2649" t="s">
        <v>28</v>
      </c>
      <c r="Q2649" t="s">
        <v>11470</v>
      </c>
      <c r="R2649" t="s">
        <v>11471</v>
      </c>
      <c r="S2649" t="s">
        <v>31</v>
      </c>
      <c r="T2649">
        <v>0</v>
      </c>
    </row>
    <row r="2650" spans="1:20" x14ac:dyDescent="0.25">
      <c r="A2650" t="s">
        <v>11472</v>
      </c>
      <c r="B2650" s="1">
        <v>45952</v>
      </c>
      <c r="C2650" s="5">
        <v>0.23298611111111112</v>
      </c>
      <c r="D2650">
        <v>33.43</v>
      </c>
      <c r="E2650" t="s">
        <v>44</v>
      </c>
      <c r="F2650" t="s">
        <v>2249</v>
      </c>
      <c r="G2650" t="s">
        <v>22</v>
      </c>
      <c r="H2650" t="s">
        <v>23</v>
      </c>
      <c r="I2650" t="s">
        <v>11473</v>
      </c>
      <c r="J2650">
        <v>22</v>
      </c>
      <c r="K2650" t="s">
        <v>49</v>
      </c>
      <c r="L2650" t="s">
        <v>130</v>
      </c>
      <c r="M2650" t="s">
        <v>51</v>
      </c>
      <c r="N2650" t="s">
        <v>507</v>
      </c>
      <c r="O2650">
        <v>434285</v>
      </c>
      <c r="P2650" t="s">
        <v>28</v>
      </c>
      <c r="Q2650" t="s">
        <v>11474</v>
      </c>
      <c r="R2650" t="s">
        <v>11475</v>
      </c>
      <c r="S2650" t="s">
        <v>31</v>
      </c>
      <c r="T2650">
        <v>0</v>
      </c>
    </row>
    <row r="2651" spans="1:20" x14ac:dyDescent="0.25">
      <c r="A2651" t="s">
        <v>11476</v>
      </c>
      <c r="B2651" s="1">
        <v>45862</v>
      </c>
      <c r="C2651" s="5">
        <v>0.69459490740740737</v>
      </c>
      <c r="D2651">
        <v>142.15</v>
      </c>
      <c r="E2651" t="s">
        <v>44</v>
      </c>
      <c r="F2651" t="s">
        <v>5152</v>
      </c>
      <c r="G2651" t="s">
        <v>77</v>
      </c>
      <c r="H2651" t="s">
        <v>47</v>
      </c>
      <c r="I2651" t="s">
        <v>11477</v>
      </c>
      <c r="J2651">
        <v>60</v>
      </c>
      <c r="K2651" t="s">
        <v>37</v>
      </c>
      <c r="L2651" t="s">
        <v>38</v>
      </c>
      <c r="M2651" t="s">
        <v>105</v>
      </c>
      <c r="P2651" t="s">
        <v>28</v>
      </c>
      <c r="Q2651" t="s">
        <v>11478</v>
      </c>
      <c r="R2651" t="s">
        <v>11479</v>
      </c>
      <c r="S2651" t="s">
        <v>31</v>
      </c>
      <c r="T2651">
        <v>0</v>
      </c>
    </row>
    <row r="2652" spans="1:20" x14ac:dyDescent="0.25">
      <c r="A2652" t="s">
        <v>11480</v>
      </c>
      <c r="B2652" s="1">
        <v>45814</v>
      </c>
      <c r="C2652" s="5">
        <v>0.9277199074074074</v>
      </c>
      <c r="D2652">
        <v>160.83000000000001</v>
      </c>
      <c r="E2652" t="s">
        <v>44</v>
      </c>
      <c r="F2652" t="s">
        <v>123</v>
      </c>
      <c r="G2652" t="s">
        <v>96</v>
      </c>
      <c r="H2652" t="s">
        <v>97</v>
      </c>
      <c r="I2652" t="s">
        <v>11481</v>
      </c>
      <c r="J2652">
        <v>35</v>
      </c>
      <c r="K2652" t="s">
        <v>25</v>
      </c>
      <c r="L2652" t="s">
        <v>91</v>
      </c>
      <c r="M2652" t="s">
        <v>39</v>
      </c>
      <c r="P2652" t="s">
        <v>28</v>
      </c>
      <c r="Q2652" t="s">
        <v>11482</v>
      </c>
      <c r="R2652" t="s">
        <v>11483</v>
      </c>
      <c r="S2652" t="s">
        <v>101</v>
      </c>
      <c r="T2652">
        <v>1</v>
      </c>
    </row>
    <row r="2653" spans="1:20" x14ac:dyDescent="0.25">
      <c r="A2653" t="s">
        <v>11484</v>
      </c>
      <c r="B2653" s="1">
        <v>45956</v>
      </c>
      <c r="C2653" s="5">
        <v>0.32826388888888891</v>
      </c>
      <c r="D2653">
        <v>63.71</v>
      </c>
      <c r="E2653" t="s">
        <v>44</v>
      </c>
      <c r="F2653" t="s">
        <v>11485</v>
      </c>
      <c r="G2653" t="s">
        <v>46</v>
      </c>
      <c r="H2653" t="s">
        <v>66</v>
      </c>
      <c r="I2653" t="s">
        <v>11486</v>
      </c>
      <c r="J2653">
        <v>41</v>
      </c>
      <c r="K2653" t="s">
        <v>37</v>
      </c>
      <c r="L2653" t="s">
        <v>26</v>
      </c>
      <c r="M2653" t="s">
        <v>112</v>
      </c>
      <c r="P2653" t="s">
        <v>28</v>
      </c>
      <c r="Q2653" t="s">
        <v>11487</v>
      </c>
      <c r="R2653" t="s">
        <v>11488</v>
      </c>
      <c r="S2653" t="s">
        <v>31</v>
      </c>
      <c r="T2653">
        <v>0</v>
      </c>
    </row>
    <row r="2654" spans="1:20" x14ac:dyDescent="0.25">
      <c r="A2654" t="s">
        <v>11489</v>
      </c>
      <c r="B2654" s="1">
        <v>45887</v>
      </c>
      <c r="C2654" s="5">
        <v>0.17723379629629629</v>
      </c>
      <c r="D2654">
        <v>65.44</v>
      </c>
      <c r="E2654" t="s">
        <v>44</v>
      </c>
      <c r="F2654" t="s">
        <v>1351</v>
      </c>
      <c r="G2654" t="s">
        <v>124</v>
      </c>
      <c r="H2654" t="s">
        <v>23</v>
      </c>
      <c r="I2654" t="s">
        <v>11490</v>
      </c>
      <c r="J2654">
        <v>28</v>
      </c>
      <c r="K2654" t="s">
        <v>49</v>
      </c>
      <c r="L2654" t="s">
        <v>50</v>
      </c>
      <c r="M2654" t="s">
        <v>51</v>
      </c>
      <c r="N2654" t="s">
        <v>52</v>
      </c>
      <c r="O2654">
        <v>476943</v>
      </c>
      <c r="P2654" t="s">
        <v>28</v>
      </c>
      <c r="Q2654" t="s">
        <v>11491</v>
      </c>
      <c r="R2654" t="s">
        <v>11492</v>
      </c>
      <c r="S2654" t="s">
        <v>31</v>
      </c>
      <c r="T2654">
        <v>0</v>
      </c>
    </row>
    <row r="2655" spans="1:20" x14ac:dyDescent="0.25">
      <c r="A2655" t="s">
        <v>11493</v>
      </c>
      <c r="B2655" s="1">
        <v>45890</v>
      </c>
      <c r="C2655" s="5">
        <v>0.12341435185185186</v>
      </c>
      <c r="D2655">
        <v>100.66</v>
      </c>
      <c r="E2655" t="s">
        <v>44</v>
      </c>
      <c r="F2655" t="s">
        <v>11494</v>
      </c>
      <c r="G2655" t="s">
        <v>96</v>
      </c>
      <c r="H2655" t="s">
        <v>146</v>
      </c>
      <c r="I2655" t="s">
        <v>11495</v>
      </c>
      <c r="J2655">
        <v>65</v>
      </c>
      <c r="K2655" t="s">
        <v>49</v>
      </c>
      <c r="L2655" t="s">
        <v>26</v>
      </c>
      <c r="M2655" t="s">
        <v>105</v>
      </c>
      <c r="P2655" t="s">
        <v>28</v>
      </c>
      <c r="Q2655" t="s">
        <v>11496</v>
      </c>
      <c r="R2655" t="s">
        <v>11497</v>
      </c>
      <c r="S2655" t="s">
        <v>31</v>
      </c>
      <c r="T2655">
        <v>0</v>
      </c>
    </row>
    <row r="2656" spans="1:20" x14ac:dyDescent="0.25">
      <c r="A2656" t="s">
        <v>11498</v>
      </c>
      <c r="B2656" s="1">
        <v>45904</v>
      </c>
      <c r="C2656" s="5">
        <v>0.76501157407407405</v>
      </c>
      <c r="D2656">
        <v>32.32</v>
      </c>
      <c r="E2656" t="s">
        <v>44</v>
      </c>
      <c r="F2656" t="s">
        <v>6076</v>
      </c>
      <c r="G2656" t="s">
        <v>46</v>
      </c>
      <c r="H2656" t="s">
        <v>38</v>
      </c>
      <c r="I2656" t="s">
        <v>11499</v>
      </c>
      <c r="K2656" t="s">
        <v>25</v>
      </c>
      <c r="L2656" t="s">
        <v>91</v>
      </c>
      <c r="M2656" t="s">
        <v>84</v>
      </c>
      <c r="P2656" t="s">
        <v>28</v>
      </c>
      <c r="Q2656" t="s">
        <v>11500</v>
      </c>
      <c r="R2656" t="s">
        <v>11501</v>
      </c>
      <c r="S2656" t="s">
        <v>31</v>
      </c>
      <c r="T2656">
        <v>0</v>
      </c>
    </row>
    <row r="2657" spans="1:20" x14ac:dyDescent="0.25">
      <c r="A2657" t="s">
        <v>11502</v>
      </c>
      <c r="B2657" s="1">
        <v>45789</v>
      </c>
      <c r="C2657" s="5">
        <v>0.42756944444444445</v>
      </c>
      <c r="D2657">
        <v>1700.14</v>
      </c>
      <c r="E2657" t="s">
        <v>44</v>
      </c>
      <c r="F2657" t="s">
        <v>1200</v>
      </c>
      <c r="G2657" t="s">
        <v>22</v>
      </c>
      <c r="H2657" t="s">
        <v>26</v>
      </c>
      <c r="I2657" t="s">
        <v>6344</v>
      </c>
      <c r="J2657">
        <v>70</v>
      </c>
      <c r="K2657" t="s">
        <v>37</v>
      </c>
      <c r="L2657" t="s">
        <v>248</v>
      </c>
      <c r="M2657" t="s">
        <v>27</v>
      </c>
      <c r="P2657" t="s">
        <v>28</v>
      </c>
      <c r="Q2657" t="s">
        <v>11503</v>
      </c>
      <c r="R2657" t="s">
        <v>11504</v>
      </c>
      <c r="S2657" t="s">
        <v>31</v>
      </c>
      <c r="T2657">
        <v>0</v>
      </c>
    </row>
    <row r="2658" spans="1:20" x14ac:dyDescent="0.25">
      <c r="A2658" t="s">
        <v>11505</v>
      </c>
      <c r="B2658" s="1">
        <v>45959</v>
      </c>
      <c r="C2658" s="5">
        <v>0.3253240740740741</v>
      </c>
      <c r="D2658">
        <v>139.22999999999999</v>
      </c>
      <c r="E2658" t="s">
        <v>44</v>
      </c>
      <c r="F2658" t="s">
        <v>3065</v>
      </c>
      <c r="G2658" t="s">
        <v>22</v>
      </c>
      <c r="H2658" t="s">
        <v>66</v>
      </c>
      <c r="I2658" t="s">
        <v>11506</v>
      </c>
      <c r="J2658">
        <v>68</v>
      </c>
      <c r="K2658" t="s">
        <v>37</v>
      </c>
      <c r="L2658" t="s">
        <v>38</v>
      </c>
      <c r="M2658" t="s">
        <v>112</v>
      </c>
      <c r="P2658" t="s">
        <v>28</v>
      </c>
      <c r="Q2658" t="s">
        <v>11507</v>
      </c>
      <c r="R2658" t="s">
        <v>11508</v>
      </c>
      <c r="S2658" t="s">
        <v>31</v>
      </c>
      <c r="T2658">
        <v>0</v>
      </c>
    </row>
    <row r="2659" spans="1:20" x14ac:dyDescent="0.25">
      <c r="A2659" t="s">
        <v>11509</v>
      </c>
      <c r="B2659" s="1">
        <v>45901</v>
      </c>
      <c r="C2659" s="5">
        <v>0.75979166666666664</v>
      </c>
      <c r="D2659">
        <v>166.49</v>
      </c>
      <c r="E2659" t="s">
        <v>44</v>
      </c>
      <c r="F2659" t="s">
        <v>9312</v>
      </c>
      <c r="G2659" t="s">
        <v>64</v>
      </c>
      <c r="H2659" t="s">
        <v>97</v>
      </c>
      <c r="I2659" t="s">
        <v>11510</v>
      </c>
      <c r="J2659">
        <v>49</v>
      </c>
      <c r="K2659" t="s">
        <v>25</v>
      </c>
      <c r="L2659" t="s">
        <v>91</v>
      </c>
      <c r="M2659" t="s">
        <v>51</v>
      </c>
      <c r="N2659" t="s">
        <v>304</v>
      </c>
      <c r="O2659">
        <v>500520</v>
      </c>
      <c r="P2659" t="s">
        <v>28</v>
      </c>
      <c r="Q2659" t="s">
        <v>11511</v>
      </c>
      <c r="R2659" t="s">
        <v>11512</v>
      </c>
      <c r="S2659" t="s">
        <v>31</v>
      </c>
      <c r="T2659">
        <v>0</v>
      </c>
    </row>
    <row r="2660" spans="1:20" x14ac:dyDescent="0.25">
      <c r="A2660" t="s">
        <v>11513</v>
      </c>
      <c r="B2660" s="1">
        <v>45840</v>
      </c>
      <c r="C2660" s="5">
        <v>0.51817129629629632</v>
      </c>
      <c r="D2660">
        <v>168.92</v>
      </c>
      <c r="E2660" t="s">
        <v>44</v>
      </c>
      <c r="F2660" t="s">
        <v>3617</v>
      </c>
      <c r="G2660" t="s">
        <v>124</v>
      </c>
      <c r="H2660" t="s">
        <v>119</v>
      </c>
      <c r="I2660" t="s">
        <v>11514</v>
      </c>
      <c r="J2660">
        <v>66</v>
      </c>
      <c r="K2660" t="s">
        <v>37</v>
      </c>
      <c r="L2660" t="s">
        <v>146</v>
      </c>
      <c r="M2660" t="s">
        <v>51</v>
      </c>
      <c r="N2660" t="s">
        <v>507</v>
      </c>
      <c r="O2660">
        <v>505243</v>
      </c>
      <c r="P2660" t="s">
        <v>28</v>
      </c>
      <c r="Q2660" t="s">
        <v>11515</v>
      </c>
      <c r="R2660" t="s">
        <v>11516</v>
      </c>
      <c r="S2660" t="s">
        <v>31</v>
      </c>
      <c r="T2660">
        <v>0</v>
      </c>
    </row>
    <row r="2661" spans="1:20" x14ac:dyDescent="0.25">
      <c r="A2661" t="s">
        <v>11517</v>
      </c>
      <c r="B2661" s="1">
        <v>45959</v>
      </c>
      <c r="C2661" s="5">
        <v>8.6631944444444442E-2</v>
      </c>
      <c r="D2661">
        <v>28.3</v>
      </c>
      <c r="E2661" t="s">
        <v>44</v>
      </c>
      <c r="F2661" t="s">
        <v>4491</v>
      </c>
      <c r="G2661" t="s">
        <v>96</v>
      </c>
      <c r="H2661" t="s">
        <v>50</v>
      </c>
      <c r="I2661" t="s">
        <v>11518</v>
      </c>
      <c r="J2661">
        <v>53</v>
      </c>
      <c r="K2661" t="s">
        <v>25</v>
      </c>
      <c r="L2661" t="s">
        <v>38</v>
      </c>
      <c r="M2661" t="s">
        <v>84</v>
      </c>
      <c r="P2661" t="s">
        <v>28</v>
      </c>
      <c r="Q2661" t="s">
        <v>11519</v>
      </c>
      <c r="R2661" t="s">
        <v>11520</v>
      </c>
      <c r="S2661" t="s">
        <v>31</v>
      </c>
      <c r="T2661">
        <v>0</v>
      </c>
    </row>
    <row r="2662" spans="1:20" x14ac:dyDescent="0.25">
      <c r="A2662" t="s">
        <v>11521</v>
      </c>
      <c r="B2662" s="1">
        <v>45793</v>
      </c>
      <c r="C2662" s="5">
        <v>0.58478009259259256</v>
      </c>
      <c r="D2662">
        <v>196.73</v>
      </c>
      <c r="E2662" t="s">
        <v>44</v>
      </c>
      <c r="F2662" t="s">
        <v>698</v>
      </c>
      <c r="G2662" t="s">
        <v>77</v>
      </c>
      <c r="H2662" t="s">
        <v>130</v>
      </c>
      <c r="I2662" t="s">
        <v>11522</v>
      </c>
      <c r="J2662">
        <v>65</v>
      </c>
      <c r="K2662" t="s">
        <v>37</v>
      </c>
      <c r="L2662" t="s">
        <v>38</v>
      </c>
      <c r="M2662" t="s">
        <v>51</v>
      </c>
      <c r="N2662" t="s">
        <v>173</v>
      </c>
      <c r="O2662">
        <v>541347</v>
      </c>
      <c r="P2662" t="s">
        <v>28</v>
      </c>
      <c r="Q2662" t="s">
        <v>11523</v>
      </c>
      <c r="R2662" t="s">
        <v>11524</v>
      </c>
      <c r="S2662" t="s">
        <v>31</v>
      </c>
      <c r="T2662">
        <v>1</v>
      </c>
    </row>
    <row r="2663" spans="1:20" x14ac:dyDescent="0.25">
      <c r="A2663" t="s">
        <v>11525</v>
      </c>
      <c r="B2663" s="1">
        <v>45850</v>
      </c>
      <c r="C2663" s="5">
        <v>0.13603009259259261</v>
      </c>
      <c r="D2663">
        <v>121.67</v>
      </c>
      <c r="E2663" t="s">
        <v>44</v>
      </c>
      <c r="F2663" t="s">
        <v>457</v>
      </c>
      <c r="G2663" t="s">
        <v>96</v>
      </c>
      <c r="H2663" t="s">
        <v>38</v>
      </c>
      <c r="I2663" t="s">
        <v>11526</v>
      </c>
      <c r="J2663">
        <v>45</v>
      </c>
      <c r="K2663" t="s">
        <v>49</v>
      </c>
      <c r="L2663" t="s">
        <v>119</v>
      </c>
      <c r="M2663" t="s">
        <v>51</v>
      </c>
      <c r="N2663" t="s">
        <v>507</v>
      </c>
      <c r="O2663">
        <v>529824</v>
      </c>
      <c r="P2663" t="s">
        <v>28</v>
      </c>
      <c r="Q2663" t="s">
        <v>11527</v>
      </c>
      <c r="R2663" t="s">
        <v>11528</v>
      </c>
      <c r="S2663" t="s">
        <v>31</v>
      </c>
      <c r="T2663">
        <v>0</v>
      </c>
    </row>
    <row r="2664" spans="1:20" x14ac:dyDescent="0.25">
      <c r="A2664" t="s">
        <v>11529</v>
      </c>
      <c r="B2664" s="1">
        <v>45840</v>
      </c>
      <c r="C2664" s="5">
        <v>0.92712962962962964</v>
      </c>
      <c r="D2664">
        <v>140.63999999999999</v>
      </c>
      <c r="E2664" t="s">
        <v>44</v>
      </c>
      <c r="F2664" t="s">
        <v>2640</v>
      </c>
      <c r="G2664" t="s">
        <v>57</v>
      </c>
      <c r="H2664" t="s">
        <v>130</v>
      </c>
      <c r="I2664" t="s">
        <v>11530</v>
      </c>
      <c r="J2664">
        <v>33</v>
      </c>
      <c r="K2664" t="s">
        <v>37</v>
      </c>
      <c r="L2664" t="s">
        <v>26</v>
      </c>
      <c r="M2664" t="s">
        <v>112</v>
      </c>
      <c r="P2664" t="s">
        <v>28</v>
      </c>
      <c r="Q2664" t="s">
        <v>11531</v>
      </c>
      <c r="R2664" t="s">
        <v>11532</v>
      </c>
      <c r="S2664" t="s">
        <v>42</v>
      </c>
      <c r="T2664">
        <v>0</v>
      </c>
    </row>
    <row r="2665" spans="1:20" x14ac:dyDescent="0.25">
      <c r="A2665" t="s">
        <v>11533</v>
      </c>
      <c r="B2665" s="1">
        <v>45824</v>
      </c>
      <c r="C2665" s="5">
        <v>0.33938657407407408</v>
      </c>
      <c r="D2665">
        <v>165.64</v>
      </c>
      <c r="E2665" t="s">
        <v>44</v>
      </c>
      <c r="F2665" t="s">
        <v>1859</v>
      </c>
      <c r="G2665" t="s">
        <v>22</v>
      </c>
      <c r="H2665" t="s">
        <v>110</v>
      </c>
      <c r="I2665" t="s">
        <v>11534</v>
      </c>
      <c r="J2665">
        <v>49</v>
      </c>
      <c r="K2665" t="s">
        <v>37</v>
      </c>
      <c r="L2665" t="s">
        <v>38</v>
      </c>
      <c r="M2665" t="s">
        <v>105</v>
      </c>
      <c r="P2665" t="s">
        <v>28</v>
      </c>
      <c r="Q2665" t="s">
        <v>11535</v>
      </c>
      <c r="R2665" t="s">
        <v>10606</v>
      </c>
      <c r="S2665" t="s">
        <v>31</v>
      </c>
      <c r="T2665">
        <v>0</v>
      </c>
    </row>
    <row r="2666" spans="1:20" x14ac:dyDescent="0.25">
      <c r="A2666" t="s">
        <v>11536</v>
      </c>
      <c r="B2666" s="1">
        <v>45817</v>
      </c>
      <c r="C2666" s="5">
        <v>0.78100694444444441</v>
      </c>
      <c r="D2666">
        <v>43.61</v>
      </c>
      <c r="E2666" t="s">
        <v>44</v>
      </c>
      <c r="F2666" t="s">
        <v>1366</v>
      </c>
      <c r="G2666" t="s">
        <v>77</v>
      </c>
      <c r="H2666" t="s">
        <v>35</v>
      </c>
      <c r="I2666" t="s">
        <v>11537</v>
      </c>
      <c r="J2666">
        <v>73</v>
      </c>
      <c r="K2666" t="s">
        <v>25</v>
      </c>
      <c r="L2666" t="s">
        <v>23</v>
      </c>
      <c r="M2666" t="s">
        <v>105</v>
      </c>
      <c r="P2666" t="s">
        <v>28</v>
      </c>
      <c r="Q2666" t="s">
        <v>11538</v>
      </c>
      <c r="R2666" t="s">
        <v>11539</v>
      </c>
      <c r="S2666" t="s">
        <v>31</v>
      </c>
      <c r="T2666">
        <v>0</v>
      </c>
    </row>
    <row r="2667" spans="1:20" x14ac:dyDescent="0.25">
      <c r="A2667" t="s">
        <v>11540</v>
      </c>
      <c r="B2667" s="1">
        <v>45792</v>
      </c>
      <c r="C2667" s="5">
        <v>0.87109953703703702</v>
      </c>
      <c r="D2667">
        <v>32.340000000000003</v>
      </c>
      <c r="E2667" t="s">
        <v>44</v>
      </c>
      <c r="F2667" t="s">
        <v>2317</v>
      </c>
      <c r="G2667" t="s">
        <v>89</v>
      </c>
      <c r="H2667" t="s">
        <v>110</v>
      </c>
      <c r="I2667" t="s">
        <v>11541</v>
      </c>
      <c r="J2667">
        <v>35</v>
      </c>
      <c r="K2667" t="s">
        <v>25</v>
      </c>
      <c r="L2667" t="s">
        <v>119</v>
      </c>
      <c r="M2667" t="s">
        <v>112</v>
      </c>
      <c r="P2667" t="s">
        <v>28</v>
      </c>
      <c r="Q2667" t="s">
        <v>11542</v>
      </c>
      <c r="R2667" t="s">
        <v>11543</v>
      </c>
      <c r="S2667" t="s">
        <v>31</v>
      </c>
      <c r="T2667">
        <v>0</v>
      </c>
    </row>
    <row r="2668" spans="1:20" x14ac:dyDescent="0.25">
      <c r="A2668" t="s">
        <v>11544</v>
      </c>
      <c r="B2668" s="1">
        <v>45799</v>
      </c>
      <c r="C2668" s="5">
        <v>0.28031250000000002</v>
      </c>
      <c r="D2668">
        <v>64.27</v>
      </c>
      <c r="E2668" t="s">
        <v>44</v>
      </c>
      <c r="F2668" t="s">
        <v>5300</v>
      </c>
      <c r="G2668" t="s">
        <v>64</v>
      </c>
      <c r="H2668" t="s">
        <v>146</v>
      </c>
      <c r="I2668" t="s">
        <v>11545</v>
      </c>
      <c r="J2668">
        <v>27</v>
      </c>
      <c r="K2668" t="s">
        <v>49</v>
      </c>
      <c r="L2668" t="s">
        <v>47</v>
      </c>
      <c r="M2668" t="s">
        <v>51</v>
      </c>
      <c r="N2668" t="s">
        <v>173</v>
      </c>
      <c r="O2668">
        <v>473419</v>
      </c>
      <c r="P2668" t="s">
        <v>28</v>
      </c>
      <c r="Q2668" t="s">
        <v>11546</v>
      </c>
      <c r="R2668" t="s">
        <v>10377</v>
      </c>
      <c r="S2668" t="s">
        <v>31</v>
      </c>
      <c r="T2668">
        <v>0</v>
      </c>
    </row>
    <row r="2669" spans="1:20" x14ac:dyDescent="0.25">
      <c r="A2669" t="s">
        <v>11547</v>
      </c>
      <c r="B2669" s="1">
        <v>45932</v>
      </c>
      <c r="C2669" s="5">
        <v>4.1388888888888892E-2</v>
      </c>
      <c r="D2669">
        <v>130.77000000000001</v>
      </c>
      <c r="E2669" t="s">
        <v>44</v>
      </c>
      <c r="F2669" t="s">
        <v>3708</v>
      </c>
      <c r="G2669" t="s">
        <v>22</v>
      </c>
      <c r="H2669" t="s">
        <v>23</v>
      </c>
      <c r="I2669" t="s">
        <v>11548</v>
      </c>
      <c r="J2669">
        <v>60</v>
      </c>
      <c r="K2669" t="s">
        <v>49</v>
      </c>
      <c r="L2669" t="s">
        <v>66</v>
      </c>
      <c r="M2669" t="s">
        <v>39</v>
      </c>
      <c r="P2669" t="s">
        <v>28</v>
      </c>
      <c r="Q2669" t="s">
        <v>11549</v>
      </c>
      <c r="R2669" t="s">
        <v>11550</v>
      </c>
      <c r="S2669" t="s">
        <v>31</v>
      </c>
      <c r="T2669">
        <v>0</v>
      </c>
    </row>
    <row r="2670" spans="1:20" x14ac:dyDescent="0.25">
      <c r="A2670" t="s">
        <v>11551</v>
      </c>
      <c r="B2670" s="1">
        <v>45947</v>
      </c>
      <c r="C2670" s="5">
        <v>0.55209490740740741</v>
      </c>
      <c r="D2670">
        <v>189.02</v>
      </c>
      <c r="E2670" t="s">
        <v>44</v>
      </c>
      <c r="F2670" t="s">
        <v>10137</v>
      </c>
      <c r="G2670" t="s">
        <v>89</v>
      </c>
      <c r="H2670" t="s">
        <v>91</v>
      </c>
      <c r="I2670" t="s">
        <v>11552</v>
      </c>
      <c r="J2670">
        <v>43</v>
      </c>
      <c r="K2670" t="s">
        <v>49</v>
      </c>
      <c r="L2670" t="s">
        <v>146</v>
      </c>
      <c r="M2670" t="s">
        <v>84</v>
      </c>
      <c r="P2670" t="s">
        <v>28</v>
      </c>
      <c r="Q2670" t="s">
        <v>11553</v>
      </c>
      <c r="R2670" t="s">
        <v>11554</v>
      </c>
      <c r="S2670" t="s">
        <v>31</v>
      </c>
      <c r="T2670">
        <v>0</v>
      </c>
    </row>
    <row r="2671" spans="1:20" x14ac:dyDescent="0.25">
      <c r="A2671" t="s">
        <v>11555</v>
      </c>
      <c r="B2671" s="1">
        <v>45845</v>
      </c>
      <c r="C2671" s="5">
        <v>3.3379629629629627E-2</v>
      </c>
      <c r="D2671">
        <v>79.7</v>
      </c>
      <c r="E2671" t="s">
        <v>44</v>
      </c>
      <c r="F2671" t="s">
        <v>3171</v>
      </c>
      <c r="G2671" t="s">
        <v>46</v>
      </c>
      <c r="H2671" t="s">
        <v>35</v>
      </c>
      <c r="I2671" t="s">
        <v>11556</v>
      </c>
      <c r="J2671">
        <v>26</v>
      </c>
      <c r="K2671" t="s">
        <v>49</v>
      </c>
      <c r="L2671" t="s">
        <v>47</v>
      </c>
      <c r="M2671" t="s">
        <v>51</v>
      </c>
      <c r="N2671" t="s">
        <v>507</v>
      </c>
      <c r="O2671">
        <v>553237</v>
      </c>
      <c r="P2671" t="s">
        <v>28</v>
      </c>
      <c r="Q2671" t="s">
        <v>11557</v>
      </c>
      <c r="R2671" t="s">
        <v>5627</v>
      </c>
      <c r="S2671" t="s">
        <v>31</v>
      </c>
      <c r="T2671">
        <v>0</v>
      </c>
    </row>
    <row r="2672" spans="1:20" x14ac:dyDescent="0.25">
      <c r="A2672" t="s">
        <v>11558</v>
      </c>
      <c r="B2672" s="1">
        <v>45948</v>
      </c>
      <c r="C2672" s="5">
        <v>0.88034722222222217</v>
      </c>
      <c r="D2672">
        <v>194.48</v>
      </c>
      <c r="E2672" t="s">
        <v>44</v>
      </c>
      <c r="F2672" t="s">
        <v>4176</v>
      </c>
      <c r="G2672" t="s">
        <v>124</v>
      </c>
      <c r="H2672" t="s">
        <v>91</v>
      </c>
      <c r="I2672" t="s">
        <v>11559</v>
      </c>
      <c r="J2672">
        <v>35</v>
      </c>
      <c r="K2672" t="s">
        <v>25</v>
      </c>
      <c r="L2672" t="s">
        <v>97</v>
      </c>
      <c r="M2672" t="s">
        <v>84</v>
      </c>
      <c r="P2672" t="s">
        <v>28</v>
      </c>
      <c r="Q2672" t="s">
        <v>11560</v>
      </c>
      <c r="R2672" t="s">
        <v>11561</v>
      </c>
      <c r="S2672" t="s">
        <v>31</v>
      </c>
      <c r="T2672">
        <v>0</v>
      </c>
    </row>
    <row r="2673" spans="1:20" x14ac:dyDescent="0.25">
      <c r="A2673" t="s">
        <v>11562</v>
      </c>
      <c r="B2673" s="1">
        <v>45952</v>
      </c>
      <c r="C2673" s="5">
        <v>0.31778935185185186</v>
      </c>
      <c r="D2673">
        <v>62.43</v>
      </c>
      <c r="E2673" t="s">
        <v>44</v>
      </c>
      <c r="F2673" t="s">
        <v>11563</v>
      </c>
      <c r="G2673" t="s">
        <v>22</v>
      </c>
      <c r="H2673" t="s">
        <v>91</v>
      </c>
      <c r="I2673" t="s">
        <v>8307</v>
      </c>
      <c r="J2673">
        <v>22</v>
      </c>
      <c r="K2673" t="s">
        <v>37</v>
      </c>
      <c r="L2673" t="s">
        <v>50</v>
      </c>
      <c r="M2673" t="s">
        <v>27</v>
      </c>
      <c r="P2673" t="s">
        <v>28</v>
      </c>
      <c r="Q2673" t="s">
        <v>11564</v>
      </c>
      <c r="R2673" t="s">
        <v>11565</v>
      </c>
      <c r="S2673" t="s">
        <v>31</v>
      </c>
      <c r="T2673">
        <v>0</v>
      </c>
    </row>
    <row r="2674" spans="1:20" x14ac:dyDescent="0.25">
      <c r="A2674" t="s">
        <v>11566</v>
      </c>
      <c r="B2674" s="1">
        <v>45933</v>
      </c>
      <c r="C2674" s="5">
        <v>0.48891203703703706</v>
      </c>
      <c r="D2674">
        <v>85.13</v>
      </c>
      <c r="E2674" t="s">
        <v>44</v>
      </c>
      <c r="F2674" t="s">
        <v>2404</v>
      </c>
      <c r="G2674" t="s">
        <v>124</v>
      </c>
      <c r="H2674" t="s">
        <v>50</v>
      </c>
      <c r="I2674" t="s">
        <v>11567</v>
      </c>
      <c r="J2674">
        <v>70</v>
      </c>
      <c r="K2674" t="s">
        <v>37</v>
      </c>
      <c r="L2674" t="s">
        <v>47</v>
      </c>
      <c r="M2674" t="s">
        <v>105</v>
      </c>
      <c r="P2674" t="s">
        <v>28</v>
      </c>
      <c r="Q2674" t="s">
        <v>11568</v>
      </c>
      <c r="R2674" t="s">
        <v>11569</v>
      </c>
      <c r="S2674" t="s">
        <v>31</v>
      </c>
      <c r="T2674">
        <v>0</v>
      </c>
    </row>
    <row r="2675" spans="1:20" x14ac:dyDescent="0.25">
      <c r="A2675" t="s">
        <v>11570</v>
      </c>
      <c r="B2675" s="1">
        <v>45845</v>
      </c>
      <c r="C2675" s="5">
        <v>0.61645833333333333</v>
      </c>
      <c r="D2675">
        <v>128.71</v>
      </c>
      <c r="E2675" t="s">
        <v>44</v>
      </c>
      <c r="F2675" t="s">
        <v>5368</v>
      </c>
      <c r="G2675" t="s">
        <v>124</v>
      </c>
      <c r="H2675" t="s">
        <v>146</v>
      </c>
      <c r="I2675" t="s">
        <v>11571</v>
      </c>
      <c r="J2675">
        <v>71</v>
      </c>
      <c r="K2675" t="s">
        <v>49</v>
      </c>
      <c r="L2675" t="s">
        <v>38</v>
      </c>
      <c r="M2675" t="s">
        <v>112</v>
      </c>
      <c r="P2675" t="s">
        <v>28</v>
      </c>
      <c r="Q2675" t="s">
        <v>11572</v>
      </c>
      <c r="R2675" t="s">
        <v>11573</v>
      </c>
      <c r="S2675" t="s">
        <v>31</v>
      </c>
      <c r="T2675">
        <v>0</v>
      </c>
    </row>
    <row r="2676" spans="1:20" x14ac:dyDescent="0.25">
      <c r="A2676" t="s">
        <v>11574</v>
      </c>
      <c r="B2676" s="1">
        <v>45931</v>
      </c>
      <c r="C2676" s="5">
        <v>1.2534722222222221E-2</v>
      </c>
      <c r="D2676">
        <v>7.76</v>
      </c>
      <c r="E2676" t="s">
        <v>44</v>
      </c>
      <c r="F2676" t="s">
        <v>5081</v>
      </c>
      <c r="G2676" t="s">
        <v>34</v>
      </c>
      <c r="H2676" t="s">
        <v>146</v>
      </c>
      <c r="I2676" t="s">
        <v>11575</v>
      </c>
      <c r="J2676">
        <v>35</v>
      </c>
      <c r="K2676" t="s">
        <v>49</v>
      </c>
      <c r="L2676" t="s">
        <v>146</v>
      </c>
      <c r="M2676" t="s">
        <v>112</v>
      </c>
      <c r="P2676" t="s">
        <v>113</v>
      </c>
      <c r="Q2676" t="s">
        <v>11576</v>
      </c>
      <c r="R2676" t="s">
        <v>11577</v>
      </c>
      <c r="S2676" t="s">
        <v>31</v>
      </c>
      <c r="T2676">
        <v>0</v>
      </c>
    </row>
    <row r="2677" spans="1:20" x14ac:dyDescent="0.25">
      <c r="A2677" t="s">
        <v>11578</v>
      </c>
      <c r="B2677" s="1">
        <v>45911</v>
      </c>
      <c r="C2677" s="5">
        <v>0.86600694444444448</v>
      </c>
      <c r="D2677">
        <v>212.53</v>
      </c>
      <c r="E2677" t="s">
        <v>44</v>
      </c>
      <c r="F2677" t="s">
        <v>2190</v>
      </c>
      <c r="G2677" t="s">
        <v>124</v>
      </c>
      <c r="H2677" t="s">
        <v>248</v>
      </c>
      <c r="I2677" t="s">
        <v>11579</v>
      </c>
      <c r="J2677">
        <v>33</v>
      </c>
      <c r="K2677" t="s">
        <v>49</v>
      </c>
      <c r="L2677" t="s">
        <v>38</v>
      </c>
      <c r="M2677" t="s">
        <v>39</v>
      </c>
      <c r="P2677" t="s">
        <v>28</v>
      </c>
      <c r="Q2677" t="s">
        <v>11580</v>
      </c>
      <c r="R2677" t="s">
        <v>11581</v>
      </c>
      <c r="S2677" t="s">
        <v>101</v>
      </c>
      <c r="T2677">
        <v>0</v>
      </c>
    </row>
    <row r="2678" spans="1:20" x14ac:dyDescent="0.25">
      <c r="A2678" t="s">
        <v>11582</v>
      </c>
      <c r="B2678" s="1">
        <v>45856</v>
      </c>
      <c r="C2678" s="5">
        <v>0.1582523148148148</v>
      </c>
      <c r="D2678">
        <v>51.64</v>
      </c>
      <c r="E2678" t="s">
        <v>44</v>
      </c>
      <c r="F2678" t="s">
        <v>658</v>
      </c>
      <c r="G2678" t="s">
        <v>34</v>
      </c>
      <c r="H2678" t="s">
        <v>248</v>
      </c>
      <c r="I2678" t="s">
        <v>11583</v>
      </c>
      <c r="J2678">
        <v>20</v>
      </c>
      <c r="K2678" t="s">
        <v>37</v>
      </c>
      <c r="L2678" t="s">
        <v>119</v>
      </c>
      <c r="M2678" t="s">
        <v>84</v>
      </c>
      <c r="P2678" t="s">
        <v>28</v>
      </c>
      <c r="Q2678" t="s">
        <v>11584</v>
      </c>
      <c r="R2678" t="s">
        <v>11585</v>
      </c>
      <c r="S2678" t="s">
        <v>31</v>
      </c>
      <c r="T2678">
        <v>0</v>
      </c>
    </row>
    <row r="2679" spans="1:20" x14ac:dyDescent="0.25">
      <c r="A2679" t="s">
        <v>11586</v>
      </c>
      <c r="B2679" s="1">
        <v>45781</v>
      </c>
      <c r="C2679" s="5">
        <v>0.92568287037037034</v>
      </c>
      <c r="D2679">
        <v>374.32</v>
      </c>
      <c r="E2679" t="s">
        <v>44</v>
      </c>
      <c r="F2679" t="s">
        <v>4833</v>
      </c>
      <c r="G2679" t="s">
        <v>96</v>
      </c>
      <c r="H2679" t="s">
        <v>119</v>
      </c>
      <c r="I2679" t="s">
        <v>11587</v>
      </c>
      <c r="J2679">
        <v>48</v>
      </c>
      <c r="K2679" t="s">
        <v>25</v>
      </c>
      <c r="L2679" t="s">
        <v>248</v>
      </c>
      <c r="M2679" t="s">
        <v>39</v>
      </c>
      <c r="P2679" t="s">
        <v>28</v>
      </c>
      <c r="Q2679" t="s">
        <v>11588</v>
      </c>
      <c r="R2679" t="s">
        <v>11589</v>
      </c>
      <c r="S2679" t="s">
        <v>31</v>
      </c>
      <c r="T2679">
        <v>0</v>
      </c>
    </row>
    <row r="2680" spans="1:20" x14ac:dyDescent="0.25">
      <c r="A2680" t="s">
        <v>11590</v>
      </c>
      <c r="B2680" s="1">
        <v>45959</v>
      </c>
      <c r="C2680" s="5">
        <v>0.40721064814814817</v>
      </c>
      <c r="D2680">
        <v>11.03</v>
      </c>
      <c r="E2680" t="s">
        <v>44</v>
      </c>
      <c r="F2680" t="s">
        <v>829</v>
      </c>
      <c r="G2680" t="s">
        <v>64</v>
      </c>
      <c r="H2680" t="s">
        <v>110</v>
      </c>
      <c r="I2680" t="s">
        <v>11591</v>
      </c>
      <c r="J2680">
        <v>34</v>
      </c>
      <c r="K2680" t="s">
        <v>49</v>
      </c>
      <c r="L2680" t="s">
        <v>58</v>
      </c>
      <c r="M2680" t="s">
        <v>105</v>
      </c>
      <c r="P2680" t="s">
        <v>28</v>
      </c>
      <c r="Q2680" t="s">
        <v>11592</v>
      </c>
      <c r="R2680" t="s">
        <v>11593</v>
      </c>
      <c r="S2680" t="s">
        <v>31</v>
      </c>
      <c r="T2680">
        <v>0</v>
      </c>
    </row>
    <row r="2681" spans="1:20" x14ac:dyDescent="0.25">
      <c r="A2681" t="s">
        <v>11594</v>
      </c>
      <c r="B2681" s="1">
        <v>45813</v>
      </c>
      <c r="C2681" s="5">
        <v>0.17748842592592592</v>
      </c>
      <c r="D2681">
        <v>684.93</v>
      </c>
      <c r="E2681" t="s">
        <v>44</v>
      </c>
      <c r="F2681" t="s">
        <v>3097</v>
      </c>
      <c r="G2681" t="s">
        <v>124</v>
      </c>
      <c r="H2681" t="s">
        <v>97</v>
      </c>
      <c r="I2681" t="s">
        <v>11595</v>
      </c>
      <c r="J2681">
        <v>102</v>
      </c>
      <c r="K2681" t="s">
        <v>49</v>
      </c>
      <c r="L2681" t="s">
        <v>66</v>
      </c>
      <c r="M2681" t="s">
        <v>105</v>
      </c>
      <c r="P2681" t="s">
        <v>28</v>
      </c>
      <c r="Q2681" t="s">
        <v>11596</v>
      </c>
      <c r="R2681" t="s">
        <v>11597</v>
      </c>
      <c r="S2681" t="s">
        <v>31</v>
      </c>
      <c r="T2681">
        <v>0</v>
      </c>
    </row>
    <row r="2682" spans="1:20" x14ac:dyDescent="0.25">
      <c r="A2682" t="s">
        <v>11598</v>
      </c>
      <c r="B2682" s="1">
        <v>45822</v>
      </c>
      <c r="C2682" s="5">
        <v>7.4884259259259262E-2</v>
      </c>
      <c r="D2682">
        <v>653.72</v>
      </c>
      <c r="E2682" t="s">
        <v>44</v>
      </c>
      <c r="F2682" t="s">
        <v>2956</v>
      </c>
      <c r="G2682" t="s">
        <v>22</v>
      </c>
      <c r="H2682" t="s">
        <v>146</v>
      </c>
      <c r="I2682" t="s">
        <v>11599</v>
      </c>
      <c r="J2682">
        <v>57</v>
      </c>
      <c r="K2682" t="s">
        <v>37</v>
      </c>
      <c r="L2682" t="s">
        <v>146</v>
      </c>
      <c r="M2682" t="s">
        <v>105</v>
      </c>
      <c r="P2682" t="s">
        <v>113</v>
      </c>
      <c r="Q2682" t="s">
        <v>11600</v>
      </c>
      <c r="R2682" t="s">
        <v>11601</v>
      </c>
      <c r="S2682" t="s">
        <v>31</v>
      </c>
      <c r="T2682">
        <v>0</v>
      </c>
    </row>
    <row r="2683" spans="1:20" x14ac:dyDescent="0.25">
      <c r="A2683" t="s">
        <v>11602</v>
      </c>
      <c r="B2683" s="1">
        <v>45942</v>
      </c>
      <c r="C2683" s="5">
        <v>7.3032407407407407E-2</v>
      </c>
      <c r="D2683">
        <v>12</v>
      </c>
      <c r="E2683" t="s">
        <v>44</v>
      </c>
      <c r="F2683" t="s">
        <v>11603</v>
      </c>
      <c r="G2683" t="s">
        <v>124</v>
      </c>
      <c r="H2683" t="s">
        <v>58</v>
      </c>
      <c r="I2683" t="s">
        <v>11604</v>
      </c>
      <c r="K2683" t="s">
        <v>37</v>
      </c>
      <c r="L2683" t="s">
        <v>47</v>
      </c>
      <c r="M2683" t="s">
        <v>27</v>
      </c>
      <c r="P2683" t="s">
        <v>28</v>
      </c>
      <c r="Q2683" t="s">
        <v>11605</v>
      </c>
      <c r="R2683" t="s">
        <v>11606</v>
      </c>
      <c r="S2683" t="s">
        <v>42</v>
      </c>
      <c r="T2683">
        <v>0</v>
      </c>
    </row>
    <row r="2684" spans="1:20" x14ac:dyDescent="0.25">
      <c r="A2684" t="s">
        <v>11607</v>
      </c>
      <c r="B2684" s="1">
        <v>45944</v>
      </c>
      <c r="C2684" s="5">
        <v>0.19496527777777778</v>
      </c>
      <c r="D2684">
        <v>115.55</v>
      </c>
      <c r="E2684" t="s">
        <v>44</v>
      </c>
      <c r="F2684" t="s">
        <v>8937</v>
      </c>
      <c r="G2684" t="s">
        <v>34</v>
      </c>
      <c r="H2684" t="s">
        <v>66</v>
      </c>
      <c r="I2684" t="s">
        <v>11608</v>
      </c>
      <c r="J2684">
        <v>29</v>
      </c>
      <c r="K2684" t="s">
        <v>25</v>
      </c>
      <c r="L2684" t="s">
        <v>119</v>
      </c>
      <c r="M2684" t="s">
        <v>84</v>
      </c>
      <c r="P2684" t="s">
        <v>28</v>
      </c>
      <c r="Q2684" t="s">
        <v>11609</v>
      </c>
      <c r="R2684" t="s">
        <v>11610</v>
      </c>
      <c r="S2684" t="s">
        <v>31</v>
      </c>
      <c r="T2684">
        <v>0</v>
      </c>
    </row>
    <row r="2685" spans="1:20" x14ac:dyDescent="0.25">
      <c r="A2685" t="s">
        <v>11611</v>
      </c>
      <c r="B2685" s="1">
        <v>45870</v>
      </c>
      <c r="C2685" s="5">
        <v>0.75017361111111114</v>
      </c>
      <c r="D2685">
        <v>17.84</v>
      </c>
      <c r="E2685" t="s">
        <v>44</v>
      </c>
      <c r="F2685" t="s">
        <v>2404</v>
      </c>
      <c r="G2685" t="s">
        <v>34</v>
      </c>
      <c r="H2685" t="s">
        <v>146</v>
      </c>
      <c r="I2685" t="s">
        <v>11612</v>
      </c>
      <c r="J2685">
        <v>26</v>
      </c>
      <c r="K2685" t="s">
        <v>37</v>
      </c>
      <c r="L2685" t="s">
        <v>26</v>
      </c>
      <c r="M2685" t="s">
        <v>51</v>
      </c>
      <c r="N2685" t="s">
        <v>507</v>
      </c>
      <c r="O2685">
        <v>489992</v>
      </c>
      <c r="P2685" t="s">
        <v>28</v>
      </c>
      <c r="Q2685" t="s">
        <v>11613</v>
      </c>
      <c r="R2685" t="s">
        <v>11614</v>
      </c>
      <c r="S2685" t="s">
        <v>31</v>
      </c>
      <c r="T2685">
        <v>0</v>
      </c>
    </row>
    <row r="2686" spans="1:20" x14ac:dyDescent="0.25">
      <c r="A2686" t="s">
        <v>11615</v>
      </c>
      <c r="B2686" s="1">
        <v>45839</v>
      </c>
      <c r="C2686" s="5">
        <v>0.19556712962962963</v>
      </c>
      <c r="D2686">
        <v>74.97</v>
      </c>
      <c r="E2686" t="s">
        <v>44</v>
      </c>
      <c r="F2686" t="s">
        <v>2423</v>
      </c>
      <c r="G2686" t="s">
        <v>64</v>
      </c>
      <c r="H2686" t="s">
        <v>50</v>
      </c>
      <c r="I2686" t="s">
        <v>11616</v>
      </c>
      <c r="J2686">
        <v>54</v>
      </c>
      <c r="K2686" t="s">
        <v>25</v>
      </c>
      <c r="L2686" t="s">
        <v>91</v>
      </c>
      <c r="M2686" t="s">
        <v>39</v>
      </c>
      <c r="P2686" t="s">
        <v>28</v>
      </c>
      <c r="Q2686" t="s">
        <v>11617</v>
      </c>
      <c r="R2686" t="s">
        <v>11618</v>
      </c>
      <c r="S2686" t="s">
        <v>31</v>
      </c>
      <c r="T2686">
        <v>0</v>
      </c>
    </row>
    <row r="2687" spans="1:20" x14ac:dyDescent="0.25">
      <c r="A2687" t="s">
        <v>11619</v>
      </c>
      <c r="B2687" s="1">
        <v>45919</v>
      </c>
      <c r="C2687" s="5">
        <v>0.67991898148148144</v>
      </c>
      <c r="D2687">
        <v>175.19</v>
      </c>
      <c r="E2687" t="s">
        <v>44</v>
      </c>
      <c r="F2687" t="s">
        <v>1316</v>
      </c>
      <c r="G2687" t="s">
        <v>124</v>
      </c>
      <c r="H2687" t="s">
        <v>50</v>
      </c>
      <c r="I2687" t="s">
        <v>11620</v>
      </c>
      <c r="J2687">
        <v>19</v>
      </c>
      <c r="K2687" t="s">
        <v>49</v>
      </c>
      <c r="L2687" t="s">
        <v>91</v>
      </c>
      <c r="M2687" t="s">
        <v>39</v>
      </c>
      <c r="P2687" t="s">
        <v>28</v>
      </c>
      <c r="Q2687" t="s">
        <v>11621</v>
      </c>
      <c r="R2687" t="s">
        <v>11622</v>
      </c>
      <c r="S2687" t="s">
        <v>31</v>
      </c>
      <c r="T2687">
        <v>0</v>
      </c>
    </row>
    <row r="2688" spans="1:20" x14ac:dyDescent="0.25">
      <c r="A2688" t="s">
        <v>11623</v>
      </c>
      <c r="B2688" s="1">
        <v>45829</v>
      </c>
      <c r="C2688" s="5">
        <v>0.55579861111111106</v>
      </c>
      <c r="D2688">
        <v>158.07</v>
      </c>
      <c r="E2688" t="s">
        <v>44</v>
      </c>
      <c r="F2688" t="s">
        <v>2999</v>
      </c>
      <c r="G2688" t="s">
        <v>124</v>
      </c>
      <c r="H2688" t="s">
        <v>130</v>
      </c>
      <c r="I2688" t="s">
        <v>11624</v>
      </c>
      <c r="J2688">
        <v>75</v>
      </c>
      <c r="K2688" t="s">
        <v>49</v>
      </c>
      <c r="L2688" t="s">
        <v>35</v>
      </c>
      <c r="M2688" t="s">
        <v>27</v>
      </c>
      <c r="P2688" t="s">
        <v>28</v>
      </c>
      <c r="Q2688" t="s">
        <v>11625</v>
      </c>
      <c r="R2688" t="s">
        <v>11626</v>
      </c>
      <c r="S2688" t="s">
        <v>31</v>
      </c>
      <c r="T2688">
        <v>0</v>
      </c>
    </row>
    <row r="2689" spans="1:20" x14ac:dyDescent="0.25">
      <c r="A2689" t="s">
        <v>11627</v>
      </c>
      <c r="B2689" s="1">
        <v>45795</v>
      </c>
      <c r="C2689" s="5">
        <v>0.10090277777777777</v>
      </c>
      <c r="D2689">
        <v>120.18</v>
      </c>
      <c r="E2689" t="s">
        <v>44</v>
      </c>
      <c r="F2689" t="s">
        <v>2144</v>
      </c>
      <c r="G2689" t="s">
        <v>22</v>
      </c>
      <c r="H2689" t="s">
        <v>38</v>
      </c>
      <c r="I2689" t="s">
        <v>11628</v>
      </c>
      <c r="J2689">
        <v>50</v>
      </c>
      <c r="K2689" t="s">
        <v>37</v>
      </c>
      <c r="L2689" t="s">
        <v>58</v>
      </c>
      <c r="M2689" t="s">
        <v>51</v>
      </c>
      <c r="N2689" t="s">
        <v>345</v>
      </c>
      <c r="O2689">
        <v>442689</v>
      </c>
      <c r="P2689" t="s">
        <v>28</v>
      </c>
      <c r="Q2689" t="s">
        <v>11629</v>
      </c>
      <c r="R2689" t="s">
        <v>11630</v>
      </c>
      <c r="S2689" t="s">
        <v>31</v>
      </c>
      <c r="T2689">
        <v>0</v>
      </c>
    </row>
    <row r="2690" spans="1:20" x14ac:dyDescent="0.25">
      <c r="A2690" t="s">
        <v>11631</v>
      </c>
      <c r="B2690" s="1">
        <v>45905</v>
      </c>
      <c r="C2690" s="5">
        <v>0.17539351851851853</v>
      </c>
      <c r="D2690">
        <v>203.57</v>
      </c>
      <c r="E2690" t="s">
        <v>44</v>
      </c>
      <c r="F2690" t="s">
        <v>5566</v>
      </c>
      <c r="G2690" t="s">
        <v>34</v>
      </c>
      <c r="H2690" t="s">
        <v>248</v>
      </c>
      <c r="I2690" t="s">
        <v>11632</v>
      </c>
      <c r="K2690" t="s">
        <v>37</v>
      </c>
      <c r="L2690" t="s">
        <v>35</v>
      </c>
      <c r="M2690" t="s">
        <v>105</v>
      </c>
      <c r="P2690" t="s">
        <v>28</v>
      </c>
      <c r="Q2690" t="s">
        <v>11633</v>
      </c>
      <c r="R2690" t="s">
        <v>11634</v>
      </c>
      <c r="S2690" t="s">
        <v>31</v>
      </c>
      <c r="T2690">
        <v>0</v>
      </c>
    </row>
    <row r="2691" spans="1:20" x14ac:dyDescent="0.25">
      <c r="A2691" t="s">
        <v>11635</v>
      </c>
      <c r="B2691" s="1">
        <v>45889</v>
      </c>
      <c r="C2691" s="5">
        <v>2.2708333333333334E-2</v>
      </c>
      <c r="D2691">
        <v>26.61</v>
      </c>
      <c r="E2691" t="s">
        <v>44</v>
      </c>
      <c r="F2691" t="s">
        <v>7917</v>
      </c>
      <c r="G2691" t="s">
        <v>22</v>
      </c>
      <c r="H2691" t="s">
        <v>50</v>
      </c>
      <c r="I2691" t="s">
        <v>3509</v>
      </c>
      <c r="J2691">
        <v>72</v>
      </c>
      <c r="K2691" t="s">
        <v>37</v>
      </c>
      <c r="L2691" t="s">
        <v>248</v>
      </c>
      <c r="M2691" t="s">
        <v>51</v>
      </c>
      <c r="N2691" t="s">
        <v>345</v>
      </c>
      <c r="O2691">
        <v>530999</v>
      </c>
      <c r="P2691" t="s">
        <v>28</v>
      </c>
      <c r="Q2691" t="s">
        <v>11636</v>
      </c>
      <c r="R2691" t="s">
        <v>11637</v>
      </c>
      <c r="S2691" t="s">
        <v>42</v>
      </c>
      <c r="T2691">
        <v>0</v>
      </c>
    </row>
    <row r="2692" spans="1:20" x14ac:dyDescent="0.25">
      <c r="A2692" t="s">
        <v>11638</v>
      </c>
      <c r="B2692" s="1">
        <v>45928</v>
      </c>
      <c r="C2692" s="5">
        <v>0.71194444444444449</v>
      </c>
      <c r="D2692">
        <v>250.94</v>
      </c>
      <c r="E2692" t="s">
        <v>44</v>
      </c>
      <c r="F2692" t="s">
        <v>11639</v>
      </c>
      <c r="G2692" t="s">
        <v>77</v>
      </c>
      <c r="H2692" t="s">
        <v>97</v>
      </c>
      <c r="I2692" t="s">
        <v>11640</v>
      </c>
      <c r="J2692">
        <v>21</v>
      </c>
      <c r="K2692" t="s">
        <v>37</v>
      </c>
      <c r="L2692" t="s">
        <v>119</v>
      </c>
      <c r="M2692" t="s">
        <v>27</v>
      </c>
      <c r="P2692" t="s">
        <v>28</v>
      </c>
      <c r="Q2692" t="s">
        <v>11641</v>
      </c>
      <c r="R2692" t="s">
        <v>11642</v>
      </c>
      <c r="S2692" t="s">
        <v>101</v>
      </c>
      <c r="T2692">
        <v>0</v>
      </c>
    </row>
    <row r="2693" spans="1:20" x14ac:dyDescent="0.25">
      <c r="A2693" t="s">
        <v>11643</v>
      </c>
      <c r="B2693" s="1">
        <v>45958</v>
      </c>
      <c r="C2693" s="5">
        <v>0.11688657407407407</v>
      </c>
      <c r="D2693">
        <v>78.69</v>
      </c>
      <c r="E2693" t="s">
        <v>44</v>
      </c>
      <c r="F2693" t="s">
        <v>908</v>
      </c>
      <c r="G2693" t="s">
        <v>89</v>
      </c>
      <c r="H2693" t="s">
        <v>119</v>
      </c>
      <c r="I2693" t="s">
        <v>11644</v>
      </c>
      <c r="J2693">
        <v>42</v>
      </c>
      <c r="K2693" t="s">
        <v>37</v>
      </c>
      <c r="L2693" t="s">
        <v>119</v>
      </c>
      <c r="M2693" t="s">
        <v>51</v>
      </c>
      <c r="N2693" t="s">
        <v>173</v>
      </c>
      <c r="O2693">
        <v>529475</v>
      </c>
      <c r="P2693" t="s">
        <v>113</v>
      </c>
      <c r="Q2693" t="s">
        <v>11645</v>
      </c>
      <c r="R2693" t="s">
        <v>11646</v>
      </c>
      <c r="S2693" t="s">
        <v>101</v>
      </c>
      <c r="T2693">
        <v>0</v>
      </c>
    </row>
    <row r="2694" spans="1:20" x14ac:dyDescent="0.25">
      <c r="A2694" t="s">
        <v>11647</v>
      </c>
      <c r="B2694" s="1">
        <v>45915</v>
      </c>
      <c r="C2694" s="5">
        <v>0.9701157407407407</v>
      </c>
      <c r="D2694">
        <v>6.07</v>
      </c>
      <c r="E2694" t="s">
        <v>44</v>
      </c>
      <c r="F2694" t="s">
        <v>3802</v>
      </c>
      <c r="G2694" t="s">
        <v>64</v>
      </c>
      <c r="H2694" t="s">
        <v>26</v>
      </c>
      <c r="I2694" t="s">
        <v>11648</v>
      </c>
      <c r="K2694" t="s">
        <v>37</v>
      </c>
      <c r="L2694" t="s">
        <v>146</v>
      </c>
      <c r="M2694" t="s">
        <v>112</v>
      </c>
      <c r="P2694" t="s">
        <v>28</v>
      </c>
      <c r="Q2694" t="s">
        <v>11649</v>
      </c>
      <c r="R2694" t="s">
        <v>11650</v>
      </c>
      <c r="S2694" t="s">
        <v>31</v>
      </c>
      <c r="T2694">
        <v>0</v>
      </c>
    </row>
    <row r="2695" spans="1:20" x14ac:dyDescent="0.25">
      <c r="A2695" t="s">
        <v>11651</v>
      </c>
      <c r="B2695" s="1">
        <v>45905</v>
      </c>
      <c r="C2695" s="5">
        <v>0.80755787037037041</v>
      </c>
      <c r="D2695">
        <v>34.590000000000003</v>
      </c>
      <c r="E2695" t="s">
        <v>44</v>
      </c>
      <c r="F2695" t="s">
        <v>4003</v>
      </c>
      <c r="G2695" t="s">
        <v>96</v>
      </c>
      <c r="H2695" t="s">
        <v>248</v>
      </c>
      <c r="I2695" t="s">
        <v>11652</v>
      </c>
      <c r="J2695">
        <v>75</v>
      </c>
      <c r="K2695" t="s">
        <v>25</v>
      </c>
      <c r="L2695" t="s">
        <v>47</v>
      </c>
      <c r="M2695" t="s">
        <v>51</v>
      </c>
      <c r="N2695" t="s">
        <v>304</v>
      </c>
      <c r="O2695">
        <v>488504</v>
      </c>
      <c r="P2695" t="s">
        <v>28</v>
      </c>
      <c r="Q2695" t="s">
        <v>11653</v>
      </c>
      <c r="R2695" t="s">
        <v>11654</v>
      </c>
      <c r="S2695" t="s">
        <v>101</v>
      </c>
      <c r="T2695">
        <v>0</v>
      </c>
    </row>
    <row r="2696" spans="1:20" x14ac:dyDescent="0.25">
      <c r="A2696" t="s">
        <v>11655</v>
      </c>
      <c r="B2696" s="1">
        <v>45883</v>
      </c>
      <c r="C2696" s="5">
        <v>0.53887731481481482</v>
      </c>
      <c r="D2696">
        <v>2949.31</v>
      </c>
      <c r="E2696" t="s">
        <v>44</v>
      </c>
      <c r="F2696" t="s">
        <v>505</v>
      </c>
      <c r="G2696" t="s">
        <v>124</v>
      </c>
      <c r="H2696" t="s">
        <v>50</v>
      </c>
      <c r="I2696" t="s">
        <v>11656</v>
      </c>
      <c r="J2696">
        <v>40</v>
      </c>
      <c r="K2696" t="s">
        <v>49</v>
      </c>
      <c r="L2696" t="s">
        <v>38</v>
      </c>
      <c r="M2696" t="s">
        <v>84</v>
      </c>
      <c r="P2696" t="s">
        <v>28</v>
      </c>
      <c r="Q2696" t="s">
        <v>11657</v>
      </c>
      <c r="R2696" t="s">
        <v>11658</v>
      </c>
      <c r="S2696" t="s">
        <v>31</v>
      </c>
      <c r="T2696">
        <v>0</v>
      </c>
    </row>
    <row r="2697" spans="1:20" x14ac:dyDescent="0.25">
      <c r="A2697" t="s">
        <v>11659</v>
      </c>
      <c r="B2697" s="1">
        <v>45844</v>
      </c>
      <c r="C2697" s="5">
        <v>0.24439814814814814</v>
      </c>
      <c r="D2697">
        <v>175.83</v>
      </c>
      <c r="E2697" t="s">
        <v>44</v>
      </c>
      <c r="F2697" t="s">
        <v>3442</v>
      </c>
      <c r="G2697" t="s">
        <v>71</v>
      </c>
      <c r="H2697" t="s">
        <v>119</v>
      </c>
      <c r="I2697" t="s">
        <v>11660</v>
      </c>
      <c r="J2697">
        <v>38</v>
      </c>
      <c r="K2697" t="s">
        <v>49</v>
      </c>
      <c r="L2697" t="s">
        <v>58</v>
      </c>
      <c r="M2697" t="s">
        <v>51</v>
      </c>
      <c r="N2697" t="s">
        <v>507</v>
      </c>
      <c r="O2697">
        <v>552313</v>
      </c>
      <c r="P2697" t="s">
        <v>28</v>
      </c>
      <c r="Q2697" t="s">
        <v>11661</v>
      </c>
      <c r="R2697" t="s">
        <v>11662</v>
      </c>
      <c r="S2697" t="s">
        <v>31</v>
      </c>
      <c r="T2697">
        <v>0</v>
      </c>
    </row>
    <row r="2698" spans="1:20" x14ac:dyDescent="0.25">
      <c r="A2698" t="s">
        <v>11663</v>
      </c>
      <c r="B2698" s="1">
        <v>45809</v>
      </c>
      <c r="C2698" s="5">
        <v>0.14163194444444444</v>
      </c>
      <c r="D2698">
        <v>133.30000000000001</v>
      </c>
      <c r="E2698" t="s">
        <v>44</v>
      </c>
      <c r="F2698" t="s">
        <v>1771</v>
      </c>
      <c r="G2698" t="s">
        <v>124</v>
      </c>
      <c r="H2698" t="s">
        <v>47</v>
      </c>
      <c r="I2698" t="s">
        <v>11664</v>
      </c>
      <c r="J2698">
        <v>40</v>
      </c>
      <c r="K2698" t="s">
        <v>49</v>
      </c>
      <c r="L2698" t="s">
        <v>35</v>
      </c>
      <c r="M2698" t="s">
        <v>105</v>
      </c>
      <c r="P2698" t="s">
        <v>28</v>
      </c>
      <c r="Q2698" t="s">
        <v>11665</v>
      </c>
      <c r="R2698" t="s">
        <v>11666</v>
      </c>
      <c r="S2698" t="s">
        <v>101</v>
      </c>
      <c r="T2698">
        <v>0</v>
      </c>
    </row>
    <row r="2699" spans="1:20" x14ac:dyDescent="0.25">
      <c r="A2699" t="s">
        <v>11667</v>
      </c>
      <c r="B2699" s="1">
        <v>45838</v>
      </c>
      <c r="C2699" s="5">
        <v>0.96803240740740737</v>
      </c>
      <c r="D2699">
        <v>150.03</v>
      </c>
      <c r="E2699" t="s">
        <v>44</v>
      </c>
      <c r="F2699" t="s">
        <v>5537</v>
      </c>
      <c r="G2699" t="s">
        <v>64</v>
      </c>
      <c r="H2699" t="s">
        <v>110</v>
      </c>
      <c r="I2699" t="s">
        <v>11668</v>
      </c>
      <c r="J2699">
        <v>49</v>
      </c>
      <c r="K2699" t="s">
        <v>49</v>
      </c>
      <c r="L2699" t="s">
        <v>146</v>
      </c>
      <c r="M2699" t="s">
        <v>39</v>
      </c>
      <c r="P2699" t="s">
        <v>28</v>
      </c>
      <c r="Q2699" t="s">
        <v>11669</v>
      </c>
      <c r="R2699" t="s">
        <v>11670</v>
      </c>
      <c r="S2699" t="s">
        <v>31</v>
      </c>
      <c r="T2699">
        <v>0</v>
      </c>
    </row>
    <row r="2700" spans="1:20" x14ac:dyDescent="0.25">
      <c r="A2700" t="s">
        <v>11671</v>
      </c>
      <c r="B2700" s="1">
        <v>45959</v>
      </c>
      <c r="C2700" s="5">
        <v>0.13092592592592592</v>
      </c>
      <c r="D2700">
        <v>130.08000000000001</v>
      </c>
      <c r="E2700" t="s">
        <v>44</v>
      </c>
      <c r="F2700" t="s">
        <v>1480</v>
      </c>
      <c r="G2700" t="s">
        <v>89</v>
      </c>
      <c r="H2700" t="s">
        <v>23</v>
      </c>
      <c r="I2700" t="s">
        <v>11672</v>
      </c>
      <c r="J2700">
        <v>45</v>
      </c>
      <c r="K2700" t="s">
        <v>37</v>
      </c>
      <c r="L2700" t="s">
        <v>110</v>
      </c>
      <c r="M2700" t="s">
        <v>39</v>
      </c>
      <c r="P2700" t="s">
        <v>28</v>
      </c>
      <c r="Q2700" t="s">
        <v>11673</v>
      </c>
      <c r="R2700" t="s">
        <v>11674</v>
      </c>
      <c r="S2700" t="s">
        <v>101</v>
      </c>
      <c r="T2700">
        <v>0</v>
      </c>
    </row>
    <row r="2701" spans="1:20" x14ac:dyDescent="0.25">
      <c r="A2701" t="s">
        <v>11675</v>
      </c>
      <c r="B2701" s="1">
        <v>45820</v>
      </c>
      <c r="C2701" s="5">
        <v>0.75532407407407409</v>
      </c>
      <c r="D2701">
        <v>84.16</v>
      </c>
      <c r="E2701" t="s">
        <v>44</v>
      </c>
      <c r="F2701" t="s">
        <v>11051</v>
      </c>
      <c r="G2701" t="s">
        <v>96</v>
      </c>
      <c r="H2701" t="s">
        <v>146</v>
      </c>
      <c r="I2701" t="s">
        <v>11676</v>
      </c>
      <c r="J2701">
        <v>17</v>
      </c>
      <c r="K2701" t="s">
        <v>37</v>
      </c>
      <c r="L2701" t="s">
        <v>47</v>
      </c>
      <c r="M2701" t="s">
        <v>84</v>
      </c>
      <c r="P2701" t="s">
        <v>28</v>
      </c>
      <c r="Q2701" t="s">
        <v>11677</v>
      </c>
      <c r="R2701" t="s">
        <v>11678</v>
      </c>
      <c r="S2701" t="s">
        <v>101</v>
      </c>
      <c r="T2701">
        <v>0</v>
      </c>
    </row>
    <row r="2702" spans="1:20" x14ac:dyDescent="0.25">
      <c r="A2702" t="s">
        <v>11679</v>
      </c>
      <c r="B2702" s="1">
        <v>45946</v>
      </c>
      <c r="C2702" s="5">
        <v>0.75059027777777776</v>
      </c>
      <c r="D2702">
        <v>100.96</v>
      </c>
      <c r="E2702" t="s">
        <v>44</v>
      </c>
      <c r="F2702" t="s">
        <v>4972</v>
      </c>
      <c r="G2702" t="s">
        <v>22</v>
      </c>
      <c r="H2702" t="s">
        <v>23</v>
      </c>
      <c r="I2702" t="s">
        <v>974</v>
      </c>
      <c r="K2702" t="s">
        <v>49</v>
      </c>
      <c r="L2702" t="s">
        <v>58</v>
      </c>
      <c r="M2702" t="s">
        <v>39</v>
      </c>
      <c r="P2702" t="s">
        <v>28</v>
      </c>
      <c r="Q2702" t="s">
        <v>11680</v>
      </c>
      <c r="R2702" t="s">
        <v>11681</v>
      </c>
      <c r="S2702" t="s">
        <v>31</v>
      </c>
      <c r="T2702">
        <v>0</v>
      </c>
    </row>
    <row r="2703" spans="1:20" x14ac:dyDescent="0.25">
      <c r="A2703" t="s">
        <v>11682</v>
      </c>
      <c r="B2703" s="1">
        <v>45854</v>
      </c>
      <c r="C2703" s="5">
        <v>0.51717592592592587</v>
      </c>
      <c r="D2703">
        <v>185.09</v>
      </c>
      <c r="E2703" t="s">
        <v>44</v>
      </c>
      <c r="F2703" t="s">
        <v>1598</v>
      </c>
      <c r="G2703" t="s">
        <v>71</v>
      </c>
      <c r="H2703" t="s">
        <v>26</v>
      </c>
      <c r="I2703" t="s">
        <v>11683</v>
      </c>
      <c r="J2703">
        <v>57</v>
      </c>
      <c r="K2703" t="s">
        <v>37</v>
      </c>
      <c r="L2703" t="s">
        <v>146</v>
      </c>
      <c r="M2703" t="s">
        <v>39</v>
      </c>
      <c r="P2703" t="s">
        <v>28</v>
      </c>
      <c r="Q2703" t="s">
        <v>11684</v>
      </c>
      <c r="R2703" t="s">
        <v>11685</v>
      </c>
      <c r="S2703" t="s">
        <v>31</v>
      </c>
      <c r="T2703">
        <v>0</v>
      </c>
    </row>
    <row r="2704" spans="1:20" x14ac:dyDescent="0.25">
      <c r="A2704" t="s">
        <v>11686</v>
      </c>
      <c r="B2704" s="1">
        <v>45851</v>
      </c>
      <c r="C2704" s="5">
        <v>7.7384259259259264E-2</v>
      </c>
      <c r="D2704">
        <v>164.48</v>
      </c>
      <c r="E2704" t="s">
        <v>44</v>
      </c>
      <c r="F2704" t="s">
        <v>438</v>
      </c>
      <c r="G2704" t="s">
        <v>46</v>
      </c>
      <c r="H2704" t="s">
        <v>23</v>
      </c>
      <c r="I2704" t="s">
        <v>11687</v>
      </c>
      <c r="J2704">
        <v>66</v>
      </c>
      <c r="K2704" t="s">
        <v>25</v>
      </c>
      <c r="L2704" t="s">
        <v>248</v>
      </c>
      <c r="M2704" t="s">
        <v>84</v>
      </c>
      <c r="P2704" t="s">
        <v>28</v>
      </c>
      <c r="Q2704" t="s">
        <v>11688</v>
      </c>
      <c r="R2704" t="s">
        <v>11689</v>
      </c>
      <c r="S2704" t="s">
        <v>31</v>
      </c>
      <c r="T2704">
        <v>0</v>
      </c>
    </row>
    <row r="2705" spans="1:20" x14ac:dyDescent="0.25">
      <c r="A2705" t="s">
        <v>11690</v>
      </c>
      <c r="B2705" s="1">
        <v>45866</v>
      </c>
      <c r="C2705" s="5">
        <v>0.31569444444444444</v>
      </c>
      <c r="D2705">
        <v>130.66999999999999</v>
      </c>
      <c r="E2705" t="s">
        <v>44</v>
      </c>
      <c r="F2705" t="s">
        <v>1729</v>
      </c>
      <c r="G2705" t="s">
        <v>34</v>
      </c>
      <c r="H2705" t="s">
        <v>50</v>
      </c>
      <c r="I2705" t="s">
        <v>11691</v>
      </c>
      <c r="J2705">
        <v>21</v>
      </c>
      <c r="K2705" t="s">
        <v>37</v>
      </c>
      <c r="L2705" t="s">
        <v>26</v>
      </c>
      <c r="M2705" t="s">
        <v>27</v>
      </c>
      <c r="P2705" t="s">
        <v>28</v>
      </c>
      <c r="Q2705" t="s">
        <v>11692</v>
      </c>
      <c r="R2705" t="s">
        <v>11693</v>
      </c>
      <c r="S2705" t="s">
        <v>31</v>
      </c>
      <c r="T2705">
        <v>1</v>
      </c>
    </row>
    <row r="2706" spans="1:20" x14ac:dyDescent="0.25">
      <c r="A2706" t="s">
        <v>11694</v>
      </c>
      <c r="B2706" s="1">
        <v>45942</v>
      </c>
      <c r="C2706" s="5">
        <v>0.42657407407407405</v>
      </c>
      <c r="D2706">
        <v>147.01</v>
      </c>
      <c r="E2706" t="s">
        <v>44</v>
      </c>
      <c r="F2706" t="s">
        <v>5732</v>
      </c>
      <c r="G2706" t="s">
        <v>124</v>
      </c>
      <c r="H2706" t="s">
        <v>58</v>
      </c>
      <c r="I2706" t="s">
        <v>11695</v>
      </c>
      <c r="J2706">
        <v>30</v>
      </c>
      <c r="K2706" t="s">
        <v>25</v>
      </c>
      <c r="L2706" t="s">
        <v>47</v>
      </c>
      <c r="M2706" t="s">
        <v>51</v>
      </c>
      <c r="N2706" t="s">
        <v>304</v>
      </c>
      <c r="O2706">
        <v>453656</v>
      </c>
      <c r="P2706" t="s">
        <v>28</v>
      </c>
      <c r="Q2706" t="s">
        <v>11696</v>
      </c>
      <c r="R2706" t="s">
        <v>11697</v>
      </c>
      <c r="S2706" t="s">
        <v>31</v>
      </c>
      <c r="T2706">
        <v>0</v>
      </c>
    </row>
    <row r="2707" spans="1:20" x14ac:dyDescent="0.25">
      <c r="A2707" t="s">
        <v>11698</v>
      </c>
      <c r="B2707" s="1">
        <v>45871</v>
      </c>
      <c r="C2707" s="5">
        <v>0.85388888888888892</v>
      </c>
      <c r="D2707">
        <v>9.6999999999999993</v>
      </c>
      <c r="E2707" t="s">
        <v>44</v>
      </c>
      <c r="F2707" t="s">
        <v>3780</v>
      </c>
      <c r="G2707" t="s">
        <v>57</v>
      </c>
      <c r="H2707" t="s">
        <v>23</v>
      </c>
      <c r="I2707" t="s">
        <v>11699</v>
      </c>
      <c r="J2707">
        <v>44</v>
      </c>
      <c r="K2707" t="s">
        <v>49</v>
      </c>
      <c r="L2707" t="s">
        <v>50</v>
      </c>
      <c r="M2707" t="s">
        <v>51</v>
      </c>
      <c r="N2707" t="s">
        <v>304</v>
      </c>
      <c r="O2707">
        <v>458107</v>
      </c>
      <c r="P2707" t="s">
        <v>28</v>
      </c>
      <c r="Q2707" t="s">
        <v>11700</v>
      </c>
      <c r="R2707" t="s">
        <v>7147</v>
      </c>
      <c r="S2707" t="s">
        <v>42</v>
      </c>
      <c r="T2707">
        <v>0</v>
      </c>
    </row>
    <row r="2708" spans="1:20" x14ac:dyDescent="0.25">
      <c r="A2708" t="s">
        <v>11701</v>
      </c>
      <c r="B2708" s="1">
        <v>45955</v>
      </c>
      <c r="C2708" s="5">
        <v>0.76637731481481486</v>
      </c>
      <c r="D2708">
        <v>844.42</v>
      </c>
      <c r="E2708" t="s">
        <v>44</v>
      </c>
      <c r="F2708" t="s">
        <v>11702</v>
      </c>
      <c r="G2708" t="s">
        <v>64</v>
      </c>
      <c r="H2708" t="s">
        <v>35</v>
      </c>
      <c r="I2708" t="s">
        <v>11703</v>
      </c>
      <c r="K2708" t="s">
        <v>37</v>
      </c>
      <c r="L2708" t="s">
        <v>110</v>
      </c>
      <c r="M2708" t="s">
        <v>27</v>
      </c>
      <c r="P2708" t="s">
        <v>28</v>
      </c>
      <c r="Q2708" t="s">
        <v>11704</v>
      </c>
      <c r="R2708" t="s">
        <v>11705</v>
      </c>
      <c r="S2708" t="s">
        <v>31</v>
      </c>
      <c r="T2708">
        <v>0</v>
      </c>
    </row>
    <row r="2709" spans="1:20" x14ac:dyDescent="0.25">
      <c r="A2709" t="s">
        <v>11706</v>
      </c>
      <c r="B2709" s="1">
        <v>45859</v>
      </c>
      <c r="C2709" s="5">
        <v>0.9045023148148148</v>
      </c>
      <c r="D2709">
        <v>98.79</v>
      </c>
      <c r="E2709" t="s">
        <v>44</v>
      </c>
      <c r="F2709" t="s">
        <v>7069</v>
      </c>
      <c r="G2709" t="s">
        <v>22</v>
      </c>
      <c r="H2709" t="s">
        <v>26</v>
      </c>
      <c r="I2709" t="s">
        <v>11707</v>
      </c>
      <c r="J2709">
        <v>70</v>
      </c>
      <c r="K2709" t="s">
        <v>49</v>
      </c>
      <c r="L2709" t="s">
        <v>47</v>
      </c>
      <c r="M2709" t="s">
        <v>112</v>
      </c>
      <c r="P2709" t="s">
        <v>28</v>
      </c>
      <c r="Q2709" t="s">
        <v>11708</v>
      </c>
      <c r="R2709" t="s">
        <v>11709</v>
      </c>
      <c r="S2709" t="s">
        <v>31</v>
      </c>
      <c r="T2709">
        <v>0</v>
      </c>
    </row>
    <row r="2710" spans="1:20" x14ac:dyDescent="0.25">
      <c r="A2710" t="s">
        <v>11710</v>
      </c>
      <c r="B2710" s="1">
        <v>45951</v>
      </c>
      <c r="C2710" s="5">
        <v>0.57621527777777781</v>
      </c>
      <c r="D2710">
        <v>9.8000000000000007</v>
      </c>
      <c r="E2710" t="s">
        <v>44</v>
      </c>
      <c r="F2710" t="s">
        <v>11711</v>
      </c>
      <c r="G2710" t="s">
        <v>71</v>
      </c>
      <c r="H2710" t="s">
        <v>50</v>
      </c>
      <c r="I2710" t="s">
        <v>11712</v>
      </c>
      <c r="J2710">
        <v>74</v>
      </c>
      <c r="K2710" t="s">
        <v>25</v>
      </c>
      <c r="L2710" t="s">
        <v>119</v>
      </c>
      <c r="M2710" t="s">
        <v>39</v>
      </c>
      <c r="P2710" t="s">
        <v>28</v>
      </c>
      <c r="Q2710" t="s">
        <v>11713</v>
      </c>
      <c r="R2710" t="s">
        <v>11714</v>
      </c>
      <c r="S2710" t="s">
        <v>31</v>
      </c>
      <c r="T2710">
        <v>0</v>
      </c>
    </row>
    <row r="2711" spans="1:20" x14ac:dyDescent="0.25">
      <c r="A2711" t="s">
        <v>11715</v>
      </c>
      <c r="B2711" s="1">
        <v>45877</v>
      </c>
      <c r="C2711" s="5">
        <v>0.30428240740740742</v>
      </c>
      <c r="D2711">
        <v>169.21</v>
      </c>
      <c r="E2711" t="s">
        <v>44</v>
      </c>
      <c r="F2711" t="s">
        <v>8383</v>
      </c>
      <c r="G2711" t="s">
        <v>89</v>
      </c>
      <c r="H2711" t="s">
        <v>38</v>
      </c>
      <c r="I2711" t="s">
        <v>11716</v>
      </c>
      <c r="J2711">
        <v>33</v>
      </c>
      <c r="K2711" t="s">
        <v>25</v>
      </c>
      <c r="L2711" t="s">
        <v>130</v>
      </c>
      <c r="M2711" t="s">
        <v>112</v>
      </c>
      <c r="P2711" t="s">
        <v>28</v>
      </c>
      <c r="Q2711" t="s">
        <v>11717</v>
      </c>
      <c r="R2711" t="s">
        <v>11718</v>
      </c>
      <c r="S2711" t="s">
        <v>31</v>
      </c>
      <c r="T2711">
        <v>0</v>
      </c>
    </row>
    <row r="2712" spans="1:20" x14ac:dyDescent="0.25">
      <c r="A2712" t="s">
        <v>11719</v>
      </c>
      <c r="B2712" s="1">
        <v>45791</v>
      </c>
      <c r="C2712" s="5">
        <v>0.57630787037037035</v>
      </c>
      <c r="D2712">
        <v>112.58</v>
      </c>
      <c r="E2712" t="s">
        <v>44</v>
      </c>
      <c r="F2712" t="s">
        <v>3708</v>
      </c>
      <c r="G2712" t="s">
        <v>77</v>
      </c>
      <c r="H2712" t="s">
        <v>248</v>
      </c>
      <c r="I2712" t="s">
        <v>11720</v>
      </c>
      <c r="J2712">
        <v>61</v>
      </c>
      <c r="K2712" t="s">
        <v>49</v>
      </c>
      <c r="L2712" t="s">
        <v>26</v>
      </c>
      <c r="M2712" t="s">
        <v>27</v>
      </c>
      <c r="P2712" t="s">
        <v>28</v>
      </c>
      <c r="Q2712" t="s">
        <v>11721</v>
      </c>
      <c r="R2712" t="s">
        <v>11722</v>
      </c>
      <c r="S2712" t="s">
        <v>31</v>
      </c>
      <c r="T2712">
        <v>0</v>
      </c>
    </row>
    <row r="2713" spans="1:20" x14ac:dyDescent="0.25">
      <c r="A2713" t="s">
        <v>11723</v>
      </c>
      <c r="B2713" s="1">
        <v>45884</v>
      </c>
      <c r="C2713" s="5">
        <v>0.12052083333333333</v>
      </c>
      <c r="D2713">
        <v>162.85</v>
      </c>
      <c r="E2713" t="s">
        <v>44</v>
      </c>
      <c r="F2713" t="s">
        <v>4732</v>
      </c>
      <c r="G2713" t="s">
        <v>96</v>
      </c>
      <c r="H2713" t="s">
        <v>50</v>
      </c>
      <c r="I2713" t="s">
        <v>11724</v>
      </c>
      <c r="J2713">
        <v>26</v>
      </c>
      <c r="K2713" t="s">
        <v>37</v>
      </c>
      <c r="L2713" t="s">
        <v>35</v>
      </c>
      <c r="M2713" t="s">
        <v>39</v>
      </c>
      <c r="P2713" t="s">
        <v>28</v>
      </c>
      <c r="Q2713" t="s">
        <v>11725</v>
      </c>
      <c r="R2713" t="s">
        <v>11726</v>
      </c>
      <c r="S2713" t="s">
        <v>31</v>
      </c>
      <c r="T2713">
        <v>0</v>
      </c>
    </row>
    <row r="2714" spans="1:20" x14ac:dyDescent="0.25">
      <c r="A2714" t="s">
        <v>11727</v>
      </c>
      <c r="B2714" s="1">
        <v>45839</v>
      </c>
      <c r="C2714" s="5">
        <v>5.9189814814814813E-2</v>
      </c>
      <c r="D2714">
        <v>1671.09</v>
      </c>
      <c r="E2714" t="s">
        <v>44</v>
      </c>
      <c r="F2714" t="s">
        <v>9228</v>
      </c>
      <c r="G2714" t="s">
        <v>96</v>
      </c>
      <c r="H2714" t="s">
        <v>91</v>
      </c>
      <c r="I2714" t="s">
        <v>11728</v>
      </c>
      <c r="J2714">
        <v>25</v>
      </c>
      <c r="K2714" t="s">
        <v>37</v>
      </c>
      <c r="L2714" t="s">
        <v>91</v>
      </c>
      <c r="M2714" t="s">
        <v>27</v>
      </c>
      <c r="P2714" t="s">
        <v>113</v>
      </c>
      <c r="Q2714" t="s">
        <v>11729</v>
      </c>
      <c r="R2714" t="s">
        <v>11730</v>
      </c>
      <c r="S2714" t="s">
        <v>31</v>
      </c>
      <c r="T2714">
        <v>1</v>
      </c>
    </row>
    <row r="2715" spans="1:20" x14ac:dyDescent="0.25">
      <c r="A2715" t="s">
        <v>11731</v>
      </c>
      <c r="B2715" s="1">
        <v>45955</v>
      </c>
      <c r="C2715" s="5">
        <v>0.3011226851851852</v>
      </c>
      <c r="D2715">
        <v>52.84</v>
      </c>
      <c r="E2715" t="s">
        <v>44</v>
      </c>
      <c r="F2715" t="s">
        <v>4412</v>
      </c>
      <c r="G2715" t="s">
        <v>124</v>
      </c>
      <c r="H2715" t="s">
        <v>97</v>
      </c>
      <c r="I2715" t="s">
        <v>11732</v>
      </c>
      <c r="J2715">
        <v>42</v>
      </c>
      <c r="K2715" t="s">
        <v>49</v>
      </c>
      <c r="L2715" t="s">
        <v>110</v>
      </c>
      <c r="M2715" t="s">
        <v>27</v>
      </c>
      <c r="P2715" t="s">
        <v>28</v>
      </c>
      <c r="Q2715" t="s">
        <v>11733</v>
      </c>
      <c r="R2715" t="s">
        <v>11734</v>
      </c>
      <c r="S2715" t="s">
        <v>31</v>
      </c>
      <c r="T2715">
        <v>0</v>
      </c>
    </row>
    <row r="2716" spans="1:20" x14ac:dyDescent="0.25">
      <c r="A2716" t="s">
        <v>11735</v>
      </c>
      <c r="B2716" s="1">
        <v>45834</v>
      </c>
      <c r="C2716" s="5">
        <v>0.54200231481481487</v>
      </c>
      <c r="D2716">
        <v>69.489999999999995</v>
      </c>
      <c r="E2716" t="s">
        <v>44</v>
      </c>
      <c r="F2716" t="s">
        <v>3726</v>
      </c>
      <c r="G2716" t="s">
        <v>96</v>
      </c>
      <c r="H2716" t="s">
        <v>91</v>
      </c>
      <c r="I2716" t="s">
        <v>11736</v>
      </c>
      <c r="J2716">
        <v>25</v>
      </c>
      <c r="K2716" t="s">
        <v>37</v>
      </c>
      <c r="L2716" t="s">
        <v>66</v>
      </c>
      <c r="M2716" t="s">
        <v>112</v>
      </c>
      <c r="P2716" t="s">
        <v>28</v>
      </c>
      <c r="Q2716" t="s">
        <v>11737</v>
      </c>
      <c r="R2716" t="s">
        <v>11738</v>
      </c>
      <c r="S2716" t="s">
        <v>31</v>
      </c>
      <c r="T2716">
        <v>0</v>
      </c>
    </row>
    <row r="2717" spans="1:20" x14ac:dyDescent="0.25">
      <c r="A2717" t="s">
        <v>11739</v>
      </c>
      <c r="B2717" s="1">
        <v>45896</v>
      </c>
      <c r="C2717" s="5">
        <v>0.34050925925925923</v>
      </c>
      <c r="D2717">
        <v>78.819999999999993</v>
      </c>
      <c r="E2717" t="s">
        <v>44</v>
      </c>
      <c r="F2717" t="s">
        <v>932</v>
      </c>
      <c r="G2717" t="s">
        <v>77</v>
      </c>
      <c r="H2717" t="s">
        <v>66</v>
      </c>
      <c r="I2717" t="s">
        <v>11740</v>
      </c>
      <c r="J2717">
        <v>43</v>
      </c>
      <c r="K2717" t="s">
        <v>25</v>
      </c>
      <c r="L2717" t="s">
        <v>66</v>
      </c>
      <c r="M2717" t="s">
        <v>105</v>
      </c>
      <c r="P2717" t="s">
        <v>113</v>
      </c>
      <c r="Q2717" t="s">
        <v>11741</v>
      </c>
      <c r="R2717" t="s">
        <v>11742</v>
      </c>
      <c r="S2717" t="s">
        <v>31</v>
      </c>
      <c r="T2717">
        <v>0</v>
      </c>
    </row>
    <row r="2718" spans="1:20" x14ac:dyDescent="0.25">
      <c r="A2718" t="s">
        <v>11743</v>
      </c>
      <c r="B2718" s="1">
        <v>45894</v>
      </c>
      <c r="C2718" s="5">
        <v>0.40958333333333335</v>
      </c>
      <c r="D2718">
        <v>994.82</v>
      </c>
      <c r="E2718" t="s">
        <v>44</v>
      </c>
      <c r="F2718" t="s">
        <v>1490</v>
      </c>
      <c r="G2718" t="s">
        <v>22</v>
      </c>
      <c r="H2718" t="s">
        <v>50</v>
      </c>
      <c r="I2718" t="s">
        <v>11744</v>
      </c>
      <c r="J2718">
        <v>30</v>
      </c>
      <c r="K2718" t="s">
        <v>37</v>
      </c>
      <c r="L2718" t="s">
        <v>66</v>
      </c>
      <c r="M2718" t="s">
        <v>27</v>
      </c>
      <c r="P2718" t="s">
        <v>28</v>
      </c>
      <c r="Q2718" t="s">
        <v>11745</v>
      </c>
      <c r="R2718" t="s">
        <v>9944</v>
      </c>
      <c r="S2718" t="s">
        <v>31</v>
      </c>
      <c r="T2718">
        <v>0</v>
      </c>
    </row>
    <row r="2719" spans="1:20" x14ac:dyDescent="0.25">
      <c r="A2719" t="s">
        <v>11746</v>
      </c>
      <c r="B2719" s="1">
        <v>45911</v>
      </c>
      <c r="C2719" s="5">
        <v>0.56961805555555556</v>
      </c>
      <c r="D2719">
        <v>39.24</v>
      </c>
      <c r="E2719" t="s">
        <v>44</v>
      </c>
      <c r="F2719" t="s">
        <v>6851</v>
      </c>
      <c r="G2719" t="s">
        <v>22</v>
      </c>
      <c r="H2719" t="s">
        <v>248</v>
      </c>
      <c r="I2719" t="s">
        <v>11747</v>
      </c>
      <c r="J2719">
        <v>65</v>
      </c>
      <c r="K2719" t="s">
        <v>49</v>
      </c>
      <c r="L2719" t="s">
        <v>248</v>
      </c>
      <c r="M2719" t="s">
        <v>27</v>
      </c>
      <c r="P2719" t="s">
        <v>113</v>
      </c>
      <c r="Q2719" t="s">
        <v>11748</v>
      </c>
      <c r="R2719" t="s">
        <v>7211</v>
      </c>
      <c r="S2719" t="s">
        <v>31</v>
      </c>
      <c r="T2719">
        <v>0</v>
      </c>
    </row>
    <row r="2720" spans="1:20" x14ac:dyDescent="0.25">
      <c r="A2720" t="s">
        <v>11749</v>
      </c>
      <c r="B2720" s="1">
        <v>45787</v>
      </c>
      <c r="C2720" s="5">
        <v>0.96709490740740744</v>
      </c>
      <c r="D2720">
        <v>109.99</v>
      </c>
      <c r="E2720" t="s">
        <v>44</v>
      </c>
      <c r="F2720" t="s">
        <v>4899</v>
      </c>
      <c r="G2720" t="s">
        <v>57</v>
      </c>
      <c r="H2720" t="s">
        <v>23</v>
      </c>
      <c r="I2720" t="s">
        <v>11750</v>
      </c>
      <c r="J2720">
        <v>34</v>
      </c>
      <c r="K2720" t="s">
        <v>37</v>
      </c>
      <c r="L2720" t="s">
        <v>47</v>
      </c>
      <c r="M2720" t="s">
        <v>84</v>
      </c>
      <c r="P2720" t="s">
        <v>28</v>
      </c>
      <c r="Q2720" t="s">
        <v>11751</v>
      </c>
      <c r="R2720" t="s">
        <v>11752</v>
      </c>
      <c r="S2720" t="s">
        <v>31</v>
      </c>
      <c r="T2720">
        <v>0</v>
      </c>
    </row>
    <row r="2721" spans="1:20" x14ac:dyDescent="0.25">
      <c r="A2721" t="s">
        <v>11753</v>
      </c>
      <c r="B2721" s="1">
        <v>45949</v>
      </c>
      <c r="C2721" s="5">
        <v>0.40841435185185188</v>
      </c>
      <c r="D2721">
        <v>11.2</v>
      </c>
      <c r="E2721" t="s">
        <v>44</v>
      </c>
      <c r="F2721" t="s">
        <v>3171</v>
      </c>
      <c r="G2721" t="s">
        <v>34</v>
      </c>
      <c r="H2721" t="s">
        <v>91</v>
      </c>
      <c r="I2721" t="s">
        <v>11754</v>
      </c>
      <c r="J2721">
        <v>63</v>
      </c>
      <c r="K2721" t="s">
        <v>49</v>
      </c>
      <c r="L2721" t="s">
        <v>50</v>
      </c>
      <c r="M2721" t="s">
        <v>105</v>
      </c>
      <c r="P2721" t="s">
        <v>28</v>
      </c>
      <c r="Q2721" t="s">
        <v>11755</v>
      </c>
      <c r="R2721" t="s">
        <v>11756</v>
      </c>
      <c r="S2721" t="s">
        <v>31</v>
      </c>
      <c r="T2721">
        <v>0</v>
      </c>
    </row>
    <row r="2722" spans="1:20" x14ac:dyDescent="0.25">
      <c r="A2722" t="s">
        <v>11757</v>
      </c>
      <c r="B2722" s="1">
        <v>45932</v>
      </c>
      <c r="C2722" s="5">
        <v>0.98635416666666664</v>
      </c>
      <c r="D2722">
        <v>131.13</v>
      </c>
      <c r="E2722" t="s">
        <v>44</v>
      </c>
      <c r="F2722" t="s">
        <v>8023</v>
      </c>
      <c r="G2722" t="s">
        <v>124</v>
      </c>
      <c r="H2722" t="s">
        <v>23</v>
      </c>
      <c r="I2722" t="s">
        <v>11758</v>
      </c>
      <c r="J2722">
        <v>55</v>
      </c>
      <c r="K2722" t="s">
        <v>37</v>
      </c>
      <c r="L2722" t="s">
        <v>91</v>
      </c>
      <c r="M2722" t="s">
        <v>51</v>
      </c>
      <c r="N2722" t="s">
        <v>173</v>
      </c>
      <c r="O2722">
        <v>455971</v>
      </c>
      <c r="P2722" t="s">
        <v>28</v>
      </c>
      <c r="Q2722" t="s">
        <v>11759</v>
      </c>
      <c r="R2722" t="s">
        <v>11760</v>
      </c>
      <c r="S2722" t="s">
        <v>31</v>
      </c>
      <c r="T2722">
        <v>0</v>
      </c>
    </row>
    <row r="2723" spans="1:20" x14ac:dyDescent="0.25">
      <c r="A2723" t="s">
        <v>11761</v>
      </c>
      <c r="B2723" s="1">
        <v>45796</v>
      </c>
      <c r="C2723" s="5">
        <v>0.30127314814814815</v>
      </c>
      <c r="D2723">
        <v>138.91</v>
      </c>
      <c r="E2723" t="s">
        <v>44</v>
      </c>
      <c r="F2723" t="s">
        <v>5045</v>
      </c>
      <c r="G2723" t="s">
        <v>46</v>
      </c>
      <c r="H2723" t="s">
        <v>119</v>
      </c>
      <c r="I2723" t="s">
        <v>11762</v>
      </c>
      <c r="J2723">
        <v>39</v>
      </c>
      <c r="K2723" t="s">
        <v>25</v>
      </c>
      <c r="L2723" t="s">
        <v>23</v>
      </c>
      <c r="M2723" t="s">
        <v>112</v>
      </c>
      <c r="P2723" t="s">
        <v>28</v>
      </c>
      <c r="Q2723" t="s">
        <v>11763</v>
      </c>
      <c r="R2723" t="s">
        <v>11764</v>
      </c>
      <c r="S2723" t="s">
        <v>31</v>
      </c>
      <c r="T2723">
        <v>0</v>
      </c>
    </row>
    <row r="2724" spans="1:20" x14ac:dyDescent="0.25">
      <c r="A2724" t="s">
        <v>11765</v>
      </c>
      <c r="B2724" s="1">
        <v>45788</v>
      </c>
      <c r="C2724" s="5">
        <v>0.26954861111111111</v>
      </c>
      <c r="D2724">
        <v>78.12</v>
      </c>
      <c r="E2724" t="s">
        <v>44</v>
      </c>
      <c r="F2724" t="s">
        <v>11766</v>
      </c>
      <c r="G2724" t="s">
        <v>77</v>
      </c>
      <c r="H2724" t="s">
        <v>66</v>
      </c>
      <c r="I2724" t="s">
        <v>11767</v>
      </c>
      <c r="J2724">
        <v>73</v>
      </c>
      <c r="K2724" t="s">
        <v>49</v>
      </c>
      <c r="L2724" t="s">
        <v>35</v>
      </c>
      <c r="M2724" t="s">
        <v>84</v>
      </c>
      <c r="P2724" t="s">
        <v>28</v>
      </c>
      <c r="Q2724" t="s">
        <v>11768</v>
      </c>
      <c r="R2724" t="s">
        <v>11769</v>
      </c>
      <c r="S2724" t="s">
        <v>42</v>
      </c>
      <c r="T2724">
        <v>0</v>
      </c>
    </row>
    <row r="2725" spans="1:20" x14ac:dyDescent="0.25">
      <c r="A2725" t="s">
        <v>11770</v>
      </c>
      <c r="B2725" s="1">
        <v>45867</v>
      </c>
      <c r="C2725" s="5">
        <v>0.75710648148148152</v>
      </c>
      <c r="D2725">
        <v>61.29</v>
      </c>
      <c r="E2725" t="s">
        <v>44</v>
      </c>
      <c r="F2725" t="s">
        <v>2176</v>
      </c>
      <c r="G2725" t="s">
        <v>77</v>
      </c>
      <c r="H2725" t="s">
        <v>110</v>
      </c>
      <c r="I2725" t="s">
        <v>11771</v>
      </c>
      <c r="J2725">
        <v>40</v>
      </c>
      <c r="K2725" t="s">
        <v>25</v>
      </c>
      <c r="L2725" t="s">
        <v>58</v>
      </c>
      <c r="M2725" t="s">
        <v>39</v>
      </c>
      <c r="P2725" t="s">
        <v>28</v>
      </c>
      <c r="Q2725" t="s">
        <v>11772</v>
      </c>
      <c r="R2725" t="s">
        <v>11773</v>
      </c>
      <c r="S2725" t="s">
        <v>31</v>
      </c>
      <c r="T2725">
        <v>0</v>
      </c>
    </row>
    <row r="2726" spans="1:20" x14ac:dyDescent="0.25">
      <c r="A2726" t="s">
        <v>11774</v>
      </c>
      <c r="B2726" s="1">
        <v>45867</v>
      </c>
      <c r="C2726" s="5">
        <v>0.69811342592592596</v>
      </c>
      <c r="D2726">
        <v>852.87</v>
      </c>
      <c r="E2726" t="s">
        <v>44</v>
      </c>
      <c r="F2726" t="s">
        <v>3553</v>
      </c>
      <c r="G2726" t="s">
        <v>124</v>
      </c>
      <c r="H2726" t="s">
        <v>91</v>
      </c>
      <c r="I2726" t="s">
        <v>11775</v>
      </c>
      <c r="J2726">
        <v>60</v>
      </c>
      <c r="K2726" t="s">
        <v>49</v>
      </c>
      <c r="L2726" t="s">
        <v>38</v>
      </c>
      <c r="M2726" t="s">
        <v>105</v>
      </c>
      <c r="P2726" t="s">
        <v>28</v>
      </c>
      <c r="Q2726" t="s">
        <v>11776</v>
      </c>
      <c r="R2726" t="s">
        <v>11777</v>
      </c>
      <c r="S2726" t="s">
        <v>31</v>
      </c>
      <c r="T2726">
        <v>0</v>
      </c>
    </row>
    <row r="2727" spans="1:20" x14ac:dyDescent="0.25">
      <c r="A2727" t="s">
        <v>11778</v>
      </c>
      <c r="B2727" s="1">
        <v>45880</v>
      </c>
      <c r="C2727" s="5">
        <v>1.7141203703703704E-2</v>
      </c>
      <c r="D2727">
        <v>73.400000000000006</v>
      </c>
      <c r="E2727" t="s">
        <v>44</v>
      </c>
      <c r="F2727" t="s">
        <v>33</v>
      </c>
      <c r="G2727" t="s">
        <v>34</v>
      </c>
      <c r="H2727" t="s">
        <v>47</v>
      </c>
      <c r="I2727" t="s">
        <v>11779</v>
      </c>
      <c r="J2727">
        <v>36</v>
      </c>
      <c r="K2727" t="s">
        <v>25</v>
      </c>
      <c r="L2727" t="s">
        <v>58</v>
      </c>
      <c r="M2727" t="s">
        <v>105</v>
      </c>
      <c r="P2727" t="s">
        <v>28</v>
      </c>
      <c r="Q2727" t="s">
        <v>11780</v>
      </c>
      <c r="R2727" t="s">
        <v>11781</v>
      </c>
      <c r="S2727" t="s">
        <v>31</v>
      </c>
      <c r="T2727">
        <v>0</v>
      </c>
    </row>
    <row r="2728" spans="1:20" x14ac:dyDescent="0.25">
      <c r="A2728" t="s">
        <v>11782</v>
      </c>
      <c r="B2728" s="1">
        <v>45816</v>
      </c>
      <c r="C2728" s="5">
        <v>0.32923611111111112</v>
      </c>
      <c r="D2728">
        <v>64.569999999999993</v>
      </c>
      <c r="E2728" t="s">
        <v>44</v>
      </c>
      <c r="F2728" t="s">
        <v>883</v>
      </c>
      <c r="G2728" t="s">
        <v>64</v>
      </c>
      <c r="H2728" t="s">
        <v>110</v>
      </c>
      <c r="I2728" t="s">
        <v>11783</v>
      </c>
      <c r="J2728">
        <v>53</v>
      </c>
      <c r="K2728" t="s">
        <v>25</v>
      </c>
      <c r="L2728" t="s">
        <v>66</v>
      </c>
      <c r="M2728" t="s">
        <v>84</v>
      </c>
      <c r="P2728" t="s">
        <v>28</v>
      </c>
      <c r="Q2728" t="s">
        <v>11784</v>
      </c>
      <c r="R2728" t="s">
        <v>11785</v>
      </c>
      <c r="S2728" t="s">
        <v>31</v>
      </c>
      <c r="T2728">
        <v>0</v>
      </c>
    </row>
    <row r="2729" spans="1:20" x14ac:dyDescent="0.25">
      <c r="A2729" t="s">
        <v>11786</v>
      </c>
      <c r="B2729" s="1">
        <v>45819</v>
      </c>
      <c r="C2729" s="5">
        <v>0.30680555555555555</v>
      </c>
      <c r="D2729">
        <v>160.44</v>
      </c>
      <c r="E2729" t="s">
        <v>44</v>
      </c>
      <c r="F2729" t="s">
        <v>11787</v>
      </c>
      <c r="G2729" t="s">
        <v>71</v>
      </c>
      <c r="H2729" t="s">
        <v>50</v>
      </c>
      <c r="I2729" t="s">
        <v>11788</v>
      </c>
      <c r="J2729">
        <v>54</v>
      </c>
      <c r="K2729" t="s">
        <v>37</v>
      </c>
      <c r="L2729" t="s">
        <v>130</v>
      </c>
      <c r="M2729" t="s">
        <v>84</v>
      </c>
      <c r="P2729" t="s">
        <v>28</v>
      </c>
      <c r="Q2729" t="s">
        <v>11789</v>
      </c>
      <c r="R2729" t="s">
        <v>11790</v>
      </c>
      <c r="S2729" t="s">
        <v>31</v>
      </c>
      <c r="T2729">
        <v>0</v>
      </c>
    </row>
    <row r="2730" spans="1:20" x14ac:dyDescent="0.25">
      <c r="A2730" t="s">
        <v>11791</v>
      </c>
      <c r="B2730" s="1">
        <v>45883</v>
      </c>
      <c r="C2730" s="5">
        <v>0.6106597222222222</v>
      </c>
      <c r="D2730">
        <v>79.59</v>
      </c>
      <c r="E2730" t="s">
        <v>44</v>
      </c>
      <c r="F2730" t="s">
        <v>2621</v>
      </c>
      <c r="G2730" t="s">
        <v>57</v>
      </c>
      <c r="H2730" t="s">
        <v>38</v>
      </c>
      <c r="I2730" t="s">
        <v>11792</v>
      </c>
      <c r="J2730">
        <v>75</v>
      </c>
      <c r="K2730" t="s">
        <v>49</v>
      </c>
      <c r="L2730" t="s">
        <v>110</v>
      </c>
      <c r="M2730" t="s">
        <v>27</v>
      </c>
      <c r="P2730" t="s">
        <v>28</v>
      </c>
      <c r="Q2730" t="s">
        <v>11793</v>
      </c>
      <c r="R2730" t="s">
        <v>11794</v>
      </c>
      <c r="S2730" t="s">
        <v>31</v>
      </c>
      <c r="T2730">
        <v>0</v>
      </c>
    </row>
    <row r="2731" spans="1:20" x14ac:dyDescent="0.25">
      <c r="A2731" t="s">
        <v>11795</v>
      </c>
      <c r="B2731" s="1">
        <v>45906</v>
      </c>
      <c r="C2731" s="5">
        <v>0.66153935185185186</v>
      </c>
      <c r="D2731">
        <v>127.63</v>
      </c>
      <c r="E2731" t="s">
        <v>44</v>
      </c>
      <c r="F2731" t="s">
        <v>3860</v>
      </c>
      <c r="G2731" t="s">
        <v>22</v>
      </c>
      <c r="H2731" t="s">
        <v>50</v>
      </c>
      <c r="I2731" t="s">
        <v>11796</v>
      </c>
      <c r="J2731">
        <v>15</v>
      </c>
      <c r="K2731" t="s">
        <v>37</v>
      </c>
      <c r="L2731" t="s">
        <v>38</v>
      </c>
      <c r="M2731" t="s">
        <v>105</v>
      </c>
      <c r="P2731" t="s">
        <v>28</v>
      </c>
      <c r="Q2731" t="s">
        <v>11797</v>
      </c>
      <c r="R2731" t="s">
        <v>11798</v>
      </c>
      <c r="S2731" t="s">
        <v>31</v>
      </c>
      <c r="T2731">
        <v>0</v>
      </c>
    </row>
    <row r="2732" spans="1:20" x14ac:dyDescent="0.25">
      <c r="A2732" t="s">
        <v>11799</v>
      </c>
      <c r="B2732" s="1">
        <v>45911</v>
      </c>
      <c r="C2732" s="5">
        <v>0.48605324074074074</v>
      </c>
      <c r="D2732">
        <v>183.46</v>
      </c>
      <c r="E2732" t="s">
        <v>44</v>
      </c>
      <c r="F2732" t="s">
        <v>5322</v>
      </c>
      <c r="G2732" t="s">
        <v>124</v>
      </c>
      <c r="H2732" t="s">
        <v>97</v>
      </c>
      <c r="I2732" t="s">
        <v>11800</v>
      </c>
      <c r="J2732">
        <v>44</v>
      </c>
      <c r="K2732" t="s">
        <v>49</v>
      </c>
      <c r="L2732" t="s">
        <v>58</v>
      </c>
      <c r="M2732" t="s">
        <v>39</v>
      </c>
      <c r="P2732" t="s">
        <v>28</v>
      </c>
      <c r="Q2732" t="s">
        <v>11801</v>
      </c>
      <c r="R2732" t="s">
        <v>11802</v>
      </c>
      <c r="S2732" t="s">
        <v>101</v>
      </c>
      <c r="T2732">
        <v>0</v>
      </c>
    </row>
    <row r="2733" spans="1:20" x14ac:dyDescent="0.25">
      <c r="A2733" t="s">
        <v>11803</v>
      </c>
      <c r="B2733" s="1">
        <v>45804</v>
      </c>
      <c r="C2733" s="5">
        <v>0.98135416666666664</v>
      </c>
      <c r="D2733">
        <v>715.82</v>
      </c>
      <c r="E2733" t="s">
        <v>44</v>
      </c>
      <c r="F2733" t="s">
        <v>874</v>
      </c>
      <c r="G2733" t="s">
        <v>46</v>
      </c>
      <c r="H2733" t="s">
        <v>119</v>
      </c>
      <c r="I2733" t="s">
        <v>11804</v>
      </c>
      <c r="J2733">
        <v>53</v>
      </c>
      <c r="K2733" t="s">
        <v>49</v>
      </c>
      <c r="L2733" t="s">
        <v>23</v>
      </c>
      <c r="M2733" t="s">
        <v>105</v>
      </c>
      <c r="P2733" t="s">
        <v>28</v>
      </c>
      <c r="Q2733" t="s">
        <v>11805</v>
      </c>
      <c r="R2733" t="s">
        <v>10229</v>
      </c>
      <c r="S2733" t="s">
        <v>31</v>
      </c>
      <c r="T2733">
        <v>0</v>
      </c>
    </row>
    <row r="2734" spans="1:20" x14ac:dyDescent="0.25">
      <c r="A2734" t="s">
        <v>11806</v>
      </c>
      <c r="B2734" s="1">
        <v>45850</v>
      </c>
      <c r="C2734" s="5">
        <v>0.85929398148148151</v>
      </c>
      <c r="D2734">
        <v>72.239999999999995</v>
      </c>
      <c r="E2734" t="s">
        <v>44</v>
      </c>
      <c r="F2734" t="s">
        <v>4737</v>
      </c>
      <c r="G2734" t="s">
        <v>77</v>
      </c>
      <c r="H2734" t="s">
        <v>50</v>
      </c>
      <c r="I2734" t="s">
        <v>11807</v>
      </c>
      <c r="J2734">
        <v>25</v>
      </c>
      <c r="K2734" t="s">
        <v>37</v>
      </c>
      <c r="L2734" t="s">
        <v>66</v>
      </c>
      <c r="M2734" t="s">
        <v>105</v>
      </c>
      <c r="P2734" t="s">
        <v>28</v>
      </c>
      <c r="Q2734" t="s">
        <v>11808</v>
      </c>
      <c r="R2734" t="s">
        <v>11809</v>
      </c>
      <c r="S2734" t="s">
        <v>31</v>
      </c>
      <c r="T2734">
        <v>0</v>
      </c>
    </row>
    <row r="2735" spans="1:20" x14ac:dyDescent="0.25">
      <c r="A2735" t="s">
        <v>11810</v>
      </c>
      <c r="B2735" s="1">
        <v>45914</v>
      </c>
      <c r="C2735" s="5">
        <v>0.63239583333333338</v>
      </c>
      <c r="D2735">
        <v>121.92</v>
      </c>
      <c r="E2735" t="s">
        <v>44</v>
      </c>
      <c r="F2735" t="s">
        <v>7755</v>
      </c>
      <c r="G2735" t="s">
        <v>64</v>
      </c>
      <c r="H2735" t="s">
        <v>58</v>
      </c>
      <c r="I2735" t="s">
        <v>11811</v>
      </c>
      <c r="J2735">
        <v>24</v>
      </c>
      <c r="K2735" t="s">
        <v>37</v>
      </c>
      <c r="L2735" t="s">
        <v>35</v>
      </c>
      <c r="M2735" t="s">
        <v>112</v>
      </c>
      <c r="P2735" t="s">
        <v>28</v>
      </c>
      <c r="Q2735" t="s">
        <v>11812</v>
      </c>
      <c r="R2735" t="s">
        <v>11813</v>
      </c>
      <c r="S2735" t="s">
        <v>31</v>
      </c>
      <c r="T2735">
        <v>0</v>
      </c>
    </row>
    <row r="2736" spans="1:20" x14ac:dyDescent="0.25">
      <c r="A2736" t="s">
        <v>11814</v>
      </c>
      <c r="B2736" s="1">
        <v>45882</v>
      </c>
      <c r="C2736" s="5">
        <v>0.68503472222222217</v>
      </c>
      <c r="D2736">
        <v>188.38</v>
      </c>
      <c r="E2736" t="s">
        <v>44</v>
      </c>
      <c r="F2736" t="s">
        <v>678</v>
      </c>
      <c r="G2736" t="s">
        <v>96</v>
      </c>
      <c r="H2736" t="s">
        <v>97</v>
      </c>
      <c r="I2736" t="s">
        <v>11815</v>
      </c>
      <c r="J2736">
        <v>45</v>
      </c>
      <c r="K2736" t="s">
        <v>37</v>
      </c>
      <c r="L2736" t="s">
        <v>97</v>
      </c>
      <c r="M2736" t="s">
        <v>51</v>
      </c>
      <c r="N2736" t="s">
        <v>345</v>
      </c>
      <c r="O2736">
        <v>415610</v>
      </c>
      <c r="P2736" t="s">
        <v>113</v>
      </c>
      <c r="Q2736" t="s">
        <v>11816</v>
      </c>
      <c r="R2736" t="s">
        <v>11817</v>
      </c>
      <c r="S2736" t="s">
        <v>31</v>
      </c>
      <c r="T2736">
        <v>0</v>
      </c>
    </row>
    <row r="2737" spans="1:20" x14ac:dyDescent="0.25">
      <c r="A2737" t="s">
        <v>11818</v>
      </c>
      <c r="B2737" s="1">
        <v>45904</v>
      </c>
      <c r="C2737" s="5">
        <v>0.39814814814814814</v>
      </c>
      <c r="D2737">
        <v>187.64</v>
      </c>
      <c r="E2737" t="s">
        <v>44</v>
      </c>
      <c r="F2737" t="s">
        <v>11819</v>
      </c>
      <c r="G2737" t="s">
        <v>57</v>
      </c>
      <c r="H2737" t="s">
        <v>38</v>
      </c>
      <c r="I2737" t="s">
        <v>11820</v>
      </c>
      <c r="J2737">
        <v>45</v>
      </c>
      <c r="K2737" t="s">
        <v>49</v>
      </c>
      <c r="L2737" t="s">
        <v>119</v>
      </c>
      <c r="M2737" t="s">
        <v>112</v>
      </c>
      <c r="P2737" t="s">
        <v>28</v>
      </c>
      <c r="Q2737" t="s">
        <v>11821</v>
      </c>
      <c r="R2737" t="s">
        <v>11822</v>
      </c>
      <c r="S2737" t="s">
        <v>31</v>
      </c>
      <c r="T2737">
        <v>0</v>
      </c>
    </row>
    <row r="2738" spans="1:20" x14ac:dyDescent="0.25">
      <c r="A2738" t="s">
        <v>11823</v>
      </c>
      <c r="B2738" s="1">
        <v>45950</v>
      </c>
      <c r="C2738" s="5">
        <v>0.16708333333333333</v>
      </c>
      <c r="D2738">
        <v>133.1</v>
      </c>
      <c r="E2738" t="s">
        <v>44</v>
      </c>
      <c r="F2738" t="s">
        <v>2575</v>
      </c>
      <c r="G2738" t="s">
        <v>64</v>
      </c>
      <c r="H2738" t="s">
        <v>130</v>
      </c>
      <c r="I2738" t="s">
        <v>11824</v>
      </c>
      <c r="J2738">
        <v>32</v>
      </c>
      <c r="K2738" t="s">
        <v>49</v>
      </c>
      <c r="L2738" t="s">
        <v>50</v>
      </c>
      <c r="M2738" t="s">
        <v>105</v>
      </c>
      <c r="P2738" t="s">
        <v>28</v>
      </c>
      <c r="Q2738" t="s">
        <v>11825</v>
      </c>
      <c r="R2738" t="s">
        <v>11826</v>
      </c>
      <c r="S2738" t="s">
        <v>31</v>
      </c>
      <c r="T2738">
        <v>0</v>
      </c>
    </row>
    <row r="2739" spans="1:20" x14ac:dyDescent="0.25">
      <c r="A2739" t="s">
        <v>11827</v>
      </c>
      <c r="B2739" s="1">
        <v>45807</v>
      </c>
      <c r="C2739" s="5">
        <v>0.67136574074074074</v>
      </c>
      <c r="D2739">
        <v>146.69</v>
      </c>
      <c r="E2739" t="s">
        <v>44</v>
      </c>
      <c r="F2739" t="s">
        <v>3981</v>
      </c>
      <c r="G2739" t="s">
        <v>124</v>
      </c>
      <c r="H2739" t="s">
        <v>119</v>
      </c>
      <c r="I2739" t="s">
        <v>11828</v>
      </c>
      <c r="J2739">
        <v>49</v>
      </c>
      <c r="K2739" t="s">
        <v>49</v>
      </c>
      <c r="L2739" t="s">
        <v>130</v>
      </c>
      <c r="M2739" t="s">
        <v>84</v>
      </c>
      <c r="P2739" t="s">
        <v>28</v>
      </c>
      <c r="Q2739" t="s">
        <v>11829</v>
      </c>
      <c r="R2739" t="s">
        <v>11830</v>
      </c>
      <c r="S2739" t="s">
        <v>31</v>
      </c>
      <c r="T2739">
        <v>0</v>
      </c>
    </row>
    <row r="2740" spans="1:20" x14ac:dyDescent="0.25">
      <c r="A2740" t="s">
        <v>11831</v>
      </c>
      <c r="B2740" s="1">
        <v>45917</v>
      </c>
      <c r="C2740" s="5">
        <v>0.50671296296296298</v>
      </c>
      <c r="D2740">
        <v>94.68</v>
      </c>
      <c r="E2740" t="s">
        <v>44</v>
      </c>
      <c r="F2740" t="s">
        <v>978</v>
      </c>
      <c r="G2740" t="s">
        <v>22</v>
      </c>
      <c r="H2740" t="s">
        <v>38</v>
      </c>
      <c r="I2740" t="s">
        <v>11832</v>
      </c>
      <c r="J2740">
        <v>54</v>
      </c>
      <c r="K2740" t="s">
        <v>37</v>
      </c>
      <c r="L2740" t="s">
        <v>38</v>
      </c>
      <c r="M2740" t="s">
        <v>51</v>
      </c>
      <c r="N2740" t="s">
        <v>345</v>
      </c>
      <c r="O2740">
        <v>437577</v>
      </c>
      <c r="P2740" t="s">
        <v>113</v>
      </c>
      <c r="Q2740" t="s">
        <v>11833</v>
      </c>
      <c r="R2740" t="s">
        <v>11834</v>
      </c>
      <c r="S2740" t="s">
        <v>31</v>
      </c>
      <c r="T2740">
        <v>0</v>
      </c>
    </row>
    <row r="2741" spans="1:20" x14ac:dyDescent="0.25">
      <c r="A2741" t="s">
        <v>11835</v>
      </c>
      <c r="B2741" s="1">
        <v>45861</v>
      </c>
      <c r="C2741" s="5">
        <v>0.63747685185185188</v>
      </c>
      <c r="D2741">
        <v>878.09</v>
      </c>
      <c r="E2741" t="s">
        <v>44</v>
      </c>
      <c r="F2741" t="s">
        <v>4486</v>
      </c>
      <c r="G2741" t="s">
        <v>57</v>
      </c>
      <c r="H2741" t="s">
        <v>47</v>
      </c>
      <c r="I2741" t="s">
        <v>11836</v>
      </c>
      <c r="J2741">
        <v>60</v>
      </c>
      <c r="K2741" t="s">
        <v>25</v>
      </c>
      <c r="L2741" t="s">
        <v>26</v>
      </c>
      <c r="M2741" t="s">
        <v>84</v>
      </c>
      <c r="P2741" t="s">
        <v>28</v>
      </c>
      <c r="Q2741" t="s">
        <v>11837</v>
      </c>
      <c r="R2741" t="s">
        <v>11838</v>
      </c>
      <c r="S2741" t="s">
        <v>101</v>
      </c>
      <c r="T2741">
        <v>0</v>
      </c>
    </row>
    <row r="2742" spans="1:20" x14ac:dyDescent="0.25">
      <c r="A2742" t="s">
        <v>11839</v>
      </c>
      <c r="B2742" s="1">
        <v>45903</v>
      </c>
      <c r="C2742" s="5">
        <v>0.96703703703703703</v>
      </c>
      <c r="D2742">
        <v>115.57</v>
      </c>
      <c r="E2742" t="s">
        <v>44</v>
      </c>
      <c r="F2742" t="s">
        <v>2543</v>
      </c>
      <c r="G2742" t="s">
        <v>89</v>
      </c>
      <c r="H2742" t="s">
        <v>38</v>
      </c>
      <c r="I2742" t="s">
        <v>11840</v>
      </c>
      <c r="J2742">
        <v>71</v>
      </c>
      <c r="K2742" t="s">
        <v>37</v>
      </c>
      <c r="L2742" t="s">
        <v>91</v>
      </c>
      <c r="M2742" t="s">
        <v>39</v>
      </c>
      <c r="P2742" t="s">
        <v>28</v>
      </c>
      <c r="Q2742" t="s">
        <v>11841</v>
      </c>
      <c r="R2742" t="s">
        <v>11842</v>
      </c>
      <c r="S2742" t="s">
        <v>31</v>
      </c>
      <c r="T2742">
        <v>0</v>
      </c>
    </row>
    <row r="2743" spans="1:20" x14ac:dyDescent="0.25">
      <c r="A2743" t="s">
        <v>11843</v>
      </c>
      <c r="B2743" s="1">
        <v>45834</v>
      </c>
      <c r="C2743" s="5">
        <v>0.60428240740740746</v>
      </c>
      <c r="D2743">
        <v>111.27</v>
      </c>
      <c r="E2743" t="s">
        <v>44</v>
      </c>
      <c r="F2743" t="s">
        <v>11844</v>
      </c>
      <c r="G2743" t="s">
        <v>22</v>
      </c>
      <c r="H2743" t="s">
        <v>97</v>
      </c>
      <c r="I2743" t="s">
        <v>11845</v>
      </c>
      <c r="J2743">
        <v>24</v>
      </c>
      <c r="K2743" t="s">
        <v>49</v>
      </c>
      <c r="L2743" t="s">
        <v>130</v>
      </c>
      <c r="M2743" t="s">
        <v>105</v>
      </c>
      <c r="P2743" t="s">
        <v>28</v>
      </c>
      <c r="Q2743" t="s">
        <v>11846</v>
      </c>
      <c r="R2743" t="s">
        <v>11847</v>
      </c>
      <c r="S2743" t="s">
        <v>31</v>
      </c>
      <c r="T2743">
        <v>0</v>
      </c>
    </row>
    <row r="2744" spans="1:20" x14ac:dyDescent="0.25">
      <c r="A2744" t="s">
        <v>11848</v>
      </c>
      <c r="B2744" s="1">
        <v>45955</v>
      </c>
      <c r="C2744" s="5">
        <v>0.52687499999999998</v>
      </c>
      <c r="D2744">
        <v>199.23</v>
      </c>
      <c r="E2744" t="s">
        <v>44</v>
      </c>
      <c r="F2744" t="s">
        <v>3960</v>
      </c>
      <c r="G2744" t="s">
        <v>96</v>
      </c>
      <c r="H2744" t="s">
        <v>91</v>
      </c>
      <c r="I2744" t="s">
        <v>11849</v>
      </c>
      <c r="J2744">
        <v>53</v>
      </c>
      <c r="K2744" t="s">
        <v>49</v>
      </c>
      <c r="L2744" t="s">
        <v>66</v>
      </c>
      <c r="M2744" t="s">
        <v>51</v>
      </c>
      <c r="N2744" t="s">
        <v>52</v>
      </c>
      <c r="O2744">
        <v>533079</v>
      </c>
      <c r="P2744" t="s">
        <v>28</v>
      </c>
      <c r="Q2744" t="s">
        <v>11850</v>
      </c>
      <c r="R2744" t="s">
        <v>11851</v>
      </c>
      <c r="S2744" t="s">
        <v>42</v>
      </c>
      <c r="T2744">
        <v>1</v>
      </c>
    </row>
    <row r="2745" spans="1:20" x14ac:dyDescent="0.25">
      <c r="A2745" t="s">
        <v>11852</v>
      </c>
      <c r="B2745" s="1">
        <v>45819</v>
      </c>
      <c r="C2745" s="5">
        <v>0.21346064814814814</v>
      </c>
      <c r="D2745">
        <v>105.49</v>
      </c>
      <c r="E2745" t="s">
        <v>44</v>
      </c>
      <c r="F2745" t="s">
        <v>7359</v>
      </c>
      <c r="G2745" t="s">
        <v>89</v>
      </c>
      <c r="H2745" t="s">
        <v>58</v>
      </c>
      <c r="I2745" t="s">
        <v>11853</v>
      </c>
      <c r="J2745">
        <v>44</v>
      </c>
      <c r="K2745" t="s">
        <v>25</v>
      </c>
      <c r="L2745" t="s">
        <v>110</v>
      </c>
      <c r="M2745" t="s">
        <v>39</v>
      </c>
      <c r="P2745" t="s">
        <v>28</v>
      </c>
      <c r="Q2745" t="s">
        <v>11854</v>
      </c>
      <c r="R2745" t="s">
        <v>11855</v>
      </c>
      <c r="S2745" t="s">
        <v>42</v>
      </c>
      <c r="T2745">
        <v>0</v>
      </c>
    </row>
    <row r="2746" spans="1:20" x14ac:dyDescent="0.25">
      <c r="A2746" t="s">
        <v>11856</v>
      </c>
      <c r="B2746" s="1">
        <v>45923</v>
      </c>
      <c r="C2746" s="5">
        <v>0.95215277777777774</v>
      </c>
      <c r="D2746">
        <v>145.63</v>
      </c>
      <c r="E2746" t="s">
        <v>44</v>
      </c>
      <c r="F2746" t="s">
        <v>369</v>
      </c>
      <c r="G2746" t="s">
        <v>89</v>
      </c>
      <c r="H2746" t="s">
        <v>38</v>
      </c>
      <c r="I2746" t="s">
        <v>11857</v>
      </c>
      <c r="J2746">
        <v>18</v>
      </c>
      <c r="K2746" t="s">
        <v>25</v>
      </c>
      <c r="L2746" t="s">
        <v>97</v>
      </c>
      <c r="M2746" t="s">
        <v>27</v>
      </c>
      <c r="P2746" t="s">
        <v>28</v>
      </c>
      <c r="Q2746" t="s">
        <v>11858</v>
      </c>
      <c r="R2746" t="s">
        <v>11859</v>
      </c>
      <c r="S2746" t="s">
        <v>31</v>
      </c>
      <c r="T2746">
        <v>0</v>
      </c>
    </row>
    <row r="2747" spans="1:20" x14ac:dyDescent="0.25">
      <c r="A2747" t="s">
        <v>11860</v>
      </c>
      <c r="B2747" s="1">
        <v>45946</v>
      </c>
      <c r="C2747" s="5">
        <v>0.2525115740740741</v>
      </c>
      <c r="D2747">
        <v>34.42</v>
      </c>
      <c r="E2747" t="s">
        <v>44</v>
      </c>
      <c r="F2747" t="s">
        <v>2999</v>
      </c>
      <c r="G2747" t="s">
        <v>46</v>
      </c>
      <c r="H2747" t="s">
        <v>119</v>
      </c>
      <c r="I2747" t="s">
        <v>11861</v>
      </c>
      <c r="J2747">
        <v>66</v>
      </c>
      <c r="K2747" t="s">
        <v>37</v>
      </c>
      <c r="L2747" t="s">
        <v>38</v>
      </c>
      <c r="M2747" t="s">
        <v>51</v>
      </c>
      <c r="N2747" t="s">
        <v>304</v>
      </c>
      <c r="O2747">
        <v>488858</v>
      </c>
      <c r="P2747" t="s">
        <v>28</v>
      </c>
      <c r="Q2747" t="s">
        <v>11862</v>
      </c>
      <c r="R2747" t="s">
        <v>11863</v>
      </c>
      <c r="S2747" t="s">
        <v>31</v>
      </c>
      <c r="T2747">
        <v>0</v>
      </c>
    </row>
    <row r="2748" spans="1:20" x14ac:dyDescent="0.25">
      <c r="A2748" t="s">
        <v>11864</v>
      </c>
      <c r="B2748" s="1">
        <v>45888</v>
      </c>
      <c r="C2748" s="5">
        <v>0.22244212962962964</v>
      </c>
      <c r="D2748">
        <v>101.53</v>
      </c>
      <c r="E2748" t="s">
        <v>44</v>
      </c>
      <c r="F2748" t="s">
        <v>5058</v>
      </c>
      <c r="G2748" t="s">
        <v>96</v>
      </c>
      <c r="H2748" t="s">
        <v>248</v>
      </c>
      <c r="I2748" t="s">
        <v>11865</v>
      </c>
      <c r="J2748">
        <v>54</v>
      </c>
      <c r="K2748" t="s">
        <v>25</v>
      </c>
      <c r="L2748" t="s">
        <v>119</v>
      </c>
      <c r="M2748" t="s">
        <v>39</v>
      </c>
      <c r="P2748" t="s">
        <v>28</v>
      </c>
      <c r="Q2748" t="s">
        <v>11866</v>
      </c>
      <c r="R2748" t="s">
        <v>11867</v>
      </c>
      <c r="S2748" t="s">
        <v>31</v>
      </c>
      <c r="T2748">
        <v>0</v>
      </c>
    </row>
    <row r="2749" spans="1:20" x14ac:dyDescent="0.25">
      <c r="A2749" t="s">
        <v>11868</v>
      </c>
      <c r="B2749" s="1">
        <v>45796</v>
      </c>
      <c r="C2749" s="5">
        <v>0.90445601851851853</v>
      </c>
      <c r="D2749">
        <v>286.11</v>
      </c>
      <c r="E2749" t="s">
        <v>44</v>
      </c>
      <c r="F2749" t="s">
        <v>5430</v>
      </c>
      <c r="G2749" t="s">
        <v>89</v>
      </c>
      <c r="H2749" t="s">
        <v>35</v>
      </c>
      <c r="I2749" t="s">
        <v>11869</v>
      </c>
      <c r="J2749">
        <v>19</v>
      </c>
      <c r="K2749" t="s">
        <v>25</v>
      </c>
      <c r="L2749" t="s">
        <v>119</v>
      </c>
      <c r="M2749" t="s">
        <v>27</v>
      </c>
      <c r="P2749" t="s">
        <v>28</v>
      </c>
      <c r="Q2749" t="s">
        <v>11870</v>
      </c>
      <c r="R2749" t="s">
        <v>11871</v>
      </c>
      <c r="S2749" t="s">
        <v>31</v>
      </c>
      <c r="T2749">
        <v>0</v>
      </c>
    </row>
    <row r="2750" spans="1:20" x14ac:dyDescent="0.25">
      <c r="A2750" t="s">
        <v>11872</v>
      </c>
      <c r="B2750" s="1">
        <v>45879</v>
      </c>
      <c r="C2750" s="5">
        <v>0.11136574074074074</v>
      </c>
      <c r="D2750">
        <v>50.95</v>
      </c>
      <c r="E2750" t="s">
        <v>44</v>
      </c>
      <c r="F2750" t="s">
        <v>1804</v>
      </c>
      <c r="G2750" t="s">
        <v>46</v>
      </c>
      <c r="H2750" t="s">
        <v>58</v>
      </c>
      <c r="I2750" t="s">
        <v>11873</v>
      </c>
      <c r="J2750">
        <v>63</v>
      </c>
      <c r="K2750" t="s">
        <v>25</v>
      </c>
      <c r="L2750" t="s">
        <v>38</v>
      </c>
      <c r="M2750" t="s">
        <v>51</v>
      </c>
      <c r="N2750" t="s">
        <v>870</v>
      </c>
      <c r="O2750">
        <v>439386</v>
      </c>
      <c r="P2750" t="s">
        <v>28</v>
      </c>
      <c r="Q2750" t="s">
        <v>11874</v>
      </c>
      <c r="R2750" t="s">
        <v>11875</v>
      </c>
      <c r="S2750" t="s">
        <v>31</v>
      </c>
      <c r="T2750">
        <v>0</v>
      </c>
    </row>
    <row r="2751" spans="1:20" x14ac:dyDescent="0.25">
      <c r="A2751" t="s">
        <v>11876</v>
      </c>
      <c r="B2751" s="1">
        <v>45867</v>
      </c>
      <c r="C2751" s="5">
        <v>0.35332175925925924</v>
      </c>
      <c r="D2751">
        <v>716.99</v>
      </c>
      <c r="E2751" t="s">
        <v>44</v>
      </c>
      <c r="F2751" t="s">
        <v>4661</v>
      </c>
      <c r="G2751" t="s">
        <v>71</v>
      </c>
      <c r="H2751" t="s">
        <v>50</v>
      </c>
      <c r="I2751" t="s">
        <v>11877</v>
      </c>
      <c r="J2751">
        <v>61</v>
      </c>
      <c r="K2751" t="s">
        <v>37</v>
      </c>
      <c r="L2751" t="s">
        <v>50</v>
      </c>
      <c r="M2751" t="s">
        <v>84</v>
      </c>
      <c r="P2751" t="s">
        <v>113</v>
      </c>
      <c r="Q2751" t="s">
        <v>11878</v>
      </c>
      <c r="R2751" t="s">
        <v>11879</v>
      </c>
      <c r="S2751" t="s">
        <v>31</v>
      </c>
      <c r="T2751">
        <v>0</v>
      </c>
    </row>
    <row r="2752" spans="1:20" x14ac:dyDescent="0.25">
      <c r="A2752" t="s">
        <v>11880</v>
      </c>
      <c r="B2752" s="1">
        <v>45911</v>
      </c>
      <c r="C2752" s="5">
        <v>0.47659722222222223</v>
      </c>
      <c r="D2752">
        <v>99.75</v>
      </c>
      <c r="E2752" t="s">
        <v>44</v>
      </c>
      <c r="F2752" t="s">
        <v>7965</v>
      </c>
      <c r="G2752" t="s">
        <v>22</v>
      </c>
      <c r="H2752" t="s">
        <v>110</v>
      </c>
      <c r="I2752" t="s">
        <v>11881</v>
      </c>
      <c r="J2752">
        <v>43</v>
      </c>
      <c r="K2752" t="s">
        <v>37</v>
      </c>
      <c r="L2752" t="s">
        <v>26</v>
      </c>
      <c r="M2752" t="s">
        <v>84</v>
      </c>
      <c r="P2752" t="s">
        <v>28</v>
      </c>
      <c r="Q2752" t="s">
        <v>11882</v>
      </c>
      <c r="R2752" t="s">
        <v>11883</v>
      </c>
      <c r="S2752" t="s">
        <v>31</v>
      </c>
      <c r="T2752">
        <v>0</v>
      </c>
    </row>
    <row r="2753" spans="1:20" x14ac:dyDescent="0.25">
      <c r="A2753" t="s">
        <v>11884</v>
      </c>
      <c r="B2753" s="1">
        <v>45899</v>
      </c>
      <c r="C2753" s="5">
        <v>0.22699074074074074</v>
      </c>
      <c r="D2753">
        <v>49.49</v>
      </c>
      <c r="E2753" t="s">
        <v>44</v>
      </c>
      <c r="F2753" t="s">
        <v>4145</v>
      </c>
      <c r="G2753" t="s">
        <v>46</v>
      </c>
      <c r="H2753" t="s">
        <v>146</v>
      </c>
      <c r="I2753" t="s">
        <v>11885</v>
      </c>
      <c r="J2753">
        <v>19</v>
      </c>
      <c r="K2753" t="s">
        <v>49</v>
      </c>
      <c r="L2753" t="s">
        <v>35</v>
      </c>
      <c r="M2753" t="s">
        <v>51</v>
      </c>
      <c r="N2753" t="s">
        <v>870</v>
      </c>
      <c r="O2753">
        <v>487664</v>
      </c>
      <c r="P2753" t="s">
        <v>28</v>
      </c>
      <c r="Q2753" t="s">
        <v>11886</v>
      </c>
      <c r="R2753" t="s">
        <v>11887</v>
      </c>
      <c r="S2753" t="s">
        <v>31</v>
      </c>
      <c r="T2753">
        <v>0</v>
      </c>
    </row>
    <row r="2754" spans="1:20" x14ac:dyDescent="0.25">
      <c r="A2754" t="s">
        <v>11888</v>
      </c>
      <c r="B2754" s="1">
        <v>45930</v>
      </c>
      <c r="C2754" s="5">
        <v>0.69450231481481484</v>
      </c>
      <c r="D2754">
        <v>153.80000000000001</v>
      </c>
      <c r="E2754" t="s">
        <v>44</v>
      </c>
      <c r="F2754" t="s">
        <v>3934</v>
      </c>
      <c r="G2754" t="s">
        <v>71</v>
      </c>
      <c r="H2754" t="s">
        <v>119</v>
      </c>
      <c r="I2754" t="s">
        <v>11889</v>
      </c>
      <c r="J2754">
        <v>64</v>
      </c>
      <c r="K2754" t="s">
        <v>37</v>
      </c>
      <c r="L2754" t="s">
        <v>91</v>
      </c>
      <c r="M2754" t="s">
        <v>112</v>
      </c>
      <c r="P2754" t="s">
        <v>28</v>
      </c>
      <c r="Q2754" t="s">
        <v>11890</v>
      </c>
      <c r="R2754" t="s">
        <v>11891</v>
      </c>
      <c r="S2754" t="s">
        <v>31</v>
      </c>
      <c r="T2754">
        <v>0</v>
      </c>
    </row>
    <row r="2755" spans="1:20" x14ac:dyDescent="0.25">
      <c r="A2755" t="s">
        <v>11892</v>
      </c>
      <c r="B2755" s="1">
        <v>45889</v>
      </c>
      <c r="C2755" s="5">
        <v>0.2479513888888889</v>
      </c>
      <c r="D2755">
        <v>135.5</v>
      </c>
      <c r="E2755" t="s">
        <v>44</v>
      </c>
      <c r="F2755" t="s">
        <v>1138</v>
      </c>
      <c r="G2755" t="s">
        <v>57</v>
      </c>
      <c r="H2755" t="s">
        <v>91</v>
      </c>
      <c r="I2755" t="s">
        <v>11893</v>
      </c>
      <c r="J2755">
        <v>25</v>
      </c>
      <c r="K2755" t="s">
        <v>37</v>
      </c>
      <c r="L2755" t="s">
        <v>26</v>
      </c>
      <c r="M2755" t="s">
        <v>27</v>
      </c>
      <c r="P2755" t="s">
        <v>28</v>
      </c>
      <c r="Q2755" t="s">
        <v>11894</v>
      </c>
      <c r="R2755" t="s">
        <v>11895</v>
      </c>
      <c r="S2755" t="s">
        <v>31</v>
      </c>
      <c r="T2755">
        <v>0</v>
      </c>
    </row>
    <row r="2756" spans="1:20" x14ac:dyDescent="0.25">
      <c r="A2756" t="s">
        <v>11896</v>
      </c>
      <c r="B2756" s="1">
        <v>45820</v>
      </c>
      <c r="C2756" s="5">
        <v>0.87776620370370373</v>
      </c>
      <c r="D2756">
        <v>190.01</v>
      </c>
      <c r="E2756" t="s">
        <v>44</v>
      </c>
      <c r="F2756" t="s">
        <v>708</v>
      </c>
      <c r="G2756" t="s">
        <v>89</v>
      </c>
      <c r="H2756" t="s">
        <v>110</v>
      </c>
      <c r="I2756" t="s">
        <v>11897</v>
      </c>
      <c r="J2756">
        <v>39</v>
      </c>
      <c r="K2756" t="s">
        <v>25</v>
      </c>
      <c r="L2756" t="s">
        <v>50</v>
      </c>
      <c r="M2756" t="s">
        <v>105</v>
      </c>
      <c r="P2756" t="s">
        <v>28</v>
      </c>
      <c r="Q2756" t="s">
        <v>11898</v>
      </c>
      <c r="R2756" t="s">
        <v>11899</v>
      </c>
      <c r="S2756" t="s">
        <v>101</v>
      </c>
      <c r="T2756">
        <v>0</v>
      </c>
    </row>
    <row r="2757" spans="1:20" x14ac:dyDescent="0.25">
      <c r="A2757" t="s">
        <v>11900</v>
      </c>
      <c r="B2757" s="1">
        <v>45923</v>
      </c>
      <c r="C2757" s="5">
        <v>0.26337962962962963</v>
      </c>
      <c r="D2757">
        <v>17.829999999999998</v>
      </c>
      <c r="E2757" t="s">
        <v>44</v>
      </c>
      <c r="F2757" t="s">
        <v>2645</v>
      </c>
      <c r="G2757" t="s">
        <v>64</v>
      </c>
      <c r="H2757" t="s">
        <v>66</v>
      </c>
      <c r="I2757" t="s">
        <v>11901</v>
      </c>
      <c r="J2757">
        <v>65</v>
      </c>
      <c r="K2757" t="s">
        <v>25</v>
      </c>
      <c r="L2757" t="s">
        <v>35</v>
      </c>
      <c r="M2757" t="s">
        <v>39</v>
      </c>
      <c r="P2757" t="s">
        <v>28</v>
      </c>
      <c r="Q2757" t="s">
        <v>11902</v>
      </c>
      <c r="R2757" t="s">
        <v>11903</v>
      </c>
      <c r="S2757" t="s">
        <v>31</v>
      </c>
      <c r="T2757">
        <v>0</v>
      </c>
    </row>
    <row r="2758" spans="1:20" x14ac:dyDescent="0.25">
      <c r="A2758" t="s">
        <v>11904</v>
      </c>
      <c r="B2758" s="1">
        <v>45935</v>
      </c>
      <c r="C2758" s="5">
        <v>0.1413425925925926</v>
      </c>
      <c r="D2758">
        <v>48.07</v>
      </c>
      <c r="E2758" t="s">
        <v>44</v>
      </c>
      <c r="F2758" t="s">
        <v>4464</v>
      </c>
      <c r="G2758" t="s">
        <v>124</v>
      </c>
      <c r="H2758" t="s">
        <v>130</v>
      </c>
      <c r="I2758" t="s">
        <v>11905</v>
      </c>
      <c r="J2758">
        <v>74</v>
      </c>
      <c r="K2758" t="s">
        <v>25</v>
      </c>
      <c r="L2758" t="s">
        <v>248</v>
      </c>
      <c r="M2758" t="s">
        <v>51</v>
      </c>
      <c r="N2758" t="s">
        <v>870</v>
      </c>
      <c r="O2758">
        <v>430846</v>
      </c>
      <c r="P2758" t="s">
        <v>28</v>
      </c>
      <c r="Q2758" t="s">
        <v>11906</v>
      </c>
      <c r="R2758" t="s">
        <v>11907</v>
      </c>
      <c r="S2758" t="s">
        <v>31</v>
      </c>
      <c r="T2758">
        <v>0</v>
      </c>
    </row>
    <row r="2759" spans="1:20" x14ac:dyDescent="0.25">
      <c r="A2759" t="s">
        <v>11908</v>
      </c>
      <c r="B2759" s="1">
        <v>45949</v>
      </c>
      <c r="C2759" s="5">
        <v>0.5436805555555555</v>
      </c>
      <c r="D2759">
        <v>83.8</v>
      </c>
      <c r="E2759" t="s">
        <v>44</v>
      </c>
      <c r="F2759" t="s">
        <v>11084</v>
      </c>
      <c r="G2759" t="s">
        <v>71</v>
      </c>
      <c r="H2759" t="s">
        <v>66</v>
      </c>
      <c r="I2759" t="s">
        <v>11909</v>
      </c>
      <c r="J2759">
        <v>48</v>
      </c>
      <c r="K2759" t="s">
        <v>25</v>
      </c>
      <c r="L2759" t="s">
        <v>146</v>
      </c>
      <c r="M2759" t="s">
        <v>39</v>
      </c>
      <c r="P2759" t="s">
        <v>28</v>
      </c>
      <c r="Q2759" t="s">
        <v>11910</v>
      </c>
      <c r="R2759" t="s">
        <v>11911</v>
      </c>
      <c r="S2759" t="s">
        <v>31</v>
      </c>
      <c r="T2759">
        <v>0</v>
      </c>
    </row>
    <row r="2760" spans="1:20" x14ac:dyDescent="0.25">
      <c r="A2760" t="s">
        <v>11912</v>
      </c>
      <c r="B2760" s="1">
        <v>45898</v>
      </c>
      <c r="C2760" s="5">
        <v>0.76214120370370375</v>
      </c>
      <c r="D2760">
        <v>87.5</v>
      </c>
      <c r="E2760" t="s">
        <v>44</v>
      </c>
      <c r="F2760" t="s">
        <v>3008</v>
      </c>
      <c r="G2760" t="s">
        <v>124</v>
      </c>
      <c r="H2760" t="s">
        <v>146</v>
      </c>
      <c r="I2760" t="s">
        <v>11913</v>
      </c>
      <c r="J2760">
        <v>61</v>
      </c>
      <c r="K2760" t="s">
        <v>37</v>
      </c>
      <c r="L2760" t="s">
        <v>110</v>
      </c>
      <c r="M2760" t="s">
        <v>27</v>
      </c>
      <c r="P2760" t="s">
        <v>28</v>
      </c>
      <c r="Q2760" t="s">
        <v>11914</v>
      </c>
      <c r="R2760" t="s">
        <v>11915</v>
      </c>
      <c r="S2760" t="s">
        <v>101</v>
      </c>
      <c r="T2760">
        <v>0</v>
      </c>
    </row>
    <row r="2761" spans="1:20" x14ac:dyDescent="0.25">
      <c r="A2761" t="s">
        <v>11916</v>
      </c>
      <c r="B2761" s="1">
        <v>45810</v>
      </c>
      <c r="C2761" s="5">
        <v>0.16890046296296296</v>
      </c>
      <c r="D2761">
        <v>164.28</v>
      </c>
      <c r="E2761" t="s">
        <v>44</v>
      </c>
      <c r="F2761" t="s">
        <v>1916</v>
      </c>
      <c r="G2761" t="s">
        <v>96</v>
      </c>
      <c r="H2761" t="s">
        <v>66</v>
      </c>
      <c r="I2761" t="s">
        <v>11917</v>
      </c>
      <c r="J2761">
        <v>24</v>
      </c>
      <c r="K2761" t="s">
        <v>49</v>
      </c>
      <c r="L2761" t="s">
        <v>110</v>
      </c>
      <c r="M2761" t="s">
        <v>27</v>
      </c>
      <c r="P2761" t="s">
        <v>28</v>
      </c>
      <c r="Q2761" t="s">
        <v>11918</v>
      </c>
      <c r="R2761" t="s">
        <v>11919</v>
      </c>
      <c r="S2761" t="s">
        <v>31</v>
      </c>
      <c r="T2761">
        <v>0</v>
      </c>
    </row>
    <row r="2762" spans="1:20" x14ac:dyDescent="0.25">
      <c r="A2762" t="s">
        <v>11920</v>
      </c>
      <c r="B2762" s="1">
        <v>45892</v>
      </c>
      <c r="C2762" s="5">
        <v>1.5740740740740741E-3</v>
      </c>
      <c r="D2762">
        <v>116.13</v>
      </c>
      <c r="E2762" t="s">
        <v>44</v>
      </c>
      <c r="F2762" t="s">
        <v>1380</v>
      </c>
      <c r="G2762" t="s">
        <v>89</v>
      </c>
      <c r="H2762" t="s">
        <v>91</v>
      </c>
      <c r="I2762" t="s">
        <v>11921</v>
      </c>
      <c r="K2762" t="s">
        <v>25</v>
      </c>
      <c r="L2762" t="s">
        <v>26</v>
      </c>
      <c r="M2762" t="s">
        <v>27</v>
      </c>
      <c r="P2762" t="s">
        <v>28</v>
      </c>
      <c r="Q2762" t="s">
        <v>11922</v>
      </c>
      <c r="R2762" t="s">
        <v>11923</v>
      </c>
      <c r="S2762" t="s">
        <v>31</v>
      </c>
      <c r="T2762">
        <v>0</v>
      </c>
    </row>
    <row r="2763" spans="1:20" x14ac:dyDescent="0.25">
      <c r="A2763" t="s">
        <v>11924</v>
      </c>
      <c r="B2763" s="1">
        <v>45885</v>
      </c>
      <c r="C2763" s="5">
        <v>0.50112268518518521</v>
      </c>
      <c r="D2763">
        <v>66.930000000000007</v>
      </c>
      <c r="E2763" t="s">
        <v>44</v>
      </c>
      <c r="F2763" t="s">
        <v>2580</v>
      </c>
      <c r="G2763" t="s">
        <v>46</v>
      </c>
      <c r="H2763" t="s">
        <v>97</v>
      </c>
      <c r="I2763" t="s">
        <v>11925</v>
      </c>
      <c r="J2763">
        <v>24</v>
      </c>
      <c r="K2763" t="s">
        <v>37</v>
      </c>
      <c r="L2763" t="s">
        <v>66</v>
      </c>
      <c r="M2763" t="s">
        <v>105</v>
      </c>
      <c r="P2763" t="s">
        <v>28</v>
      </c>
      <c r="Q2763" t="s">
        <v>11926</v>
      </c>
      <c r="R2763" t="s">
        <v>11927</v>
      </c>
      <c r="S2763" t="s">
        <v>31</v>
      </c>
      <c r="T2763">
        <v>0</v>
      </c>
    </row>
    <row r="2764" spans="1:20" x14ac:dyDescent="0.25">
      <c r="A2764" t="s">
        <v>11928</v>
      </c>
      <c r="B2764" s="1">
        <v>45790</v>
      </c>
      <c r="C2764" s="5">
        <v>0.69773148148148145</v>
      </c>
      <c r="D2764">
        <v>112.25</v>
      </c>
      <c r="E2764" t="s">
        <v>44</v>
      </c>
      <c r="F2764" t="s">
        <v>7486</v>
      </c>
      <c r="G2764" t="s">
        <v>57</v>
      </c>
      <c r="H2764" t="s">
        <v>110</v>
      </c>
      <c r="I2764" t="s">
        <v>11929</v>
      </c>
      <c r="J2764">
        <v>56</v>
      </c>
      <c r="K2764" t="s">
        <v>37</v>
      </c>
      <c r="L2764" t="s">
        <v>97</v>
      </c>
      <c r="M2764" t="s">
        <v>51</v>
      </c>
      <c r="N2764" t="s">
        <v>507</v>
      </c>
      <c r="O2764">
        <v>440638</v>
      </c>
      <c r="P2764" t="s">
        <v>28</v>
      </c>
      <c r="Q2764" t="s">
        <v>11930</v>
      </c>
      <c r="R2764" t="s">
        <v>11931</v>
      </c>
      <c r="S2764" t="s">
        <v>31</v>
      </c>
      <c r="T2764">
        <v>0</v>
      </c>
    </row>
    <row r="2765" spans="1:20" x14ac:dyDescent="0.25">
      <c r="A2765" t="s">
        <v>11932</v>
      </c>
      <c r="B2765" s="1">
        <v>45872</v>
      </c>
      <c r="C2765" s="5">
        <v>0.37159722222222225</v>
      </c>
      <c r="D2765">
        <v>121.42</v>
      </c>
      <c r="E2765" t="s">
        <v>44</v>
      </c>
      <c r="F2765" t="s">
        <v>1436</v>
      </c>
      <c r="G2765" t="s">
        <v>71</v>
      </c>
      <c r="H2765" t="s">
        <v>119</v>
      </c>
      <c r="I2765" t="s">
        <v>4289</v>
      </c>
      <c r="J2765">
        <v>66</v>
      </c>
      <c r="K2765" t="s">
        <v>37</v>
      </c>
      <c r="L2765" t="s">
        <v>130</v>
      </c>
      <c r="M2765" t="s">
        <v>51</v>
      </c>
      <c r="N2765" t="s">
        <v>173</v>
      </c>
      <c r="O2765">
        <v>491006</v>
      </c>
      <c r="P2765" t="s">
        <v>28</v>
      </c>
      <c r="Q2765" t="s">
        <v>11933</v>
      </c>
      <c r="R2765" t="s">
        <v>11934</v>
      </c>
      <c r="S2765" t="s">
        <v>31</v>
      </c>
      <c r="T2765">
        <v>0</v>
      </c>
    </row>
    <row r="2766" spans="1:20" x14ac:dyDescent="0.25">
      <c r="A2766" t="s">
        <v>11935</v>
      </c>
      <c r="B2766" s="1">
        <v>45900</v>
      </c>
      <c r="C2766" s="5">
        <v>0.53916666666666668</v>
      </c>
      <c r="D2766">
        <v>41.37</v>
      </c>
      <c r="E2766" t="s">
        <v>44</v>
      </c>
      <c r="F2766" t="s">
        <v>1818</v>
      </c>
      <c r="G2766" t="s">
        <v>71</v>
      </c>
      <c r="H2766" t="s">
        <v>26</v>
      </c>
      <c r="I2766" t="s">
        <v>11936</v>
      </c>
      <c r="J2766">
        <v>58</v>
      </c>
      <c r="K2766" t="s">
        <v>49</v>
      </c>
      <c r="L2766" t="s">
        <v>119</v>
      </c>
      <c r="M2766" t="s">
        <v>51</v>
      </c>
      <c r="N2766" t="s">
        <v>304</v>
      </c>
      <c r="O2766">
        <v>478837</v>
      </c>
      <c r="P2766" t="s">
        <v>28</v>
      </c>
      <c r="Q2766" t="s">
        <v>11937</v>
      </c>
      <c r="R2766" t="s">
        <v>11938</v>
      </c>
      <c r="S2766" t="s">
        <v>31</v>
      </c>
      <c r="T2766">
        <v>0</v>
      </c>
    </row>
    <row r="2767" spans="1:20" x14ac:dyDescent="0.25">
      <c r="A2767" t="s">
        <v>11939</v>
      </c>
      <c r="B2767" s="1">
        <v>45863</v>
      </c>
      <c r="C2767" s="5">
        <v>0.9856597222222222</v>
      </c>
      <c r="D2767">
        <v>1.1000000000000001</v>
      </c>
      <c r="E2767" t="s">
        <v>44</v>
      </c>
      <c r="F2767" t="s">
        <v>3279</v>
      </c>
      <c r="G2767" t="s">
        <v>71</v>
      </c>
      <c r="H2767" t="s">
        <v>110</v>
      </c>
      <c r="I2767" t="s">
        <v>11940</v>
      </c>
      <c r="J2767">
        <v>21</v>
      </c>
      <c r="K2767" t="s">
        <v>25</v>
      </c>
      <c r="L2767" t="s">
        <v>26</v>
      </c>
      <c r="M2767" t="s">
        <v>27</v>
      </c>
      <c r="P2767" t="s">
        <v>28</v>
      </c>
      <c r="Q2767" t="s">
        <v>11941</v>
      </c>
      <c r="R2767" t="s">
        <v>11942</v>
      </c>
      <c r="S2767" t="s">
        <v>101</v>
      </c>
      <c r="T2767">
        <v>0</v>
      </c>
    </row>
    <row r="2768" spans="1:20" x14ac:dyDescent="0.25">
      <c r="A2768" t="s">
        <v>11943</v>
      </c>
      <c r="B2768" s="1">
        <v>45926</v>
      </c>
      <c r="C2768" s="5">
        <v>0.85726851851851849</v>
      </c>
      <c r="D2768">
        <v>0</v>
      </c>
      <c r="E2768" t="s">
        <v>44</v>
      </c>
      <c r="F2768" t="s">
        <v>1115</v>
      </c>
      <c r="G2768" t="s">
        <v>34</v>
      </c>
      <c r="H2768" t="s">
        <v>58</v>
      </c>
      <c r="I2768" t="s">
        <v>11944</v>
      </c>
      <c r="J2768">
        <v>53</v>
      </c>
      <c r="K2768" t="s">
        <v>25</v>
      </c>
      <c r="L2768" t="s">
        <v>146</v>
      </c>
      <c r="M2768" t="s">
        <v>51</v>
      </c>
      <c r="N2768" t="s">
        <v>173</v>
      </c>
      <c r="O2768">
        <v>514822</v>
      </c>
      <c r="P2768" t="s">
        <v>28</v>
      </c>
      <c r="Q2768" t="s">
        <v>11945</v>
      </c>
      <c r="R2768" t="s">
        <v>11946</v>
      </c>
      <c r="S2768" t="s">
        <v>31</v>
      </c>
      <c r="T2768">
        <v>0</v>
      </c>
    </row>
    <row r="2769" spans="1:20" x14ac:dyDescent="0.25">
      <c r="A2769" t="s">
        <v>11947</v>
      </c>
      <c r="B2769" s="1">
        <v>45956</v>
      </c>
      <c r="C2769" s="5">
        <v>0.44210648148148146</v>
      </c>
      <c r="D2769">
        <v>67.290000000000006</v>
      </c>
      <c r="E2769" t="s">
        <v>44</v>
      </c>
      <c r="F2769" t="s">
        <v>2654</v>
      </c>
      <c r="G2769" t="s">
        <v>34</v>
      </c>
      <c r="H2769" t="s">
        <v>66</v>
      </c>
      <c r="I2769" t="s">
        <v>11948</v>
      </c>
      <c r="J2769">
        <v>49</v>
      </c>
      <c r="K2769" t="s">
        <v>37</v>
      </c>
      <c r="L2769" t="s">
        <v>50</v>
      </c>
      <c r="M2769" t="s">
        <v>84</v>
      </c>
      <c r="P2769" t="s">
        <v>28</v>
      </c>
      <c r="Q2769" t="s">
        <v>11949</v>
      </c>
      <c r="R2769" t="s">
        <v>11950</v>
      </c>
      <c r="S2769" t="s">
        <v>31</v>
      </c>
      <c r="T2769">
        <v>1</v>
      </c>
    </row>
    <row r="2770" spans="1:20" x14ac:dyDescent="0.25">
      <c r="A2770" t="s">
        <v>11951</v>
      </c>
      <c r="B2770" s="1">
        <v>45822</v>
      </c>
      <c r="C2770" s="5">
        <v>0.12144675925925925</v>
      </c>
      <c r="D2770">
        <v>114.02</v>
      </c>
      <c r="E2770" t="s">
        <v>44</v>
      </c>
      <c r="F2770" t="s">
        <v>1859</v>
      </c>
      <c r="G2770" t="s">
        <v>57</v>
      </c>
      <c r="H2770" t="s">
        <v>130</v>
      </c>
      <c r="I2770" t="s">
        <v>11952</v>
      </c>
      <c r="J2770">
        <v>69</v>
      </c>
      <c r="K2770" t="s">
        <v>49</v>
      </c>
      <c r="L2770" t="s">
        <v>58</v>
      </c>
      <c r="M2770" t="s">
        <v>84</v>
      </c>
      <c r="P2770" t="s">
        <v>28</v>
      </c>
      <c r="Q2770" t="s">
        <v>11953</v>
      </c>
      <c r="R2770" t="s">
        <v>11954</v>
      </c>
      <c r="S2770" t="s">
        <v>31</v>
      </c>
      <c r="T2770">
        <v>0</v>
      </c>
    </row>
    <row r="2771" spans="1:20" x14ac:dyDescent="0.25">
      <c r="A2771" t="s">
        <v>11955</v>
      </c>
      <c r="B2771" s="1">
        <v>45888</v>
      </c>
      <c r="C2771" s="5">
        <v>0.67827546296296293</v>
      </c>
      <c r="D2771">
        <v>95.44</v>
      </c>
      <c r="E2771" t="s">
        <v>44</v>
      </c>
      <c r="F2771" t="s">
        <v>1403</v>
      </c>
      <c r="G2771" t="s">
        <v>71</v>
      </c>
      <c r="H2771" t="s">
        <v>97</v>
      </c>
      <c r="I2771" t="s">
        <v>11956</v>
      </c>
      <c r="J2771">
        <v>47</v>
      </c>
      <c r="K2771" t="s">
        <v>49</v>
      </c>
      <c r="L2771" t="s">
        <v>248</v>
      </c>
      <c r="M2771" t="s">
        <v>27</v>
      </c>
      <c r="P2771" t="s">
        <v>28</v>
      </c>
      <c r="Q2771" t="s">
        <v>11957</v>
      </c>
      <c r="R2771" t="s">
        <v>11958</v>
      </c>
      <c r="S2771" t="s">
        <v>31</v>
      </c>
      <c r="T2771">
        <v>0</v>
      </c>
    </row>
    <row r="2772" spans="1:20" x14ac:dyDescent="0.25">
      <c r="A2772" t="s">
        <v>11959</v>
      </c>
      <c r="B2772" s="1">
        <v>45930</v>
      </c>
      <c r="C2772" s="5">
        <v>0.24704861111111112</v>
      </c>
      <c r="D2772">
        <v>135.59</v>
      </c>
      <c r="E2772" t="s">
        <v>44</v>
      </c>
      <c r="F2772" t="s">
        <v>1529</v>
      </c>
      <c r="G2772" t="s">
        <v>57</v>
      </c>
      <c r="H2772" t="s">
        <v>58</v>
      </c>
      <c r="I2772" t="s">
        <v>11960</v>
      </c>
      <c r="J2772">
        <v>38</v>
      </c>
      <c r="K2772" t="s">
        <v>49</v>
      </c>
      <c r="L2772" t="s">
        <v>66</v>
      </c>
      <c r="M2772" t="s">
        <v>51</v>
      </c>
      <c r="N2772" t="s">
        <v>870</v>
      </c>
      <c r="O2772">
        <v>517649</v>
      </c>
      <c r="P2772" t="s">
        <v>28</v>
      </c>
      <c r="Q2772" t="s">
        <v>11961</v>
      </c>
      <c r="R2772" t="s">
        <v>11962</v>
      </c>
      <c r="S2772" t="s">
        <v>31</v>
      </c>
      <c r="T2772">
        <v>0</v>
      </c>
    </row>
    <row r="2773" spans="1:20" x14ac:dyDescent="0.25">
      <c r="A2773" t="s">
        <v>11963</v>
      </c>
      <c r="B2773" s="1">
        <v>45793</v>
      </c>
      <c r="C2773" s="5">
        <v>0.29637731481481483</v>
      </c>
      <c r="D2773">
        <v>0</v>
      </c>
      <c r="E2773" t="s">
        <v>44</v>
      </c>
      <c r="F2773" t="s">
        <v>486</v>
      </c>
      <c r="G2773" t="s">
        <v>22</v>
      </c>
      <c r="H2773" t="s">
        <v>91</v>
      </c>
      <c r="I2773" t="s">
        <v>7605</v>
      </c>
      <c r="J2773">
        <v>55</v>
      </c>
      <c r="K2773" t="s">
        <v>25</v>
      </c>
      <c r="L2773" t="s">
        <v>58</v>
      </c>
      <c r="M2773" t="s">
        <v>105</v>
      </c>
      <c r="P2773" t="s">
        <v>28</v>
      </c>
      <c r="Q2773" t="s">
        <v>11964</v>
      </c>
      <c r="R2773" t="s">
        <v>11965</v>
      </c>
      <c r="S2773" t="s">
        <v>101</v>
      </c>
      <c r="T2773">
        <v>0</v>
      </c>
    </row>
    <row r="2774" spans="1:20" x14ac:dyDescent="0.25">
      <c r="A2774" t="s">
        <v>11966</v>
      </c>
      <c r="B2774" s="1">
        <v>45850</v>
      </c>
      <c r="C2774" s="5">
        <v>0.75190972222222219</v>
      </c>
      <c r="D2774">
        <v>99.47</v>
      </c>
      <c r="E2774" t="s">
        <v>44</v>
      </c>
      <c r="F2774" t="s">
        <v>1418</v>
      </c>
      <c r="G2774" t="s">
        <v>22</v>
      </c>
      <c r="H2774" t="s">
        <v>248</v>
      </c>
      <c r="I2774" t="s">
        <v>11967</v>
      </c>
      <c r="J2774">
        <v>44</v>
      </c>
      <c r="K2774" t="s">
        <v>37</v>
      </c>
      <c r="L2774" t="s">
        <v>146</v>
      </c>
      <c r="M2774" t="s">
        <v>39</v>
      </c>
      <c r="P2774" t="s">
        <v>28</v>
      </c>
      <c r="Q2774" t="s">
        <v>11968</v>
      </c>
      <c r="R2774" t="s">
        <v>11969</v>
      </c>
      <c r="S2774" t="s">
        <v>31</v>
      </c>
      <c r="T2774">
        <v>0</v>
      </c>
    </row>
    <row r="2775" spans="1:20" x14ac:dyDescent="0.25">
      <c r="A2775" t="s">
        <v>11970</v>
      </c>
      <c r="B2775" s="1">
        <v>45817</v>
      </c>
      <c r="C2775" s="5">
        <v>0.86810185185185185</v>
      </c>
      <c r="D2775">
        <v>112.78</v>
      </c>
      <c r="E2775" t="s">
        <v>44</v>
      </c>
      <c r="F2775" t="s">
        <v>561</v>
      </c>
      <c r="G2775" t="s">
        <v>64</v>
      </c>
      <c r="H2775" t="s">
        <v>26</v>
      </c>
      <c r="I2775" t="s">
        <v>5134</v>
      </c>
      <c r="J2775">
        <v>39</v>
      </c>
      <c r="K2775" t="s">
        <v>49</v>
      </c>
      <c r="L2775" t="s">
        <v>35</v>
      </c>
      <c r="M2775" t="s">
        <v>105</v>
      </c>
      <c r="P2775" t="s">
        <v>28</v>
      </c>
      <c r="Q2775" t="s">
        <v>11971</v>
      </c>
      <c r="R2775" t="s">
        <v>11972</v>
      </c>
      <c r="S2775" t="s">
        <v>31</v>
      </c>
      <c r="T2775">
        <v>0</v>
      </c>
    </row>
    <row r="2776" spans="1:20" x14ac:dyDescent="0.25">
      <c r="A2776" t="s">
        <v>11973</v>
      </c>
      <c r="B2776" s="1">
        <v>45911</v>
      </c>
      <c r="C2776" s="5">
        <v>7.3495370370370364E-2</v>
      </c>
      <c r="D2776">
        <v>41.09</v>
      </c>
      <c r="E2776" t="s">
        <v>44</v>
      </c>
      <c r="F2776" t="s">
        <v>3079</v>
      </c>
      <c r="G2776" t="s">
        <v>96</v>
      </c>
      <c r="H2776" t="s">
        <v>47</v>
      </c>
      <c r="I2776" t="s">
        <v>11974</v>
      </c>
      <c r="J2776">
        <v>29</v>
      </c>
      <c r="K2776" t="s">
        <v>49</v>
      </c>
      <c r="L2776" t="s">
        <v>38</v>
      </c>
      <c r="M2776" t="s">
        <v>105</v>
      </c>
      <c r="P2776" t="s">
        <v>28</v>
      </c>
      <c r="Q2776" t="s">
        <v>11975</v>
      </c>
      <c r="R2776" t="s">
        <v>11976</v>
      </c>
      <c r="S2776" t="s">
        <v>31</v>
      </c>
      <c r="T2776">
        <v>0</v>
      </c>
    </row>
    <row r="2777" spans="1:20" x14ac:dyDescent="0.25">
      <c r="A2777" t="s">
        <v>11977</v>
      </c>
      <c r="B2777" s="1">
        <v>45896</v>
      </c>
      <c r="C2777" s="5">
        <v>0.91694444444444445</v>
      </c>
      <c r="D2777">
        <v>40.54</v>
      </c>
      <c r="E2777" t="s">
        <v>44</v>
      </c>
      <c r="F2777" t="s">
        <v>4737</v>
      </c>
      <c r="G2777" t="s">
        <v>22</v>
      </c>
      <c r="H2777" t="s">
        <v>35</v>
      </c>
      <c r="I2777" t="s">
        <v>11978</v>
      </c>
      <c r="J2777">
        <v>57</v>
      </c>
      <c r="K2777" t="s">
        <v>25</v>
      </c>
      <c r="L2777" t="s">
        <v>97</v>
      </c>
      <c r="M2777" t="s">
        <v>27</v>
      </c>
      <c r="P2777" t="s">
        <v>28</v>
      </c>
      <c r="Q2777" t="s">
        <v>11979</v>
      </c>
      <c r="R2777" t="s">
        <v>11980</v>
      </c>
      <c r="S2777" t="s">
        <v>31</v>
      </c>
      <c r="T2777">
        <v>0</v>
      </c>
    </row>
    <row r="2778" spans="1:20" x14ac:dyDescent="0.25">
      <c r="A2778" t="s">
        <v>11981</v>
      </c>
      <c r="B2778" s="1">
        <v>45793</v>
      </c>
      <c r="C2778" s="5">
        <v>0.83488425925925924</v>
      </c>
      <c r="D2778">
        <v>37.770000000000003</v>
      </c>
      <c r="E2778" t="s">
        <v>44</v>
      </c>
      <c r="F2778" t="s">
        <v>5624</v>
      </c>
      <c r="G2778" t="s">
        <v>22</v>
      </c>
      <c r="H2778" t="s">
        <v>248</v>
      </c>
      <c r="I2778" t="s">
        <v>11982</v>
      </c>
      <c r="J2778">
        <v>35</v>
      </c>
      <c r="K2778" t="s">
        <v>49</v>
      </c>
      <c r="L2778" t="s">
        <v>119</v>
      </c>
      <c r="M2778" t="s">
        <v>27</v>
      </c>
      <c r="P2778" t="s">
        <v>28</v>
      </c>
      <c r="Q2778" t="s">
        <v>11983</v>
      </c>
      <c r="R2778" t="s">
        <v>11984</v>
      </c>
      <c r="S2778" t="s">
        <v>31</v>
      </c>
      <c r="T2778">
        <v>0</v>
      </c>
    </row>
    <row r="2779" spans="1:20" x14ac:dyDescent="0.25">
      <c r="A2779" t="s">
        <v>11985</v>
      </c>
      <c r="B2779" s="1">
        <v>45919</v>
      </c>
      <c r="C2779" s="5">
        <v>0.37144675925925924</v>
      </c>
      <c r="D2779">
        <v>107.32</v>
      </c>
      <c r="E2779" t="s">
        <v>44</v>
      </c>
      <c r="F2779" t="s">
        <v>7721</v>
      </c>
      <c r="G2779" t="s">
        <v>22</v>
      </c>
      <c r="H2779" t="s">
        <v>146</v>
      </c>
      <c r="I2779" t="s">
        <v>11986</v>
      </c>
      <c r="J2779">
        <v>37</v>
      </c>
      <c r="K2779" t="s">
        <v>49</v>
      </c>
      <c r="L2779" t="s">
        <v>38</v>
      </c>
      <c r="M2779" t="s">
        <v>112</v>
      </c>
      <c r="P2779" t="s">
        <v>28</v>
      </c>
      <c r="Q2779" t="s">
        <v>11987</v>
      </c>
      <c r="R2779" t="s">
        <v>11988</v>
      </c>
      <c r="S2779" t="s">
        <v>31</v>
      </c>
      <c r="T2779">
        <v>1</v>
      </c>
    </row>
    <row r="2780" spans="1:20" x14ac:dyDescent="0.25">
      <c r="A2780" t="s">
        <v>11989</v>
      </c>
      <c r="B2780" s="1">
        <v>45798</v>
      </c>
      <c r="C2780" s="5">
        <v>0.63918981481481485</v>
      </c>
      <c r="D2780">
        <v>5.78</v>
      </c>
      <c r="E2780" t="s">
        <v>44</v>
      </c>
      <c r="F2780" t="s">
        <v>4627</v>
      </c>
      <c r="G2780" t="s">
        <v>22</v>
      </c>
      <c r="H2780" t="s">
        <v>47</v>
      </c>
      <c r="I2780" t="s">
        <v>11990</v>
      </c>
      <c r="J2780">
        <v>70</v>
      </c>
      <c r="K2780" t="s">
        <v>49</v>
      </c>
      <c r="L2780" t="s">
        <v>110</v>
      </c>
      <c r="M2780" t="s">
        <v>84</v>
      </c>
      <c r="P2780" t="s">
        <v>28</v>
      </c>
      <c r="Q2780" t="s">
        <v>11991</v>
      </c>
      <c r="R2780" t="s">
        <v>11992</v>
      </c>
      <c r="S2780" t="s">
        <v>31</v>
      </c>
      <c r="T2780">
        <v>0</v>
      </c>
    </row>
    <row r="2781" spans="1:20" x14ac:dyDescent="0.25">
      <c r="A2781" t="s">
        <v>11993</v>
      </c>
      <c r="B2781" s="1">
        <v>45827</v>
      </c>
      <c r="C2781" s="5">
        <v>0.94780092592592591</v>
      </c>
      <c r="D2781">
        <v>3171.61</v>
      </c>
      <c r="E2781" t="s">
        <v>44</v>
      </c>
      <c r="F2781" t="s">
        <v>4448</v>
      </c>
      <c r="G2781" t="s">
        <v>46</v>
      </c>
      <c r="H2781" t="s">
        <v>47</v>
      </c>
      <c r="I2781" t="s">
        <v>11994</v>
      </c>
      <c r="J2781">
        <v>42</v>
      </c>
      <c r="K2781" t="s">
        <v>37</v>
      </c>
      <c r="L2781" t="s">
        <v>146</v>
      </c>
      <c r="M2781" t="s">
        <v>84</v>
      </c>
      <c r="P2781" t="s">
        <v>28</v>
      </c>
      <c r="Q2781" t="s">
        <v>11995</v>
      </c>
      <c r="R2781" t="s">
        <v>11996</v>
      </c>
      <c r="S2781" t="s">
        <v>31</v>
      </c>
      <c r="T2781">
        <v>0</v>
      </c>
    </row>
    <row r="2782" spans="1:20" x14ac:dyDescent="0.25">
      <c r="A2782" t="s">
        <v>11997</v>
      </c>
      <c r="B2782" s="1">
        <v>45804</v>
      </c>
      <c r="C2782" s="5">
        <v>0.83502314814814815</v>
      </c>
      <c r="D2782">
        <v>6.96</v>
      </c>
      <c r="E2782" t="s">
        <v>44</v>
      </c>
      <c r="F2782" t="s">
        <v>277</v>
      </c>
      <c r="G2782" t="s">
        <v>46</v>
      </c>
      <c r="H2782" t="s">
        <v>146</v>
      </c>
      <c r="I2782" t="s">
        <v>11998</v>
      </c>
      <c r="J2782">
        <v>41</v>
      </c>
      <c r="K2782" t="s">
        <v>25</v>
      </c>
      <c r="L2782" t="s">
        <v>146</v>
      </c>
      <c r="M2782" t="s">
        <v>112</v>
      </c>
      <c r="P2782" t="s">
        <v>113</v>
      </c>
      <c r="Q2782" t="s">
        <v>11999</v>
      </c>
      <c r="R2782" t="s">
        <v>12000</v>
      </c>
      <c r="S2782" t="s">
        <v>31</v>
      </c>
      <c r="T2782">
        <v>0</v>
      </c>
    </row>
    <row r="2783" spans="1:20" x14ac:dyDescent="0.25">
      <c r="A2783" t="s">
        <v>12001</v>
      </c>
      <c r="B2783" s="1">
        <v>45789</v>
      </c>
      <c r="C2783" s="5">
        <v>0.14836805555555554</v>
      </c>
      <c r="D2783">
        <v>82.32</v>
      </c>
      <c r="E2783" t="s">
        <v>44</v>
      </c>
      <c r="F2783" t="s">
        <v>988</v>
      </c>
      <c r="G2783" t="s">
        <v>64</v>
      </c>
      <c r="H2783" t="s">
        <v>58</v>
      </c>
      <c r="I2783" t="s">
        <v>12002</v>
      </c>
      <c r="J2783">
        <v>13</v>
      </c>
      <c r="K2783" t="s">
        <v>37</v>
      </c>
      <c r="L2783" t="s">
        <v>146</v>
      </c>
      <c r="M2783" t="s">
        <v>112</v>
      </c>
      <c r="P2783" t="s">
        <v>28</v>
      </c>
      <c r="Q2783" t="s">
        <v>12003</v>
      </c>
      <c r="R2783" t="s">
        <v>12004</v>
      </c>
      <c r="S2783" t="s">
        <v>31</v>
      </c>
      <c r="T2783">
        <v>0</v>
      </c>
    </row>
    <row r="2784" spans="1:20" x14ac:dyDescent="0.25">
      <c r="A2784" t="s">
        <v>12005</v>
      </c>
      <c r="B2784" s="1">
        <v>45793</v>
      </c>
      <c r="C2784" s="5">
        <v>0.96909722222222228</v>
      </c>
      <c r="D2784">
        <v>81.7</v>
      </c>
      <c r="E2784" t="s">
        <v>44</v>
      </c>
      <c r="F2784" t="s">
        <v>946</v>
      </c>
      <c r="G2784" t="s">
        <v>77</v>
      </c>
      <c r="H2784" t="s">
        <v>23</v>
      </c>
      <c r="I2784" t="s">
        <v>12006</v>
      </c>
      <c r="J2784">
        <v>32</v>
      </c>
      <c r="K2784" t="s">
        <v>25</v>
      </c>
      <c r="L2784" t="s">
        <v>66</v>
      </c>
      <c r="M2784" t="s">
        <v>27</v>
      </c>
      <c r="P2784" t="s">
        <v>28</v>
      </c>
      <c r="Q2784" t="s">
        <v>12007</v>
      </c>
      <c r="R2784" t="s">
        <v>12008</v>
      </c>
      <c r="S2784" t="s">
        <v>31</v>
      </c>
      <c r="T2784">
        <v>0</v>
      </c>
    </row>
    <row r="2785" spans="1:20" x14ac:dyDescent="0.25">
      <c r="A2785" t="s">
        <v>12009</v>
      </c>
      <c r="B2785" s="1">
        <v>45832</v>
      </c>
      <c r="C2785" s="5">
        <v>0.11006944444444444</v>
      </c>
      <c r="D2785">
        <v>55.21</v>
      </c>
      <c r="E2785" t="s">
        <v>44</v>
      </c>
      <c r="F2785" t="s">
        <v>7808</v>
      </c>
      <c r="G2785" t="s">
        <v>71</v>
      </c>
      <c r="H2785" t="s">
        <v>130</v>
      </c>
      <c r="I2785" t="s">
        <v>12010</v>
      </c>
      <c r="J2785">
        <v>54</v>
      </c>
      <c r="K2785" t="s">
        <v>37</v>
      </c>
      <c r="L2785" t="s">
        <v>50</v>
      </c>
      <c r="M2785" t="s">
        <v>84</v>
      </c>
      <c r="P2785" t="s">
        <v>28</v>
      </c>
      <c r="Q2785" t="s">
        <v>12011</v>
      </c>
      <c r="R2785" t="s">
        <v>12012</v>
      </c>
      <c r="S2785" t="s">
        <v>31</v>
      </c>
      <c r="T2785">
        <v>0</v>
      </c>
    </row>
    <row r="2786" spans="1:20" x14ac:dyDescent="0.25">
      <c r="A2786" t="s">
        <v>12013</v>
      </c>
      <c r="B2786" s="1">
        <v>45917</v>
      </c>
      <c r="C2786" s="5">
        <v>3.6006944444444446E-2</v>
      </c>
      <c r="D2786">
        <v>199.73</v>
      </c>
      <c r="E2786" t="s">
        <v>44</v>
      </c>
      <c r="F2786" t="s">
        <v>9980</v>
      </c>
      <c r="G2786" t="s">
        <v>57</v>
      </c>
      <c r="H2786" t="s">
        <v>248</v>
      </c>
      <c r="I2786" t="s">
        <v>12014</v>
      </c>
      <c r="J2786">
        <v>68</v>
      </c>
      <c r="K2786" t="s">
        <v>25</v>
      </c>
      <c r="L2786" t="s">
        <v>119</v>
      </c>
      <c r="M2786" t="s">
        <v>84</v>
      </c>
      <c r="P2786" t="s">
        <v>28</v>
      </c>
      <c r="Q2786" t="s">
        <v>12015</v>
      </c>
      <c r="R2786" t="s">
        <v>12016</v>
      </c>
      <c r="S2786" t="s">
        <v>31</v>
      </c>
      <c r="T2786">
        <v>0</v>
      </c>
    </row>
    <row r="2787" spans="1:20" x14ac:dyDescent="0.25">
      <c r="A2787" t="s">
        <v>12017</v>
      </c>
      <c r="B2787" s="1">
        <v>45867</v>
      </c>
      <c r="C2787" s="5">
        <v>0.55622685185185183</v>
      </c>
      <c r="D2787">
        <v>34.61</v>
      </c>
      <c r="E2787" t="s">
        <v>44</v>
      </c>
      <c r="F2787" t="s">
        <v>4590</v>
      </c>
      <c r="G2787" t="s">
        <v>89</v>
      </c>
      <c r="H2787" t="s">
        <v>146</v>
      </c>
      <c r="I2787" t="s">
        <v>12018</v>
      </c>
      <c r="J2787">
        <v>54</v>
      </c>
      <c r="K2787" t="s">
        <v>37</v>
      </c>
      <c r="L2787" t="s">
        <v>50</v>
      </c>
      <c r="M2787" t="s">
        <v>84</v>
      </c>
      <c r="P2787" t="s">
        <v>28</v>
      </c>
      <c r="Q2787" t="s">
        <v>12019</v>
      </c>
      <c r="R2787" t="s">
        <v>12020</v>
      </c>
      <c r="S2787" t="s">
        <v>31</v>
      </c>
      <c r="T2787">
        <v>0</v>
      </c>
    </row>
    <row r="2788" spans="1:20" x14ac:dyDescent="0.25">
      <c r="A2788" t="s">
        <v>12021</v>
      </c>
      <c r="B2788" s="1">
        <v>45885</v>
      </c>
      <c r="C2788" s="5">
        <v>0.42879629629629629</v>
      </c>
      <c r="D2788">
        <v>51.57</v>
      </c>
      <c r="E2788" t="s">
        <v>44</v>
      </c>
      <c r="F2788" t="s">
        <v>4350</v>
      </c>
      <c r="G2788" t="s">
        <v>64</v>
      </c>
      <c r="H2788" t="s">
        <v>47</v>
      </c>
      <c r="I2788" t="s">
        <v>12022</v>
      </c>
      <c r="J2788">
        <v>44</v>
      </c>
      <c r="K2788" t="s">
        <v>25</v>
      </c>
      <c r="L2788" t="s">
        <v>146</v>
      </c>
      <c r="M2788" t="s">
        <v>39</v>
      </c>
      <c r="P2788" t="s">
        <v>28</v>
      </c>
      <c r="Q2788" t="s">
        <v>12023</v>
      </c>
      <c r="R2788" t="s">
        <v>12024</v>
      </c>
      <c r="S2788" t="s">
        <v>31</v>
      </c>
      <c r="T2788">
        <v>0</v>
      </c>
    </row>
    <row r="2789" spans="1:20" x14ac:dyDescent="0.25">
      <c r="A2789" t="s">
        <v>12025</v>
      </c>
      <c r="B2789" s="1">
        <v>45883</v>
      </c>
      <c r="C2789" s="5">
        <v>0.56259259259259264</v>
      </c>
      <c r="D2789">
        <v>84.69</v>
      </c>
      <c r="E2789" t="s">
        <v>44</v>
      </c>
      <c r="F2789" t="s">
        <v>82</v>
      </c>
      <c r="G2789" t="s">
        <v>64</v>
      </c>
      <c r="H2789" t="s">
        <v>26</v>
      </c>
      <c r="I2789" t="s">
        <v>12026</v>
      </c>
      <c r="J2789">
        <v>25</v>
      </c>
      <c r="K2789" t="s">
        <v>25</v>
      </c>
      <c r="L2789" t="s">
        <v>47</v>
      </c>
      <c r="M2789" t="s">
        <v>84</v>
      </c>
      <c r="P2789" t="s">
        <v>28</v>
      </c>
      <c r="Q2789" t="s">
        <v>12027</v>
      </c>
      <c r="R2789" t="s">
        <v>12028</v>
      </c>
      <c r="S2789" t="s">
        <v>31</v>
      </c>
      <c r="T2789">
        <v>0</v>
      </c>
    </row>
    <row r="2790" spans="1:20" x14ac:dyDescent="0.25">
      <c r="A2790" t="s">
        <v>12029</v>
      </c>
      <c r="B2790" s="1">
        <v>45956</v>
      </c>
      <c r="C2790" s="5">
        <v>6.3761574074074068E-2</v>
      </c>
      <c r="D2790">
        <v>137.56</v>
      </c>
      <c r="E2790" t="s">
        <v>44</v>
      </c>
      <c r="F2790" t="s">
        <v>1911</v>
      </c>
      <c r="G2790" t="s">
        <v>64</v>
      </c>
      <c r="H2790" t="s">
        <v>38</v>
      </c>
      <c r="I2790" t="s">
        <v>12030</v>
      </c>
      <c r="J2790">
        <v>50</v>
      </c>
      <c r="K2790" t="s">
        <v>37</v>
      </c>
      <c r="L2790" t="s">
        <v>58</v>
      </c>
      <c r="M2790" t="s">
        <v>112</v>
      </c>
      <c r="P2790" t="s">
        <v>28</v>
      </c>
      <c r="Q2790" t="s">
        <v>12031</v>
      </c>
      <c r="R2790" t="s">
        <v>12032</v>
      </c>
      <c r="S2790" t="s">
        <v>31</v>
      </c>
      <c r="T2790">
        <v>0</v>
      </c>
    </row>
    <row r="2791" spans="1:20" x14ac:dyDescent="0.25">
      <c r="A2791" t="s">
        <v>12033</v>
      </c>
      <c r="B2791" s="1">
        <v>45884</v>
      </c>
      <c r="C2791" s="5">
        <v>0.24587962962962964</v>
      </c>
      <c r="D2791">
        <v>82.45</v>
      </c>
      <c r="E2791" t="s">
        <v>44</v>
      </c>
      <c r="F2791" t="s">
        <v>1427</v>
      </c>
      <c r="G2791" t="s">
        <v>77</v>
      </c>
      <c r="H2791" t="s">
        <v>110</v>
      </c>
      <c r="I2791" t="s">
        <v>12034</v>
      </c>
      <c r="J2791">
        <v>74</v>
      </c>
      <c r="K2791" t="s">
        <v>25</v>
      </c>
      <c r="L2791" t="s">
        <v>119</v>
      </c>
      <c r="M2791" t="s">
        <v>105</v>
      </c>
      <c r="P2791" t="s">
        <v>28</v>
      </c>
      <c r="Q2791" t="s">
        <v>12035</v>
      </c>
      <c r="R2791" t="s">
        <v>12036</v>
      </c>
      <c r="S2791" t="s">
        <v>31</v>
      </c>
      <c r="T2791">
        <v>0</v>
      </c>
    </row>
    <row r="2792" spans="1:20" x14ac:dyDescent="0.25">
      <c r="A2792" t="s">
        <v>12037</v>
      </c>
      <c r="B2792" s="1">
        <v>45955</v>
      </c>
      <c r="C2792" s="5">
        <v>0.19585648148148149</v>
      </c>
      <c r="D2792">
        <v>3.41</v>
      </c>
      <c r="E2792" t="s">
        <v>44</v>
      </c>
      <c r="F2792" t="s">
        <v>6983</v>
      </c>
      <c r="G2792" t="s">
        <v>64</v>
      </c>
      <c r="H2792" t="s">
        <v>50</v>
      </c>
      <c r="I2792" t="s">
        <v>12038</v>
      </c>
      <c r="J2792">
        <v>44</v>
      </c>
      <c r="K2792" t="s">
        <v>49</v>
      </c>
      <c r="L2792" t="s">
        <v>66</v>
      </c>
      <c r="M2792" t="s">
        <v>112</v>
      </c>
      <c r="P2792" t="s">
        <v>28</v>
      </c>
      <c r="Q2792" t="s">
        <v>12039</v>
      </c>
      <c r="R2792" t="s">
        <v>12040</v>
      </c>
      <c r="S2792" t="s">
        <v>31</v>
      </c>
      <c r="T2792">
        <v>1</v>
      </c>
    </row>
    <row r="2793" spans="1:20" x14ac:dyDescent="0.25">
      <c r="A2793" t="s">
        <v>12041</v>
      </c>
      <c r="B2793" s="1">
        <v>45850</v>
      </c>
      <c r="C2793" s="5">
        <v>0.852025462962963</v>
      </c>
      <c r="D2793">
        <v>177.06</v>
      </c>
      <c r="E2793" t="s">
        <v>44</v>
      </c>
      <c r="F2793" t="s">
        <v>7808</v>
      </c>
      <c r="G2793" t="s">
        <v>89</v>
      </c>
      <c r="H2793" t="s">
        <v>248</v>
      </c>
      <c r="I2793" t="s">
        <v>12042</v>
      </c>
      <c r="J2793">
        <v>66</v>
      </c>
      <c r="K2793" t="s">
        <v>49</v>
      </c>
      <c r="L2793" t="s">
        <v>58</v>
      </c>
      <c r="M2793" t="s">
        <v>112</v>
      </c>
      <c r="P2793" t="s">
        <v>28</v>
      </c>
      <c r="Q2793" t="s">
        <v>12043</v>
      </c>
      <c r="R2793" t="s">
        <v>12044</v>
      </c>
      <c r="S2793" t="s">
        <v>31</v>
      </c>
      <c r="T2793">
        <v>0</v>
      </c>
    </row>
    <row r="2794" spans="1:20" x14ac:dyDescent="0.25">
      <c r="A2794" t="s">
        <v>12045</v>
      </c>
      <c r="B2794" s="1">
        <v>45881</v>
      </c>
      <c r="C2794" s="5">
        <v>6.5520833333333334E-2</v>
      </c>
      <c r="D2794">
        <v>26.72</v>
      </c>
      <c r="E2794" t="s">
        <v>44</v>
      </c>
      <c r="F2794" t="s">
        <v>1583</v>
      </c>
      <c r="G2794" t="s">
        <v>71</v>
      </c>
      <c r="H2794" t="s">
        <v>66</v>
      </c>
      <c r="I2794" t="s">
        <v>8510</v>
      </c>
      <c r="J2794">
        <v>39</v>
      </c>
      <c r="K2794" t="s">
        <v>25</v>
      </c>
      <c r="L2794" t="s">
        <v>91</v>
      </c>
      <c r="M2794" t="s">
        <v>39</v>
      </c>
      <c r="P2794" t="s">
        <v>28</v>
      </c>
      <c r="Q2794" t="s">
        <v>12046</v>
      </c>
      <c r="R2794" t="s">
        <v>12047</v>
      </c>
      <c r="S2794" t="s">
        <v>31</v>
      </c>
      <c r="T2794">
        <v>0</v>
      </c>
    </row>
    <row r="2795" spans="1:20" x14ac:dyDescent="0.25">
      <c r="A2795" t="s">
        <v>12048</v>
      </c>
      <c r="B2795" s="1">
        <v>45925</v>
      </c>
      <c r="C2795" s="5">
        <v>0.88072916666666667</v>
      </c>
      <c r="D2795">
        <v>91.26</v>
      </c>
      <c r="E2795" t="s">
        <v>44</v>
      </c>
      <c r="F2795" t="s">
        <v>56</v>
      </c>
      <c r="G2795" t="s">
        <v>34</v>
      </c>
      <c r="H2795" t="s">
        <v>91</v>
      </c>
      <c r="I2795" t="s">
        <v>12049</v>
      </c>
      <c r="J2795">
        <v>43</v>
      </c>
      <c r="K2795" t="s">
        <v>37</v>
      </c>
      <c r="L2795" t="s">
        <v>38</v>
      </c>
      <c r="M2795" t="s">
        <v>112</v>
      </c>
      <c r="P2795" t="s">
        <v>28</v>
      </c>
      <c r="Q2795" t="s">
        <v>12050</v>
      </c>
      <c r="R2795" t="s">
        <v>4730</v>
      </c>
      <c r="S2795" t="s">
        <v>31</v>
      </c>
      <c r="T2795">
        <v>0</v>
      </c>
    </row>
    <row r="2796" spans="1:20" x14ac:dyDescent="0.25">
      <c r="A2796" t="s">
        <v>12051</v>
      </c>
      <c r="B2796" s="1">
        <v>45887</v>
      </c>
      <c r="C2796" s="5">
        <v>0.29062500000000002</v>
      </c>
      <c r="D2796">
        <v>198.13</v>
      </c>
      <c r="E2796" t="s">
        <v>44</v>
      </c>
      <c r="F2796" t="s">
        <v>6450</v>
      </c>
      <c r="G2796" t="s">
        <v>71</v>
      </c>
      <c r="H2796" t="s">
        <v>130</v>
      </c>
      <c r="I2796" t="s">
        <v>12052</v>
      </c>
      <c r="J2796">
        <v>44</v>
      </c>
      <c r="K2796" t="s">
        <v>49</v>
      </c>
      <c r="L2796" t="s">
        <v>97</v>
      </c>
      <c r="M2796" t="s">
        <v>27</v>
      </c>
      <c r="P2796" t="s">
        <v>28</v>
      </c>
      <c r="Q2796" t="s">
        <v>12053</v>
      </c>
      <c r="R2796" t="s">
        <v>12054</v>
      </c>
      <c r="S2796" t="s">
        <v>31</v>
      </c>
      <c r="T2796">
        <v>0</v>
      </c>
    </row>
    <row r="2797" spans="1:20" x14ac:dyDescent="0.25">
      <c r="A2797" t="s">
        <v>12055</v>
      </c>
      <c r="B2797" s="1">
        <v>45833</v>
      </c>
      <c r="C2797" s="5">
        <v>0.50017361111111114</v>
      </c>
      <c r="D2797">
        <v>101.99</v>
      </c>
      <c r="E2797" t="s">
        <v>44</v>
      </c>
      <c r="F2797" t="s">
        <v>5732</v>
      </c>
      <c r="G2797" t="s">
        <v>96</v>
      </c>
      <c r="H2797" t="s">
        <v>47</v>
      </c>
      <c r="I2797" t="s">
        <v>12056</v>
      </c>
      <c r="J2797">
        <v>29</v>
      </c>
      <c r="K2797" t="s">
        <v>49</v>
      </c>
      <c r="L2797" t="s">
        <v>50</v>
      </c>
      <c r="M2797" t="s">
        <v>27</v>
      </c>
      <c r="P2797" t="s">
        <v>28</v>
      </c>
      <c r="Q2797" t="s">
        <v>12057</v>
      </c>
      <c r="R2797" t="s">
        <v>12058</v>
      </c>
      <c r="S2797" t="s">
        <v>31</v>
      </c>
      <c r="T2797">
        <v>0</v>
      </c>
    </row>
    <row r="2798" spans="1:20" x14ac:dyDescent="0.25">
      <c r="A2798" t="s">
        <v>12059</v>
      </c>
      <c r="B2798" s="1">
        <v>45876</v>
      </c>
      <c r="C2798" s="5">
        <v>0.36062499999999997</v>
      </c>
      <c r="D2798">
        <v>122.8</v>
      </c>
      <c r="E2798" t="s">
        <v>44</v>
      </c>
      <c r="F2798" t="s">
        <v>6213</v>
      </c>
      <c r="G2798" t="s">
        <v>64</v>
      </c>
      <c r="H2798" t="s">
        <v>97</v>
      </c>
      <c r="I2798" t="s">
        <v>12060</v>
      </c>
      <c r="J2798">
        <v>32</v>
      </c>
      <c r="K2798" t="s">
        <v>49</v>
      </c>
      <c r="L2798" t="s">
        <v>110</v>
      </c>
      <c r="M2798" t="s">
        <v>51</v>
      </c>
      <c r="N2798" t="s">
        <v>173</v>
      </c>
      <c r="O2798">
        <v>454068</v>
      </c>
      <c r="P2798" t="s">
        <v>28</v>
      </c>
      <c r="Q2798" t="s">
        <v>12061</v>
      </c>
      <c r="R2798" t="s">
        <v>12062</v>
      </c>
      <c r="S2798" t="s">
        <v>31</v>
      </c>
      <c r="T2798">
        <v>1</v>
      </c>
    </row>
    <row r="2799" spans="1:20" x14ac:dyDescent="0.25">
      <c r="A2799" t="s">
        <v>12063</v>
      </c>
      <c r="B2799" s="1">
        <v>45915</v>
      </c>
      <c r="C2799" s="5">
        <v>0.56055555555555558</v>
      </c>
      <c r="D2799">
        <v>119.8</v>
      </c>
      <c r="E2799" t="s">
        <v>44</v>
      </c>
      <c r="F2799" t="s">
        <v>7871</v>
      </c>
      <c r="G2799" t="s">
        <v>64</v>
      </c>
      <c r="H2799" t="s">
        <v>47</v>
      </c>
      <c r="I2799" t="s">
        <v>12064</v>
      </c>
      <c r="K2799" t="s">
        <v>49</v>
      </c>
      <c r="L2799" t="s">
        <v>130</v>
      </c>
      <c r="M2799" t="s">
        <v>27</v>
      </c>
      <c r="P2799" t="s">
        <v>28</v>
      </c>
      <c r="Q2799" t="s">
        <v>12065</v>
      </c>
      <c r="R2799" t="s">
        <v>12066</v>
      </c>
      <c r="S2799" t="s">
        <v>31</v>
      </c>
      <c r="T2799">
        <v>0</v>
      </c>
    </row>
    <row r="2800" spans="1:20" x14ac:dyDescent="0.25">
      <c r="A2800" t="s">
        <v>12067</v>
      </c>
      <c r="B2800" s="1">
        <v>45821</v>
      </c>
      <c r="C2800" s="5">
        <v>0.21158564814814815</v>
      </c>
      <c r="D2800">
        <v>118.59</v>
      </c>
      <c r="E2800" t="s">
        <v>44</v>
      </c>
      <c r="F2800" t="s">
        <v>4816</v>
      </c>
      <c r="G2800" t="s">
        <v>64</v>
      </c>
      <c r="H2800" t="s">
        <v>35</v>
      </c>
      <c r="I2800" t="s">
        <v>12068</v>
      </c>
      <c r="J2800">
        <v>18</v>
      </c>
      <c r="K2800" t="s">
        <v>37</v>
      </c>
      <c r="L2800" t="s">
        <v>47</v>
      </c>
      <c r="M2800" t="s">
        <v>51</v>
      </c>
      <c r="N2800" t="s">
        <v>304</v>
      </c>
      <c r="O2800">
        <v>517768</v>
      </c>
      <c r="P2800" t="s">
        <v>28</v>
      </c>
      <c r="Q2800" t="s">
        <v>12069</v>
      </c>
      <c r="R2800" t="s">
        <v>7294</v>
      </c>
      <c r="S2800" t="s">
        <v>42</v>
      </c>
      <c r="T2800">
        <v>0</v>
      </c>
    </row>
    <row r="2801" spans="1:20" x14ac:dyDescent="0.25">
      <c r="A2801" t="s">
        <v>12070</v>
      </c>
      <c r="B2801" s="1">
        <v>45780</v>
      </c>
      <c r="C2801" s="5">
        <v>0.6404050925925926</v>
      </c>
      <c r="D2801">
        <v>50.34</v>
      </c>
      <c r="E2801" t="s">
        <v>44</v>
      </c>
      <c r="F2801" t="s">
        <v>2481</v>
      </c>
      <c r="G2801" t="s">
        <v>46</v>
      </c>
      <c r="H2801" t="s">
        <v>35</v>
      </c>
      <c r="I2801" t="s">
        <v>12071</v>
      </c>
      <c r="J2801">
        <v>70</v>
      </c>
      <c r="K2801" t="s">
        <v>49</v>
      </c>
      <c r="L2801" t="s">
        <v>91</v>
      </c>
      <c r="M2801" t="s">
        <v>105</v>
      </c>
      <c r="P2801" t="s">
        <v>28</v>
      </c>
      <c r="Q2801" t="s">
        <v>12072</v>
      </c>
      <c r="R2801" t="s">
        <v>12073</v>
      </c>
      <c r="S2801" t="s">
        <v>31</v>
      </c>
      <c r="T2801">
        <v>0</v>
      </c>
    </row>
    <row r="2802" spans="1:20" x14ac:dyDescent="0.25">
      <c r="A2802" t="s">
        <v>12074</v>
      </c>
      <c r="B2802" s="1">
        <v>45909</v>
      </c>
      <c r="C2802" s="5">
        <v>0.45760416666666665</v>
      </c>
      <c r="D2802">
        <v>154.46</v>
      </c>
      <c r="E2802" t="s">
        <v>44</v>
      </c>
      <c r="F2802" t="s">
        <v>495</v>
      </c>
      <c r="G2802" t="s">
        <v>64</v>
      </c>
      <c r="H2802" t="s">
        <v>110</v>
      </c>
      <c r="I2802" t="s">
        <v>12075</v>
      </c>
      <c r="J2802">
        <v>56</v>
      </c>
      <c r="K2802" t="s">
        <v>49</v>
      </c>
      <c r="L2802" t="s">
        <v>23</v>
      </c>
      <c r="M2802" t="s">
        <v>39</v>
      </c>
      <c r="P2802" t="s">
        <v>28</v>
      </c>
      <c r="Q2802" t="s">
        <v>12076</v>
      </c>
      <c r="R2802" t="s">
        <v>12077</v>
      </c>
      <c r="S2802" t="s">
        <v>31</v>
      </c>
      <c r="T2802">
        <v>0</v>
      </c>
    </row>
    <row r="2803" spans="1:20" x14ac:dyDescent="0.25">
      <c r="A2803" t="s">
        <v>12078</v>
      </c>
      <c r="B2803" s="1">
        <v>45824</v>
      </c>
      <c r="C2803" s="5">
        <v>0.31134259259259262</v>
      </c>
      <c r="D2803">
        <v>57.67</v>
      </c>
      <c r="E2803" t="s">
        <v>44</v>
      </c>
      <c r="F2803" t="s">
        <v>1869</v>
      </c>
      <c r="G2803" t="s">
        <v>34</v>
      </c>
      <c r="H2803" t="s">
        <v>38</v>
      </c>
      <c r="I2803" t="s">
        <v>12079</v>
      </c>
      <c r="J2803">
        <v>27</v>
      </c>
      <c r="K2803" t="s">
        <v>49</v>
      </c>
      <c r="L2803" t="s">
        <v>119</v>
      </c>
      <c r="M2803" t="s">
        <v>39</v>
      </c>
      <c r="P2803" t="s">
        <v>28</v>
      </c>
      <c r="Q2803" t="s">
        <v>12080</v>
      </c>
      <c r="R2803" t="s">
        <v>12081</v>
      </c>
      <c r="S2803" t="s">
        <v>31</v>
      </c>
      <c r="T2803">
        <v>0</v>
      </c>
    </row>
    <row r="2804" spans="1:20" x14ac:dyDescent="0.25">
      <c r="A2804" t="s">
        <v>12082</v>
      </c>
      <c r="B2804" s="1">
        <v>45879</v>
      </c>
      <c r="C2804" s="5">
        <v>0.1222337962962963</v>
      </c>
      <c r="D2804">
        <v>110.75</v>
      </c>
      <c r="E2804" t="s">
        <v>44</v>
      </c>
      <c r="F2804" t="s">
        <v>7408</v>
      </c>
      <c r="G2804" t="s">
        <v>77</v>
      </c>
      <c r="H2804" t="s">
        <v>38</v>
      </c>
      <c r="I2804" t="s">
        <v>12083</v>
      </c>
      <c r="J2804">
        <v>35</v>
      </c>
      <c r="K2804" t="s">
        <v>49</v>
      </c>
      <c r="L2804" t="s">
        <v>38</v>
      </c>
      <c r="M2804" t="s">
        <v>84</v>
      </c>
      <c r="P2804" t="s">
        <v>113</v>
      </c>
      <c r="Q2804" t="s">
        <v>12084</v>
      </c>
      <c r="R2804" t="s">
        <v>12085</v>
      </c>
      <c r="S2804" t="s">
        <v>31</v>
      </c>
      <c r="T2804">
        <v>0</v>
      </c>
    </row>
    <row r="2805" spans="1:20" x14ac:dyDescent="0.25">
      <c r="A2805" t="s">
        <v>12086</v>
      </c>
      <c r="B2805" s="1">
        <v>45859</v>
      </c>
      <c r="C2805" s="5">
        <v>0.44987268518518519</v>
      </c>
      <c r="D2805">
        <v>670.21</v>
      </c>
      <c r="E2805" t="s">
        <v>44</v>
      </c>
      <c r="F2805" t="s">
        <v>6596</v>
      </c>
      <c r="G2805" t="s">
        <v>64</v>
      </c>
      <c r="H2805" t="s">
        <v>248</v>
      </c>
      <c r="I2805" t="s">
        <v>12087</v>
      </c>
      <c r="J2805">
        <v>37</v>
      </c>
      <c r="K2805" t="s">
        <v>49</v>
      </c>
      <c r="L2805" t="s">
        <v>50</v>
      </c>
      <c r="M2805" t="s">
        <v>112</v>
      </c>
      <c r="P2805" t="s">
        <v>28</v>
      </c>
      <c r="Q2805" t="s">
        <v>12088</v>
      </c>
      <c r="R2805" t="s">
        <v>12089</v>
      </c>
      <c r="S2805" t="s">
        <v>31</v>
      </c>
      <c r="T2805">
        <v>0</v>
      </c>
    </row>
    <row r="2806" spans="1:20" x14ac:dyDescent="0.25">
      <c r="A2806" t="s">
        <v>12090</v>
      </c>
      <c r="B2806" s="1">
        <v>45951</v>
      </c>
      <c r="C2806" s="5">
        <v>2.1909722222222223E-2</v>
      </c>
      <c r="D2806">
        <v>866.52</v>
      </c>
      <c r="E2806" t="s">
        <v>44</v>
      </c>
      <c r="F2806" t="s">
        <v>6949</v>
      </c>
      <c r="G2806" t="s">
        <v>34</v>
      </c>
      <c r="H2806" t="s">
        <v>35</v>
      </c>
      <c r="I2806" t="s">
        <v>12091</v>
      </c>
      <c r="J2806">
        <v>21</v>
      </c>
      <c r="K2806" t="s">
        <v>37</v>
      </c>
      <c r="L2806" t="s">
        <v>130</v>
      </c>
      <c r="M2806" t="s">
        <v>112</v>
      </c>
      <c r="P2806" t="s">
        <v>28</v>
      </c>
      <c r="Q2806" t="s">
        <v>12092</v>
      </c>
      <c r="R2806" t="s">
        <v>12093</v>
      </c>
      <c r="S2806" t="s">
        <v>31</v>
      </c>
      <c r="T2806">
        <v>0</v>
      </c>
    </row>
    <row r="2807" spans="1:20" x14ac:dyDescent="0.25">
      <c r="A2807" t="s">
        <v>12094</v>
      </c>
      <c r="B2807" s="1">
        <v>45929</v>
      </c>
      <c r="C2807" s="5">
        <v>3.1099537037037037E-2</v>
      </c>
      <c r="D2807">
        <v>176.81</v>
      </c>
      <c r="E2807" t="s">
        <v>44</v>
      </c>
      <c r="F2807" t="s">
        <v>5512</v>
      </c>
      <c r="G2807" t="s">
        <v>124</v>
      </c>
      <c r="H2807" t="s">
        <v>110</v>
      </c>
      <c r="I2807" t="s">
        <v>12095</v>
      </c>
      <c r="J2807">
        <v>34</v>
      </c>
      <c r="K2807" t="s">
        <v>37</v>
      </c>
      <c r="L2807" t="s">
        <v>110</v>
      </c>
      <c r="M2807" t="s">
        <v>84</v>
      </c>
      <c r="P2807" t="s">
        <v>113</v>
      </c>
      <c r="Q2807" t="s">
        <v>12096</v>
      </c>
      <c r="R2807" t="s">
        <v>12097</v>
      </c>
      <c r="S2807" t="s">
        <v>31</v>
      </c>
      <c r="T2807">
        <v>0</v>
      </c>
    </row>
    <row r="2808" spans="1:20" x14ac:dyDescent="0.25">
      <c r="A2808" t="s">
        <v>12098</v>
      </c>
      <c r="B2808" s="1">
        <v>45871</v>
      </c>
      <c r="C2808" s="5">
        <v>0.60315972222222225</v>
      </c>
      <c r="D2808">
        <v>141.69</v>
      </c>
      <c r="E2808" t="s">
        <v>44</v>
      </c>
      <c r="F2808" t="s">
        <v>384</v>
      </c>
      <c r="G2808" t="s">
        <v>124</v>
      </c>
      <c r="H2808" t="s">
        <v>47</v>
      </c>
      <c r="I2808" t="s">
        <v>12099</v>
      </c>
      <c r="J2808">
        <v>51</v>
      </c>
      <c r="K2808" t="s">
        <v>49</v>
      </c>
      <c r="L2808" t="s">
        <v>23</v>
      </c>
      <c r="M2808" t="s">
        <v>105</v>
      </c>
      <c r="P2808" t="s">
        <v>28</v>
      </c>
      <c r="Q2808" t="s">
        <v>12100</v>
      </c>
      <c r="R2808" t="s">
        <v>12101</v>
      </c>
      <c r="S2808" t="s">
        <v>31</v>
      </c>
      <c r="T2808">
        <v>0</v>
      </c>
    </row>
    <row r="2809" spans="1:20" x14ac:dyDescent="0.25">
      <c r="A2809" t="s">
        <v>12102</v>
      </c>
      <c r="B2809" s="1">
        <v>45892</v>
      </c>
      <c r="C2809" s="5">
        <v>0.41856481481481483</v>
      </c>
      <c r="D2809">
        <v>184.98</v>
      </c>
      <c r="E2809" t="s">
        <v>44</v>
      </c>
      <c r="F2809" t="s">
        <v>8937</v>
      </c>
      <c r="G2809" t="s">
        <v>77</v>
      </c>
      <c r="H2809" t="s">
        <v>35</v>
      </c>
      <c r="I2809" t="s">
        <v>12103</v>
      </c>
      <c r="J2809">
        <v>25</v>
      </c>
      <c r="K2809" t="s">
        <v>25</v>
      </c>
      <c r="L2809" t="s">
        <v>130</v>
      </c>
      <c r="M2809" t="s">
        <v>112</v>
      </c>
      <c r="P2809" t="s">
        <v>28</v>
      </c>
      <c r="Q2809" t="s">
        <v>12104</v>
      </c>
      <c r="R2809" t="s">
        <v>12105</v>
      </c>
      <c r="S2809" t="s">
        <v>31</v>
      </c>
      <c r="T2809">
        <v>0</v>
      </c>
    </row>
    <row r="2810" spans="1:20" x14ac:dyDescent="0.25">
      <c r="A2810" t="s">
        <v>12106</v>
      </c>
      <c r="B2810" s="1">
        <v>45849</v>
      </c>
      <c r="C2810" s="5">
        <v>0.87011574074074072</v>
      </c>
      <c r="D2810">
        <v>4762.05</v>
      </c>
      <c r="E2810" t="s">
        <v>44</v>
      </c>
      <c r="F2810" t="s">
        <v>11084</v>
      </c>
      <c r="G2810" t="s">
        <v>57</v>
      </c>
      <c r="H2810" t="s">
        <v>110</v>
      </c>
      <c r="I2810" t="s">
        <v>12107</v>
      </c>
      <c r="J2810">
        <v>35</v>
      </c>
      <c r="K2810" t="s">
        <v>25</v>
      </c>
      <c r="L2810" t="s">
        <v>26</v>
      </c>
      <c r="M2810" t="s">
        <v>105</v>
      </c>
      <c r="P2810" t="s">
        <v>28</v>
      </c>
      <c r="Q2810" t="s">
        <v>12108</v>
      </c>
      <c r="R2810" t="s">
        <v>12109</v>
      </c>
      <c r="S2810" t="s">
        <v>31</v>
      </c>
      <c r="T2810">
        <v>0</v>
      </c>
    </row>
    <row r="2811" spans="1:20" x14ac:dyDescent="0.25">
      <c r="A2811" t="s">
        <v>12110</v>
      </c>
      <c r="B2811" s="1">
        <v>45953</v>
      </c>
      <c r="C2811" s="5">
        <v>0.77344907407407404</v>
      </c>
      <c r="D2811">
        <v>133.09</v>
      </c>
      <c r="E2811" t="s">
        <v>44</v>
      </c>
      <c r="F2811" t="s">
        <v>7391</v>
      </c>
      <c r="G2811" t="s">
        <v>46</v>
      </c>
      <c r="H2811" t="s">
        <v>110</v>
      </c>
      <c r="I2811" t="s">
        <v>12111</v>
      </c>
      <c r="J2811">
        <v>56</v>
      </c>
      <c r="K2811" t="s">
        <v>49</v>
      </c>
      <c r="L2811" t="s">
        <v>91</v>
      </c>
      <c r="M2811" t="s">
        <v>105</v>
      </c>
      <c r="P2811" t="s">
        <v>28</v>
      </c>
      <c r="Q2811" t="s">
        <v>12112</v>
      </c>
      <c r="R2811" t="s">
        <v>12113</v>
      </c>
      <c r="S2811" t="s">
        <v>42</v>
      </c>
      <c r="T2811">
        <v>0</v>
      </c>
    </row>
    <row r="2812" spans="1:20" x14ac:dyDescent="0.25">
      <c r="A2812" t="s">
        <v>12114</v>
      </c>
      <c r="B2812" s="1">
        <v>45879</v>
      </c>
      <c r="C2812" s="5">
        <v>5.9097222222222225E-2</v>
      </c>
      <c r="D2812">
        <v>116.44</v>
      </c>
      <c r="E2812" t="s">
        <v>44</v>
      </c>
      <c r="F2812" t="s">
        <v>88</v>
      </c>
      <c r="G2812" t="s">
        <v>57</v>
      </c>
      <c r="H2812" t="s">
        <v>58</v>
      </c>
      <c r="I2812" t="s">
        <v>12115</v>
      </c>
      <c r="J2812">
        <v>22</v>
      </c>
      <c r="K2812" t="s">
        <v>49</v>
      </c>
      <c r="L2812" t="s">
        <v>66</v>
      </c>
      <c r="M2812" t="s">
        <v>27</v>
      </c>
      <c r="P2812" t="s">
        <v>28</v>
      </c>
      <c r="Q2812" t="s">
        <v>12116</v>
      </c>
      <c r="R2812" t="s">
        <v>12117</v>
      </c>
      <c r="S2812" t="s">
        <v>31</v>
      </c>
      <c r="T2812">
        <v>0</v>
      </c>
    </row>
    <row r="2813" spans="1:20" x14ac:dyDescent="0.25">
      <c r="A2813" t="s">
        <v>12118</v>
      </c>
      <c r="B2813" s="1">
        <v>45901</v>
      </c>
      <c r="C2813" s="5">
        <v>0.14651620370370369</v>
      </c>
      <c r="D2813">
        <v>372.26</v>
      </c>
      <c r="E2813" t="s">
        <v>44</v>
      </c>
      <c r="F2813" t="s">
        <v>5782</v>
      </c>
      <c r="G2813" t="s">
        <v>89</v>
      </c>
      <c r="H2813" t="s">
        <v>38</v>
      </c>
      <c r="I2813" t="s">
        <v>12119</v>
      </c>
      <c r="J2813">
        <v>18</v>
      </c>
      <c r="K2813" t="s">
        <v>25</v>
      </c>
      <c r="L2813" t="s">
        <v>35</v>
      </c>
      <c r="M2813" t="s">
        <v>112</v>
      </c>
      <c r="P2813" t="s">
        <v>28</v>
      </c>
      <c r="Q2813" t="s">
        <v>12120</v>
      </c>
      <c r="R2813" t="s">
        <v>12121</v>
      </c>
      <c r="S2813" t="s">
        <v>31</v>
      </c>
      <c r="T2813">
        <v>0</v>
      </c>
    </row>
    <row r="2814" spans="1:20" x14ac:dyDescent="0.25">
      <c r="A2814" t="s">
        <v>12122</v>
      </c>
      <c r="B2814" s="1">
        <v>45822</v>
      </c>
      <c r="C2814" s="5">
        <v>0.30401620370370369</v>
      </c>
      <c r="D2814">
        <v>3785.52</v>
      </c>
      <c r="E2814" t="s">
        <v>44</v>
      </c>
      <c r="F2814" t="s">
        <v>673</v>
      </c>
      <c r="G2814" t="s">
        <v>57</v>
      </c>
      <c r="H2814" t="s">
        <v>66</v>
      </c>
      <c r="I2814" t="s">
        <v>12123</v>
      </c>
      <c r="J2814">
        <v>35</v>
      </c>
      <c r="K2814" t="s">
        <v>25</v>
      </c>
      <c r="L2814" t="s">
        <v>97</v>
      </c>
      <c r="M2814" t="s">
        <v>84</v>
      </c>
      <c r="P2814" t="s">
        <v>28</v>
      </c>
      <c r="Q2814" t="s">
        <v>12124</v>
      </c>
      <c r="R2814" t="s">
        <v>12125</v>
      </c>
      <c r="S2814" t="s">
        <v>31</v>
      </c>
      <c r="T2814">
        <v>0</v>
      </c>
    </row>
    <row r="2815" spans="1:20" x14ac:dyDescent="0.25">
      <c r="A2815" t="s">
        <v>12126</v>
      </c>
      <c r="B2815" s="1">
        <v>45823</v>
      </c>
      <c r="C2815" s="5">
        <v>0.55005787037037035</v>
      </c>
      <c r="D2815">
        <v>4.58</v>
      </c>
      <c r="E2815" t="s">
        <v>44</v>
      </c>
      <c r="F2815" t="s">
        <v>4532</v>
      </c>
      <c r="G2815" t="s">
        <v>64</v>
      </c>
      <c r="H2815" t="s">
        <v>110</v>
      </c>
      <c r="I2815" t="s">
        <v>12127</v>
      </c>
      <c r="J2815">
        <v>70</v>
      </c>
      <c r="K2815" t="s">
        <v>25</v>
      </c>
      <c r="L2815" t="s">
        <v>50</v>
      </c>
      <c r="M2815" t="s">
        <v>84</v>
      </c>
      <c r="P2815" t="s">
        <v>28</v>
      </c>
      <c r="Q2815" t="s">
        <v>12128</v>
      </c>
      <c r="R2815" t="s">
        <v>12129</v>
      </c>
      <c r="S2815" t="s">
        <v>31</v>
      </c>
      <c r="T2815">
        <v>0</v>
      </c>
    </row>
    <row r="2816" spans="1:20" x14ac:dyDescent="0.25">
      <c r="A2816" t="s">
        <v>12130</v>
      </c>
      <c r="B2816" s="1">
        <v>45857</v>
      </c>
      <c r="C2816" s="5">
        <v>0.63292824074074072</v>
      </c>
      <c r="D2816">
        <v>35.86</v>
      </c>
      <c r="E2816" t="s">
        <v>44</v>
      </c>
      <c r="F2816" t="s">
        <v>3243</v>
      </c>
      <c r="G2816" t="s">
        <v>89</v>
      </c>
      <c r="H2816" t="s">
        <v>47</v>
      </c>
      <c r="I2816" t="s">
        <v>12131</v>
      </c>
      <c r="J2816">
        <v>39</v>
      </c>
      <c r="K2816" t="s">
        <v>25</v>
      </c>
      <c r="L2816" t="s">
        <v>50</v>
      </c>
      <c r="M2816" t="s">
        <v>51</v>
      </c>
      <c r="N2816" t="s">
        <v>304</v>
      </c>
      <c r="O2816">
        <v>445673</v>
      </c>
      <c r="P2816" t="s">
        <v>28</v>
      </c>
      <c r="Q2816" t="s">
        <v>12132</v>
      </c>
      <c r="R2816" t="s">
        <v>12133</v>
      </c>
      <c r="S2816" t="s">
        <v>31</v>
      </c>
      <c r="T2816">
        <v>0</v>
      </c>
    </row>
    <row r="2817" spans="1:20" x14ac:dyDescent="0.25">
      <c r="A2817" t="s">
        <v>12134</v>
      </c>
      <c r="B2817" s="1">
        <v>45800</v>
      </c>
      <c r="C2817" s="5">
        <v>4.5925925925925926E-2</v>
      </c>
      <c r="D2817">
        <v>142.79</v>
      </c>
      <c r="E2817" t="s">
        <v>44</v>
      </c>
      <c r="F2817" t="s">
        <v>3763</v>
      </c>
      <c r="G2817" t="s">
        <v>57</v>
      </c>
      <c r="H2817" t="s">
        <v>248</v>
      </c>
      <c r="I2817" t="s">
        <v>12135</v>
      </c>
      <c r="J2817">
        <v>61</v>
      </c>
      <c r="K2817" t="s">
        <v>37</v>
      </c>
      <c r="L2817" t="s">
        <v>97</v>
      </c>
      <c r="M2817" t="s">
        <v>112</v>
      </c>
      <c r="P2817" t="s">
        <v>28</v>
      </c>
      <c r="Q2817" t="s">
        <v>12136</v>
      </c>
      <c r="R2817" t="s">
        <v>12137</v>
      </c>
      <c r="S2817" t="s">
        <v>31</v>
      </c>
      <c r="T2817">
        <v>0</v>
      </c>
    </row>
    <row r="2818" spans="1:20" x14ac:dyDescent="0.25">
      <c r="A2818" t="s">
        <v>12138</v>
      </c>
      <c r="B2818" s="1">
        <v>45821</v>
      </c>
      <c r="C2818" s="5">
        <v>0.54693287037037042</v>
      </c>
      <c r="D2818">
        <v>85.7</v>
      </c>
      <c r="E2818" t="s">
        <v>44</v>
      </c>
      <c r="F2818" t="s">
        <v>1607</v>
      </c>
      <c r="G2818" t="s">
        <v>64</v>
      </c>
      <c r="H2818" t="s">
        <v>248</v>
      </c>
      <c r="I2818" t="s">
        <v>4044</v>
      </c>
      <c r="J2818">
        <v>42</v>
      </c>
      <c r="K2818" t="s">
        <v>25</v>
      </c>
      <c r="L2818" t="s">
        <v>248</v>
      </c>
      <c r="M2818" t="s">
        <v>112</v>
      </c>
      <c r="P2818" t="s">
        <v>113</v>
      </c>
      <c r="Q2818" t="s">
        <v>12139</v>
      </c>
      <c r="R2818" t="s">
        <v>12140</v>
      </c>
      <c r="S2818" t="s">
        <v>31</v>
      </c>
      <c r="T2818">
        <v>0</v>
      </c>
    </row>
    <row r="2819" spans="1:20" x14ac:dyDescent="0.25">
      <c r="A2819" t="s">
        <v>12141</v>
      </c>
      <c r="B2819" s="1">
        <v>45867</v>
      </c>
      <c r="C2819" s="5">
        <v>0.1171875</v>
      </c>
      <c r="D2819">
        <v>162.33000000000001</v>
      </c>
      <c r="E2819" t="s">
        <v>44</v>
      </c>
      <c r="F2819" t="s">
        <v>978</v>
      </c>
      <c r="G2819" t="s">
        <v>96</v>
      </c>
      <c r="H2819" t="s">
        <v>50</v>
      </c>
      <c r="I2819" t="s">
        <v>12142</v>
      </c>
      <c r="J2819">
        <v>49</v>
      </c>
      <c r="K2819" t="s">
        <v>37</v>
      </c>
      <c r="L2819" t="s">
        <v>38</v>
      </c>
      <c r="M2819" t="s">
        <v>51</v>
      </c>
      <c r="N2819" t="s">
        <v>345</v>
      </c>
      <c r="O2819">
        <v>521828</v>
      </c>
      <c r="P2819" t="s">
        <v>28</v>
      </c>
      <c r="Q2819" t="s">
        <v>12143</v>
      </c>
      <c r="R2819" t="s">
        <v>12144</v>
      </c>
      <c r="S2819" t="s">
        <v>31</v>
      </c>
      <c r="T2819">
        <v>0</v>
      </c>
    </row>
    <row r="2820" spans="1:20" x14ac:dyDescent="0.25">
      <c r="A2820" t="s">
        <v>12145</v>
      </c>
      <c r="B2820" s="1">
        <v>45869</v>
      </c>
      <c r="C2820" s="5">
        <v>0.25599537037037035</v>
      </c>
      <c r="D2820">
        <v>142.35</v>
      </c>
      <c r="E2820" t="s">
        <v>44</v>
      </c>
      <c r="F2820" t="s">
        <v>7533</v>
      </c>
      <c r="G2820" t="s">
        <v>77</v>
      </c>
      <c r="H2820" t="s">
        <v>130</v>
      </c>
      <c r="I2820" t="s">
        <v>12146</v>
      </c>
      <c r="J2820">
        <v>41</v>
      </c>
      <c r="K2820" t="s">
        <v>37</v>
      </c>
      <c r="L2820" t="s">
        <v>35</v>
      </c>
      <c r="M2820" t="s">
        <v>105</v>
      </c>
      <c r="P2820" t="s">
        <v>28</v>
      </c>
      <c r="Q2820" t="s">
        <v>12147</v>
      </c>
      <c r="R2820" t="s">
        <v>12148</v>
      </c>
      <c r="S2820" t="s">
        <v>31</v>
      </c>
      <c r="T2820">
        <v>0</v>
      </c>
    </row>
    <row r="2821" spans="1:20" x14ac:dyDescent="0.25">
      <c r="A2821" t="s">
        <v>12149</v>
      </c>
      <c r="B2821" s="1">
        <v>45824</v>
      </c>
      <c r="C2821" s="5">
        <v>0.9854398148148148</v>
      </c>
      <c r="D2821">
        <v>144.76</v>
      </c>
      <c r="E2821" t="s">
        <v>44</v>
      </c>
      <c r="F2821" t="s">
        <v>839</v>
      </c>
      <c r="G2821" t="s">
        <v>96</v>
      </c>
      <c r="H2821" t="s">
        <v>50</v>
      </c>
      <c r="I2821" t="s">
        <v>12150</v>
      </c>
      <c r="J2821">
        <v>32</v>
      </c>
      <c r="K2821" t="s">
        <v>37</v>
      </c>
      <c r="L2821" t="s">
        <v>47</v>
      </c>
      <c r="M2821" t="s">
        <v>112</v>
      </c>
      <c r="P2821" t="s">
        <v>28</v>
      </c>
      <c r="Q2821" t="s">
        <v>12151</v>
      </c>
      <c r="R2821" t="s">
        <v>12152</v>
      </c>
      <c r="S2821" t="s">
        <v>31</v>
      </c>
      <c r="T2821">
        <v>0</v>
      </c>
    </row>
    <row r="2822" spans="1:20" x14ac:dyDescent="0.25">
      <c r="A2822" t="s">
        <v>12153</v>
      </c>
      <c r="B2822" s="1">
        <v>45859</v>
      </c>
      <c r="C2822" s="5">
        <v>1.2372685185185184E-2</v>
      </c>
      <c r="D2822">
        <v>437.46</v>
      </c>
      <c r="E2822" t="s">
        <v>44</v>
      </c>
      <c r="F2822" t="s">
        <v>908</v>
      </c>
      <c r="G2822" t="s">
        <v>46</v>
      </c>
      <c r="H2822" t="s">
        <v>66</v>
      </c>
      <c r="I2822" t="s">
        <v>12154</v>
      </c>
      <c r="J2822">
        <v>56</v>
      </c>
      <c r="K2822" t="s">
        <v>25</v>
      </c>
      <c r="L2822" t="s">
        <v>50</v>
      </c>
      <c r="M2822" t="s">
        <v>27</v>
      </c>
      <c r="P2822" t="s">
        <v>28</v>
      </c>
      <c r="Q2822" t="s">
        <v>12155</v>
      </c>
      <c r="R2822" t="s">
        <v>12156</v>
      </c>
      <c r="S2822" t="s">
        <v>31</v>
      </c>
      <c r="T2822">
        <v>0</v>
      </c>
    </row>
    <row r="2823" spans="1:20" x14ac:dyDescent="0.25">
      <c r="A2823" t="s">
        <v>12157</v>
      </c>
      <c r="B2823" s="1">
        <v>45887</v>
      </c>
      <c r="C2823" s="5">
        <v>0.58804398148148151</v>
      </c>
      <c r="D2823">
        <v>67.739999999999995</v>
      </c>
      <c r="E2823" t="s">
        <v>44</v>
      </c>
      <c r="F2823" t="s">
        <v>5295</v>
      </c>
      <c r="G2823" t="s">
        <v>57</v>
      </c>
      <c r="H2823" t="s">
        <v>35</v>
      </c>
      <c r="I2823" t="s">
        <v>12158</v>
      </c>
      <c r="J2823">
        <v>20</v>
      </c>
      <c r="K2823" t="s">
        <v>37</v>
      </c>
      <c r="L2823" t="s">
        <v>38</v>
      </c>
      <c r="M2823" t="s">
        <v>105</v>
      </c>
      <c r="P2823" t="s">
        <v>28</v>
      </c>
      <c r="Q2823" t="s">
        <v>12159</v>
      </c>
      <c r="R2823" t="s">
        <v>12160</v>
      </c>
      <c r="S2823" t="s">
        <v>31</v>
      </c>
      <c r="T2823">
        <v>0</v>
      </c>
    </row>
    <row r="2824" spans="1:20" x14ac:dyDescent="0.25">
      <c r="A2824" t="s">
        <v>12161</v>
      </c>
      <c r="B2824" s="1">
        <v>45839</v>
      </c>
      <c r="C2824" s="5">
        <v>0.98866898148148152</v>
      </c>
      <c r="D2824">
        <v>4.93</v>
      </c>
      <c r="E2824" t="s">
        <v>44</v>
      </c>
      <c r="F2824" t="s">
        <v>7586</v>
      </c>
      <c r="G2824" t="s">
        <v>71</v>
      </c>
      <c r="H2824" t="s">
        <v>58</v>
      </c>
      <c r="I2824" t="s">
        <v>12162</v>
      </c>
      <c r="J2824">
        <v>20</v>
      </c>
      <c r="K2824" t="s">
        <v>25</v>
      </c>
      <c r="L2824" t="s">
        <v>248</v>
      </c>
      <c r="M2824" t="s">
        <v>105</v>
      </c>
      <c r="P2824" t="s">
        <v>28</v>
      </c>
      <c r="Q2824" t="s">
        <v>12163</v>
      </c>
      <c r="R2824" t="s">
        <v>12164</v>
      </c>
      <c r="S2824" t="s">
        <v>31</v>
      </c>
      <c r="T2824">
        <v>0</v>
      </c>
    </row>
    <row r="2825" spans="1:20" x14ac:dyDescent="0.25">
      <c r="A2825" t="s">
        <v>12165</v>
      </c>
      <c r="B2825" s="1">
        <v>45940</v>
      </c>
      <c r="C2825" s="5">
        <v>0.40600694444444446</v>
      </c>
      <c r="D2825">
        <v>14</v>
      </c>
      <c r="E2825" t="s">
        <v>44</v>
      </c>
      <c r="F2825" t="s">
        <v>1331</v>
      </c>
      <c r="G2825" t="s">
        <v>77</v>
      </c>
      <c r="H2825" t="s">
        <v>47</v>
      </c>
      <c r="I2825" t="s">
        <v>12166</v>
      </c>
      <c r="J2825">
        <v>71</v>
      </c>
      <c r="K2825" t="s">
        <v>37</v>
      </c>
      <c r="L2825" t="s">
        <v>23</v>
      </c>
      <c r="M2825" t="s">
        <v>51</v>
      </c>
      <c r="N2825" t="s">
        <v>52</v>
      </c>
      <c r="O2825">
        <v>536008</v>
      </c>
      <c r="P2825" t="s">
        <v>28</v>
      </c>
      <c r="Q2825" t="s">
        <v>12167</v>
      </c>
      <c r="R2825" t="s">
        <v>12168</v>
      </c>
      <c r="S2825" t="s">
        <v>42</v>
      </c>
      <c r="T2825">
        <v>0</v>
      </c>
    </row>
    <row r="2826" spans="1:20" x14ac:dyDescent="0.25">
      <c r="A2826" t="s">
        <v>12169</v>
      </c>
      <c r="B2826" s="1">
        <v>45940</v>
      </c>
      <c r="C2826" s="5">
        <v>0.71432870370370372</v>
      </c>
      <c r="D2826">
        <v>168.08</v>
      </c>
      <c r="E2826" t="s">
        <v>44</v>
      </c>
      <c r="F2826" t="s">
        <v>8932</v>
      </c>
      <c r="G2826" t="s">
        <v>96</v>
      </c>
      <c r="H2826" t="s">
        <v>119</v>
      </c>
      <c r="I2826" t="s">
        <v>12170</v>
      </c>
      <c r="J2826">
        <v>49</v>
      </c>
      <c r="K2826" t="s">
        <v>25</v>
      </c>
      <c r="L2826" t="s">
        <v>23</v>
      </c>
      <c r="M2826" t="s">
        <v>112</v>
      </c>
      <c r="P2826" t="s">
        <v>28</v>
      </c>
      <c r="Q2826" t="s">
        <v>12171</v>
      </c>
      <c r="R2826" t="s">
        <v>12172</v>
      </c>
      <c r="S2826" t="s">
        <v>31</v>
      </c>
      <c r="T2826">
        <v>0</v>
      </c>
    </row>
    <row r="2827" spans="1:20" x14ac:dyDescent="0.25">
      <c r="A2827" t="s">
        <v>12173</v>
      </c>
      <c r="B2827" s="1">
        <v>45860</v>
      </c>
      <c r="C2827" s="5">
        <v>0.31018518518518517</v>
      </c>
      <c r="D2827">
        <v>16.68</v>
      </c>
      <c r="E2827" t="s">
        <v>44</v>
      </c>
      <c r="F2827" t="s">
        <v>7528</v>
      </c>
      <c r="G2827" t="s">
        <v>22</v>
      </c>
      <c r="H2827" t="s">
        <v>130</v>
      </c>
      <c r="I2827" t="s">
        <v>12174</v>
      </c>
      <c r="J2827">
        <v>74</v>
      </c>
      <c r="K2827" t="s">
        <v>25</v>
      </c>
      <c r="L2827" t="s">
        <v>26</v>
      </c>
      <c r="M2827" t="s">
        <v>51</v>
      </c>
      <c r="N2827" t="s">
        <v>870</v>
      </c>
      <c r="O2827">
        <v>505525</v>
      </c>
      <c r="P2827" t="s">
        <v>28</v>
      </c>
      <c r="Q2827" t="s">
        <v>12175</v>
      </c>
      <c r="R2827" t="s">
        <v>12176</v>
      </c>
      <c r="S2827" t="s">
        <v>31</v>
      </c>
      <c r="T2827">
        <v>0</v>
      </c>
    </row>
    <row r="2828" spans="1:20" x14ac:dyDescent="0.25">
      <c r="A2828" t="s">
        <v>12177</v>
      </c>
      <c r="B2828" s="1">
        <v>45865</v>
      </c>
      <c r="C2828" s="5">
        <v>0.53370370370370368</v>
      </c>
      <c r="D2828">
        <v>973.23</v>
      </c>
      <c r="E2828" t="s">
        <v>44</v>
      </c>
      <c r="F2828" t="s">
        <v>1101</v>
      </c>
      <c r="G2828" t="s">
        <v>22</v>
      </c>
      <c r="H2828" t="s">
        <v>119</v>
      </c>
      <c r="I2828" t="s">
        <v>12178</v>
      </c>
      <c r="J2828">
        <v>41</v>
      </c>
      <c r="K2828" t="s">
        <v>49</v>
      </c>
      <c r="L2828" t="s">
        <v>130</v>
      </c>
      <c r="M2828" t="s">
        <v>84</v>
      </c>
      <c r="P2828" t="s">
        <v>28</v>
      </c>
      <c r="Q2828" t="s">
        <v>12179</v>
      </c>
      <c r="R2828" t="s">
        <v>12180</v>
      </c>
      <c r="S2828" t="s">
        <v>31</v>
      </c>
      <c r="T2828">
        <v>0</v>
      </c>
    </row>
    <row r="2829" spans="1:20" x14ac:dyDescent="0.25">
      <c r="A2829" t="s">
        <v>12181</v>
      </c>
      <c r="B2829" s="1">
        <v>45865</v>
      </c>
      <c r="C2829" s="5">
        <v>0.92282407407407407</v>
      </c>
      <c r="D2829">
        <v>160.02000000000001</v>
      </c>
      <c r="E2829" t="s">
        <v>44</v>
      </c>
      <c r="F2829" t="s">
        <v>6445</v>
      </c>
      <c r="G2829" t="s">
        <v>71</v>
      </c>
      <c r="H2829" t="s">
        <v>248</v>
      </c>
      <c r="I2829" t="s">
        <v>12182</v>
      </c>
      <c r="J2829">
        <v>30</v>
      </c>
      <c r="K2829" t="s">
        <v>37</v>
      </c>
      <c r="L2829" t="s">
        <v>91</v>
      </c>
      <c r="M2829" t="s">
        <v>27</v>
      </c>
      <c r="P2829" t="s">
        <v>28</v>
      </c>
      <c r="Q2829" t="s">
        <v>12183</v>
      </c>
      <c r="R2829" t="s">
        <v>12184</v>
      </c>
      <c r="S2829" t="s">
        <v>31</v>
      </c>
      <c r="T2829">
        <v>0</v>
      </c>
    </row>
    <row r="2830" spans="1:20" x14ac:dyDescent="0.25">
      <c r="A2830" t="s">
        <v>12185</v>
      </c>
      <c r="B2830" s="1">
        <v>45913</v>
      </c>
      <c r="C2830" s="5">
        <v>0.67525462962962968</v>
      </c>
      <c r="D2830">
        <v>191.96</v>
      </c>
      <c r="E2830" t="s">
        <v>44</v>
      </c>
      <c r="F2830" t="s">
        <v>4350</v>
      </c>
      <c r="G2830" t="s">
        <v>124</v>
      </c>
      <c r="H2830" t="s">
        <v>110</v>
      </c>
      <c r="I2830" t="s">
        <v>12186</v>
      </c>
      <c r="J2830">
        <v>47</v>
      </c>
      <c r="K2830" t="s">
        <v>25</v>
      </c>
      <c r="L2830" t="s">
        <v>47</v>
      </c>
      <c r="M2830" t="s">
        <v>27</v>
      </c>
      <c r="P2830" t="s">
        <v>28</v>
      </c>
      <c r="Q2830" t="s">
        <v>12187</v>
      </c>
      <c r="R2830" t="s">
        <v>12188</v>
      </c>
      <c r="S2830" t="s">
        <v>42</v>
      </c>
      <c r="T2830">
        <v>0</v>
      </c>
    </row>
    <row r="2831" spans="1:20" x14ac:dyDescent="0.25">
      <c r="A2831" t="s">
        <v>12189</v>
      </c>
      <c r="B2831" s="1">
        <v>45870</v>
      </c>
      <c r="C2831" s="5">
        <v>0.19085648148148149</v>
      </c>
      <c r="D2831">
        <v>26.35</v>
      </c>
      <c r="E2831" t="s">
        <v>44</v>
      </c>
      <c r="F2831" t="s">
        <v>2781</v>
      </c>
      <c r="G2831" t="s">
        <v>89</v>
      </c>
      <c r="H2831" t="s">
        <v>110</v>
      </c>
      <c r="I2831" t="s">
        <v>12190</v>
      </c>
      <c r="J2831">
        <v>31</v>
      </c>
      <c r="K2831" t="s">
        <v>25</v>
      </c>
      <c r="L2831" t="s">
        <v>23</v>
      </c>
      <c r="M2831" t="s">
        <v>39</v>
      </c>
      <c r="P2831" t="s">
        <v>28</v>
      </c>
      <c r="Q2831" t="s">
        <v>12191</v>
      </c>
      <c r="R2831" t="s">
        <v>5253</v>
      </c>
      <c r="S2831" t="s">
        <v>31</v>
      </c>
      <c r="T2831">
        <v>0</v>
      </c>
    </row>
    <row r="2832" spans="1:20" x14ac:dyDescent="0.25">
      <c r="A2832" t="s">
        <v>12192</v>
      </c>
      <c r="B2832" s="1">
        <v>45903</v>
      </c>
      <c r="C2832" s="5">
        <v>0.48939814814814814</v>
      </c>
      <c r="D2832">
        <v>152.86000000000001</v>
      </c>
      <c r="E2832" t="s">
        <v>44</v>
      </c>
      <c r="F2832" t="s">
        <v>1087</v>
      </c>
      <c r="G2832" t="s">
        <v>46</v>
      </c>
      <c r="H2832" t="s">
        <v>66</v>
      </c>
      <c r="I2832" t="s">
        <v>12193</v>
      </c>
      <c r="J2832">
        <v>44</v>
      </c>
      <c r="K2832" t="s">
        <v>37</v>
      </c>
      <c r="L2832" t="s">
        <v>35</v>
      </c>
      <c r="M2832" t="s">
        <v>51</v>
      </c>
      <c r="N2832" t="s">
        <v>173</v>
      </c>
      <c r="O2832">
        <v>489881</v>
      </c>
      <c r="P2832" t="s">
        <v>28</v>
      </c>
      <c r="Q2832" t="s">
        <v>12194</v>
      </c>
      <c r="R2832" t="s">
        <v>12195</v>
      </c>
      <c r="S2832" t="s">
        <v>31</v>
      </c>
      <c r="T2832">
        <v>0</v>
      </c>
    </row>
    <row r="2833" spans="1:20" x14ac:dyDescent="0.25">
      <c r="A2833" t="s">
        <v>12196</v>
      </c>
      <c r="B2833" s="1">
        <v>45871</v>
      </c>
      <c r="C2833" s="5">
        <v>0.92829861111111112</v>
      </c>
      <c r="D2833">
        <v>9.2899999999999991</v>
      </c>
      <c r="E2833" t="s">
        <v>44</v>
      </c>
      <c r="F2833" t="s">
        <v>3517</v>
      </c>
      <c r="G2833" t="s">
        <v>124</v>
      </c>
      <c r="H2833" t="s">
        <v>146</v>
      </c>
      <c r="I2833" t="s">
        <v>12197</v>
      </c>
      <c r="J2833">
        <v>72</v>
      </c>
      <c r="K2833" t="s">
        <v>49</v>
      </c>
      <c r="L2833" t="s">
        <v>23</v>
      </c>
      <c r="M2833" t="s">
        <v>27</v>
      </c>
      <c r="P2833" t="s">
        <v>28</v>
      </c>
      <c r="Q2833" t="s">
        <v>12198</v>
      </c>
      <c r="R2833" t="s">
        <v>12199</v>
      </c>
      <c r="S2833" t="s">
        <v>31</v>
      </c>
      <c r="T2833">
        <v>0</v>
      </c>
    </row>
    <row r="2834" spans="1:20" x14ac:dyDescent="0.25">
      <c r="A2834" t="s">
        <v>12200</v>
      </c>
      <c r="B2834" s="1">
        <v>45881</v>
      </c>
      <c r="C2834" s="5">
        <v>0.1348148148148148</v>
      </c>
      <c r="D2834">
        <v>121.93</v>
      </c>
      <c r="E2834" t="s">
        <v>44</v>
      </c>
      <c r="F2834" t="s">
        <v>516</v>
      </c>
      <c r="G2834" t="s">
        <v>96</v>
      </c>
      <c r="H2834" t="s">
        <v>119</v>
      </c>
      <c r="I2834" t="s">
        <v>12201</v>
      </c>
      <c r="J2834">
        <v>75</v>
      </c>
      <c r="K2834" t="s">
        <v>49</v>
      </c>
      <c r="L2834" t="s">
        <v>66</v>
      </c>
      <c r="M2834" t="s">
        <v>105</v>
      </c>
      <c r="P2834" t="s">
        <v>28</v>
      </c>
      <c r="Q2834" t="s">
        <v>12202</v>
      </c>
      <c r="R2834" t="s">
        <v>12203</v>
      </c>
      <c r="S2834" t="s">
        <v>31</v>
      </c>
      <c r="T2834">
        <v>0</v>
      </c>
    </row>
    <row r="2835" spans="1:20" x14ac:dyDescent="0.25">
      <c r="A2835" t="s">
        <v>12204</v>
      </c>
      <c r="B2835" s="1">
        <v>45863</v>
      </c>
      <c r="C2835" s="5">
        <v>8.3159722222222218E-2</v>
      </c>
      <c r="D2835">
        <v>124.99</v>
      </c>
      <c r="E2835" t="s">
        <v>44</v>
      </c>
      <c r="F2835" t="s">
        <v>4053</v>
      </c>
      <c r="G2835" t="s">
        <v>64</v>
      </c>
      <c r="H2835" t="s">
        <v>47</v>
      </c>
      <c r="I2835" t="s">
        <v>12205</v>
      </c>
      <c r="J2835">
        <v>22</v>
      </c>
      <c r="K2835" t="s">
        <v>49</v>
      </c>
      <c r="L2835" t="s">
        <v>50</v>
      </c>
      <c r="M2835" t="s">
        <v>105</v>
      </c>
      <c r="P2835" t="s">
        <v>28</v>
      </c>
      <c r="Q2835" t="s">
        <v>12206</v>
      </c>
      <c r="R2835" t="s">
        <v>12207</v>
      </c>
      <c r="S2835" t="s">
        <v>31</v>
      </c>
      <c r="T2835">
        <v>0</v>
      </c>
    </row>
    <row r="2836" spans="1:20" x14ac:dyDescent="0.25">
      <c r="A2836" t="s">
        <v>12208</v>
      </c>
      <c r="B2836" s="1">
        <v>45955</v>
      </c>
      <c r="C2836" s="5">
        <v>0.86193287037037036</v>
      </c>
      <c r="D2836">
        <v>109.22</v>
      </c>
      <c r="E2836" t="s">
        <v>44</v>
      </c>
      <c r="F2836" t="s">
        <v>6728</v>
      </c>
      <c r="G2836" t="s">
        <v>124</v>
      </c>
      <c r="H2836" t="s">
        <v>38</v>
      </c>
      <c r="I2836" t="s">
        <v>12209</v>
      </c>
      <c r="J2836">
        <v>34</v>
      </c>
      <c r="K2836" t="s">
        <v>49</v>
      </c>
      <c r="L2836" t="s">
        <v>35</v>
      </c>
      <c r="M2836" t="s">
        <v>39</v>
      </c>
      <c r="P2836" t="s">
        <v>28</v>
      </c>
      <c r="Q2836" t="s">
        <v>12210</v>
      </c>
      <c r="R2836" t="s">
        <v>12211</v>
      </c>
      <c r="S2836" t="s">
        <v>31</v>
      </c>
      <c r="T2836">
        <v>0</v>
      </c>
    </row>
    <row r="2837" spans="1:20" x14ac:dyDescent="0.25">
      <c r="A2837" t="s">
        <v>12212</v>
      </c>
      <c r="B2837" s="1">
        <v>45956</v>
      </c>
      <c r="C2837" s="5">
        <v>0.99143518518518514</v>
      </c>
      <c r="D2837">
        <v>31.22</v>
      </c>
      <c r="E2837" t="s">
        <v>44</v>
      </c>
      <c r="F2837" t="s">
        <v>5072</v>
      </c>
      <c r="G2837" t="s">
        <v>89</v>
      </c>
      <c r="H2837" t="s">
        <v>66</v>
      </c>
      <c r="I2837" t="s">
        <v>12213</v>
      </c>
      <c r="J2837">
        <v>48</v>
      </c>
      <c r="K2837" t="s">
        <v>37</v>
      </c>
      <c r="L2837" t="s">
        <v>58</v>
      </c>
      <c r="M2837" t="s">
        <v>84</v>
      </c>
      <c r="P2837" t="s">
        <v>28</v>
      </c>
      <c r="Q2837" t="s">
        <v>12214</v>
      </c>
      <c r="R2837" t="s">
        <v>12215</v>
      </c>
      <c r="S2837" t="s">
        <v>31</v>
      </c>
      <c r="T2837">
        <v>0</v>
      </c>
    </row>
    <row r="2838" spans="1:20" x14ac:dyDescent="0.25">
      <c r="A2838" t="s">
        <v>12216</v>
      </c>
      <c r="B2838" s="1">
        <v>45879</v>
      </c>
      <c r="C2838" s="5">
        <v>0.46954861111111112</v>
      </c>
      <c r="D2838">
        <v>461.58</v>
      </c>
      <c r="E2838" t="s">
        <v>44</v>
      </c>
      <c r="F2838" t="s">
        <v>3128</v>
      </c>
      <c r="G2838" t="s">
        <v>46</v>
      </c>
      <c r="H2838" t="s">
        <v>97</v>
      </c>
      <c r="I2838" t="s">
        <v>12217</v>
      </c>
      <c r="J2838">
        <v>66</v>
      </c>
      <c r="K2838" t="s">
        <v>25</v>
      </c>
      <c r="L2838" t="s">
        <v>47</v>
      </c>
      <c r="M2838" t="s">
        <v>84</v>
      </c>
      <c r="P2838" t="s">
        <v>28</v>
      </c>
      <c r="Q2838" t="s">
        <v>12218</v>
      </c>
      <c r="R2838" t="s">
        <v>12219</v>
      </c>
      <c r="S2838" t="s">
        <v>31</v>
      </c>
      <c r="T2838">
        <v>0</v>
      </c>
    </row>
    <row r="2839" spans="1:20" x14ac:dyDescent="0.25">
      <c r="A2839" t="s">
        <v>12220</v>
      </c>
      <c r="B2839" s="1">
        <v>45844</v>
      </c>
      <c r="C2839" s="5">
        <v>0.54895833333333333</v>
      </c>
      <c r="D2839">
        <v>89.35</v>
      </c>
      <c r="E2839" t="s">
        <v>44</v>
      </c>
      <c r="F2839" t="s">
        <v>6829</v>
      </c>
      <c r="G2839" t="s">
        <v>46</v>
      </c>
      <c r="H2839" t="s">
        <v>35</v>
      </c>
      <c r="I2839" t="s">
        <v>12221</v>
      </c>
      <c r="J2839">
        <v>46</v>
      </c>
      <c r="K2839" t="s">
        <v>49</v>
      </c>
      <c r="L2839" t="s">
        <v>58</v>
      </c>
      <c r="M2839" t="s">
        <v>39</v>
      </c>
      <c r="P2839" t="s">
        <v>28</v>
      </c>
      <c r="Q2839" t="s">
        <v>12222</v>
      </c>
      <c r="R2839" t="s">
        <v>12223</v>
      </c>
      <c r="S2839" t="s">
        <v>42</v>
      </c>
      <c r="T2839">
        <v>0</v>
      </c>
    </row>
    <row r="2840" spans="1:20" x14ac:dyDescent="0.25">
      <c r="A2840" t="s">
        <v>12224</v>
      </c>
      <c r="B2840" s="1">
        <v>45829</v>
      </c>
      <c r="C2840" s="5">
        <v>0.515625</v>
      </c>
      <c r="D2840">
        <v>756.36</v>
      </c>
      <c r="E2840" t="s">
        <v>44</v>
      </c>
      <c r="F2840" t="s">
        <v>171</v>
      </c>
      <c r="G2840" t="s">
        <v>77</v>
      </c>
      <c r="H2840" t="s">
        <v>248</v>
      </c>
      <c r="I2840" t="s">
        <v>12225</v>
      </c>
      <c r="J2840">
        <v>60</v>
      </c>
      <c r="K2840" t="s">
        <v>25</v>
      </c>
      <c r="L2840" t="s">
        <v>58</v>
      </c>
      <c r="M2840" t="s">
        <v>112</v>
      </c>
      <c r="P2840" t="s">
        <v>28</v>
      </c>
      <c r="Q2840" t="s">
        <v>12226</v>
      </c>
      <c r="R2840" t="s">
        <v>12227</v>
      </c>
      <c r="S2840" t="s">
        <v>31</v>
      </c>
      <c r="T2840">
        <v>0</v>
      </c>
    </row>
    <row r="2841" spans="1:20" x14ac:dyDescent="0.25">
      <c r="A2841" t="s">
        <v>12228</v>
      </c>
      <c r="B2841" s="1">
        <v>45941</v>
      </c>
      <c r="C2841" s="5">
        <v>0.70666666666666667</v>
      </c>
      <c r="D2841">
        <v>141.78</v>
      </c>
      <c r="E2841" t="s">
        <v>44</v>
      </c>
      <c r="F2841" t="s">
        <v>12229</v>
      </c>
      <c r="G2841" t="s">
        <v>57</v>
      </c>
      <c r="H2841" t="s">
        <v>35</v>
      </c>
      <c r="I2841" t="s">
        <v>12230</v>
      </c>
      <c r="J2841">
        <v>37</v>
      </c>
      <c r="K2841" t="s">
        <v>37</v>
      </c>
      <c r="L2841" t="s">
        <v>23</v>
      </c>
      <c r="M2841" t="s">
        <v>51</v>
      </c>
      <c r="N2841" t="s">
        <v>173</v>
      </c>
      <c r="O2841">
        <v>413820</v>
      </c>
      <c r="P2841" t="s">
        <v>28</v>
      </c>
      <c r="Q2841" t="s">
        <v>12231</v>
      </c>
      <c r="R2841" t="s">
        <v>12232</v>
      </c>
      <c r="S2841" t="s">
        <v>31</v>
      </c>
      <c r="T2841">
        <v>0</v>
      </c>
    </row>
    <row r="2842" spans="1:20" x14ac:dyDescent="0.25">
      <c r="A2842" t="s">
        <v>12233</v>
      </c>
      <c r="B2842" s="1">
        <v>45876</v>
      </c>
      <c r="C2842" s="5">
        <v>0.88246527777777772</v>
      </c>
      <c r="D2842">
        <v>142.38999999999999</v>
      </c>
      <c r="E2842" t="s">
        <v>44</v>
      </c>
      <c r="F2842" t="s">
        <v>4155</v>
      </c>
      <c r="G2842" t="s">
        <v>22</v>
      </c>
      <c r="H2842" t="s">
        <v>119</v>
      </c>
      <c r="I2842" t="s">
        <v>12234</v>
      </c>
      <c r="J2842">
        <v>53</v>
      </c>
      <c r="K2842" t="s">
        <v>49</v>
      </c>
      <c r="L2842" t="s">
        <v>47</v>
      </c>
      <c r="M2842" t="s">
        <v>105</v>
      </c>
      <c r="P2842" t="s">
        <v>28</v>
      </c>
      <c r="Q2842" t="s">
        <v>12235</v>
      </c>
      <c r="R2842" t="s">
        <v>12236</v>
      </c>
      <c r="S2842" t="s">
        <v>101</v>
      </c>
      <c r="T2842">
        <v>0</v>
      </c>
    </row>
    <row r="2843" spans="1:20" x14ac:dyDescent="0.25">
      <c r="A2843" t="s">
        <v>12237</v>
      </c>
      <c r="B2843" s="1">
        <v>45935</v>
      </c>
      <c r="C2843" s="5">
        <v>0.65260416666666665</v>
      </c>
      <c r="D2843">
        <v>181.73</v>
      </c>
      <c r="E2843" t="s">
        <v>44</v>
      </c>
      <c r="F2843" t="s">
        <v>3323</v>
      </c>
      <c r="G2843" t="s">
        <v>22</v>
      </c>
      <c r="H2843" t="s">
        <v>146</v>
      </c>
      <c r="I2843" t="s">
        <v>12238</v>
      </c>
      <c r="J2843">
        <v>23</v>
      </c>
      <c r="K2843" t="s">
        <v>49</v>
      </c>
      <c r="L2843" t="s">
        <v>47</v>
      </c>
      <c r="M2843" t="s">
        <v>39</v>
      </c>
      <c r="P2843" t="s">
        <v>28</v>
      </c>
      <c r="Q2843" t="s">
        <v>12239</v>
      </c>
      <c r="R2843" t="s">
        <v>12240</v>
      </c>
      <c r="S2843" t="s">
        <v>31</v>
      </c>
      <c r="T2843">
        <v>0</v>
      </c>
    </row>
    <row r="2844" spans="1:20" x14ac:dyDescent="0.25">
      <c r="A2844" t="s">
        <v>12241</v>
      </c>
      <c r="B2844" s="1">
        <v>45943</v>
      </c>
      <c r="C2844" s="5">
        <v>0.31827546296296294</v>
      </c>
      <c r="D2844">
        <v>70.87</v>
      </c>
      <c r="E2844" t="s">
        <v>44</v>
      </c>
      <c r="F2844" t="s">
        <v>678</v>
      </c>
      <c r="G2844" t="s">
        <v>71</v>
      </c>
      <c r="H2844" t="s">
        <v>66</v>
      </c>
      <c r="I2844" t="s">
        <v>12242</v>
      </c>
      <c r="J2844">
        <v>70</v>
      </c>
      <c r="K2844" t="s">
        <v>37</v>
      </c>
      <c r="L2844" t="s">
        <v>50</v>
      </c>
      <c r="M2844" t="s">
        <v>84</v>
      </c>
      <c r="P2844" t="s">
        <v>28</v>
      </c>
      <c r="Q2844" t="s">
        <v>12243</v>
      </c>
      <c r="R2844" t="s">
        <v>12244</v>
      </c>
      <c r="S2844" t="s">
        <v>31</v>
      </c>
      <c r="T2844">
        <v>0</v>
      </c>
    </row>
    <row r="2845" spans="1:20" x14ac:dyDescent="0.25">
      <c r="A2845" t="s">
        <v>12245</v>
      </c>
      <c r="B2845" s="1">
        <v>45937</v>
      </c>
      <c r="C2845" s="5">
        <v>3.9351851851851848E-3</v>
      </c>
      <c r="D2845">
        <v>12.25</v>
      </c>
      <c r="E2845" t="s">
        <v>44</v>
      </c>
      <c r="F2845" t="s">
        <v>272</v>
      </c>
      <c r="G2845" t="s">
        <v>89</v>
      </c>
      <c r="H2845" t="s">
        <v>38</v>
      </c>
      <c r="I2845" t="s">
        <v>12246</v>
      </c>
      <c r="J2845">
        <v>36</v>
      </c>
      <c r="K2845" t="s">
        <v>49</v>
      </c>
      <c r="L2845" t="s">
        <v>248</v>
      </c>
      <c r="M2845" t="s">
        <v>27</v>
      </c>
      <c r="P2845" t="s">
        <v>28</v>
      </c>
      <c r="Q2845" t="s">
        <v>12247</v>
      </c>
      <c r="R2845" t="s">
        <v>12248</v>
      </c>
      <c r="S2845" t="s">
        <v>101</v>
      </c>
      <c r="T2845">
        <v>0</v>
      </c>
    </row>
    <row r="2846" spans="1:20" x14ac:dyDescent="0.25">
      <c r="A2846" t="s">
        <v>12249</v>
      </c>
      <c r="B2846" s="1">
        <v>45890</v>
      </c>
      <c r="C2846" s="5">
        <v>0.28554398148148147</v>
      </c>
      <c r="D2846">
        <v>85.59</v>
      </c>
      <c r="E2846" t="s">
        <v>44</v>
      </c>
      <c r="F2846" t="s">
        <v>5648</v>
      </c>
      <c r="G2846" t="s">
        <v>46</v>
      </c>
      <c r="H2846" t="s">
        <v>23</v>
      </c>
      <c r="I2846" t="s">
        <v>12250</v>
      </c>
      <c r="J2846">
        <v>44</v>
      </c>
      <c r="K2846" t="s">
        <v>25</v>
      </c>
      <c r="L2846" t="s">
        <v>91</v>
      </c>
      <c r="M2846" t="s">
        <v>39</v>
      </c>
      <c r="P2846" t="s">
        <v>28</v>
      </c>
      <c r="Q2846" t="s">
        <v>12251</v>
      </c>
      <c r="R2846" t="s">
        <v>12252</v>
      </c>
      <c r="S2846" t="s">
        <v>31</v>
      </c>
      <c r="T2846">
        <v>0</v>
      </c>
    </row>
    <row r="2847" spans="1:20" x14ac:dyDescent="0.25">
      <c r="A2847" t="s">
        <v>12253</v>
      </c>
      <c r="B2847" s="1">
        <v>45885</v>
      </c>
      <c r="C2847" s="5">
        <v>0.11133101851851852</v>
      </c>
      <c r="D2847">
        <v>162.36000000000001</v>
      </c>
      <c r="E2847" t="s">
        <v>44</v>
      </c>
      <c r="F2847" t="s">
        <v>2999</v>
      </c>
      <c r="G2847" t="s">
        <v>96</v>
      </c>
      <c r="H2847" t="s">
        <v>97</v>
      </c>
      <c r="I2847" t="s">
        <v>12254</v>
      </c>
      <c r="J2847">
        <v>21</v>
      </c>
      <c r="K2847" t="s">
        <v>37</v>
      </c>
      <c r="L2847" t="s">
        <v>130</v>
      </c>
      <c r="M2847" t="s">
        <v>105</v>
      </c>
      <c r="P2847" t="s">
        <v>28</v>
      </c>
      <c r="Q2847" t="s">
        <v>12255</v>
      </c>
      <c r="R2847" t="s">
        <v>12256</v>
      </c>
      <c r="S2847" t="s">
        <v>31</v>
      </c>
      <c r="T2847">
        <v>0</v>
      </c>
    </row>
    <row r="2848" spans="1:20" x14ac:dyDescent="0.25">
      <c r="A2848" t="s">
        <v>12257</v>
      </c>
      <c r="B2848" s="1">
        <v>45852</v>
      </c>
      <c r="C2848" s="5">
        <v>0.4791435185185185</v>
      </c>
      <c r="D2848">
        <v>130.47</v>
      </c>
      <c r="E2848" t="s">
        <v>44</v>
      </c>
      <c r="F2848" t="s">
        <v>9614</v>
      </c>
      <c r="G2848" t="s">
        <v>89</v>
      </c>
      <c r="H2848" t="s">
        <v>110</v>
      </c>
      <c r="I2848" t="s">
        <v>12258</v>
      </c>
      <c r="J2848">
        <v>53</v>
      </c>
      <c r="K2848" t="s">
        <v>37</v>
      </c>
      <c r="L2848" t="s">
        <v>58</v>
      </c>
      <c r="M2848" t="s">
        <v>105</v>
      </c>
      <c r="P2848" t="s">
        <v>28</v>
      </c>
      <c r="Q2848" t="s">
        <v>12259</v>
      </c>
      <c r="R2848" t="s">
        <v>12260</v>
      </c>
      <c r="S2848" t="s">
        <v>31</v>
      </c>
      <c r="T2848">
        <v>0</v>
      </c>
    </row>
    <row r="2849" spans="1:20" x14ac:dyDescent="0.25">
      <c r="A2849" t="s">
        <v>12261</v>
      </c>
      <c r="B2849" s="1">
        <v>45933</v>
      </c>
      <c r="C2849" s="5">
        <v>0.78202546296296294</v>
      </c>
      <c r="D2849">
        <v>193.81</v>
      </c>
      <c r="E2849" t="s">
        <v>44</v>
      </c>
      <c r="F2849" t="s">
        <v>1485</v>
      </c>
      <c r="G2849" t="s">
        <v>96</v>
      </c>
      <c r="H2849" t="s">
        <v>130</v>
      </c>
      <c r="I2849" t="s">
        <v>12262</v>
      </c>
      <c r="J2849">
        <v>62</v>
      </c>
      <c r="K2849" t="s">
        <v>25</v>
      </c>
      <c r="L2849" t="s">
        <v>248</v>
      </c>
      <c r="M2849" t="s">
        <v>51</v>
      </c>
      <c r="N2849" t="s">
        <v>173</v>
      </c>
      <c r="O2849">
        <v>420434</v>
      </c>
      <c r="P2849" t="s">
        <v>28</v>
      </c>
      <c r="Q2849" t="s">
        <v>12263</v>
      </c>
      <c r="R2849" t="s">
        <v>12264</v>
      </c>
      <c r="S2849" t="s">
        <v>31</v>
      </c>
      <c r="T2849">
        <v>0</v>
      </c>
    </row>
    <row r="2850" spans="1:20" x14ac:dyDescent="0.25">
      <c r="A2850" t="s">
        <v>12265</v>
      </c>
      <c r="B2850" s="1">
        <v>45844</v>
      </c>
      <c r="C2850" s="5">
        <v>0.99633101851851846</v>
      </c>
      <c r="D2850">
        <v>111.19</v>
      </c>
      <c r="E2850" t="s">
        <v>44</v>
      </c>
      <c r="F2850" t="s">
        <v>5183</v>
      </c>
      <c r="G2850" t="s">
        <v>64</v>
      </c>
      <c r="H2850" t="s">
        <v>130</v>
      </c>
      <c r="I2850" t="s">
        <v>12266</v>
      </c>
      <c r="J2850">
        <v>58</v>
      </c>
      <c r="K2850" t="s">
        <v>49</v>
      </c>
      <c r="L2850" t="s">
        <v>248</v>
      </c>
      <c r="M2850" t="s">
        <v>39</v>
      </c>
      <c r="P2850" t="s">
        <v>28</v>
      </c>
      <c r="Q2850" t="s">
        <v>12267</v>
      </c>
      <c r="R2850" t="s">
        <v>12268</v>
      </c>
      <c r="S2850" t="s">
        <v>31</v>
      </c>
      <c r="T2850">
        <v>0</v>
      </c>
    </row>
    <row r="2851" spans="1:20" x14ac:dyDescent="0.25">
      <c r="A2851" t="s">
        <v>12269</v>
      </c>
      <c r="B2851" s="1">
        <v>45812</v>
      </c>
      <c r="C2851" s="5">
        <v>0.67387731481481483</v>
      </c>
      <c r="D2851">
        <v>171.65</v>
      </c>
      <c r="E2851" t="s">
        <v>44</v>
      </c>
      <c r="F2851" t="s">
        <v>673</v>
      </c>
      <c r="G2851" t="s">
        <v>77</v>
      </c>
      <c r="H2851" t="s">
        <v>58</v>
      </c>
      <c r="I2851" t="s">
        <v>12270</v>
      </c>
      <c r="J2851">
        <v>58</v>
      </c>
      <c r="K2851" t="s">
        <v>37</v>
      </c>
      <c r="L2851" t="s">
        <v>91</v>
      </c>
      <c r="M2851" t="s">
        <v>39</v>
      </c>
      <c r="P2851" t="s">
        <v>28</v>
      </c>
      <c r="Q2851" t="s">
        <v>12271</v>
      </c>
      <c r="R2851" t="s">
        <v>12272</v>
      </c>
      <c r="S2851" t="s">
        <v>31</v>
      </c>
      <c r="T2851">
        <v>0</v>
      </c>
    </row>
    <row r="2852" spans="1:20" x14ac:dyDescent="0.25">
      <c r="A2852" t="s">
        <v>12273</v>
      </c>
      <c r="B2852" s="1">
        <v>45882</v>
      </c>
      <c r="C2852" s="5">
        <v>0.4037384259259259</v>
      </c>
      <c r="D2852">
        <v>479.23</v>
      </c>
      <c r="E2852" t="s">
        <v>44</v>
      </c>
      <c r="F2852" t="s">
        <v>1841</v>
      </c>
      <c r="G2852" t="s">
        <v>46</v>
      </c>
      <c r="H2852" t="s">
        <v>26</v>
      </c>
      <c r="I2852" t="s">
        <v>12274</v>
      </c>
      <c r="J2852">
        <v>48</v>
      </c>
      <c r="K2852" t="s">
        <v>49</v>
      </c>
      <c r="L2852" t="s">
        <v>146</v>
      </c>
      <c r="M2852" t="s">
        <v>27</v>
      </c>
      <c r="P2852" t="s">
        <v>28</v>
      </c>
      <c r="Q2852" t="s">
        <v>12275</v>
      </c>
      <c r="R2852" t="s">
        <v>12276</v>
      </c>
      <c r="S2852" t="s">
        <v>31</v>
      </c>
      <c r="T2852">
        <v>0</v>
      </c>
    </row>
    <row r="2853" spans="1:20" x14ac:dyDescent="0.25">
      <c r="A2853" t="s">
        <v>12277</v>
      </c>
      <c r="B2853" s="1">
        <v>45947</v>
      </c>
      <c r="C2853" s="5">
        <v>0.81508101851851855</v>
      </c>
      <c r="D2853">
        <v>40.840000000000003</v>
      </c>
      <c r="E2853" t="s">
        <v>44</v>
      </c>
      <c r="F2853" t="s">
        <v>11064</v>
      </c>
      <c r="G2853" t="s">
        <v>96</v>
      </c>
      <c r="H2853" t="s">
        <v>23</v>
      </c>
      <c r="I2853" t="s">
        <v>12278</v>
      </c>
      <c r="J2853">
        <v>69</v>
      </c>
      <c r="K2853" t="s">
        <v>49</v>
      </c>
      <c r="L2853" t="s">
        <v>58</v>
      </c>
      <c r="M2853" t="s">
        <v>84</v>
      </c>
      <c r="P2853" t="s">
        <v>28</v>
      </c>
      <c r="Q2853" t="s">
        <v>12279</v>
      </c>
      <c r="R2853" t="s">
        <v>2606</v>
      </c>
      <c r="S2853" t="s">
        <v>42</v>
      </c>
      <c r="T2853">
        <v>1</v>
      </c>
    </row>
    <row r="2854" spans="1:20" x14ac:dyDescent="0.25">
      <c r="A2854" t="s">
        <v>12280</v>
      </c>
      <c r="B2854" s="1">
        <v>45953</v>
      </c>
      <c r="C2854" s="5">
        <v>0.15542824074074074</v>
      </c>
      <c r="D2854">
        <v>165.48</v>
      </c>
      <c r="E2854" t="s">
        <v>44</v>
      </c>
      <c r="F2854" t="s">
        <v>663</v>
      </c>
      <c r="G2854" t="s">
        <v>57</v>
      </c>
      <c r="H2854" t="s">
        <v>35</v>
      </c>
      <c r="I2854" t="s">
        <v>12281</v>
      </c>
      <c r="J2854">
        <v>72</v>
      </c>
      <c r="K2854" t="s">
        <v>37</v>
      </c>
      <c r="L2854" t="s">
        <v>130</v>
      </c>
      <c r="M2854" t="s">
        <v>51</v>
      </c>
      <c r="N2854" t="s">
        <v>52</v>
      </c>
      <c r="O2854">
        <v>477136</v>
      </c>
      <c r="P2854" t="s">
        <v>28</v>
      </c>
      <c r="Q2854" t="s">
        <v>12282</v>
      </c>
      <c r="R2854" t="s">
        <v>12283</v>
      </c>
      <c r="S2854" t="s">
        <v>31</v>
      </c>
      <c r="T2854">
        <v>0</v>
      </c>
    </row>
    <row r="2855" spans="1:20" x14ac:dyDescent="0.25">
      <c r="A2855" t="s">
        <v>12284</v>
      </c>
      <c r="B2855" s="1">
        <v>45931</v>
      </c>
      <c r="C2855" s="5">
        <v>0.37586805555555558</v>
      </c>
      <c r="D2855">
        <v>61.04</v>
      </c>
      <c r="E2855" t="s">
        <v>44</v>
      </c>
      <c r="F2855" t="s">
        <v>70</v>
      </c>
      <c r="G2855" t="s">
        <v>46</v>
      </c>
      <c r="H2855" t="s">
        <v>47</v>
      </c>
      <c r="I2855" t="s">
        <v>12285</v>
      </c>
      <c r="J2855">
        <v>44</v>
      </c>
      <c r="K2855" t="s">
        <v>37</v>
      </c>
      <c r="L2855" t="s">
        <v>248</v>
      </c>
      <c r="M2855" t="s">
        <v>105</v>
      </c>
      <c r="P2855" t="s">
        <v>28</v>
      </c>
      <c r="Q2855" t="s">
        <v>12286</v>
      </c>
      <c r="R2855" t="s">
        <v>12287</v>
      </c>
      <c r="S2855" t="s">
        <v>101</v>
      </c>
      <c r="T2855">
        <v>0</v>
      </c>
    </row>
    <row r="2856" spans="1:20" x14ac:dyDescent="0.25">
      <c r="A2856" t="s">
        <v>12288</v>
      </c>
      <c r="B2856" s="1">
        <v>45887</v>
      </c>
      <c r="C2856" s="5">
        <v>9.6574074074074076E-2</v>
      </c>
      <c r="D2856">
        <v>180.37</v>
      </c>
      <c r="E2856" t="s">
        <v>44</v>
      </c>
      <c r="F2856" t="s">
        <v>753</v>
      </c>
      <c r="G2856" t="s">
        <v>34</v>
      </c>
      <c r="H2856" t="s">
        <v>38</v>
      </c>
      <c r="I2856" t="s">
        <v>12289</v>
      </c>
      <c r="J2856">
        <v>38</v>
      </c>
      <c r="K2856" t="s">
        <v>25</v>
      </c>
      <c r="L2856" t="s">
        <v>58</v>
      </c>
      <c r="M2856" t="s">
        <v>27</v>
      </c>
      <c r="P2856" t="s">
        <v>28</v>
      </c>
      <c r="Q2856" t="s">
        <v>12290</v>
      </c>
      <c r="R2856" t="s">
        <v>12291</v>
      </c>
      <c r="S2856" t="s">
        <v>31</v>
      </c>
      <c r="T2856">
        <v>0</v>
      </c>
    </row>
    <row r="2857" spans="1:20" x14ac:dyDescent="0.25">
      <c r="A2857" t="s">
        <v>12292</v>
      </c>
      <c r="B2857" s="1">
        <v>45896</v>
      </c>
      <c r="C2857" s="5">
        <v>0.48359953703703706</v>
      </c>
      <c r="D2857">
        <v>240.71</v>
      </c>
      <c r="E2857" t="s">
        <v>44</v>
      </c>
      <c r="F2857" t="s">
        <v>1456</v>
      </c>
      <c r="G2857" t="s">
        <v>96</v>
      </c>
      <c r="H2857" t="s">
        <v>110</v>
      </c>
      <c r="I2857" t="s">
        <v>12293</v>
      </c>
      <c r="J2857">
        <v>33</v>
      </c>
      <c r="K2857" t="s">
        <v>37</v>
      </c>
      <c r="L2857" t="s">
        <v>146</v>
      </c>
      <c r="M2857" t="s">
        <v>105</v>
      </c>
      <c r="P2857" t="s">
        <v>28</v>
      </c>
      <c r="Q2857" t="s">
        <v>12294</v>
      </c>
      <c r="R2857" t="s">
        <v>12295</v>
      </c>
      <c r="S2857" t="s">
        <v>31</v>
      </c>
      <c r="T2857">
        <v>0</v>
      </c>
    </row>
    <row r="2858" spans="1:20" x14ac:dyDescent="0.25">
      <c r="A2858" t="s">
        <v>12296</v>
      </c>
      <c r="B2858" s="1">
        <v>45787</v>
      </c>
      <c r="C2858" s="5">
        <v>0.83195601851851853</v>
      </c>
      <c r="D2858">
        <v>128.63999999999999</v>
      </c>
      <c r="E2858" t="s">
        <v>44</v>
      </c>
      <c r="F2858" t="s">
        <v>3660</v>
      </c>
      <c r="G2858" t="s">
        <v>77</v>
      </c>
      <c r="H2858" t="s">
        <v>91</v>
      </c>
      <c r="I2858" t="s">
        <v>12297</v>
      </c>
      <c r="J2858">
        <v>72</v>
      </c>
      <c r="K2858" t="s">
        <v>49</v>
      </c>
      <c r="L2858" t="s">
        <v>35</v>
      </c>
      <c r="M2858" t="s">
        <v>39</v>
      </c>
      <c r="P2858" t="s">
        <v>28</v>
      </c>
      <c r="Q2858" t="s">
        <v>12298</v>
      </c>
      <c r="R2858" t="s">
        <v>12299</v>
      </c>
      <c r="S2858" t="s">
        <v>31</v>
      </c>
      <c r="T2858">
        <v>0</v>
      </c>
    </row>
    <row r="2859" spans="1:20" x14ac:dyDescent="0.25">
      <c r="A2859" t="s">
        <v>12300</v>
      </c>
      <c r="B2859" s="1">
        <v>45842</v>
      </c>
      <c r="C2859" s="5">
        <v>0.87268518518518523</v>
      </c>
      <c r="D2859">
        <v>134.44</v>
      </c>
      <c r="E2859" t="s">
        <v>44</v>
      </c>
      <c r="F2859" t="s">
        <v>5152</v>
      </c>
      <c r="G2859" t="s">
        <v>96</v>
      </c>
      <c r="H2859" t="s">
        <v>38</v>
      </c>
      <c r="I2859" t="s">
        <v>12301</v>
      </c>
      <c r="J2859">
        <v>65</v>
      </c>
      <c r="K2859" t="s">
        <v>37</v>
      </c>
      <c r="L2859" t="s">
        <v>23</v>
      </c>
      <c r="M2859" t="s">
        <v>39</v>
      </c>
      <c r="P2859" t="s">
        <v>28</v>
      </c>
      <c r="Q2859" t="s">
        <v>12302</v>
      </c>
      <c r="R2859" t="s">
        <v>12303</v>
      </c>
      <c r="S2859" t="s">
        <v>31</v>
      </c>
      <c r="T2859">
        <v>0</v>
      </c>
    </row>
    <row r="2860" spans="1:20" x14ac:dyDescent="0.25">
      <c r="A2860" t="s">
        <v>12304</v>
      </c>
      <c r="B2860" s="1">
        <v>45814</v>
      </c>
      <c r="C2860" s="5">
        <v>0.54802083333333329</v>
      </c>
      <c r="D2860">
        <v>115.44</v>
      </c>
      <c r="E2860" t="s">
        <v>44</v>
      </c>
      <c r="F2860" t="s">
        <v>1413</v>
      </c>
      <c r="G2860" t="s">
        <v>71</v>
      </c>
      <c r="H2860" t="s">
        <v>47</v>
      </c>
      <c r="I2860" t="s">
        <v>12305</v>
      </c>
      <c r="J2860">
        <v>66</v>
      </c>
      <c r="K2860" t="s">
        <v>37</v>
      </c>
      <c r="L2860" t="s">
        <v>110</v>
      </c>
      <c r="M2860" t="s">
        <v>27</v>
      </c>
      <c r="P2860" t="s">
        <v>28</v>
      </c>
      <c r="Q2860" t="s">
        <v>12306</v>
      </c>
      <c r="R2860" t="s">
        <v>12307</v>
      </c>
      <c r="S2860" t="s">
        <v>31</v>
      </c>
      <c r="T2860">
        <v>1</v>
      </c>
    </row>
    <row r="2861" spans="1:20" x14ac:dyDescent="0.25">
      <c r="A2861" t="s">
        <v>12308</v>
      </c>
      <c r="B2861" s="1">
        <v>45947</v>
      </c>
      <c r="C2861" s="5">
        <v>0.61034722222222226</v>
      </c>
      <c r="D2861">
        <v>69.12</v>
      </c>
      <c r="E2861" t="s">
        <v>44</v>
      </c>
      <c r="F2861" t="s">
        <v>1306</v>
      </c>
      <c r="G2861" t="s">
        <v>89</v>
      </c>
      <c r="H2861" t="s">
        <v>23</v>
      </c>
      <c r="I2861" t="s">
        <v>12309</v>
      </c>
      <c r="J2861">
        <v>23</v>
      </c>
      <c r="K2861" t="s">
        <v>25</v>
      </c>
      <c r="L2861" t="s">
        <v>38</v>
      </c>
      <c r="M2861" t="s">
        <v>51</v>
      </c>
      <c r="N2861" t="s">
        <v>304</v>
      </c>
      <c r="O2861">
        <v>459420</v>
      </c>
      <c r="P2861" t="s">
        <v>28</v>
      </c>
      <c r="Q2861" t="s">
        <v>12310</v>
      </c>
      <c r="R2861" t="s">
        <v>12311</v>
      </c>
      <c r="S2861" t="s">
        <v>31</v>
      </c>
      <c r="T2861">
        <v>0</v>
      </c>
    </row>
    <row r="2862" spans="1:20" x14ac:dyDescent="0.25">
      <c r="A2862" t="s">
        <v>12312</v>
      </c>
      <c r="B2862" s="1">
        <v>45833</v>
      </c>
      <c r="C2862" s="5">
        <v>0.84271990740740743</v>
      </c>
      <c r="D2862">
        <v>1.77</v>
      </c>
      <c r="E2862" t="s">
        <v>44</v>
      </c>
      <c r="F2862" t="s">
        <v>4838</v>
      </c>
      <c r="G2862" t="s">
        <v>22</v>
      </c>
      <c r="H2862" t="s">
        <v>47</v>
      </c>
      <c r="I2862" t="s">
        <v>12313</v>
      </c>
      <c r="J2862">
        <v>101</v>
      </c>
      <c r="K2862" t="s">
        <v>37</v>
      </c>
      <c r="L2862" t="s">
        <v>119</v>
      </c>
      <c r="M2862" t="s">
        <v>84</v>
      </c>
      <c r="P2862" t="s">
        <v>28</v>
      </c>
      <c r="Q2862" t="s">
        <v>12314</v>
      </c>
      <c r="R2862" t="s">
        <v>12315</v>
      </c>
      <c r="S2862" t="s">
        <v>31</v>
      </c>
      <c r="T2862">
        <v>0</v>
      </c>
    </row>
    <row r="2863" spans="1:20" x14ac:dyDescent="0.25">
      <c r="A2863" t="s">
        <v>12316</v>
      </c>
      <c r="B2863" s="1">
        <v>45869</v>
      </c>
      <c r="C2863" s="5">
        <v>0.51958333333333329</v>
      </c>
      <c r="D2863">
        <v>76.8</v>
      </c>
      <c r="E2863" t="s">
        <v>44</v>
      </c>
      <c r="F2863" t="s">
        <v>1998</v>
      </c>
      <c r="G2863" t="s">
        <v>64</v>
      </c>
      <c r="H2863" t="s">
        <v>58</v>
      </c>
      <c r="I2863" t="s">
        <v>12317</v>
      </c>
      <c r="J2863">
        <v>30</v>
      </c>
      <c r="K2863" t="s">
        <v>49</v>
      </c>
      <c r="L2863" t="s">
        <v>97</v>
      </c>
      <c r="M2863" t="s">
        <v>39</v>
      </c>
      <c r="P2863" t="s">
        <v>28</v>
      </c>
      <c r="Q2863" t="s">
        <v>12318</v>
      </c>
      <c r="R2863" t="s">
        <v>12319</v>
      </c>
      <c r="S2863" t="s">
        <v>31</v>
      </c>
      <c r="T2863">
        <v>0</v>
      </c>
    </row>
    <row r="2864" spans="1:20" x14ac:dyDescent="0.25">
      <c r="A2864" t="s">
        <v>12320</v>
      </c>
      <c r="B2864" s="1">
        <v>45894</v>
      </c>
      <c r="C2864" s="5">
        <v>0.18909722222222222</v>
      </c>
      <c r="D2864">
        <v>108.19</v>
      </c>
      <c r="E2864" t="s">
        <v>44</v>
      </c>
      <c r="F2864" t="s">
        <v>3040</v>
      </c>
      <c r="G2864" t="s">
        <v>71</v>
      </c>
      <c r="H2864" t="s">
        <v>248</v>
      </c>
      <c r="I2864" t="s">
        <v>12321</v>
      </c>
      <c r="J2864">
        <v>21</v>
      </c>
      <c r="K2864" t="s">
        <v>37</v>
      </c>
      <c r="L2864" t="s">
        <v>26</v>
      </c>
      <c r="M2864" t="s">
        <v>51</v>
      </c>
      <c r="N2864" t="s">
        <v>345</v>
      </c>
      <c r="O2864">
        <v>485414</v>
      </c>
      <c r="P2864" t="s">
        <v>28</v>
      </c>
      <c r="Q2864" t="s">
        <v>12322</v>
      </c>
      <c r="R2864" t="s">
        <v>12323</v>
      </c>
      <c r="S2864" t="s">
        <v>31</v>
      </c>
      <c r="T2864">
        <v>1</v>
      </c>
    </row>
    <row r="2865" spans="1:20" x14ac:dyDescent="0.25">
      <c r="A2865" t="s">
        <v>12324</v>
      </c>
      <c r="B2865" s="1">
        <v>45843</v>
      </c>
      <c r="C2865" s="5">
        <v>0.67410879629629628</v>
      </c>
      <c r="D2865">
        <v>93.34</v>
      </c>
      <c r="E2865" t="s">
        <v>44</v>
      </c>
      <c r="F2865" t="s">
        <v>2860</v>
      </c>
      <c r="G2865" t="s">
        <v>71</v>
      </c>
      <c r="H2865" t="s">
        <v>248</v>
      </c>
      <c r="I2865" t="s">
        <v>10865</v>
      </c>
      <c r="J2865">
        <v>58</v>
      </c>
      <c r="K2865" t="s">
        <v>37</v>
      </c>
      <c r="L2865" t="s">
        <v>47</v>
      </c>
      <c r="M2865" t="s">
        <v>105</v>
      </c>
      <c r="P2865" t="s">
        <v>28</v>
      </c>
      <c r="Q2865" t="s">
        <v>12325</v>
      </c>
      <c r="R2865" t="s">
        <v>12326</v>
      </c>
      <c r="S2865" t="s">
        <v>31</v>
      </c>
      <c r="T2865">
        <v>1</v>
      </c>
    </row>
    <row r="2866" spans="1:20" x14ac:dyDescent="0.25">
      <c r="A2866" t="s">
        <v>12327</v>
      </c>
      <c r="B2866" s="1">
        <v>45794</v>
      </c>
      <c r="C2866" s="5">
        <v>8.5127314814814808E-2</v>
      </c>
      <c r="D2866">
        <v>190.11</v>
      </c>
      <c r="E2866" t="s">
        <v>44</v>
      </c>
      <c r="F2866" t="s">
        <v>7144</v>
      </c>
      <c r="G2866" t="s">
        <v>46</v>
      </c>
      <c r="H2866" t="s">
        <v>66</v>
      </c>
      <c r="I2866" t="s">
        <v>12328</v>
      </c>
      <c r="J2866">
        <v>24</v>
      </c>
      <c r="K2866" t="s">
        <v>37</v>
      </c>
      <c r="L2866" t="s">
        <v>26</v>
      </c>
      <c r="M2866" t="s">
        <v>105</v>
      </c>
      <c r="P2866" t="s">
        <v>28</v>
      </c>
      <c r="Q2866" t="s">
        <v>12329</v>
      </c>
      <c r="R2866" t="s">
        <v>12330</v>
      </c>
      <c r="S2866" t="s">
        <v>31</v>
      </c>
      <c r="T2866">
        <v>0</v>
      </c>
    </row>
    <row r="2867" spans="1:20" x14ac:dyDescent="0.25">
      <c r="A2867" t="s">
        <v>12331</v>
      </c>
      <c r="B2867" s="1">
        <v>45804</v>
      </c>
      <c r="C2867" s="5">
        <v>0.34318287037037037</v>
      </c>
      <c r="D2867">
        <v>832.41</v>
      </c>
      <c r="E2867" t="s">
        <v>44</v>
      </c>
      <c r="F2867" t="s">
        <v>6546</v>
      </c>
      <c r="G2867" t="s">
        <v>89</v>
      </c>
      <c r="H2867" t="s">
        <v>26</v>
      </c>
      <c r="I2867" t="s">
        <v>12332</v>
      </c>
      <c r="J2867">
        <v>53</v>
      </c>
      <c r="K2867" t="s">
        <v>49</v>
      </c>
      <c r="L2867" t="s">
        <v>47</v>
      </c>
      <c r="M2867" t="s">
        <v>105</v>
      </c>
      <c r="P2867" t="s">
        <v>28</v>
      </c>
      <c r="Q2867" t="s">
        <v>12333</v>
      </c>
      <c r="R2867" t="s">
        <v>12334</v>
      </c>
      <c r="S2867" t="s">
        <v>31</v>
      </c>
      <c r="T2867">
        <v>0</v>
      </c>
    </row>
    <row r="2868" spans="1:20" x14ac:dyDescent="0.25">
      <c r="A2868" t="s">
        <v>12335</v>
      </c>
      <c r="B2868" s="1">
        <v>45949</v>
      </c>
      <c r="C2868" s="5">
        <v>0.99472222222222217</v>
      </c>
      <c r="D2868">
        <v>183.85</v>
      </c>
      <c r="E2868" t="s">
        <v>44</v>
      </c>
      <c r="F2868" t="s">
        <v>6851</v>
      </c>
      <c r="G2868" t="s">
        <v>34</v>
      </c>
      <c r="H2868" t="s">
        <v>50</v>
      </c>
      <c r="I2868" t="s">
        <v>12336</v>
      </c>
      <c r="J2868">
        <v>27</v>
      </c>
      <c r="K2868" t="s">
        <v>25</v>
      </c>
      <c r="L2868" t="s">
        <v>130</v>
      </c>
      <c r="M2868" t="s">
        <v>51</v>
      </c>
      <c r="N2868" t="s">
        <v>345</v>
      </c>
      <c r="O2868">
        <v>490656</v>
      </c>
      <c r="P2868" t="s">
        <v>28</v>
      </c>
      <c r="Q2868" t="s">
        <v>12337</v>
      </c>
      <c r="R2868" t="s">
        <v>12338</v>
      </c>
      <c r="S2868" t="s">
        <v>31</v>
      </c>
      <c r="T2868">
        <v>0</v>
      </c>
    </row>
    <row r="2869" spans="1:20" x14ac:dyDescent="0.25">
      <c r="A2869" t="s">
        <v>12339</v>
      </c>
      <c r="B2869" s="1">
        <v>45834</v>
      </c>
      <c r="C2869" s="5">
        <v>0.17539351851851853</v>
      </c>
      <c r="D2869">
        <v>13.52</v>
      </c>
      <c r="E2869" t="s">
        <v>44</v>
      </c>
      <c r="F2869" t="s">
        <v>12340</v>
      </c>
      <c r="G2869" t="s">
        <v>64</v>
      </c>
      <c r="H2869" t="s">
        <v>110</v>
      </c>
      <c r="I2869" t="s">
        <v>12341</v>
      </c>
      <c r="J2869">
        <v>61</v>
      </c>
      <c r="K2869" t="s">
        <v>49</v>
      </c>
      <c r="L2869" t="s">
        <v>248</v>
      </c>
      <c r="M2869" t="s">
        <v>105</v>
      </c>
      <c r="P2869" t="s">
        <v>28</v>
      </c>
      <c r="Q2869" t="s">
        <v>12342</v>
      </c>
      <c r="R2869" t="s">
        <v>12343</v>
      </c>
      <c r="S2869" t="s">
        <v>42</v>
      </c>
      <c r="T2869">
        <v>0</v>
      </c>
    </row>
    <row r="2870" spans="1:20" x14ac:dyDescent="0.25">
      <c r="A2870" t="s">
        <v>12344</v>
      </c>
      <c r="B2870" s="1">
        <v>45804</v>
      </c>
      <c r="C2870" s="5">
        <v>0.72918981481481482</v>
      </c>
      <c r="D2870">
        <v>148.6</v>
      </c>
      <c r="E2870" t="s">
        <v>44</v>
      </c>
      <c r="F2870" t="s">
        <v>5782</v>
      </c>
      <c r="G2870" t="s">
        <v>77</v>
      </c>
      <c r="H2870" t="s">
        <v>66</v>
      </c>
      <c r="I2870" t="s">
        <v>12345</v>
      </c>
      <c r="J2870">
        <v>25</v>
      </c>
      <c r="K2870" t="s">
        <v>25</v>
      </c>
      <c r="L2870" t="s">
        <v>66</v>
      </c>
      <c r="M2870" t="s">
        <v>112</v>
      </c>
      <c r="P2870" t="s">
        <v>113</v>
      </c>
      <c r="Q2870" t="s">
        <v>12346</v>
      </c>
      <c r="R2870" t="s">
        <v>12347</v>
      </c>
      <c r="S2870" t="s">
        <v>101</v>
      </c>
      <c r="T2870">
        <v>0</v>
      </c>
    </row>
    <row r="2871" spans="1:20" x14ac:dyDescent="0.25">
      <c r="A2871" t="s">
        <v>12348</v>
      </c>
      <c r="B2871" s="1">
        <v>45948</v>
      </c>
      <c r="C2871" s="5">
        <v>0.50878472222222226</v>
      </c>
      <c r="D2871">
        <v>14.55</v>
      </c>
      <c r="E2871" t="s">
        <v>44</v>
      </c>
      <c r="F2871" t="s">
        <v>1921</v>
      </c>
      <c r="G2871" t="s">
        <v>71</v>
      </c>
      <c r="H2871" t="s">
        <v>38</v>
      </c>
      <c r="I2871" t="s">
        <v>12349</v>
      </c>
      <c r="J2871">
        <v>69</v>
      </c>
      <c r="K2871" t="s">
        <v>37</v>
      </c>
      <c r="L2871" t="s">
        <v>130</v>
      </c>
      <c r="M2871" t="s">
        <v>105</v>
      </c>
      <c r="P2871" t="s">
        <v>28</v>
      </c>
      <c r="Q2871" t="s">
        <v>12350</v>
      </c>
      <c r="R2871" t="s">
        <v>12351</v>
      </c>
      <c r="S2871" t="s">
        <v>31</v>
      </c>
      <c r="T2871">
        <v>0</v>
      </c>
    </row>
    <row r="2872" spans="1:20" x14ac:dyDescent="0.25">
      <c r="A2872" t="s">
        <v>12352</v>
      </c>
      <c r="B2872" s="1">
        <v>45952</v>
      </c>
      <c r="C2872" s="5">
        <v>0.46965277777777775</v>
      </c>
      <c r="D2872">
        <v>81.55</v>
      </c>
      <c r="E2872" t="s">
        <v>44</v>
      </c>
      <c r="F2872" t="s">
        <v>2264</v>
      </c>
      <c r="G2872" t="s">
        <v>46</v>
      </c>
      <c r="H2872" t="s">
        <v>23</v>
      </c>
      <c r="I2872" t="s">
        <v>12353</v>
      </c>
      <c r="J2872">
        <v>54</v>
      </c>
      <c r="K2872" t="s">
        <v>37</v>
      </c>
      <c r="L2872" t="s">
        <v>130</v>
      </c>
      <c r="M2872" t="s">
        <v>84</v>
      </c>
      <c r="P2872" t="s">
        <v>28</v>
      </c>
      <c r="Q2872" t="s">
        <v>12354</v>
      </c>
      <c r="R2872" t="s">
        <v>12355</v>
      </c>
      <c r="S2872" t="s">
        <v>31</v>
      </c>
      <c r="T2872">
        <v>0</v>
      </c>
    </row>
    <row r="2873" spans="1:20" x14ac:dyDescent="0.25">
      <c r="A2873" t="s">
        <v>12356</v>
      </c>
      <c r="B2873" s="1">
        <v>45843</v>
      </c>
      <c r="C2873" s="5">
        <v>0.18386574074074075</v>
      </c>
      <c r="D2873">
        <v>21.79</v>
      </c>
      <c r="E2873" t="s">
        <v>44</v>
      </c>
      <c r="F2873" t="s">
        <v>6596</v>
      </c>
      <c r="G2873" t="s">
        <v>89</v>
      </c>
      <c r="H2873" t="s">
        <v>38</v>
      </c>
      <c r="I2873" t="s">
        <v>12357</v>
      </c>
      <c r="J2873">
        <v>71</v>
      </c>
      <c r="K2873" t="s">
        <v>37</v>
      </c>
      <c r="L2873" t="s">
        <v>146</v>
      </c>
      <c r="M2873" t="s">
        <v>51</v>
      </c>
      <c r="N2873" t="s">
        <v>345</v>
      </c>
      <c r="O2873">
        <v>556956</v>
      </c>
      <c r="P2873" t="s">
        <v>28</v>
      </c>
      <c r="Q2873" t="s">
        <v>12358</v>
      </c>
      <c r="R2873" t="s">
        <v>12359</v>
      </c>
      <c r="S2873" t="s">
        <v>31</v>
      </c>
      <c r="T2873">
        <v>0</v>
      </c>
    </row>
    <row r="2874" spans="1:20" x14ac:dyDescent="0.25">
      <c r="A2874" t="s">
        <v>12360</v>
      </c>
      <c r="B2874" s="1">
        <v>45941</v>
      </c>
      <c r="C2874" s="5">
        <v>0.59466435185185185</v>
      </c>
      <c r="D2874">
        <v>155.16</v>
      </c>
      <c r="E2874" t="s">
        <v>44</v>
      </c>
      <c r="F2874" t="s">
        <v>4816</v>
      </c>
      <c r="G2874" t="s">
        <v>96</v>
      </c>
      <c r="H2874" t="s">
        <v>66</v>
      </c>
      <c r="I2874" t="s">
        <v>12361</v>
      </c>
      <c r="J2874">
        <v>71</v>
      </c>
      <c r="K2874" t="s">
        <v>25</v>
      </c>
      <c r="L2874" t="s">
        <v>248</v>
      </c>
      <c r="M2874" t="s">
        <v>27</v>
      </c>
      <c r="P2874" t="s">
        <v>28</v>
      </c>
      <c r="Q2874" t="s">
        <v>12362</v>
      </c>
      <c r="R2874" t="s">
        <v>12363</v>
      </c>
      <c r="S2874" t="s">
        <v>31</v>
      </c>
      <c r="T2874">
        <v>1</v>
      </c>
    </row>
    <row r="2875" spans="1:20" x14ac:dyDescent="0.25">
      <c r="A2875" t="s">
        <v>12364</v>
      </c>
      <c r="B2875" s="1">
        <v>45869</v>
      </c>
      <c r="C2875" s="5">
        <v>0.62954861111111116</v>
      </c>
      <c r="D2875">
        <v>182.32</v>
      </c>
      <c r="E2875" t="s">
        <v>44</v>
      </c>
      <c r="F2875" t="s">
        <v>1210</v>
      </c>
      <c r="G2875" t="s">
        <v>96</v>
      </c>
      <c r="H2875" t="s">
        <v>26</v>
      </c>
      <c r="I2875" t="s">
        <v>12365</v>
      </c>
      <c r="J2875">
        <v>49</v>
      </c>
      <c r="K2875" t="s">
        <v>49</v>
      </c>
      <c r="L2875" t="s">
        <v>66</v>
      </c>
      <c r="M2875" t="s">
        <v>51</v>
      </c>
      <c r="N2875" t="s">
        <v>52</v>
      </c>
      <c r="O2875">
        <v>487986</v>
      </c>
      <c r="P2875" t="s">
        <v>28</v>
      </c>
      <c r="Q2875" t="s">
        <v>12366</v>
      </c>
      <c r="R2875" t="s">
        <v>12367</v>
      </c>
      <c r="S2875" t="s">
        <v>31</v>
      </c>
      <c r="T2875">
        <v>0</v>
      </c>
    </row>
    <row r="2876" spans="1:20" x14ac:dyDescent="0.25">
      <c r="A2876" t="s">
        <v>12368</v>
      </c>
      <c r="B2876" s="1">
        <v>45939</v>
      </c>
      <c r="C2876" s="5">
        <v>0.15390046296296298</v>
      </c>
      <c r="D2876">
        <v>164.17</v>
      </c>
      <c r="E2876" t="s">
        <v>44</v>
      </c>
      <c r="F2876" t="s">
        <v>663</v>
      </c>
      <c r="G2876" t="s">
        <v>46</v>
      </c>
      <c r="H2876" t="s">
        <v>119</v>
      </c>
      <c r="I2876" t="s">
        <v>12369</v>
      </c>
      <c r="J2876">
        <v>43</v>
      </c>
      <c r="K2876" t="s">
        <v>37</v>
      </c>
      <c r="L2876" t="s">
        <v>248</v>
      </c>
      <c r="M2876" t="s">
        <v>27</v>
      </c>
      <c r="P2876" t="s">
        <v>28</v>
      </c>
      <c r="Q2876" t="s">
        <v>12370</v>
      </c>
      <c r="R2876" t="s">
        <v>12371</v>
      </c>
      <c r="S2876" t="s">
        <v>31</v>
      </c>
      <c r="T2876">
        <v>0</v>
      </c>
    </row>
    <row r="2877" spans="1:20" x14ac:dyDescent="0.25">
      <c r="A2877" t="s">
        <v>12372</v>
      </c>
      <c r="B2877" s="1">
        <v>45839</v>
      </c>
      <c r="C2877" s="5">
        <v>0.20886574074074074</v>
      </c>
      <c r="D2877">
        <v>26.49</v>
      </c>
      <c r="E2877" t="s">
        <v>44</v>
      </c>
      <c r="F2877" t="s">
        <v>2368</v>
      </c>
      <c r="G2877" t="s">
        <v>96</v>
      </c>
      <c r="H2877" t="s">
        <v>97</v>
      </c>
      <c r="I2877" t="s">
        <v>12373</v>
      </c>
      <c r="J2877">
        <v>42</v>
      </c>
      <c r="K2877" t="s">
        <v>25</v>
      </c>
      <c r="L2877" t="s">
        <v>91</v>
      </c>
      <c r="M2877" t="s">
        <v>84</v>
      </c>
      <c r="P2877" t="s">
        <v>28</v>
      </c>
      <c r="Q2877" t="s">
        <v>12374</v>
      </c>
      <c r="R2877" t="s">
        <v>12375</v>
      </c>
      <c r="S2877" t="s">
        <v>31</v>
      </c>
      <c r="T2877">
        <v>0</v>
      </c>
    </row>
    <row r="2878" spans="1:20" x14ac:dyDescent="0.25">
      <c r="A2878" t="s">
        <v>12376</v>
      </c>
      <c r="B2878" s="1">
        <v>45874</v>
      </c>
      <c r="C2878" s="5">
        <v>0.9538078703703704</v>
      </c>
      <c r="D2878">
        <v>328.99</v>
      </c>
      <c r="E2878" t="s">
        <v>44</v>
      </c>
      <c r="F2878" t="s">
        <v>4833</v>
      </c>
      <c r="G2878" t="s">
        <v>34</v>
      </c>
      <c r="H2878" t="s">
        <v>146</v>
      </c>
      <c r="I2878" t="s">
        <v>12377</v>
      </c>
      <c r="J2878">
        <v>56</v>
      </c>
      <c r="K2878" t="s">
        <v>25</v>
      </c>
      <c r="L2878" t="s">
        <v>47</v>
      </c>
      <c r="M2878" t="s">
        <v>51</v>
      </c>
      <c r="N2878" t="s">
        <v>52</v>
      </c>
      <c r="O2878">
        <v>540257</v>
      </c>
      <c r="P2878" t="s">
        <v>28</v>
      </c>
      <c r="Q2878" t="s">
        <v>12378</v>
      </c>
      <c r="R2878" t="s">
        <v>12379</v>
      </c>
      <c r="S2878" t="s">
        <v>31</v>
      </c>
      <c r="T2878">
        <v>0</v>
      </c>
    </row>
    <row r="2879" spans="1:20" x14ac:dyDescent="0.25">
      <c r="A2879" t="s">
        <v>12380</v>
      </c>
      <c r="B2879" s="1">
        <v>45946</v>
      </c>
      <c r="C2879" s="5">
        <v>0.23067129629629629</v>
      </c>
      <c r="D2879">
        <v>121.29</v>
      </c>
      <c r="E2879" t="s">
        <v>44</v>
      </c>
      <c r="F2879" t="s">
        <v>2603</v>
      </c>
      <c r="G2879" t="s">
        <v>22</v>
      </c>
      <c r="H2879" t="s">
        <v>66</v>
      </c>
      <c r="I2879" t="s">
        <v>12381</v>
      </c>
      <c r="J2879">
        <v>36</v>
      </c>
      <c r="K2879" t="s">
        <v>49</v>
      </c>
      <c r="L2879" t="s">
        <v>66</v>
      </c>
      <c r="M2879" t="s">
        <v>112</v>
      </c>
      <c r="P2879" t="s">
        <v>113</v>
      </c>
      <c r="Q2879" t="s">
        <v>12382</v>
      </c>
      <c r="R2879" t="s">
        <v>12383</v>
      </c>
      <c r="S2879" t="s">
        <v>31</v>
      </c>
      <c r="T2879">
        <v>0</v>
      </c>
    </row>
    <row r="2880" spans="1:20" x14ac:dyDescent="0.25">
      <c r="A2880" t="s">
        <v>12384</v>
      </c>
      <c r="B2880" s="1">
        <v>45894</v>
      </c>
      <c r="C2880" s="5">
        <v>0.95340277777777782</v>
      </c>
      <c r="D2880">
        <v>111.71</v>
      </c>
      <c r="E2880" t="s">
        <v>44</v>
      </c>
      <c r="F2880" t="s">
        <v>1766</v>
      </c>
      <c r="G2880" t="s">
        <v>77</v>
      </c>
      <c r="H2880" t="s">
        <v>58</v>
      </c>
      <c r="I2880" t="s">
        <v>12385</v>
      </c>
      <c r="J2880">
        <v>59</v>
      </c>
      <c r="K2880" t="s">
        <v>49</v>
      </c>
      <c r="L2880" t="s">
        <v>35</v>
      </c>
      <c r="M2880" t="s">
        <v>39</v>
      </c>
      <c r="P2880" t="s">
        <v>28</v>
      </c>
      <c r="Q2880" t="s">
        <v>12386</v>
      </c>
      <c r="R2880" t="s">
        <v>12387</v>
      </c>
      <c r="S2880" t="s">
        <v>31</v>
      </c>
      <c r="T2880">
        <v>0</v>
      </c>
    </row>
    <row r="2881" spans="1:20" x14ac:dyDescent="0.25">
      <c r="A2881" t="s">
        <v>12388</v>
      </c>
      <c r="B2881" s="1">
        <v>45943</v>
      </c>
      <c r="C2881" s="5">
        <v>0.4914351851851852</v>
      </c>
      <c r="D2881">
        <v>90.11</v>
      </c>
      <c r="E2881" t="s">
        <v>44</v>
      </c>
      <c r="F2881" t="s">
        <v>4751</v>
      </c>
      <c r="G2881" t="s">
        <v>22</v>
      </c>
      <c r="H2881" t="s">
        <v>26</v>
      </c>
      <c r="I2881" t="s">
        <v>12389</v>
      </c>
      <c r="J2881">
        <v>56</v>
      </c>
      <c r="K2881" t="s">
        <v>25</v>
      </c>
      <c r="L2881" t="s">
        <v>26</v>
      </c>
      <c r="M2881" t="s">
        <v>51</v>
      </c>
      <c r="N2881" t="s">
        <v>870</v>
      </c>
      <c r="O2881">
        <v>512572</v>
      </c>
      <c r="P2881" t="s">
        <v>113</v>
      </c>
      <c r="Q2881" t="s">
        <v>12390</v>
      </c>
      <c r="R2881" t="s">
        <v>12391</v>
      </c>
      <c r="S2881" t="s">
        <v>31</v>
      </c>
      <c r="T2881">
        <v>0</v>
      </c>
    </row>
    <row r="2882" spans="1:20" x14ac:dyDescent="0.25">
      <c r="A2882" t="s">
        <v>12392</v>
      </c>
      <c r="B2882" s="1">
        <v>45908</v>
      </c>
      <c r="C2882" s="5">
        <v>0.93395833333333333</v>
      </c>
      <c r="D2882">
        <v>60.27</v>
      </c>
      <c r="E2882" t="s">
        <v>44</v>
      </c>
      <c r="F2882" t="s">
        <v>11084</v>
      </c>
      <c r="G2882" t="s">
        <v>57</v>
      </c>
      <c r="H2882" t="s">
        <v>50</v>
      </c>
      <c r="I2882" t="s">
        <v>12393</v>
      </c>
      <c r="J2882">
        <v>63</v>
      </c>
      <c r="K2882" t="s">
        <v>49</v>
      </c>
      <c r="L2882" t="s">
        <v>38</v>
      </c>
      <c r="M2882" t="s">
        <v>105</v>
      </c>
      <c r="P2882" t="s">
        <v>28</v>
      </c>
      <c r="Q2882" t="s">
        <v>12394</v>
      </c>
      <c r="R2882" t="s">
        <v>12395</v>
      </c>
      <c r="S2882" t="s">
        <v>31</v>
      </c>
      <c r="T2882">
        <v>0</v>
      </c>
    </row>
    <row r="2883" spans="1:20" x14ac:dyDescent="0.25">
      <c r="A2883" t="s">
        <v>12396</v>
      </c>
      <c r="B2883" s="1">
        <v>45830</v>
      </c>
      <c r="C2883" s="5">
        <v>0.14631944444444445</v>
      </c>
      <c r="D2883">
        <v>105.46</v>
      </c>
      <c r="E2883" t="s">
        <v>44</v>
      </c>
      <c r="F2883" t="s">
        <v>6579</v>
      </c>
      <c r="G2883" t="s">
        <v>96</v>
      </c>
      <c r="H2883" t="s">
        <v>58</v>
      </c>
      <c r="I2883" t="s">
        <v>12397</v>
      </c>
      <c r="J2883">
        <v>65</v>
      </c>
      <c r="K2883" t="s">
        <v>37</v>
      </c>
      <c r="L2883" t="s">
        <v>119</v>
      </c>
      <c r="M2883" t="s">
        <v>51</v>
      </c>
      <c r="N2883" t="s">
        <v>304</v>
      </c>
      <c r="O2883">
        <v>409467</v>
      </c>
      <c r="P2883" t="s">
        <v>28</v>
      </c>
      <c r="Q2883" t="s">
        <v>12398</v>
      </c>
      <c r="R2883" t="s">
        <v>12399</v>
      </c>
      <c r="S2883" t="s">
        <v>31</v>
      </c>
      <c r="T2883">
        <v>0</v>
      </c>
    </row>
    <row r="2884" spans="1:20" x14ac:dyDescent="0.25">
      <c r="A2884" t="s">
        <v>12400</v>
      </c>
      <c r="B2884" s="1">
        <v>45886</v>
      </c>
      <c r="C2884" s="5">
        <v>0.55471064814814819</v>
      </c>
      <c r="D2884">
        <v>7.31</v>
      </c>
      <c r="E2884" t="s">
        <v>44</v>
      </c>
      <c r="F2884" t="s">
        <v>3008</v>
      </c>
      <c r="G2884" t="s">
        <v>124</v>
      </c>
      <c r="H2884" t="s">
        <v>91</v>
      </c>
      <c r="I2884" t="s">
        <v>12401</v>
      </c>
      <c r="J2884">
        <v>47</v>
      </c>
      <c r="K2884" t="s">
        <v>25</v>
      </c>
      <c r="L2884" t="s">
        <v>38</v>
      </c>
      <c r="M2884" t="s">
        <v>27</v>
      </c>
      <c r="P2884" t="s">
        <v>28</v>
      </c>
      <c r="Q2884" t="s">
        <v>12402</v>
      </c>
      <c r="R2884" t="s">
        <v>12403</v>
      </c>
      <c r="S2884" t="s">
        <v>31</v>
      </c>
      <c r="T2884">
        <v>0</v>
      </c>
    </row>
    <row r="2885" spans="1:20" x14ac:dyDescent="0.25">
      <c r="A2885" t="s">
        <v>12404</v>
      </c>
      <c r="B2885" s="1">
        <v>45927</v>
      </c>
      <c r="C2885" s="5">
        <v>2.8206018518518519E-2</v>
      </c>
      <c r="D2885">
        <v>24.61</v>
      </c>
      <c r="E2885" t="s">
        <v>44</v>
      </c>
      <c r="F2885" t="s">
        <v>2277</v>
      </c>
      <c r="G2885" t="s">
        <v>22</v>
      </c>
      <c r="H2885" t="s">
        <v>119</v>
      </c>
      <c r="I2885" t="s">
        <v>12405</v>
      </c>
      <c r="J2885">
        <v>24</v>
      </c>
      <c r="K2885" t="s">
        <v>25</v>
      </c>
      <c r="L2885" t="s">
        <v>97</v>
      </c>
      <c r="M2885" t="s">
        <v>27</v>
      </c>
      <c r="P2885" t="s">
        <v>28</v>
      </c>
      <c r="Q2885" t="s">
        <v>12406</v>
      </c>
      <c r="R2885" t="s">
        <v>12407</v>
      </c>
      <c r="S2885" t="s">
        <v>101</v>
      </c>
      <c r="T2885">
        <v>0</v>
      </c>
    </row>
    <row r="2886" spans="1:20" x14ac:dyDescent="0.25">
      <c r="A2886" t="s">
        <v>12408</v>
      </c>
      <c r="B2886" s="1">
        <v>45810</v>
      </c>
      <c r="C2886" s="5">
        <v>0.57497685185185188</v>
      </c>
      <c r="D2886">
        <v>194.51</v>
      </c>
      <c r="E2886" t="s">
        <v>44</v>
      </c>
      <c r="F2886" t="s">
        <v>12409</v>
      </c>
      <c r="G2886" t="s">
        <v>96</v>
      </c>
      <c r="H2886" t="s">
        <v>110</v>
      </c>
      <c r="I2886" t="s">
        <v>12410</v>
      </c>
      <c r="J2886">
        <v>73</v>
      </c>
      <c r="K2886" t="s">
        <v>37</v>
      </c>
      <c r="L2886" t="s">
        <v>23</v>
      </c>
      <c r="M2886" t="s">
        <v>84</v>
      </c>
      <c r="P2886" t="s">
        <v>28</v>
      </c>
      <c r="Q2886" t="s">
        <v>12411</v>
      </c>
      <c r="R2886" t="s">
        <v>12412</v>
      </c>
      <c r="S2886" t="s">
        <v>31</v>
      </c>
      <c r="T2886">
        <v>0</v>
      </c>
    </row>
    <row r="2887" spans="1:20" x14ac:dyDescent="0.25">
      <c r="A2887" t="s">
        <v>12413</v>
      </c>
      <c r="B2887" s="1">
        <v>45828</v>
      </c>
      <c r="C2887" s="5">
        <v>0.72326388888888893</v>
      </c>
      <c r="D2887">
        <v>18.95</v>
      </c>
      <c r="E2887" t="s">
        <v>44</v>
      </c>
      <c r="F2887" t="s">
        <v>1568</v>
      </c>
      <c r="G2887" t="s">
        <v>89</v>
      </c>
      <c r="H2887" t="s">
        <v>97</v>
      </c>
      <c r="I2887" t="s">
        <v>12414</v>
      </c>
      <c r="J2887">
        <v>53</v>
      </c>
      <c r="K2887" t="s">
        <v>25</v>
      </c>
      <c r="L2887" t="s">
        <v>248</v>
      </c>
      <c r="M2887" t="s">
        <v>51</v>
      </c>
      <c r="N2887" t="s">
        <v>507</v>
      </c>
      <c r="O2887">
        <v>555247</v>
      </c>
      <c r="P2887" t="s">
        <v>28</v>
      </c>
      <c r="Q2887" t="s">
        <v>12415</v>
      </c>
      <c r="R2887" t="s">
        <v>12416</v>
      </c>
      <c r="S2887" t="s">
        <v>31</v>
      </c>
      <c r="T2887">
        <v>0</v>
      </c>
    </row>
    <row r="2888" spans="1:20" x14ac:dyDescent="0.25">
      <c r="A2888" t="s">
        <v>12417</v>
      </c>
      <c r="B2888" s="1">
        <v>45893</v>
      </c>
      <c r="C2888" s="5">
        <v>5.0902777777777776E-2</v>
      </c>
      <c r="D2888">
        <v>66.17</v>
      </c>
      <c r="E2888" t="s">
        <v>44</v>
      </c>
      <c r="F2888" t="s">
        <v>227</v>
      </c>
      <c r="G2888" t="s">
        <v>22</v>
      </c>
      <c r="H2888" t="s">
        <v>38</v>
      </c>
      <c r="I2888" t="s">
        <v>12418</v>
      </c>
      <c r="J2888">
        <v>38</v>
      </c>
      <c r="K2888" t="s">
        <v>37</v>
      </c>
      <c r="L2888" t="s">
        <v>146</v>
      </c>
      <c r="M2888" t="s">
        <v>27</v>
      </c>
      <c r="P2888" t="s">
        <v>28</v>
      </c>
      <c r="Q2888" t="s">
        <v>12419</v>
      </c>
      <c r="R2888" t="s">
        <v>12420</v>
      </c>
      <c r="S2888" t="s">
        <v>31</v>
      </c>
      <c r="T2888">
        <v>0</v>
      </c>
    </row>
    <row r="2889" spans="1:20" x14ac:dyDescent="0.25">
      <c r="A2889" t="s">
        <v>12421</v>
      </c>
      <c r="B2889" s="1">
        <v>45793</v>
      </c>
      <c r="C2889" s="5">
        <v>0.88730324074074074</v>
      </c>
      <c r="D2889">
        <v>96.93</v>
      </c>
      <c r="E2889" t="s">
        <v>44</v>
      </c>
      <c r="F2889" t="s">
        <v>1012</v>
      </c>
      <c r="G2889" t="s">
        <v>96</v>
      </c>
      <c r="H2889" t="s">
        <v>38</v>
      </c>
      <c r="I2889" t="s">
        <v>12422</v>
      </c>
      <c r="J2889">
        <v>23</v>
      </c>
      <c r="K2889" t="s">
        <v>49</v>
      </c>
      <c r="L2889" t="s">
        <v>110</v>
      </c>
      <c r="M2889" t="s">
        <v>112</v>
      </c>
      <c r="P2889" t="s">
        <v>28</v>
      </c>
      <c r="Q2889" t="s">
        <v>12423</v>
      </c>
      <c r="R2889" t="s">
        <v>12424</v>
      </c>
      <c r="S2889" t="s">
        <v>31</v>
      </c>
      <c r="T2889">
        <v>1</v>
      </c>
    </row>
    <row r="2890" spans="1:20" x14ac:dyDescent="0.25">
      <c r="A2890" t="s">
        <v>12425</v>
      </c>
      <c r="B2890" s="1">
        <v>45910</v>
      </c>
      <c r="C2890" s="5">
        <v>0.6530555555555555</v>
      </c>
      <c r="D2890">
        <v>119.56</v>
      </c>
      <c r="E2890" t="s">
        <v>44</v>
      </c>
      <c r="F2890" t="s">
        <v>1296</v>
      </c>
      <c r="G2890" t="s">
        <v>89</v>
      </c>
      <c r="H2890" t="s">
        <v>26</v>
      </c>
      <c r="I2890" t="s">
        <v>12426</v>
      </c>
      <c r="J2890">
        <v>32</v>
      </c>
      <c r="K2890" t="s">
        <v>25</v>
      </c>
      <c r="L2890" t="s">
        <v>119</v>
      </c>
      <c r="M2890" t="s">
        <v>39</v>
      </c>
      <c r="P2890" t="s">
        <v>28</v>
      </c>
      <c r="Q2890" t="s">
        <v>12427</v>
      </c>
      <c r="R2890" t="s">
        <v>12428</v>
      </c>
      <c r="S2890" t="s">
        <v>31</v>
      </c>
      <c r="T2890">
        <v>0</v>
      </c>
    </row>
    <row r="2891" spans="1:20" x14ac:dyDescent="0.25">
      <c r="A2891" t="s">
        <v>12429</v>
      </c>
      <c r="B2891" s="1">
        <v>45905</v>
      </c>
      <c r="C2891" s="5">
        <v>0.95126157407407408</v>
      </c>
      <c r="D2891">
        <v>24.67</v>
      </c>
      <c r="E2891" t="s">
        <v>44</v>
      </c>
      <c r="F2891" t="s">
        <v>4123</v>
      </c>
      <c r="G2891" t="s">
        <v>34</v>
      </c>
      <c r="H2891" t="s">
        <v>47</v>
      </c>
      <c r="I2891" t="s">
        <v>12430</v>
      </c>
      <c r="J2891">
        <v>73</v>
      </c>
      <c r="K2891" t="s">
        <v>25</v>
      </c>
      <c r="L2891" t="s">
        <v>91</v>
      </c>
      <c r="M2891" t="s">
        <v>112</v>
      </c>
      <c r="P2891" t="s">
        <v>28</v>
      </c>
      <c r="Q2891" t="s">
        <v>12431</v>
      </c>
      <c r="R2891" t="s">
        <v>12432</v>
      </c>
      <c r="S2891" t="s">
        <v>31</v>
      </c>
      <c r="T2891">
        <v>0</v>
      </c>
    </row>
    <row r="2892" spans="1:20" x14ac:dyDescent="0.25">
      <c r="A2892" t="s">
        <v>12433</v>
      </c>
      <c r="B2892" s="1">
        <v>45916</v>
      </c>
      <c r="C2892" s="5">
        <v>9.4583333333333339E-2</v>
      </c>
      <c r="D2892">
        <v>123.78</v>
      </c>
      <c r="E2892" t="s">
        <v>44</v>
      </c>
      <c r="F2892" t="s">
        <v>4491</v>
      </c>
      <c r="G2892" t="s">
        <v>22</v>
      </c>
      <c r="H2892" t="s">
        <v>26</v>
      </c>
      <c r="I2892" t="s">
        <v>12434</v>
      </c>
      <c r="J2892">
        <v>37</v>
      </c>
      <c r="K2892" t="s">
        <v>25</v>
      </c>
      <c r="L2892" t="s">
        <v>66</v>
      </c>
      <c r="M2892" t="s">
        <v>27</v>
      </c>
      <c r="P2892" t="s">
        <v>28</v>
      </c>
      <c r="Q2892" t="s">
        <v>12435</v>
      </c>
      <c r="R2892" t="s">
        <v>12436</v>
      </c>
      <c r="S2892" t="s">
        <v>31</v>
      </c>
      <c r="T2892">
        <v>0</v>
      </c>
    </row>
    <row r="2893" spans="1:20" x14ac:dyDescent="0.25">
      <c r="A2893" t="s">
        <v>12437</v>
      </c>
      <c r="B2893" s="1">
        <v>45888</v>
      </c>
      <c r="C2893" s="5">
        <v>0.76682870370370371</v>
      </c>
      <c r="D2893">
        <v>13.27</v>
      </c>
      <c r="E2893" t="s">
        <v>44</v>
      </c>
      <c r="F2893" t="s">
        <v>11051</v>
      </c>
      <c r="G2893" t="s">
        <v>124</v>
      </c>
      <c r="H2893" t="s">
        <v>146</v>
      </c>
      <c r="I2893" t="s">
        <v>12438</v>
      </c>
      <c r="J2893">
        <v>46</v>
      </c>
      <c r="K2893" t="s">
        <v>37</v>
      </c>
      <c r="L2893" t="s">
        <v>23</v>
      </c>
      <c r="M2893" t="s">
        <v>27</v>
      </c>
      <c r="P2893" t="s">
        <v>28</v>
      </c>
      <c r="Q2893" t="s">
        <v>12439</v>
      </c>
      <c r="R2893" t="s">
        <v>12440</v>
      </c>
      <c r="S2893" t="s">
        <v>31</v>
      </c>
      <c r="T2893">
        <v>0</v>
      </c>
    </row>
    <row r="2894" spans="1:20" x14ac:dyDescent="0.25">
      <c r="A2894" t="s">
        <v>12441</v>
      </c>
      <c r="B2894" s="1">
        <v>45803</v>
      </c>
      <c r="C2894" s="5">
        <v>0.39627314814814812</v>
      </c>
      <c r="D2894">
        <v>41.14</v>
      </c>
      <c r="E2894" t="s">
        <v>44</v>
      </c>
      <c r="F2894" t="s">
        <v>2089</v>
      </c>
      <c r="G2894" t="s">
        <v>89</v>
      </c>
      <c r="H2894" t="s">
        <v>58</v>
      </c>
      <c r="I2894" t="s">
        <v>12442</v>
      </c>
      <c r="J2894">
        <v>38</v>
      </c>
      <c r="K2894" t="s">
        <v>25</v>
      </c>
      <c r="L2894" t="s">
        <v>248</v>
      </c>
      <c r="M2894" t="s">
        <v>51</v>
      </c>
      <c r="N2894" t="s">
        <v>345</v>
      </c>
      <c r="O2894">
        <v>474030</v>
      </c>
      <c r="P2894" t="s">
        <v>28</v>
      </c>
      <c r="Q2894" t="s">
        <v>12443</v>
      </c>
      <c r="R2894" t="s">
        <v>12444</v>
      </c>
      <c r="S2894" t="s">
        <v>31</v>
      </c>
      <c r="T2894">
        <v>0</v>
      </c>
    </row>
    <row r="2895" spans="1:20" x14ac:dyDescent="0.25">
      <c r="A2895" t="s">
        <v>12445</v>
      </c>
      <c r="B2895" s="1">
        <v>45920</v>
      </c>
      <c r="C2895" s="5">
        <v>1.8298611111111113E-2</v>
      </c>
      <c r="D2895">
        <v>159.72</v>
      </c>
      <c r="E2895" t="s">
        <v>44</v>
      </c>
      <c r="F2895" t="s">
        <v>2612</v>
      </c>
      <c r="G2895" t="s">
        <v>22</v>
      </c>
      <c r="H2895" t="s">
        <v>66</v>
      </c>
      <c r="I2895" t="s">
        <v>12446</v>
      </c>
      <c r="J2895">
        <v>18</v>
      </c>
      <c r="K2895" t="s">
        <v>25</v>
      </c>
      <c r="L2895" t="s">
        <v>248</v>
      </c>
      <c r="M2895" t="s">
        <v>27</v>
      </c>
      <c r="P2895" t="s">
        <v>28</v>
      </c>
      <c r="Q2895" t="s">
        <v>12447</v>
      </c>
      <c r="R2895" t="s">
        <v>12448</v>
      </c>
      <c r="S2895" t="s">
        <v>31</v>
      </c>
      <c r="T2895">
        <v>0</v>
      </c>
    </row>
    <row r="2896" spans="1:20" x14ac:dyDescent="0.25">
      <c r="A2896" t="s">
        <v>12449</v>
      </c>
      <c r="B2896" s="1">
        <v>45805</v>
      </c>
      <c r="C2896" s="5">
        <v>0.58506944444444442</v>
      </c>
      <c r="D2896">
        <v>136.02000000000001</v>
      </c>
      <c r="E2896" t="s">
        <v>44</v>
      </c>
      <c r="F2896" t="s">
        <v>1224</v>
      </c>
      <c r="G2896" t="s">
        <v>124</v>
      </c>
      <c r="H2896" t="s">
        <v>91</v>
      </c>
      <c r="I2896" t="s">
        <v>12450</v>
      </c>
      <c r="J2896">
        <v>45</v>
      </c>
      <c r="K2896" t="s">
        <v>37</v>
      </c>
      <c r="L2896" t="s">
        <v>91</v>
      </c>
      <c r="M2896" t="s">
        <v>112</v>
      </c>
      <c r="P2896" t="s">
        <v>113</v>
      </c>
      <c r="Q2896" t="s">
        <v>12451</v>
      </c>
      <c r="R2896" t="s">
        <v>12452</v>
      </c>
      <c r="S2896" t="s">
        <v>31</v>
      </c>
      <c r="T2896">
        <v>0</v>
      </c>
    </row>
    <row r="2897" spans="1:20" x14ac:dyDescent="0.25">
      <c r="A2897" t="s">
        <v>12453</v>
      </c>
      <c r="B2897" s="1">
        <v>45883</v>
      </c>
      <c r="C2897" s="5">
        <v>0.66381944444444441</v>
      </c>
      <c r="D2897">
        <v>183.43</v>
      </c>
      <c r="E2897" t="s">
        <v>44</v>
      </c>
      <c r="F2897" t="s">
        <v>4696</v>
      </c>
      <c r="G2897" t="s">
        <v>34</v>
      </c>
      <c r="H2897" t="s">
        <v>130</v>
      </c>
      <c r="I2897" t="s">
        <v>12454</v>
      </c>
      <c r="J2897">
        <v>45</v>
      </c>
      <c r="K2897" t="s">
        <v>25</v>
      </c>
      <c r="L2897" t="s">
        <v>23</v>
      </c>
      <c r="M2897" t="s">
        <v>27</v>
      </c>
      <c r="P2897" t="s">
        <v>28</v>
      </c>
      <c r="Q2897" t="s">
        <v>12455</v>
      </c>
      <c r="R2897" t="s">
        <v>12456</v>
      </c>
      <c r="S2897" t="s">
        <v>31</v>
      </c>
      <c r="T2897">
        <v>0</v>
      </c>
    </row>
    <row r="2898" spans="1:20" x14ac:dyDescent="0.25">
      <c r="A2898" t="s">
        <v>12457</v>
      </c>
      <c r="B2898" s="1">
        <v>45804</v>
      </c>
      <c r="C2898" s="5">
        <v>0.26431712962962961</v>
      </c>
      <c r="D2898">
        <v>190.16</v>
      </c>
      <c r="E2898" t="s">
        <v>44</v>
      </c>
      <c r="F2898" t="s">
        <v>7808</v>
      </c>
      <c r="G2898" t="s">
        <v>46</v>
      </c>
      <c r="H2898" t="s">
        <v>91</v>
      </c>
      <c r="I2898" t="s">
        <v>6011</v>
      </c>
      <c r="J2898">
        <v>101</v>
      </c>
      <c r="K2898" t="s">
        <v>25</v>
      </c>
      <c r="L2898" t="s">
        <v>110</v>
      </c>
      <c r="M2898" t="s">
        <v>112</v>
      </c>
      <c r="P2898" t="s">
        <v>28</v>
      </c>
      <c r="Q2898" t="s">
        <v>12458</v>
      </c>
      <c r="R2898" t="s">
        <v>12459</v>
      </c>
      <c r="S2898" t="s">
        <v>31</v>
      </c>
      <c r="T2898">
        <v>1</v>
      </c>
    </row>
    <row r="2899" spans="1:20" x14ac:dyDescent="0.25">
      <c r="A2899" t="s">
        <v>12460</v>
      </c>
      <c r="B2899" s="1">
        <v>45937</v>
      </c>
      <c r="C2899" s="5">
        <v>0.78001157407407407</v>
      </c>
      <c r="D2899">
        <v>39.71</v>
      </c>
      <c r="E2899" t="s">
        <v>44</v>
      </c>
      <c r="F2899" t="s">
        <v>8626</v>
      </c>
      <c r="G2899" t="s">
        <v>77</v>
      </c>
      <c r="H2899" t="s">
        <v>91</v>
      </c>
      <c r="I2899" t="s">
        <v>12461</v>
      </c>
      <c r="J2899">
        <v>58</v>
      </c>
      <c r="K2899" t="s">
        <v>25</v>
      </c>
      <c r="L2899" t="s">
        <v>58</v>
      </c>
      <c r="M2899" t="s">
        <v>39</v>
      </c>
      <c r="P2899" t="s">
        <v>28</v>
      </c>
      <c r="Q2899" t="s">
        <v>12462</v>
      </c>
      <c r="R2899" t="s">
        <v>12463</v>
      </c>
      <c r="S2899" t="s">
        <v>42</v>
      </c>
      <c r="T2899">
        <v>0</v>
      </c>
    </row>
    <row r="2900" spans="1:20" x14ac:dyDescent="0.25">
      <c r="A2900" t="s">
        <v>12464</v>
      </c>
      <c r="B2900" s="1">
        <v>45871</v>
      </c>
      <c r="C2900" s="5">
        <v>0.67719907407407409</v>
      </c>
      <c r="D2900">
        <v>93.91</v>
      </c>
      <c r="E2900" t="s">
        <v>44</v>
      </c>
      <c r="F2900" t="s">
        <v>3413</v>
      </c>
      <c r="G2900" t="s">
        <v>46</v>
      </c>
      <c r="H2900" t="s">
        <v>26</v>
      </c>
      <c r="I2900" t="s">
        <v>12465</v>
      </c>
      <c r="J2900">
        <v>21</v>
      </c>
      <c r="K2900" t="s">
        <v>49</v>
      </c>
      <c r="L2900" t="s">
        <v>97</v>
      </c>
      <c r="M2900" t="s">
        <v>51</v>
      </c>
      <c r="N2900" t="s">
        <v>173</v>
      </c>
      <c r="O2900">
        <v>533720</v>
      </c>
      <c r="P2900" t="s">
        <v>28</v>
      </c>
      <c r="Q2900" t="s">
        <v>12466</v>
      </c>
      <c r="R2900" t="s">
        <v>12467</v>
      </c>
      <c r="S2900" t="s">
        <v>31</v>
      </c>
      <c r="T2900">
        <v>0</v>
      </c>
    </row>
    <row r="2901" spans="1:20" x14ac:dyDescent="0.25">
      <c r="A2901" t="s">
        <v>12468</v>
      </c>
      <c r="B2901" s="1">
        <v>45851</v>
      </c>
      <c r="C2901" s="5">
        <v>0.33766203703703701</v>
      </c>
      <c r="D2901">
        <v>146.5</v>
      </c>
      <c r="E2901" t="s">
        <v>44</v>
      </c>
      <c r="F2901" t="s">
        <v>12469</v>
      </c>
      <c r="G2901" t="s">
        <v>57</v>
      </c>
      <c r="H2901" t="s">
        <v>130</v>
      </c>
      <c r="I2901" t="s">
        <v>12470</v>
      </c>
      <c r="J2901">
        <v>68</v>
      </c>
      <c r="K2901" t="s">
        <v>49</v>
      </c>
      <c r="L2901" t="s">
        <v>23</v>
      </c>
      <c r="M2901" t="s">
        <v>84</v>
      </c>
      <c r="P2901" t="s">
        <v>28</v>
      </c>
      <c r="Q2901" t="s">
        <v>12471</v>
      </c>
      <c r="R2901" t="s">
        <v>12472</v>
      </c>
      <c r="S2901" t="s">
        <v>31</v>
      </c>
      <c r="T2901">
        <v>1</v>
      </c>
    </row>
    <row r="2902" spans="1:20" x14ac:dyDescent="0.25">
      <c r="A2902" t="s">
        <v>12473</v>
      </c>
      <c r="B2902" s="1">
        <v>45870</v>
      </c>
      <c r="C2902" s="5">
        <v>0.18230324074074075</v>
      </c>
      <c r="D2902">
        <v>37.5</v>
      </c>
      <c r="E2902" t="s">
        <v>44</v>
      </c>
      <c r="F2902" t="s">
        <v>814</v>
      </c>
      <c r="G2902" t="s">
        <v>71</v>
      </c>
      <c r="H2902" t="s">
        <v>66</v>
      </c>
      <c r="I2902" t="s">
        <v>12474</v>
      </c>
      <c r="J2902">
        <v>66</v>
      </c>
      <c r="K2902" t="s">
        <v>49</v>
      </c>
      <c r="L2902" t="s">
        <v>66</v>
      </c>
      <c r="M2902" t="s">
        <v>39</v>
      </c>
      <c r="P2902" t="s">
        <v>113</v>
      </c>
      <c r="Q2902" t="s">
        <v>12475</v>
      </c>
      <c r="R2902" t="s">
        <v>12476</v>
      </c>
      <c r="S2902" t="s">
        <v>31</v>
      </c>
      <c r="T2902">
        <v>0</v>
      </c>
    </row>
    <row r="2903" spans="1:20" x14ac:dyDescent="0.25">
      <c r="A2903" t="s">
        <v>12477</v>
      </c>
      <c r="B2903" s="1">
        <v>45941</v>
      </c>
      <c r="C2903" s="5">
        <v>0.79114583333333333</v>
      </c>
      <c r="D2903">
        <v>78.760000000000005</v>
      </c>
      <c r="E2903" t="s">
        <v>44</v>
      </c>
      <c r="F2903" t="s">
        <v>5732</v>
      </c>
      <c r="G2903" t="s">
        <v>89</v>
      </c>
      <c r="H2903" t="s">
        <v>58</v>
      </c>
      <c r="I2903" t="s">
        <v>12478</v>
      </c>
      <c r="J2903">
        <v>52</v>
      </c>
      <c r="K2903" t="s">
        <v>37</v>
      </c>
      <c r="L2903" t="s">
        <v>119</v>
      </c>
      <c r="M2903" t="s">
        <v>39</v>
      </c>
      <c r="P2903" t="s">
        <v>28</v>
      </c>
      <c r="Q2903" t="s">
        <v>12479</v>
      </c>
      <c r="R2903" t="s">
        <v>12480</v>
      </c>
      <c r="S2903" t="s">
        <v>31</v>
      </c>
      <c r="T2903">
        <v>0</v>
      </c>
    </row>
    <row r="2904" spans="1:20" x14ac:dyDescent="0.25">
      <c r="A2904" t="s">
        <v>12481</v>
      </c>
      <c r="B2904" s="1">
        <v>45902</v>
      </c>
      <c r="C2904" s="5">
        <v>0.81766203703703699</v>
      </c>
      <c r="D2904">
        <v>7.03</v>
      </c>
      <c r="E2904" t="s">
        <v>44</v>
      </c>
      <c r="F2904" t="s">
        <v>4369</v>
      </c>
      <c r="G2904" t="s">
        <v>124</v>
      </c>
      <c r="H2904" t="s">
        <v>97</v>
      </c>
      <c r="I2904" t="s">
        <v>12482</v>
      </c>
      <c r="J2904">
        <v>32</v>
      </c>
      <c r="K2904" t="s">
        <v>37</v>
      </c>
      <c r="L2904" t="s">
        <v>38</v>
      </c>
      <c r="M2904" t="s">
        <v>105</v>
      </c>
      <c r="P2904" t="s">
        <v>28</v>
      </c>
      <c r="Q2904" t="s">
        <v>12483</v>
      </c>
      <c r="R2904" t="s">
        <v>12484</v>
      </c>
      <c r="S2904" t="s">
        <v>101</v>
      </c>
      <c r="T2904">
        <v>0</v>
      </c>
    </row>
    <row r="2905" spans="1:20" x14ac:dyDescent="0.25">
      <c r="A2905" t="s">
        <v>12485</v>
      </c>
      <c r="B2905" s="1">
        <v>45850</v>
      </c>
      <c r="C2905" s="5">
        <v>0.83035879629629628</v>
      </c>
      <c r="D2905">
        <v>127.35</v>
      </c>
      <c r="E2905" t="s">
        <v>44</v>
      </c>
      <c r="F2905" t="s">
        <v>1252</v>
      </c>
      <c r="G2905" t="s">
        <v>64</v>
      </c>
      <c r="H2905" t="s">
        <v>47</v>
      </c>
      <c r="I2905" t="s">
        <v>12486</v>
      </c>
      <c r="J2905">
        <v>53</v>
      </c>
      <c r="K2905" t="s">
        <v>49</v>
      </c>
      <c r="L2905" t="s">
        <v>130</v>
      </c>
      <c r="M2905" t="s">
        <v>112</v>
      </c>
      <c r="P2905" t="s">
        <v>28</v>
      </c>
      <c r="Q2905" t="s">
        <v>12487</v>
      </c>
      <c r="R2905" t="s">
        <v>12488</v>
      </c>
      <c r="S2905" t="s">
        <v>31</v>
      </c>
      <c r="T2905">
        <v>0</v>
      </c>
    </row>
    <row r="2906" spans="1:20" x14ac:dyDescent="0.25">
      <c r="A2906" t="s">
        <v>12489</v>
      </c>
      <c r="B2906" s="1">
        <v>45863</v>
      </c>
      <c r="C2906" s="5">
        <v>0.87928240740740737</v>
      </c>
      <c r="D2906">
        <v>158.57</v>
      </c>
      <c r="E2906" t="s">
        <v>44</v>
      </c>
      <c r="F2906" t="s">
        <v>6270</v>
      </c>
      <c r="G2906" t="s">
        <v>124</v>
      </c>
      <c r="H2906" t="s">
        <v>58</v>
      </c>
      <c r="I2906" t="s">
        <v>12490</v>
      </c>
      <c r="J2906">
        <v>18</v>
      </c>
      <c r="K2906" t="s">
        <v>37</v>
      </c>
      <c r="L2906" t="s">
        <v>130</v>
      </c>
      <c r="M2906" t="s">
        <v>39</v>
      </c>
      <c r="P2906" t="s">
        <v>28</v>
      </c>
      <c r="Q2906" t="s">
        <v>12491</v>
      </c>
      <c r="R2906" t="s">
        <v>12492</v>
      </c>
      <c r="S2906" t="s">
        <v>31</v>
      </c>
      <c r="T2906">
        <v>1</v>
      </c>
    </row>
    <row r="2907" spans="1:20" x14ac:dyDescent="0.25">
      <c r="A2907" t="s">
        <v>12493</v>
      </c>
      <c r="B2907" s="1">
        <v>45933</v>
      </c>
      <c r="C2907" s="5">
        <v>0.62758101851851855</v>
      </c>
      <c r="D2907">
        <v>69.319999999999993</v>
      </c>
      <c r="E2907" t="s">
        <v>44</v>
      </c>
      <c r="F2907" t="s">
        <v>12494</v>
      </c>
      <c r="G2907" t="s">
        <v>57</v>
      </c>
      <c r="H2907" t="s">
        <v>146</v>
      </c>
      <c r="I2907" t="s">
        <v>12495</v>
      </c>
      <c r="J2907">
        <v>26</v>
      </c>
      <c r="K2907" t="s">
        <v>49</v>
      </c>
      <c r="L2907" t="s">
        <v>91</v>
      </c>
      <c r="M2907" t="s">
        <v>51</v>
      </c>
      <c r="N2907" t="s">
        <v>52</v>
      </c>
      <c r="O2907">
        <v>544399</v>
      </c>
      <c r="P2907" t="s">
        <v>28</v>
      </c>
      <c r="Q2907" t="s">
        <v>12496</v>
      </c>
      <c r="R2907" t="s">
        <v>12497</v>
      </c>
      <c r="S2907" t="s">
        <v>31</v>
      </c>
      <c r="T2907">
        <v>0</v>
      </c>
    </row>
    <row r="2908" spans="1:20" x14ac:dyDescent="0.25">
      <c r="A2908" t="s">
        <v>12498</v>
      </c>
      <c r="B2908" s="1">
        <v>45785</v>
      </c>
      <c r="C2908" s="5">
        <v>0.76571759259259264</v>
      </c>
      <c r="D2908">
        <v>78.290000000000006</v>
      </c>
      <c r="E2908" t="s">
        <v>44</v>
      </c>
      <c r="F2908" t="s">
        <v>9288</v>
      </c>
      <c r="G2908" t="s">
        <v>89</v>
      </c>
      <c r="H2908" t="s">
        <v>47</v>
      </c>
      <c r="I2908" t="s">
        <v>12499</v>
      </c>
      <c r="J2908">
        <v>48</v>
      </c>
      <c r="K2908" t="s">
        <v>37</v>
      </c>
      <c r="L2908" t="s">
        <v>26</v>
      </c>
      <c r="M2908" t="s">
        <v>105</v>
      </c>
      <c r="P2908" t="s">
        <v>28</v>
      </c>
      <c r="Q2908" t="s">
        <v>12500</v>
      </c>
      <c r="R2908" t="s">
        <v>12501</v>
      </c>
      <c r="S2908" t="s">
        <v>31</v>
      </c>
      <c r="T2908">
        <v>0</v>
      </c>
    </row>
    <row r="2909" spans="1:20" x14ac:dyDescent="0.25">
      <c r="A2909" t="s">
        <v>12502</v>
      </c>
      <c r="B2909" s="1">
        <v>45904</v>
      </c>
      <c r="C2909" s="5">
        <v>0.6937268518518519</v>
      </c>
      <c r="D2909">
        <v>78.290000000000006</v>
      </c>
      <c r="E2909" t="s">
        <v>44</v>
      </c>
      <c r="F2909" t="s">
        <v>1945</v>
      </c>
      <c r="G2909" t="s">
        <v>96</v>
      </c>
      <c r="H2909" t="s">
        <v>146</v>
      </c>
      <c r="I2909" t="s">
        <v>12503</v>
      </c>
      <c r="J2909">
        <v>42</v>
      </c>
      <c r="K2909" t="s">
        <v>25</v>
      </c>
      <c r="L2909" t="s">
        <v>91</v>
      </c>
      <c r="M2909" t="s">
        <v>105</v>
      </c>
      <c r="P2909" t="s">
        <v>28</v>
      </c>
      <c r="Q2909" t="s">
        <v>12504</v>
      </c>
      <c r="R2909" t="s">
        <v>12505</v>
      </c>
      <c r="S2909" t="s">
        <v>31</v>
      </c>
      <c r="T2909">
        <v>0</v>
      </c>
    </row>
    <row r="2910" spans="1:20" x14ac:dyDescent="0.25">
      <c r="A2910" t="s">
        <v>12506</v>
      </c>
      <c r="B2910" s="1">
        <v>45852</v>
      </c>
      <c r="C2910" s="5">
        <v>0.28439814814814812</v>
      </c>
      <c r="D2910">
        <v>45.76</v>
      </c>
      <c r="E2910" t="s">
        <v>44</v>
      </c>
      <c r="F2910" t="s">
        <v>787</v>
      </c>
      <c r="G2910" t="s">
        <v>34</v>
      </c>
      <c r="H2910" t="s">
        <v>38</v>
      </c>
      <c r="I2910" t="s">
        <v>12507</v>
      </c>
      <c r="J2910">
        <v>27</v>
      </c>
      <c r="K2910" t="s">
        <v>49</v>
      </c>
      <c r="L2910" t="s">
        <v>35</v>
      </c>
      <c r="M2910" t="s">
        <v>112</v>
      </c>
      <c r="P2910" t="s">
        <v>28</v>
      </c>
      <c r="Q2910" t="s">
        <v>12508</v>
      </c>
      <c r="R2910" t="s">
        <v>12509</v>
      </c>
      <c r="S2910" t="s">
        <v>31</v>
      </c>
      <c r="T2910">
        <v>0</v>
      </c>
    </row>
    <row r="2911" spans="1:20" x14ac:dyDescent="0.25">
      <c r="A2911" t="s">
        <v>12510</v>
      </c>
      <c r="B2911" s="1">
        <v>45810</v>
      </c>
      <c r="C2911" s="5">
        <v>0.21372685185185186</v>
      </c>
      <c r="D2911">
        <v>132.47999999999999</v>
      </c>
      <c r="E2911" t="s">
        <v>44</v>
      </c>
      <c r="F2911" t="s">
        <v>349</v>
      </c>
      <c r="G2911" t="s">
        <v>77</v>
      </c>
      <c r="H2911" t="s">
        <v>26</v>
      </c>
      <c r="I2911" t="s">
        <v>12511</v>
      </c>
      <c r="J2911">
        <v>36</v>
      </c>
      <c r="K2911" t="s">
        <v>49</v>
      </c>
      <c r="L2911" t="s">
        <v>23</v>
      </c>
      <c r="M2911" t="s">
        <v>27</v>
      </c>
      <c r="P2911" t="s">
        <v>28</v>
      </c>
      <c r="Q2911" t="s">
        <v>12512</v>
      </c>
      <c r="R2911" t="s">
        <v>12513</v>
      </c>
      <c r="S2911" t="s">
        <v>31</v>
      </c>
      <c r="T2911">
        <v>0</v>
      </c>
    </row>
    <row r="2912" spans="1:20" x14ac:dyDescent="0.25">
      <c r="A2912" t="s">
        <v>12514</v>
      </c>
      <c r="B2912" s="1">
        <v>45803</v>
      </c>
      <c r="C2912" s="5">
        <v>0.53037037037037038</v>
      </c>
      <c r="D2912">
        <v>101.21</v>
      </c>
      <c r="E2912" t="s">
        <v>44</v>
      </c>
      <c r="F2912" t="s">
        <v>1282</v>
      </c>
      <c r="G2912" t="s">
        <v>89</v>
      </c>
      <c r="H2912" t="s">
        <v>146</v>
      </c>
      <c r="I2912" t="s">
        <v>12515</v>
      </c>
      <c r="J2912">
        <v>28</v>
      </c>
      <c r="K2912" t="s">
        <v>25</v>
      </c>
      <c r="L2912" t="s">
        <v>38</v>
      </c>
      <c r="M2912" t="s">
        <v>39</v>
      </c>
      <c r="P2912" t="s">
        <v>28</v>
      </c>
      <c r="Q2912" t="s">
        <v>12516</v>
      </c>
      <c r="R2912" t="s">
        <v>12517</v>
      </c>
      <c r="S2912" t="s">
        <v>31</v>
      </c>
      <c r="T2912">
        <v>0</v>
      </c>
    </row>
    <row r="2913" spans="1:20" x14ac:dyDescent="0.25">
      <c r="A2913" t="s">
        <v>12518</v>
      </c>
      <c r="B2913" s="1">
        <v>45913</v>
      </c>
      <c r="C2913" s="5">
        <v>0.48152777777777778</v>
      </c>
      <c r="D2913">
        <v>97.39</v>
      </c>
      <c r="E2913" t="s">
        <v>44</v>
      </c>
      <c r="F2913" t="s">
        <v>4504</v>
      </c>
      <c r="G2913" t="s">
        <v>124</v>
      </c>
      <c r="H2913" t="s">
        <v>146</v>
      </c>
      <c r="I2913" t="s">
        <v>12519</v>
      </c>
      <c r="J2913">
        <v>67</v>
      </c>
      <c r="K2913" t="s">
        <v>25</v>
      </c>
      <c r="L2913" t="s">
        <v>50</v>
      </c>
      <c r="M2913" t="s">
        <v>105</v>
      </c>
      <c r="P2913" t="s">
        <v>28</v>
      </c>
      <c r="Q2913" t="s">
        <v>12520</v>
      </c>
      <c r="R2913" t="s">
        <v>12521</v>
      </c>
      <c r="S2913" t="s">
        <v>31</v>
      </c>
      <c r="T2913">
        <v>0</v>
      </c>
    </row>
    <row r="2914" spans="1:20" x14ac:dyDescent="0.25">
      <c r="A2914" t="s">
        <v>12522</v>
      </c>
      <c r="B2914" s="1">
        <v>45827</v>
      </c>
      <c r="C2914" s="5">
        <v>0.85721064814814818</v>
      </c>
      <c r="D2914">
        <v>77.790000000000006</v>
      </c>
      <c r="E2914" t="s">
        <v>44</v>
      </c>
      <c r="F2914" t="s">
        <v>6500</v>
      </c>
      <c r="G2914" t="s">
        <v>96</v>
      </c>
      <c r="H2914" t="s">
        <v>35</v>
      </c>
      <c r="I2914" t="s">
        <v>12523</v>
      </c>
      <c r="J2914">
        <v>29</v>
      </c>
      <c r="K2914" t="s">
        <v>49</v>
      </c>
      <c r="L2914" t="s">
        <v>97</v>
      </c>
      <c r="M2914" t="s">
        <v>51</v>
      </c>
      <c r="N2914" t="s">
        <v>173</v>
      </c>
      <c r="O2914">
        <v>546143</v>
      </c>
      <c r="P2914" t="s">
        <v>28</v>
      </c>
      <c r="Q2914" t="s">
        <v>12524</v>
      </c>
      <c r="R2914" t="s">
        <v>12525</v>
      </c>
      <c r="S2914" t="s">
        <v>31</v>
      </c>
      <c r="T2914">
        <v>0</v>
      </c>
    </row>
    <row r="2915" spans="1:20" x14ac:dyDescent="0.25">
      <c r="A2915" t="s">
        <v>12526</v>
      </c>
      <c r="B2915" s="1">
        <v>45915</v>
      </c>
      <c r="C2915" s="5">
        <v>0.28104166666666669</v>
      </c>
      <c r="D2915">
        <v>506.36</v>
      </c>
      <c r="E2915" t="s">
        <v>44</v>
      </c>
      <c r="F2915" t="s">
        <v>3261</v>
      </c>
      <c r="G2915" t="s">
        <v>77</v>
      </c>
      <c r="H2915" t="s">
        <v>97</v>
      </c>
      <c r="I2915" t="s">
        <v>12527</v>
      </c>
      <c r="J2915">
        <v>66</v>
      </c>
      <c r="K2915" t="s">
        <v>49</v>
      </c>
      <c r="L2915" t="s">
        <v>110</v>
      </c>
      <c r="M2915" t="s">
        <v>27</v>
      </c>
      <c r="P2915" t="s">
        <v>28</v>
      </c>
      <c r="Q2915" t="s">
        <v>12528</v>
      </c>
      <c r="R2915" t="s">
        <v>12529</v>
      </c>
      <c r="S2915" t="s">
        <v>31</v>
      </c>
      <c r="T2915">
        <v>0</v>
      </c>
    </row>
    <row r="2916" spans="1:20" x14ac:dyDescent="0.25">
      <c r="A2916" t="s">
        <v>12530</v>
      </c>
      <c r="B2916" s="1">
        <v>45829</v>
      </c>
      <c r="C2916" s="5">
        <v>0.29226851851851854</v>
      </c>
      <c r="D2916">
        <v>192.43</v>
      </c>
      <c r="E2916" t="s">
        <v>44</v>
      </c>
      <c r="F2916" t="s">
        <v>1490</v>
      </c>
      <c r="G2916" t="s">
        <v>46</v>
      </c>
      <c r="H2916" t="s">
        <v>146</v>
      </c>
      <c r="I2916" t="s">
        <v>12531</v>
      </c>
      <c r="J2916">
        <v>31</v>
      </c>
      <c r="K2916" t="s">
        <v>37</v>
      </c>
      <c r="L2916" t="s">
        <v>91</v>
      </c>
      <c r="M2916" t="s">
        <v>84</v>
      </c>
      <c r="P2916" t="s">
        <v>28</v>
      </c>
      <c r="Q2916" t="s">
        <v>12532</v>
      </c>
      <c r="R2916" t="s">
        <v>12533</v>
      </c>
      <c r="S2916" t="s">
        <v>101</v>
      </c>
      <c r="T2916">
        <v>0</v>
      </c>
    </row>
    <row r="2917" spans="1:20" x14ac:dyDescent="0.25">
      <c r="A2917" t="s">
        <v>12534</v>
      </c>
      <c r="B2917" s="1">
        <v>45846</v>
      </c>
      <c r="C2917" s="5">
        <v>6.5462962962962959E-2</v>
      </c>
      <c r="D2917">
        <v>123.1</v>
      </c>
      <c r="E2917" t="s">
        <v>44</v>
      </c>
      <c r="F2917" t="s">
        <v>1224</v>
      </c>
      <c r="G2917" t="s">
        <v>64</v>
      </c>
      <c r="H2917" t="s">
        <v>110</v>
      </c>
      <c r="I2917" t="s">
        <v>10620</v>
      </c>
      <c r="J2917">
        <v>26</v>
      </c>
      <c r="K2917" t="s">
        <v>25</v>
      </c>
      <c r="L2917" t="s">
        <v>248</v>
      </c>
      <c r="M2917" t="s">
        <v>39</v>
      </c>
      <c r="P2917" t="s">
        <v>28</v>
      </c>
      <c r="Q2917" t="s">
        <v>12535</v>
      </c>
      <c r="R2917" t="s">
        <v>12536</v>
      </c>
      <c r="S2917" t="s">
        <v>31</v>
      </c>
      <c r="T2917">
        <v>0</v>
      </c>
    </row>
    <row r="2918" spans="1:20" x14ac:dyDescent="0.25">
      <c r="A2918" t="s">
        <v>12537</v>
      </c>
      <c r="B2918" s="1">
        <v>45834</v>
      </c>
      <c r="C2918" s="5">
        <v>0.54863425925925924</v>
      </c>
      <c r="D2918">
        <v>157.31</v>
      </c>
      <c r="E2918" t="s">
        <v>44</v>
      </c>
      <c r="F2918" t="s">
        <v>2891</v>
      </c>
      <c r="G2918" t="s">
        <v>96</v>
      </c>
      <c r="H2918" t="s">
        <v>97</v>
      </c>
      <c r="I2918" t="s">
        <v>12538</v>
      </c>
      <c r="J2918">
        <v>38</v>
      </c>
      <c r="K2918" t="s">
        <v>25</v>
      </c>
      <c r="L2918" t="s">
        <v>23</v>
      </c>
      <c r="M2918" t="s">
        <v>51</v>
      </c>
      <c r="N2918" t="s">
        <v>304</v>
      </c>
      <c r="O2918">
        <v>0</v>
      </c>
      <c r="P2918" t="s">
        <v>28</v>
      </c>
      <c r="Q2918" t="s">
        <v>12539</v>
      </c>
      <c r="R2918" t="s">
        <v>12540</v>
      </c>
      <c r="S2918" t="s">
        <v>31</v>
      </c>
      <c r="T2918">
        <v>0</v>
      </c>
    </row>
    <row r="2919" spans="1:20" x14ac:dyDescent="0.25">
      <c r="A2919" t="s">
        <v>12541</v>
      </c>
      <c r="B2919" s="1">
        <v>45801</v>
      </c>
      <c r="C2919" s="5">
        <v>0.2265625</v>
      </c>
      <c r="D2919">
        <v>169.77</v>
      </c>
      <c r="E2919" t="s">
        <v>44</v>
      </c>
      <c r="F2919" t="s">
        <v>8153</v>
      </c>
      <c r="G2919" t="s">
        <v>64</v>
      </c>
      <c r="H2919" t="s">
        <v>91</v>
      </c>
      <c r="I2919" t="s">
        <v>12542</v>
      </c>
      <c r="J2919">
        <v>70</v>
      </c>
      <c r="K2919" t="s">
        <v>37</v>
      </c>
      <c r="L2919" t="s">
        <v>91</v>
      </c>
      <c r="M2919" t="s">
        <v>84</v>
      </c>
      <c r="P2919" t="s">
        <v>113</v>
      </c>
      <c r="Q2919" t="s">
        <v>12543</v>
      </c>
      <c r="R2919" t="s">
        <v>12544</v>
      </c>
      <c r="S2919" t="s">
        <v>31</v>
      </c>
      <c r="T2919">
        <v>0</v>
      </c>
    </row>
    <row r="2920" spans="1:20" x14ac:dyDescent="0.25">
      <c r="A2920" t="s">
        <v>12545</v>
      </c>
      <c r="B2920" s="1">
        <v>45945</v>
      </c>
      <c r="C2920" s="5">
        <v>0.92577546296296298</v>
      </c>
      <c r="D2920">
        <v>3709.08</v>
      </c>
      <c r="E2920" t="s">
        <v>44</v>
      </c>
      <c r="F2920" t="s">
        <v>2452</v>
      </c>
      <c r="G2920" t="s">
        <v>124</v>
      </c>
      <c r="H2920" t="s">
        <v>50</v>
      </c>
      <c r="I2920" t="s">
        <v>12546</v>
      </c>
      <c r="J2920">
        <v>11</v>
      </c>
      <c r="K2920" t="s">
        <v>25</v>
      </c>
      <c r="L2920" t="s">
        <v>91</v>
      </c>
      <c r="M2920" t="s">
        <v>39</v>
      </c>
      <c r="P2920" t="s">
        <v>28</v>
      </c>
      <c r="Q2920" t="s">
        <v>12547</v>
      </c>
      <c r="R2920" t="s">
        <v>12548</v>
      </c>
      <c r="S2920" t="s">
        <v>31</v>
      </c>
      <c r="T2920">
        <v>0</v>
      </c>
    </row>
    <row r="2921" spans="1:20" x14ac:dyDescent="0.25">
      <c r="A2921" t="s">
        <v>12549</v>
      </c>
      <c r="B2921" s="1">
        <v>45920</v>
      </c>
      <c r="C2921" s="5">
        <v>0.22880787037037037</v>
      </c>
      <c r="D2921">
        <v>84.65</v>
      </c>
      <c r="E2921" t="s">
        <v>44</v>
      </c>
      <c r="F2921" t="s">
        <v>217</v>
      </c>
      <c r="G2921" t="s">
        <v>124</v>
      </c>
      <c r="H2921" t="s">
        <v>130</v>
      </c>
      <c r="I2921" t="s">
        <v>12550</v>
      </c>
      <c r="J2921">
        <v>37</v>
      </c>
      <c r="K2921" t="s">
        <v>25</v>
      </c>
      <c r="L2921" t="s">
        <v>97</v>
      </c>
      <c r="M2921" t="s">
        <v>39</v>
      </c>
      <c r="P2921" t="s">
        <v>28</v>
      </c>
      <c r="Q2921" t="s">
        <v>12551</v>
      </c>
      <c r="R2921" t="s">
        <v>12552</v>
      </c>
      <c r="S2921" t="s">
        <v>31</v>
      </c>
      <c r="T2921">
        <v>0</v>
      </c>
    </row>
    <row r="2922" spans="1:20" x14ac:dyDescent="0.25">
      <c r="A2922" t="s">
        <v>12553</v>
      </c>
      <c r="B2922" s="1">
        <v>45842</v>
      </c>
      <c r="C2922" s="5">
        <v>0.31306712962962963</v>
      </c>
      <c r="D2922">
        <v>123.69</v>
      </c>
      <c r="E2922" t="s">
        <v>44</v>
      </c>
      <c r="F2922" t="s">
        <v>9168</v>
      </c>
      <c r="G2922" t="s">
        <v>46</v>
      </c>
      <c r="H2922" t="s">
        <v>50</v>
      </c>
      <c r="I2922" t="s">
        <v>12554</v>
      </c>
      <c r="J2922">
        <v>44</v>
      </c>
      <c r="K2922" t="s">
        <v>25</v>
      </c>
      <c r="L2922" t="s">
        <v>248</v>
      </c>
      <c r="M2922" t="s">
        <v>105</v>
      </c>
      <c r="P2922" t="s">
        <v>28</v>
      </c>
      <c r="Q2922" t="s">
        <v>12555</v>
      </c>
      <c r="R2922" t="s">
        <v>12556</v>
      </c>
      <c r="S2922" t="s">
        <v>31</v>
      </c>
      <c r="T2922">
        <v>0</v>
      </c>
    </row>
    <row r="2923" spans="1:20" x14ac:dyDescent="0.25">
      <c r="A2923" t="s">
        <v>12557</v>
      </c>
      <c r="B2923" s="1">
        <v>45858</v>
      </c>
      <c r="C2923" s="5">
        <v>0.40365740740740741</v>
      </c>
      <c r="D2923">
        <v>278.14</v>
      </c>
      <c r="E2923" t="s">
        <v>44</v>
      </c>
      <c r="F2923" t="s">
        <v>1465</v>
      </c>
      <c r="G2923" t="s">
        <v>89</v>
      </c>
      <c r="H2923" t="s">
        <v>23</v>
      </c>
      <c r="I2923" t="s">
        <v>12558</v>
      </c>
      <c r="J2923">
        <v>64</v>
      </c>
      <c r="K2923" t="s">
        <v>49</v>
      </c>
      <c r="L2923" t="s">
        <v>66</v>
      </c>
      <c r="M2923" t="s">
        <v>39</v>
      </c>
      <c r="P2923" t="s">
        <v>28</v>
      </c>
      <c r="Q2923" t="s">
        <v>12559</v>
      </c>
      <c r="R2923" t="s">
        <v>12560</v>
      </c>
      <c r="S2923" t="s">
        <v>101</v>
      </c>
      <c r="T2923">
        <v>0</v>
      </c>
    </row>
    <row r="2924" spans="1:20" x14ac:dyDescent="0.25">
      <c r="A2924" t="s">
        <v>12561</v>
      </c>
      <c r="B2924" s="1">
        <v>45807</v>
      </c>
      <c r="C2924" s="5">
        <v>0.99202546296296301</v>
      </c>
      <c r="D2924">
        <v>190.91</v>
      </c>
      <c r="E2924" t="s">
        <v>44</v>
      </c>
      <c r="F2924" t="s">
        <v>2467</v>
      </c>
      <c r="G2924" t="s">
        <v>22</v>
      </c>
      <c r="H2924" t="s">
        <v>38</v>
      </c>
      <c r="I2924" t="s">
        <v>12562</v>
      </c>
      <c r="J2924">
        <v>52</v>
      </c>
      <c r="K2924" t="s">
        <v>49</v>
      </c>
      <c r="L2924" t="s">
        <v>248</v>
      </c>
      <c r="M2924" t="s">
        <v>51</v>
      </c>
      <c r="N2924" t="s">
        <v>304</v>
      </c>
      <c r="O2924">
        <v>429456</v>
      </c>
      <c r="P2924" t="s">
        <v>28</v>
      </c>
      <c r="Q2924" t="s">
        <v>12563</v>
      </c>
      <c r="R2924" t="s">
        <v>12564</v>
      </c>
      <c r="S2924" t="s">
        <v>31</v>
      </c>
      <c r="T2924">
        <v>0</v>
      </c>
    </row>
    <row r="2925" spans="1:20" x14ac:dyDescent="0.25">
      <c r="A2925" t="s">
        <v>12565</v>
      </c>
      <c r="B2925" s="1">
        <v>45831</v>
      </c>
      <c r="C2925" s="5">
        <v>0.3613425925925926</v>
      </c>
      <c r="D2925">
        <v>196.19</v>
      </c>
      <c r="E2925" t="s">
        <v>44</v>
      </c>
      <c r="F2925" t="s">
        <v>56</v>
      </c>
      <c r="G2925" t="s">
        <v>89</v>
      </c>
      <c r="H2925" t="s">
        <v>130</v>
      </c>
      <c r="I2925" t="s">
        <v>12566</v>
      </c>
      <c r="J2925">
        <v>21</v>
      </c>
      <c r="K2925" t="s">
        <v>37</v>
      </c>
      <c r="L2925" t="s">
        <v>248</v>
      </c>
      <c r="M2925" t="s">
        <v>27</v>
      </c>
      <c r="P2925" t="s">
        <v>28</v>
      </c>
      <c r="Q2925" t="s">
        <v>12567</v>
      </c>
      <c r="R2925" t="s">
        <v>12568</v>
      </c>
      <c r="S2925" t="s">
        <v>101</v>
      </c>
      <c r="T2925">
        <v>0</v>
      </c>
    </row>
    <row r="2926" spans="1:20" x14ac:dyDescent="0.25">
      <c r="A2926" t="s">
        <v>12569</v>
      </c>
      <c r="B2926" s="1">
        <v>45918</v>
      </c>
      <c r="C2926" s="5">
        <v>0.66972222222222222</v>
      </c>
      <c r="D2926">
        <v>130.71</v>
      </c>
      <c r="E2926" t="s">
        <v>44</v>
      </c>
      <c r="F2926" t="s">
        <v>5115</v>
      </c>
      <c r="G2926" t="s">
        <v>89</v>
      </c>
      <c r="H2926" t="s">
        <v>119</v>
      </c>
      <c r="I2926" t="s">
        <v>12570</v>
      </c>
      <c r="J2926">
        <v>58</v>
      </c>
      <c r="K2926" t="s">
        <v>37</v>
      </c>
      <c r="L2926" t="s">
        <v>119</v>
      </c>
      <c r="M2926" t="s">
        <v>39</v>
      </c>
      <c r="P2926" t="s">
        <v>113</v>
      </c>
      <c r="Q2926" t="s">
        <v>12571</v>
      </c>
      <c r="R2926" t="s">
        <v>12572</v>
      </c>
      <c r="S2926" t="s">
        <v>31</v>
      </c>
      <c r="T2926">
        <v>0</v>
      </c>
    </row>
    <row r="2927" spans="1:20" x14ac:dyDescent="0.25">
      <c r="A2927" t="s">
        <v>12573</v>
      </c>
      <c r="B2927" s="1">
        <v>45841</v>
      </c>
      <c r="C2927" s="5">
        <v>0.10545138888888889</v>
      </c>
      <c r="D2927">
        <v>99.59</v>
      </c>
      <c r="E2927" t="s">
        <v>44</v>
      </c>
      <c r="F2927" t="s">
        <v>2721</v>
      </c>
      <c r="G2927" t="s">
        <v>46</v>
      </c>
      <c r="H2927" t="s">
        <v>66</v>
      </c>
      <c r="I2927" t="s">
        <v>12574</v>
      </c>
      <c r="J2927">
        <v>51</v>
      </c>
      <c r="K2927" t="s">
        <v>49</v>
      </c>
      <c r="L2927" t="s">
        <v>91</v>
      </c>
      <c r="M2927" t="s">
        <v>105</v>
      </c>
      <c r="P2927" t="s">
        <v>28</v>
      </c>
      <c r="Q2927" t="s">
        <v>12575</v>
      </c>
      <c r="R2927" t="s">
        <v>12576</v>
      </c>
      <c r="S2927" t="s">
        <v>31</v>
      </c>
      <c r="T2927">
        <v>0</v>
      </c>
    </row>
    <row r="2928" spans="1:20" x14ac:dyDescent="0.25">
      <c r="A2928" t="s">
        <v>12577</v>
      </c>
      <c r="B2928" s="1">
        <v>45900</v>
      </c>
      <c r="C2928" s="5">
        <v>5.0497685185185187E-2</v>
      </c>
      <c r="D2928">
        <v>97.78</v>
      </c>
      <c r="E2928" t="s">
        <v>44</v>
      </c>
      <c r="F2928" t="s">
        <v>11064</v>
      </c>
      <c r="G2928" t="s">
        <v>89</v>
      </c>
      <c r="H2928" t="s">
        <v>248</v>
      </c>
      <c r="I2928" t="s">
        <v>12578</v>
      </c>
      <c r="J2928">
        <v>60</v>
      </c>
      <c r="K2928" t="s">
        <v>37</v>
      </c>
      <c r="L2928" t="s">
        <v>26</v>
      </c>
      <c r="M2928" t="s">
        <v>27</v>
      </c>
      <c r="P2928" t="s">
        <v>28</v>
      </c>
      <c r="Q2928" t="s">
        <v>12579</v>
      </c>
      <c r="R2928" t="s">
        <v>12580</v>
      </c>
      <c r="S2928" t="s">
        <v>31</v>
      </c>
      <c r="T2928">
        <v>0</v>
      </c>
    </row>
    <row r="2929" spans="1:20" x14ac:dyDescent="0.25">
      <c r="A2929" t="s">
        <v>12581</v>
      </c>
      <c r="B2929" s="1">
        <v>45793</v>
      </c>
      <c r="C2929" s="5">
        <v>0.91943287037037036</v>
      </c>
      <c r="D2929">
        <v>179.4</v>
      </c>
      <c r="E2929" t="s">
        <v>44</v>
      </c>
      <c r="F2929" t="s">
        <v>4727</v>
      </c>
      <c r="G2929" t="s">
        <v>71</v>
      </c>
      <c r="H2929" t="s">
        <v>119</v>
      </c>
      <c r="I2929" t="s">
        <v>12582</v>
      </c>
      <c r="J2929">
        <v>55</v>
      </c>
      <c r="K2929" t="s">
        <v>25</v>
      </c>
      <c r="L2929" t="s">
        <v>23</v>
      </c>
      <c r="M2929" t="s">
        <v>39</v>
      </c>
      <c r="P2929" t="s">
        <v>28</v>
      </c>
      <c r="Q2929" t="s">
        <v>12583</v>
      </c>
      <c r="R2929" t="s">
        <v>12584</v>
      </c>
      <c r="S2929" t="s">
        <v>42</v>
      </c>
      <c r="T2929">
        <v>1</v>
      </c>
    </row>
    <row r="2930" spans="1:20" x14ac:dyDescent="0.25">
      <c r="A2930" t="s">
        <v>12585</v>
      </c>
      <c r="B2930" s="1">
        <v>45791</v>
      </c>
      <c r="C2930" s="5">
        <v>0.62975694444444441</v>
      </c>
      <c r="D2930">
        <v>643.95000000000005</v>
      </c>
      <c r="E2930" t="s">
        <v>44</v>
      </c>
      <c r="F2930" t="s">
        <v>9980</v>
      </c>
      <c r="G2930" t="s">
        <v>96</v>
      </c>
      <c r="H2930" t="s">
        <v>91</v>
      </c>
      <c r="I2930" t="s">
        <v>12586</v>
      </c>
      <c r="J2930">
        <v>61</v>
      </c>
      <c r="K2930" t="s">
        <v>37</v>
      </c>
      <c r="L2930" t="s">
        <v>35</v>
      </c>
      <c r="M2930" t="s">
        <v>27</v>
      </c>
      <c r="P2930" t="s">
        <v>28</v>
      </c>
      <c r="Q2930" t="s">
        <v>12587</v>
      </c>
      <c r="R2930" t="s">
        <v>12588</v>
      </c>
      <c r="S2930" t="s">
        <v>31</v>
      </c>
      <c r="T2930">
        <v>0</v>
      </c>
    </row>
    <row r="2931" spans="1:20" x14ac:dyDescent="0.25">
      <c r="A2931" t="s">
        <v>12589</v>
      </c>
      <c r="B2931" s="1">
        <v>45875</v>
      </c>
      <c r="C2931" s="5">
        <v>0.55112268518518515</v>
      </c>
      <c r="D2931">
        <v>92.27</v>
      </c>
      <c r="E2931" t="s">
        <v>44</v>
      </c>
      <c r="F2931" t="s">
        <v>2712</v>
      </c>
      <c r="G2931" t="s">
        <v>96</v>
      </c>
      <c r="H2931" t="s">
        <v>26</v>
      </c>
      <c r="I2931" t="s">
        <v>12590</v>
      </c>
      <c r="J2931">
        <v>61</v>
      </c>
      <c r="K2931" t="s">
        <v>49</v>
      </c>
      <c r="L2931" t="s">
        <v>248</v>
      </c>
      <c r="M2931" t="s">
        <v>112</v>
      </c>
      <c r="P2931" t="s">
        <v>28</v>
      </c>
      <c r="Q2931" t="s">
        <v>12591</v>
      </c>
      <c r="R2931" t="s">
        <v>12592</v>
      </c>
      <c r="S2931" t="s">
        <v>31</v>
      </c>
      <c r="T2931">
        <v>0</v>
      </c>
    </row>
    <row r="2932" spans="1:20" x14ac:dyDescent="0.25">
      <c r="A2932" t="s">
        <v>12593</v>
      </c>
      <c r="B2932" s="1">
        <v>45946</v>
      </c>
      <c r="C2932" s="5">
        <v>0.61559027777777775</v>
      </c>
      <c r="D2932">
        <v>34.61</v>
      </c>
      <c r="E2932" t="s">
        <v>44</v>
      </c>
      <c r="F2932" t="s">
        <v>6000</v>
      </c>
      <c r="G2932" t="s">
        <v>57</v>
      </c>
      <c r="H2932" t="s">
        <v>35</v>
      </c>
      <c r="I2932" t="s">
        <v>12594</v>
      </c>
      <c r="J2932">
        <v>68</v>
      </c>
      <c r="K2932" t="s">
        <v>25</v>
      </c>
      <c r="L2932" t="s">
        <v>97</v>
      </c>
      <c r="M2932" t="s">
        <v>27</v>
      </c>
      <c r="P2932" t="s">
        <v>28</v>
      </c>
      <c r="Q2932" t="s">
        <v>12595</v>
      </c>
      <c r="R2932" t="s">
        <v>12596</v>
      </c>
      <c r="S2932" t="s">
        <v>31</v>
      </c>
      <c r="T2932">
        <v>0</v>
      </c>
    </row>
    <row r="2933" spans="1:20" x14ac:dyDescent="0.25">
      <c r="A2933" t="s">
        <v>12597</v>
      </c>
      <c r="B2933" s="1">
        <v>45926</v>
      </c>
      <c r="C2933" s="5">
        <v>0.83971064814814811</v>
      </c>
      <c r="D2933">
        <v>61.61</v>
      </c>
      <c r="E2933" t="s">
        <v>44</v>
      </c>
      <c r="F2933" t="s">
        <v>12598</v>
      </c>
      <c r="G2933" t="s">
        <v>96</v>
      </c>
      <c r="H2933" t="s">
        <v>23</v>
      </c>
      <c r="I2933" t="s">
        <v>12599</v>
      </c>
      <c r="J2933">
        <v>19</v>
      </c>
      <c r="K2933" t="s">
        <v>49</v>
      </c>
      <c r="L2933" t="s">
        <v>110</v>
      </c>
      <c r="M2933" t="s">
        <v>51</v>
      </c>
      <c r="N2933" t="s">
        <v>345</v>
      </c>
      <c r="O2933">
        <v>546037</v>
      </c>
      <c r="P2933" t="s">
        <v>28</v>
      </c>
      <c r="Q2933" t="s">
        <v>12600</v>
      </c>
      <c r="R2933" t="s">
        <v>12601</v>
      </c>
      <c r="S2933" t="s">
        <v>31</v>
      </c>
      <c r="T2933">
        <v>0</v>
      </c>
    </row>
    <row r="2934" spans="1:20" x14ac:dyDescent="0.25">
      <c r="A2934" t="s">
        <v>12602</v>
      </c>
      <c r="B2934" s="1">
        <v>45824</v>
      </c>
      <c r="C2934" s="5">
        <v>0.51965277777777774</v>
      </c>
      <c r="D2934">
        <v>187.47</v>
      </c>
      <c r="E2934" t="s">
        <v>44</v>
      </c>
      <c r="F2934" t="s">
        <v>3600</v>
      </c>
      <c r="G2934" t="s">
        <v>124</v>
      </c>
      <c r="H2934" t="s">
        <v>110</v>
      </c>
      <c r="I2934" t="s">
        <v>12603</v>
      </c>
      <c r="J2934">
        <v>26</v>
      </c>
      <c r="K2934" t="s">
        <v>49</v>
      </c>
      <c r="L2934" t="s">
        <v>58</v>
      </c>
      <c r="M2934" t="s">
        <v>39</v>
      </c>
      <c r="P2934" t="s">
        <v>28</v>
      </c>
      <c r="Q2934" t="s">
        <v>12604</v>
      </c>
      <c r="R2934" t="s">
        <v>12605</v>
      </c>
      <c r="S2934" t="s">
        <v>31</v>
      </c>
      <c r="T2934">
        <v>0</v>
      </c>
    </row>
    <row r="2935" spans="1:20" x14ac:dyDescent="0.25">
      <c r="A2935" t="s">
        <v>12606</v>
      </c>
      <c r="B2935" s="1">
        <v>45870</v>
      </c>
      <c r="C2935" s="5">
        <v>0.37905092592592593</v>
      </c>
      <c r="D2935">
        <v>177.61</v>
      </c>
      <c r="E2935" t="s">
        <v>44</v>
      </c>
      <c r="F2935" t="s">
        <v>8795</v>
      </c>
      <c r="G2935" t="s">
        <v>96</v>
      </c>
      <c r="H2935" t="s">
        <v>97</v>
      </c>
      <c r="I2935" t="s">
        <v>12607</v>
      </c>
      <c r="J2935">
        <v>41</v>
      </c>
      <c r="K2935" t="s">
        <v>25</v>
      </c>
      <c r="L2935" t="s">
        <v>47</v>
      </c>
      <c r="M2935" t="s">
        <v>27</v>
      </c>
      <c r="P2935" t="s">
        <v>28</v>
      </c>
      <c r="Q2935" t="s">
        <v>12608</v>
      </c>
      <c r="R2935" t="s">
        <v>12609</v>
      </c>
      <c r="S2935" t="s">
        <v>31</v>
      </c>
      <c r="T2935">
        <v>0</v>
      </c>
    </row>
    <row r="2936" spans="1:20" x14ac:dyDescent="0.25">
      <c r="A2936" t="s">
        <v>12610</v>
      </c>
      <c r="B2936" s="1">
        <v>45849</v>
      </c>
      <c r="C2936" s="5">
        <v>0.1912962962962963</v>
      </c>
      <c r="D2936">
        <v>59.9</v>
      </c>
      <c r="E2936" t="s">
        <v>44</v>
      </c>
      <c r="F2936" t="s">
        <v>4284</v>
      </c>
      <c r="G2936" t="s">
        <v>77</v>
      </c>
      <c r="H2936" t="s">
        <v>35</v>
      </c>
      <c r="I2936" t="s">
        <v>12611</v>
      </c>
      <c r="J2936">
        <v>57</v>
      </c>
      <c r="K2936" t="s">
        <v>37</v>
      </c>
      <c r="L2936" t="s">
        <v>26</v>
      </c>
      <c r="M2936" t="s">
        <v>84</v>
      </c>
      <c r="P2936" t="s">
        <v>28</v>
      </c>
      <c r="Q2936" t="s">
        <v>12612</v>
      </c>
      <c r="R2936" t="s">
        <v>12613</v>
      </c>
      <c r="S2936" t="s">
        <v>31</v>
      </c>
      <c r="T2936">
        <v>0</v>
      </c>
    </row>
    <row r="2937" spans="1:20" x14ac:dyDescent="0.25">
      <c r="A2937" t="s">
        <v>12614</v>
      </c>
      <c r="B2937" s="1">
        <v>45936</v>
      </c>
      <c r="C2937" s="5">
        <v>0.13068287037037038</v>
      </c>
      <c r="D2937">
        <v>175.98</v>
      </c>
      <c r="E2937" t="s">
        <v>44</v>
      </c>
      <c r="F2937" t="s">
        <v>8783</v>
      </c>
      <c r="G2937" t="s">
        <v>22</v>
      </c>
      <c r="H2937" t="s">
        <v>38</v>
      </c>
      <c r="I2937" t="s">
        <v>9542</v>
      </c>
      <c r="J2937">
        <v>46</v>
      </c>
      <c r="K2937" t="s">
        <v>37</v>
      </c>
      <c r="L2937" t="s">
        <v>47</v>
      </c>
      <c r="M2937" t="s">
        <v>39</v>
      </c>
      <c r="P2937" t="s">
        <v>28</v>
      </c>
      <c r="Q2937" t="s">
        <v>12615</v>
      </c>
      <c r="R2937" t="s">
        <v>12616</v>
      </c>
      <c r="S2937" t="s">
        <v>31</v>
      </c>
      <c r="T2937">
        <v>0</v>
      </c>
    </row>
    <row r="2938" spans="1:20" x14ac:dyDescent="0.25">
      <c r="A2938" t="s">
        <v>12617</v>
      </c>
      <c r="B2938" s="1">
        <v>45842</v>
      </c>
      <c r="C2938" s="5">
        <v>0.90243055555555551</v>
      </c>
      <c r="D2938">
        <v>98.28</v>
      </c>
      <c r="E2938" t="s">
        <v>44</v>
      </c>
      <c r="F2938" t="s">
        <v>1524</v>
      </c>
      <c r="G2938" t="s">
        <v>57</v>
      </c>
      <c r="H2938" t="s">
        <v>119</v>
      </c>
      <c r="I2938" t="s">
        <v>12618</v>
      </c>
      <c r="J2938">
        <v>26</v>
      </c>
      <c r="K2938" t="s">
        <v>25</v>
      </c>
      <c r="L2938" t="s">
        <v>58</v>
      </c>
      <c r="M2938" t="s">
        <v>39</v>
      </c>
      <c r="P2938" t="s">
        <v>28</v>
      </c>
      <c r="Q2938" t="s">
        <v>12619</v>
      </c>
      <c r="R2938" t="s">
        <v>12620</v>
      </c>
      <c r="S2938" t="s">
        <v>101</v>
      </c>
      <c r="T2938">
        <v>0</v>
      </c>
    </row>
    <row r="2939" spans="1:20" x14ac:dyDescent="0.25">
      <c r="A2939" t="s">
        <v>12621</v>
      </c>
      <c r="B2939" s="1">
        <v>45875</v>
      </c>
      <c r="C2939" s="5">
        <v>0.91097222222222218</v>
      </c>
      <c r="D2939">
        <v>25.81</v>
      </c>
      <c r="E2939" t="s">
        <v>44</v>
      </c>
      <c r="F2939" t="s">
        <v>8714</v>
      </c>
      <c r="G2939" t="s">
        <v>71</v>
      </c>
      <c r="H2939" t="s">
        <v>66</v>
      </c>
      <c r="I2939" t="s">
        <v>12622</v>
      </c>
      <c r="J2939">
        <v>35</v>
      </c>
      <c r="K2939" t="s">
        <v>25</v>
      </c>
      <c r="L2939" t="s">
        <v>119</v>
      </c>
      <c r="M2939" t="s">
        <v>84</v>
      </c>
      <c r="P2939" t="s">
        <v>28</v>
      </c>
      <c r="Q2939" t="s">
        <v>12623</v>
      </c>
      <c r="R2939" t="s">
        <v>12624</v>
      </c>
      <c r="S2939" t="s">
        <v>42</v>
      </c>
      <c r="T2939">
        <v>0</v>
      </c>
    </row>
    <row r="2940" spans="1:20" x14ac:dyDescent="0.25">
      <c r="A2940" t="s">
        <v>12625</v>
      </c>
      <c r="B2940" s="1">
        <v>45898</v>
      </c>
      <c r="C2940" s="5">
        <v>0.44512731481481482</v>
      </c>
      <c r="D2940">
        <v>52.95</v>
      </c>
      <c r="E2940" t="s">
        <v>44</v>
      </c>
      <c r="F2940" t="s">
        <v>3050</v>
      </c>
      <c r="G2940" t="s">
        <v>46</v>
      </c>
      <c r="H2940" t="s">
        <v>26</v>
      </c>
      <c r="I2940" t="s">
        <v>12626</v>
      </c>
      <c r="J2940">
        <v>31</v>
      </c>
      <c r="K2940" t="s">
        <v>49</v>
      </c>
      <c r="L2940" t="s">
        <v>248</v>
      </c>
      <c r="M2940" t="s">
        <v>51</v>
      </c>
      <c r="N2940" t="s">
        <v>173</v>
      </c>
      <c r="O2940">
        <v>522525</v>
      </c>
      <c r="P2940" t="s">
        <v>28</v>
      </c>
      <c r="Q2940" t="s">
        <v>12627</v>
      </c>
      <c r="R2940" t="s">
        <v>12628</v>
      </c>
      <c r="S2940" t="s">
        <v>31</v>
      </c>
      <c r="T2940">
        <v>0</v>
      </c>
    </row>
    <row r="2941" spans="1:20" x14ac:dyDescent="0.25">
      <c r="A2941" t="s">
        <v>12629</v>
      </c>
      <c r="B2941" s="1">
        <v>45914</v>
      </c>
      <c r="C2941" s="5">
        <v>0.5685648148148148</v>
      </c>
      <c r="D2941">
        <v>140.46</v>
      </c>
      <c r="E2941" t="s">
        <v>44</v>
      </c>
      <c r="F2941" t="s">
        <v>1336</v>
      </c>
      <c r="G2941" t="s">
        <v>124</v>
      </c>
      <c r="H2941" t="s">
        <v>248</v>
      </c>
      <c r="I2941" t="s">
        <v>12630</v>
      </c>
      <c r="J2941">
        <v>40</v>
      </c>
      <c r="K2941" t="s">
        <v>49</v>
      </c>
      <c r="L2941" t="s">
        <v>248</v>
      </c>
      <c r="M2941" t="s">
        <v>27</v>
      </c>
      <c r="P2941" t="s">
        <v>113</v>
      </c>
      <c r="Q2941" t="s">
        <v>12631</v>
      </c>
      <c r="R2941" t="s">
        <v>12632</v>
      </c>
      <c r="S2941" t="s">
        <v>31</v>
      </c>
      <c r="T2941">
        <v>0</v>
      </c>
    </row>
    <row r="2942" spans="1:20" x14ac:dyDescent="0.25">
      <c r="A2942" t="s">
        <v>12633</v>
      </c>
      <c r="B2942" s="1">
        <v>45783</v>
      </c>
      <c r="C2942" s="5">
        <v>0.59373842592592596</v>
      </c>
      <c r="D2942">
        <v>781.77</v>
      </c>
      <c r="E2942" t="s">
        <v>44</v>
      </c>
      <c r="F2942" t="s">
        <v>3743</v>
      </c>
      <c r="G2942" t="s">
        <v>22</v>
      </c>
      <c r="H2942" t="s">
        <v>35</v>
      </c>
      <c r="I2942" t="s">
        <v>12634</v>
      </c>
      <c r="J2942">
        <v>61</v>
      </c>
      <c r="K2942" t="s">
        <v>49</v>
      </c>
      <c r="L2942" t="s">
        <v>97</v>
      </c>
      <c r="M2942" t="s">
        <v>27</v>
      </c>
      <c r="P2942" t="s">
        <v>28</v>
      </c>
      <c r="Q2942" t="s">
        <v>12635</v>
      </c>
      <c r="R2942" t="s">
        <v>12636</v>
      </c>
      <c r="S2942" t="s">
        <v>31</v>
      </c>
      <c r="T2942">
        <v>0</v>
      </c>
    </row>
    <row r="2943" spans="1:20" x14ac:dyDescent="0.25">
      <c r="A2943" t="s">
        <v>12637</v>
      </c>
      <c r="B2943" s="1">
        <v>45828</v>
      </c>
      <c r="C2943" s="5">
        <v>0.54701388888888891</v>
      </c>
      <c r="D2943">
        <v>78.599999999999994</v>
      </c>
      <c r="E2943" t="s">
        <v>44</v>
      </c>
      <c r="F2943" t="s">
        <v>3748</v>
      </c>
      <c r="G2943" t="s">
        <v>64</v>
      </c>
      <c r="H2943" t="s">
        <v>91</v>
      </c>
      <c r="I2943" t="s">
        <v>12638</v>
      </c>
      <c r="J2943">
        <v>63</v>
      </c>
      <c r="K2943" t="s">
        <v>25</v>
      </c>
      <c r="L2943" t="s">
        <v>119</v>
      </c>
      <c r="M2943" t="s">
        <v>84</v>
      </c>
      <c r="P2943" t="s">
        <v>28</v>
      </c>
      <c r="Q2943" t="s">
        <v>12639</v>
      </c>
      <c r="R2943" t="s">
        <v>12640</v>
      </c>
      <c r="S2943" t="s">
        <v>31</v>
      </c>
      <c r="T2943">
        <v>0</v>
      </c>
    </row>
    <row r="2944" spans="1:20" x14ac:dyDescent="0.25">
      <c r="A2944" t="s">
        <v>12641</v>
      </c>
      <c r="B2944" s="1">
        <v>45932</v>
      </c>
      <c r="C2944" s="5">
        <v>0.88733796296296297</v>
      </c>
      <c r="D2944">
        <v>140.29</v>
      </c>
      <c r="E2944" t="s">
        <v>44</v>
      </c>
      <c r="F2944" t="s">
        <v>7785</v>
      </c>
      <c r="G2944" t="s">
        <v>124</v>
      </c>
      <c r="H2944" t="s">
        <v>66</v>
      </c>
      <c r="I2944" t="s">
        <v>12642</v>
      </c>
      <c r="J2944">
        <v>35</v>
      </c>
      <c r="K2944" t="s">
        <v>25</v>
      </c>
      <c r="L2944" t="s">
        <v>97</v>
      </c>
      <c r="M2944" t="s">
        <v>39</v>
      </c>
      <c r="P2944" t="s">
        <v>28</v>
      </c>
      <c r="Q2944" t="s">
        <v>12643</v>
      </c>
      <c r="R2944" t="s">
        <v>12644</v>
      </c>
      <c r="S2944" t="s">
        <v>31</v>
      </c>
      <c r="T2944">
        <v>0</v>
      </c>
    </row>
    <row r="2945" spans="1:20" x14ac:dyDescent="0.25">
      <c r="A2945" t="s">
        <v>12645</v>
      </c>
      <c r="B2945" s="1">
        <v>45869</v>
      </c>
      <c r="C2945" s="5">
        <v>0.23807870370370371</v>
      </c>
      <c r="D2945">
        <v>53.66</v>
      </c>
      <c r="E2945" t="s">
        <v>44</v>
      </c>
      <c r="F2945" t="s">
        <v>247</v>
      </c>
      <c r="G2945" t="s">
        <v>22</v>
      </c>
      <c r="H2945" t="s">
        <v>58</v>
      </c>
      <c r="I2945" t="s">
        <v>951</v>
      </c>
      <c r="J2945">
        <v>73</v>
      </c>
      <c r="K2945" t="s">
        <v>49</v>
      </c>
      <c r="L2945" t="s">
        <v>26</v>
      </c>
      <c r="M2945" t="s">
        <v>51</v>
      </c>
      <c r="N2945" t="s">
        <v>304</v>
      </c>
      <c r="O2945">
        <v>468521</v>
      </c>
      <c r="P2945" t="s">
        <v>28</v>
      </c>
      <c r="Q2945" t="s">
        <v>12646</v>
      </c>
      <c r="R2945" t="s">
        <v>12647</v>
      </c>
      <c r="S2945" t="s">
        <v>31</v>
      </c>
      <c r="T2945">
        <v>0</v>
      </c>
    </row>
    <row r="2946" spans="1:20" x14ac:dyDescent="0.25">
      <c r="A2946" t="s">
        <v>12648</v>
      </c>
      <c r="B2946" s="1">
        <v>45865</v>
      </c>
      <c r="C2946" s="5">
        <v>0.1603125</v>
      </c>
      <c r="D2946">
        <v>145.56</v>
      </c>
      <c r="E2946" t="s">
        <v>44</v>
      </c>
      <c r="F2946" t="s">
        <v>7716</v>
      </c>
      <c r="G2946" t="s">
        <v>71</v>
      </c>
      <c r="H2946" t="s">
        <v>91</v>
      </c>
      <c r="I2946" t="s">
        <v>12649</v>
      </c>
      <c r="J2946">
        <v>48</v>
      </c>
      <c r="K2946" t="s">
        <v>37</v>
      </c>
      <c r="L2946" t="s">
        <v>110</v>
      </c>
      <c r="M2946" t="s">
        <v>51</v>
      </c>
      <c r="N2946" t="s">
        <v>345</v>
      </c>
      <c r="O2946">
        <v>553034</v>
      </c>
      <c r="P2946" t="s">
        <v>28</v>
      </c>
      <c r="Q2946" t="s">
        <v>12650</v>
      </c>
      <c r="R2946" t="s">
        <v>12651</v>
      </c>
      <c r="S2946" t="s">
        <v>31</v>
      </c>
      <c r="T2946">
        <v>0</v>
      </c>
    </row>
    <row r="2947" spans="1:20" x14ac:dyDescent="0.25">
      <c r="A2947" t="s">
        <v>12652</v>
      </c>
      <c r="B2947" s="1">
        <v>45908</v>
      </c>
      <c r="C2947" s="5">
        <v>0.64026620370370368</v>
      </c>
      <c r="D2947">
        <v>335.64</v>
      </c>
      <c r="E2947" t="s">
        <v>44</v>
      </c>
      <c r="F2947" t="s">
        <v>6000</v>
      </c>
      <c r="G2947" t="s">
        <v>22</v>
      </c>
      <c r="H2947" t="s">
        <v>91</v>
      </c>
      <c r="I2947" t="s">
        <v>12653</v>
      </c>
      <c r="J2947">
        <v>31</v>
      </c>
      <c r="K2947" t="s">
        <v>25</v>
      </c>
      <c r="L2947" t="s">
        <v>119</v>
      </c>
      <c r="M2947" t="s">
        <v>39</v>
      </c>
      <c r="P2947" t="s">
        <v>28</v>
      </c>
      <c r="Q2947" t="s">
        <v>12654</v>
      </c>
      <c r="R2947" t="s">
        <v>12655</v>
      </c>
      <c r="S2947" t="s">
        <v>31</v>
      </c>
      <c r="T2947">
        <v>0</v>
      </c>
    </row>
    <row r="2948" spans="1:20" x14ac:dyDescent="0.25">
      <c r="A2948" t="s">
        <v>12656</v>
      </c>
      <c r="B2948" s="1">
        <v>45863</v>
      </c>
      <c r="C2948" s="5">
        <v>0.72295138888888888</v>
      </c>
      <c r="D2948">
        <v>164.56</v>
      </c>
      <c r="E2948" t="s">
        <v>44</v>
      </c>
      <c r="F2948" t="s">
        <v>11253</v>
      </c>
      <c r="G2948" t="s">
        <v>22</v>
      </c>
      <c r="H2948" t="s">
        <v>23</v>
      </c>
      <c r="I2948" t="s">
        <v>12657</v>
      </c>
      <c r="J2948">
        <v>39</v>
      </c>
      <c r="K2948" t="s">
        <v>25</v>
      </c>
      <c r="L2948" t="s">
        <v>26</v>
      </c>
      <c r="M2948" t="s">
        <v>39</v>
      </c>
      <c r="P2948" t="s">
        <v>28</v>
      </c>
      <c r="Q2948" t="s">
        <v>12658</v>
      </c>
      <c r="R2948" t="s">
        <v>12659</v>
      </c>
      <c r="S2948" t="s">
        <v>31</v>
      </c>
      <c r="T2948">
        <v>0</v>
      </c>
    </row>
    <row r="2949" spans="1:20" x14ac:dyDescent="0.25">
      <c r="A2949" t="s">
        <v>12660</v>
      </c>
      <c r="B2949" s="1">
        <v>45956</v>
      </c>
      <c r="C2949" s="5">
        <v>0.94341435185185185</v>
      </c>
      <c r="D2949">
        <v>916.84</v>
      </c>
      <c r="E2949" t="s">
        <v>44</v>
      </c>
      <c r="F2949" t="s">
        <v>5648</v>
      </c>
      <c r="G2949" t="s">
        <v>34</v>
      </c>
      <c r="H2949" t="s">
        <v>23</v>
      </c>
      <c r="I2949" t="s">
        <v>12661</v>
      </c>
      <c r="J2949">
        <v>44</v>
      </c>
      <c r="K2949" t="s">
        <v>49</v>
      </c>
      <c r="L2949" t="s">
        <v>119</v>
      </c>
      <c r="M2949" t="s">
        <v>27</v>
      </c>
      <c r="P2949" t="s">
        <v>28</v>
      </c>
      <c r="Q2949" t="s">
        <v>12662</v>
      </c>
      <c r="R2949" t="s">
        <v>12663</v>
      </c>
      <c r="S2949" t="s">
        <v>101</v>
      </c>
      <c r="T2949">
        <v>0</v>
      </c>
    </row>
    <row r="2950" spans="1:20" x14ac:dyDescent="0.25">
      <c r="A2950" t="s">
        <v>12664</v>
      </c>
      <c r="B2950" s="1">
        <v>45936</v>
      </c>
      <c r="C2950" s="5">
        <v>0.11847222222222223</v>
      </c>
      <c r="D2950">
        <v>182.99</v>
      </c>
      <c r="E2950" t="s">
        <v>44</v>
      </c>
      <c r="F2950" t="s">
        <v>3375</v>
      </c>
      <c r="G2950" t="s">
        <v>64</v>
      </c>
      <c r="H2950" t="s">
        <v>26</v>
      </c>
      <c r="I2950" t="s">
        <v>12665</v>
      </c>
      <c r="J2950">
        <v>42</v>
      </c>
      <c r="K2950" t="s">
        <v>25</v>
      </c>
      <c r="L2950" t="s">
        <v>58</v>
      </c>
      <c r="M2950" t="s">
        <v>84</v>
      </c>
      <c r="P2950" t="s">
        <v>28</v>
      </c>
      <c r="Q2950" t="s">
        <v>12666</v>
      </c>
      <c r="R2950" t="s">
        <v>12667</v>
      </c>
      <c r="S2950" t="s">
        <v>101</v>
      </c>
      <c r="T2950">
        <v>0</v>
      </c>
    </row>
    <row r="2951" spans="1:20" x14ac:dyDescent="0.25">
      <c r="A2951" t="s">
        <v>12668</v>
      </c>
      <c r="B2951" s="1">
        <v>45949</v>
      </c>
      <c r="C2951" s="5">
        <v>0.16780092592592594</v>
      </c>
      <c r="D2951">
        <v>119.21</v>
      </c>
      <c r="E2951" t="s">
        <v>44</v>
      </c>
      <c r="F2951" t="s">
        <v>6328</v>
      </c>
      <c r="G2951" t="s">
        <v>57</v>
      </c>
      <c r="H2951" t="s">
        <v>110</v>
      </c>
      <c r="I2951" t="s">
        <v>4688</v>
      </c>
      <c r="J2951">
        <v>53</v>
      </c>
      <c r="K2951" t="s">
        <v>25</v>
      </c>
      <c r="L2951" t="s">
        <v>130</v>
      </c>
      <c r="M2951" t="s">
        <v>51</v>
      </c>
      <c r="N2951" t="s">
        <v>173</v>
      </c>
      <c r="O2951">
        <v>541794</v>
      </c>
      <c r="P2951" t="s">
        <v>28</v>
      </c>
      <c r="Q2951" t="s">
        <v>12669</v>
      </c>
      <c r="R2951" t="s">
        <v>12670</v>
      </c>
      <c r="S2951" t="s">
        <v>31</v>
      </c>
      <c r="T2951">
        <v>0</v>
      </c>
    </row>
    <row r="2952" spans="1:20" x14ac:dyDescent="0.25">
      <c r="A2952" t="s">
        <v>12671</v>
      </c>
      <c r="B2952" s="1">
        <v>45903</v>
      </c>
      <c r="C2952" s="5">
        <v>0.69518518518518524</v>
      </c>
      <c r="D2952">
        <v>196.24</v>
      </c>
      <c r="E2952" t="s">
        <v>44</v>
      </c>
      <c r="F2952" t="s">
        <v>3385</v>
      </c>
      <c r="G2952" t="s">
        <v>96</v>
      </c>
      <c r="H2952" t="s">
        <v>130</v>
      </c>
      <c r="I2952" t="s">
        <v>1423</v>
      </c>
      <c r="J2952">
        <v>74</v>
      </c>
      <c r="K2952" t="s">
        <v>25</v>
      </c>
      <c r="L2952" t="s">
        <v>35</v>
      </c>
      <c r="M2952" t="s">
        <v>39</v>
      </c>
      <c r="P2952" t="s">
        <v>28</v>
      </c>
      <c r="Q2952" t="s">
        <v>12672</v>
      </c>
      <c r="R2952" t="s">
        <v>12673</v>
      </c>
      <c r="S2952" t="s">
        <v>31</v>
      </c>
      <c r="T2952">
        <v>0</v>
      </c>
    </row>
    <row r="2953" spans="1:20" x14ac:dyDescent="0.25">
      <c r="A2953" t="s">
        <v>12674</v>
      </c>
      <c r="B2953" s="1">
        <v>45795</v>
      </c>
      <c r="C2953" s="5">
        <v>0.84243055555555557</v>
      </c>
      <c r="D2953">
        <v>109.96</v>
      </c>
      <c r="E2953" t="s">
        <v>44</v>
      </c>
      <c r="F2953" t="s">
        <v>5072</v>
      </c>
      <c r="G2953" t="s">
        <v>57</v>
      </c>
      <c r="H2953" t="s">
        <v>58</v>
      </c>
      <c r="I2953" t="s">
        <v>12675</v>
      </c>
      <c r="J2953">
        <v>47</v>
      </c>
      <c r="K2953" t="s">
        <v>49</v>
      </c>
      <c r="L2953" t="s">
        <v>91</v>
      </c>
      <c r="M2953" t="s">
        <v>27</v>
      </c>
      <c r="P2953" t="s">
        <v>28</v>
      </c>
      <c r="Q2953" t="s">
        <v>12676</v>
      </c>
      <c r="R2953" t="s">
        <v>6511</v>
      </c>
      <c r="S2953" t="s">
        <v>31</v>
      </c>
      <c r="T2953">
        <v>0</v>
      </c>
    </row>
    <row r="2954" spans="1:20" x14ac:dyDescent="0.25">
      <c r="A2954" t="s">
        <v>12677</v>
      </c>
      <c r="B2954" s="1">
        <v>45904</v>
      </c>
      <c r="C2954" s="5">
        <v>0.60914351851851856</v>
      </c>
      <c r="D2954">
        <v>2281.67</v>
      </c>
      <c r="E2954" t="s">
        <v>44</v>
      </c>
      <c r="F2954" t="s">
        <v>9312</v>
      </c>
      <c r="G2954" t="s">
        <v>34</v>
      </c>
      <c r="H2954" t="s">
        <v>130</v>
      </c>
      <c r="I2954" t="s">
        <v>12678</v>
      </c>
      <c r="J2954">
        <v>53</v>
      </c>
      <c r="K2954" t="s">
        <v>49</v>
      </c>
      <c r="L2954" t="s">
        <v>47</v>
      </c>
      <c r="M2954" t="s">
        <v>51</v>
      </c>
      <c r="N2954" t="s">
        <v>345</v>
      </c>
      <c r="O2954">
        <v>449531</v>
      </c>
      <c r="P2954" t="s">
        <v>28</v>
      </c>
      <c r="Q2954" t="s">
        <v>12679</v>
      </c>
      <c r="R2954" t="s">
        <v>12680</v>
      </c>
      <c r="S2954" t="s">
        <v>31</v>
      </c>
      <c r="T2954">
        <v>0</v>
      </c>
    </row>
    <row r="2955" spans="1:20" x14ac:dyDescent="0.25">
      <c r="A2955" t="s">
        <v>12681</v>
      </c>
      <c r="B2955" s="1">
        <v>45921</v>
      </c>
      <c r="C2955" s="5">
        <v>0.51447916666666671</v>
      </c>
      <c r="D2955">
        <v>34.51</v>
      </c>
      <c r="E2955" t="s">
        <v>44</v>
      </c>
      <c r="F2955" t="s">
        <v>3097</v>
      </c>
      <c r="G2955" t="s">
        <v>124</v>
      </c>
      <c r="H2955" t="s">
        <v>146</v>
      </c>
      <c r="I2955" t="s">
        <v>12682</v>
      </c>
      <c r="J2955">
        <v>56</v>
      </c>
      <c r="K2955" t="s">
        <v>49</v>
      </c>
      <c r="L2955" t="s">
        <v>23</v>
      </c>
      <c r="M2955" t="s">
        <v>39</v>
      </c>
      <c r="P2955" t="s">
        <v>28</v>
      </c>
      <c r="Q2955" t="s">
        <v>12683</v>
      </c>
      <c r="R2955" t="s">
        <v>12684</v>
      </c>
      <c r="S2955" t="s">
        <v>31</v>
      </c>
      <c r="T2955">
        <v>1</v>
      </c>
    </row>
    <row r="2956" spans="1:20" x14ac:dyDescent="0.25">
      <c r="A2956" t="s">
        <v>12685</v>
      </c>
      <c r="B2956" s="1">
        <v>45817</v>
      </c>
      <c r="C2956" s="5">
        <v>0.50329861111111107</v>
      </c>
      <c r="D2956">
        <v>76.61</v>
      </c>
      <c r="E2956" t="s">
        <v>44</v>
      </c>
      <c r="F2956" t="s">
        <v>1092</v>
      </c>
      <c r="G2956" t="s">
        <v>71</v>
      </c>
      <c r="H2956" t="s">
        <v>248</v>
      </c>
      <c r="I2956" t="s">
        <v>12686</v>
      </c>
      <c r="J2956">
        <v>58</v>
      </c>
      <c r="K2956" t="s">
        <v>25</v>
      </c>
      <c r="L2956" t="s">
        <v>23</v>
      </c>
      <c r="M2956" t="s">
        <v>39</v>
      </c>
      <c r="P2956" t="s">
        <v>28</v>
      </c>
      <c r="Q2956" t="s">
        <v>12687</v>
      </c>
      <c r="R2956" t="s">
        <v>12688</v>
      </c>
      <c r="S2956" t="s">
        <v>31</v>
      </c>
      <c r="T2956">
        <v>0</v>
      </c>
    </row>
    <row r="2957" spans="1:20" x14ac:dyDescent="0.25">
      <c r="A2957" t="s">
        <v>12689</v>
      </c>
      <c r="B2957" s="1">
        <v>45925</v>
      </c>
      <c r="C2957" s="5">
        <v>0.97543981481481479</v>
      </c>
      <c r="D2957">
        <v>94.07</v>
      </c>
      <c r="E2957" t="s">
        <v>44</v>
      </c>
      <c r="F2957" t="s">
        <v>6279</v>
      </c>
      <c r="G2957" t="s">
        <v>57</v>
      </c>
      <c r="H2957" t="s">
        <v>146</v>
      </c>
      <c r="I2957" t="s">
        <v>12690</v>
      </c>
      <c r="J2957">
        <v>61</v>
      </c>
      <c r="K2957" t="s">
        <v>25</v>
      </c>
      <c r="L2957" t="s">
        <v>26</v>
      </c>
      <c r="M2957" t="s">
        <v>84</v>
      </c>
      <c r="P2957" t="s">
        <v>28</v>
      </c>
      <c r="Q2957" t="s">
        <v>12691</v>
      </c>
      <c r="R2957" t="s">
        <v>12692</v>
      </c>
      <c r="S2957" t="s">
        <v>101</v>
      </c>
      <c r="T2957">
        <v>0</v>
      </c>
    </row>
    <row r="2958" spans="1:20" x14ac:dyDescent="0.25">
      <c r="A2958" t="s">
        <v>12693</v>
      </c>
      <c r="B2958" s="1">
        <v>45859</v>
      </c>
      <c r="C2958" s="5">
        <v>0.82269675925925922</v>
      </c>
      <c r="D2958">
        <v>0</v>
      </c>
      <c r="E2958" t="s">
        <v>44</v>
      </c>
      <c r="F2958" t="s">
        <v>12694</v>
      </c>
      <c r="G2958" t="s">
        <v>64</v>
      </c>
      <c r="H2958" t="s">
        <v>38</v>
      </c>
      <c r="I2958" t="s">
        <v>12695</v>
      </c>
      <c r="J2958">
        <v>52</v>
      </c>
      <c r="K2958" t="s">
        <v>25</v>
      </c>
      <c r="L2958" t="s">
        <v>50</v>
      </c>
      <c r="M2958" t="s">
        <v>39</v>
      </c>
      <c r="P2958" t="s">
        <v>28</v>
      </c>
      <c r="Q2958" t="s">
        <v>12696</v>
      </c>
      <c r="R2958" t="s">
        <v>12697</v>
      </c>
      <c r="S2958" t="s">
        <v>31</v>
      </c>
      <c r="T2958">
        <v>0</v>
      </c>
    </row>
    <row r="2959" spans="1:20" x14ac:dyDescent="0.25">
      <c r="A2959" t="s">
        <v>12698</v>
      </c>
      <c r="B2959" s="1">
        <v>45912</v>
      </c>
      <c r="C2959" s="5">
        <v>0.25755787037037037</v>
      </c>
      <c r="D2959">
        <v>83.66</v>
      </c>
      <c r="E2959" t="s">
        <v>44</v>
      </c>
      <c r="F2959" t="s">
        <v>5412</v>
      </c>
      <c r="G2959" t="s">
        <v>124</v>
      </c>
      <c r="H2959" t="s">
        <v>35</v>
      </c>
      <c r="I2959" t="s">
        <v>12699</v>
      </c>
      <c r="J2959">
        <v>58</v>
      </c>
      <c r="K2959" t="s">
        <v>49</v>
      </c>
      <c r="L2959" t="s">
        <v>26</v>
      </c>
      <c r="M2959" t="s">
        <v>27</v>
      </c>
      <c r="P2959" t="s">
        <v>28</v>
      </c>
      <c r="Q2959" t="s">
        <v>12700</v>
      </c>
      <c r="R2959" t="s">
        <v>12701</v>
      </c>
      <c r="S2959" t="s">
        <v>31</v>
      </c>
      <c r="T2959">
        <v>0</v>
      </c>
    </row>
    <row r="2960" spans="1:20" x14ac:dyDescent="0.25">
      <c r="A2960" t="s">
        <v>12702</v>
      </c>
      <c r="B2960" s="1">
        <v>45952</v>
      </c>
      <c r="C2960" s="5">
        <v>0.85285879629629635</v>
      </c>
      <c r="D2960">
        <v>121.92</v>
      </c>
      <c r="E2960" t="s">
        <v>44</v>
      </c>
      <c r="F2960" t="s">
        <v>2234</v>
      </c>
      <c r="G2960" t="s">
        <v>57</v>
      </c>
      <c r="H2960" t="s">
        <v>119</v>
      </c>
      <c r="I2960" t="s">
        <v>12703</v>
      </c>
      <c r="J2960">
        <v>18</v>
      </c>
      <c r="K2960" t="s">
        <v>25</v>
      </c>
      <c r="L2960" t="s">
        <v>146</v>
      </c>
      <c r="M2960" t="s">
        <v>51</v>
      </c>
      <c r="N2960" t="s">
        <v>304</v>
      </c>
      <c r="O2960">
        <v>425372</v>
      </c>
      <c r="P2960" t="s">
        <v>28</v>
      </c>
      <c r="Q2960" t="s">
        <v>12704</v>
      </c>
      <c r="R2960" t="s">
        <v>9617</v>
      </c>
      <c r="S2960" t="s">
        <v>31</v>
      </c>
      <c r="T2960">
        <v>0</v>
      </c>
    </row>
    <row r="2961" spans="1:20" x14ac:dyDescent="0.25">
      <c r="A2961" t="s">
        <v>12705</v>
      </c>
      <c r="B2961" s="1">
        <v>45904</v>
      </c>
      <c r="C2961" s="5">
        <v>0.99179398148148146</v>
      </c>
      <c r="D2961">
        <v>194.11</v>
      </c>
      <c r="E2961" t="s">
        <v>44</v>
      </c>
      <c r="F2961" t="s">
        <v>5232</v>
      </c>
      <c r="G2961" t="s">
        <v>89</v>
      </c>
      <c r="H2961" t="s">
        <v>146</v>
      </c>
      <c r="I2961" t="s">
        <v>12706</v>
      </c>
      <c r="J2961">
        <v>58</v>
      </c>
      <c r="K2961" t="s">
        <v>49</v>
      </c>
      <c r="L2961" t="s">
        <v>50</v>
      </c>
      <c r="M2961" t="s">
        <v>27</v>
      </c>
      <c r="P2961" t="s">
        <v>28</v>
      </c>
      <c r="Q2961" t="s">
        <v>12707</v>
      </c>
      <c r="R2961" t="s">
        <v>12708</v>
      </c>
      <c r="S2961" t="s">
        <v>31</v>
      </c>
      <c r="T2961">
        <v>0</v>
      </c>
    </row>
    <row r="2962" spans="1:20" x14ac:dyDescent="0.25">
      <c r="A2962" t="s">
        <v>12709</v>
      </c>
      <c r="B2962" s="1">
        <v>45821</v>
      </c>
      <c r="C2962" s="5">
        <v>0.49815972222222221</v>
      </c>
      <c r="D2962">
        <v>34.340000000000003</v>
      </c>
      <c r="E2962" t="s">
        <v>44</v>
      </c>
      <c r="F2962" t="s">
        <v>4916</v>
      </c>
      <c r="G2962" t="s">
        <v>124</v>
      </c>
      <c r="H2962" t="s">
        <v>119</v>
      </c>
      <c r="I2962" t="s">
        <v>12710</v>
      </c>
      <c r="J2962">
        <v>53</v>
      </c>
      <c r="K2962" t="s">
        <v>49</v>
      </c>
      <c r="L2962" t="s">
        <v>50</v>
      </c>
      <c r="M2962" t="s">
        <v>112</v>
      </c>
      <c r="P2962" t="s">
        <v>28</v>
      </c>
      <c r="Q2962" t="s">
        <v>12711</v>
      </c>
      <c r="R2962" t="s">
        <v>12712</v>
      </c>
      <c r="S2962" t="s">
        <v>31</v>
      </c>
      <c r="T2962">
        <v>0</v>
      </c>
    </row>
    <row r="2963" spans="1:20" x14ac:dyDescent="0.25">
      <c r="A2963" t="s">
        <v>12713</v>
      </c>
      <c r="B2963" s="1">
        <v>45871</v>
      </c>
      <c r="C2963" s="5">
        <v>0.89155092592592589</v>
      </c>
      <c r="D2963">
        <v>68.34</v>
      </c>
      <c r="E2963" t="s">
        <v>44</v>
      </c>
      <c r="F2963" t="s">
        <v>4648</v>
      </c>
      <c r="G2963" t="s">
        <v>64</v>
      </c>
      <c r="H2963" t="s">
        <v>38</v>
      </c>
      <c r="I2963" t="s">
        <v>12714</v>
      </c>
      <c r="J2963">
        <v>27</v>
      </c>
      <c r="K2963" t="s">
        <v>49</v>
      </c>
      <c r="L2963" t="s">
        <v>119</v>
      </c>
      <c r="M2963" t="s">
        <v>112</v>
      </c>
      <c r="P2963" t="s">
        <v>28</v>
      </c>
      <c r="Q2963" t="s">
        <v>12715</v>
      </c>
      <c r="R2963" t="s">
        <v>12716</v>
      </c>
      <c r="S2963" t="s">
        <v>101</v>
      </c>
      <c r="T2963">
        <v>0</v>
      </c>
    </row>
    <row r="2964" spans="1:20" x14ac:dyDescent="0.25">
      <c r="A2964" t="s">
        <v>12717</v>
      </c>
      <c r="B2964" s="1">
        <v>45952</v>
      </c>
      <c r="C2964" s="5">
        <v>0.3074189814814815</v>
      </c>
      <c r="D2964">
        <v>140.69</v>
      </c>
      <c r="E2964" t="s">
        <v>44</v>
      </c>
      <c r="F2964" t="s">
        <v>3595</v>
      </c>
      <c r="G2964" t="s">
        <v>89</v>
      </c>
      <c r="H2964" t="s">
        <v>146</v>
      </c>
      <c r="I2964" t="s">
        <v>12718</v>
      </c>
      <c r="J2964">
        <v>67</v>
      </c>
      <c r="K2964" t="s">
        <v>49</v>
      </c>
      <c r="L2964" t="s">
        <v>146</v>
      </c>
      <c r="M2964" t="s">
        <v>39</v>
      </c>
      <c r="P2964" t="s">
        <v>113</v>
      </c>
      <c r="Q2964" t="s">
        <v>12719</v>
      </c>
      <c r="R2964" t="s">
        <v>12720</v>
      </c>
      <c r="S2964" t="s">
        <v>31</v>
      </c>
      <c r="T2964">
        <v>0</v>
      </c>
    </row>
    <row r="2965" spans="1:20" x14ac:dyDescent="0.25">
      <c r="A2965" t="s">
        <v>12721</v>
      </c>
      <c r="B2965" s="1">
        <v>45858</v>
      </c>
      <c r="C2965" s="5">
        <v>8.5243055555555558E-2</v>
      </c>
      <c r="D2965">
        <v>99.9</v>
      </c>
      <c r="E2965" t="s">
        <v>44</v>
      </c>
      <c r="F2965" t="s">
        <v>4067</v>
      </c>
      <c r="G2965" t="s">
        <v>71</v>
      </c>
      <c r="H2965" t="s">
        <v>130</v>
      </c>
      <c r="I2965" t="s">
        <v>12722</v>
      </c>
      <c r="J2965">
        <v>33</v>
      </c>
      <c r="K2965" t="s">
        <v>49</v>
      </c>
      <c r="L2965" t="s">
        <v>130</v>
      </c>
      <c r="M2965" t="s">
        <v>84</v>
      </c>
      <c r="P2965" t="s">
        <v>113</v>
      </c>
      <c r="Q2965" t="s">
        <v>12723</v>
      </c>
      <c r="R2965" t="s">
        <v>12724</v>
      </c>
      <c r="S2965" t="s">
        <v>31</v>
      </c>
      <c r="T2965">
        <v>0</v>
      </c>
    </row>
    <row r="2966" spans="1:20" x14ac:dyDescent="0.25">
      <c r="A2966" t="s">
        <v>12725</v>
      </c>
      <c r="B2966" s="1">
        <v>45895</v>
      </c>
      <c r="C2966" s="5">
        <v>0.19163194444444445</v>
      </c>
      <c r="D2966">
        <v>172.23</v>
      </c>
      <c r="E2966" t="s">
        <v>44</v>
      </c>
      <c r="F2966" t="s">
        <v>308</v>
      </c>
      <c r="G2966" t="s">
        <v>22</v>
      </c>
      <c r="H2966" t="s">
        <v>58</v>
      </c>
      <c r="I2966" t="s">
        <v>12726</v>
      </c>
      <c r="J2966">
        <v>16</v>
      </c>
      <c r="K2966" t="s">
        <v>37</v>
      </c>
      <c r="L2966" t="s">
        <v>58</v>
      </c>
      <c r="M2966" t="s">
        <v>27</v>
      </c>
      <c r="P2966" t="s">
        <v>113</v>
      </c>
      <c r="Q2966" t="s">
        <v>12727</v>
      </c>
      <c r="R2966" t="s">
        <v>12728</v>
      </c>
      <c r="S2966" t="s">
        <v>31</v>
      </c>
      <c r="T2966">
        <v>0</v>
      </c>
    </row>
    <row r="2967" spans="1:20" x14ac:dyDescent="0.25">
      <c r="A2967" t="s">
        <v>12729</v>
      </c>
      <c r="B2967" s="1">
        <v>45814</v>
      </c>
      <c r="C2967" s="5">
        <v>0.52829861111111109</v>
      </c>
      <c r="D2967">
        <v>181.03</v>
      </c>
      <c r="E2967" t="s">
        <v>44</v>
      </c>
      <c r="F2967" t="s">
        <v>1229</v>
      </c>
      <c r="G2967" t="s">
        <v>64</v>
      </c>
      <c r="H2967" t="s">
        <v>47</v>
      </c>
      <c r="I2967" t="s">
        <v>12730</v>
      </c>
      <c r="J2967">
        <v>51</v>
      </c>
      <c r="K2967" t="s">
        <v>49</v>
      </c>
      <c r="L2967" t="s">
        <v>97</v>
      </c>
      <c r="M2967" t="s">
        <v>39</v>
      </c>
      <c r="P2967" t="s">
        <v>28</v>
      </c>
      <c r="Q2967" t="s">
        <v>12731</v>
      </c>
      <c r="R2967" t="s">
        <v>12732</v>
      </c>
      <c r="S2967" t="s">
        <v>31</v>
      </c>
      <c r="T2967">
        <v>0</v>
      </c>
    </row>
    <row r="2968" spans="1:20" x14ac:dyDescent="0.25">
      <c r="A2968" t="s">
        <v>12733</v>
      </c>
      <c r="B2968" s="1">
        <v>45943</v>
      </c>
      <c r="C2968" s="5">
        <v>0.91413194444444446</v>
      </c>
      <c r="D2968">
        <v>182.05</v>
      </c>
      <c r="E2968" t="s">
        <v>44</v>
      </c>
      <c r="F2968" t="s">
        <v>927</v>
      </c>
      <c r="G2968" t="s">
        <v>22</v>
      </c>
      <c r="H2968" t="s">
        <v>23</v>
      </c>
      <c r="I2968" t="s">
        <v>12734</v>
      </c>
      <c r="J2968">
        <v>69</v>
      </c>
      <c r="K2968" t="s">
        <v>49</v>
      </c>
      <c r="L2968" t="s">
        <v>35</v>
      </c>
      <c r="M2968" t="s">
        <v>39</v>
      </c>
      <c r="P2968" t="s">
        <v>28</v>
      </c>
      <c r="Q2968" t="s">
        <v>12735</v>
      </c>
      <c r="R2968" t="s">
        <v>12736</v>
      </c>
      <c r="S2968" t="s">
        <v>31</v>
      </c>
      <c r="T2968">
        <v>0</v>
      </c>
    </row>
    <row r="2969" spans="1:20" x14ac:dyDescent="0.25">
      <c r="A2969" t="s">
        <v>12737</v>
      </c>
      <c r="B2969" s="1">
        <v>45793</v>
      </c>
      <c r="C2969" s="5">
        <v>0.56535879629629626</v>
      </c>
      <c r="D2969">
        <v>90.56</v>
      </c>
      <c r="E2969" t="s">
        <v>44</v>
      </c>
      <c r="F2969" t="s">
        <v>1017</v>
      </c>
      <c r="G2969" t="s">
        <v>64</v>
      </c>
      <c r="H2969" t="s">
        <v>58</v>
      </c>
      <c r="I2969" t="s">
        <v>12738</v>
      </c>
      <c r="J2969">
        <v>44</v>
      </c>
      <c r="K2969" t="s">
        <v>37</v>
      </c>
      <c r="L2969" t="s">
        <v>58</v>
      </c>
      <c r="M2969" t="s">
        <v>112</v>
      </c>
      <c r="P2969" t="s">
        <v>113</v>
      </c>
      <c r="Q2969" t="s">
        <v>12739</v>
      </c>
      <c r="R2969" t="s">
        <v>12740</v>
      </c>
      <c r="S2969" t="s">
        <v>31</v>
      </c>
      <c r="T2969">
        <v>0</v>
      </c>
    </row>
    <row r="2970" spans="1:20" x14ac:dyDescent="0.25">
      <c r="A2970" t="s">
        <v>12741</v>
      </c>
      <c r="B2970" s="1">
        <v>45889</v>
      </c>
      <c r="C2970" s="5">
        <v>0.53623842592592597</v>
      </c>
      <c r="D2970">
        <v>127.05</v>
      </c>
      <c r="E2970" t="s">
        <v>44</v>
      </c>
      <c r="F2970" t="s">
        <v>6677</v>
      </c>
      <c r="G2970" t="s">
        <v>46</v>
      </c>
      <c r="H2970" t="s">
        <v>66</v>
      </c>
      <c r="I2970" t="s">
        <v>12742</v>
      </c>
      <c r="J2970">
        <v>28</v>
      </c>
      <c r="K2970" t="s">
        <v>37</v>
      </c>
      <c r="L2970" t="s">
        <v>130</v>
      </c>
      <c r="M2970" t="s">
        <v>112</v>
      </c>
      <c r="P2970" t="s">
        <v>28</v>
      </c>
      <c r="Q2970" t="s">
        <v>12743</v>
      </c>
      <c r="R2970" t="s">
        <v>12744</v>
      </c>
      <c r="S2970" t="s">
        <v>31</v>
      </c>
      <c r="T2970">
        <v>0</v>
      </c>
    </row>
    <row r="2971" spans="1:20" x14ac:dyDescent="0.25">
      <c r="A2971" t="s">
        <v>12745</v>
      </c>
      <c r="B2971" s="1">
        <v>45840</v>
      </c>
      <c r="C2971" s="5">
        <v>0.2426736111111111</v>
      </c>
      <c r="D2971">
        <v>824.81</v>
      </c>
      <c r="E2971" t="s">
        <v>44</v>
      </c>
      <c r="F2971" t="s">
        <v>5036</v>
      </c>
      <c r="G2971" t="s">
        <v>46</v>
      </c>
      <c r="H2971" t="s">
        <v>66</v>
      </c>
      <c r="I2971" t="s">
        <v>12746</v>
      </c>
      <c r="J2971">
        <v>24</v>
      </c>
      <c r="K2971" t="s">
        <v>49</v>
      </c>
      <c r="L2971" t="s">
        <v>47</v>
      </c>
      <c r="M2971" t="s">
        <v>39</v>
      </c>
      <c r="P2971" t="s">
        <v>28</v>
      </c>
      <c r="Q2971" t="s">
        <v>12747</v>
      </c>
      <c r="R2971" t="s">
        <v>12748</v>
      </c>
      <c r="S2971" t="s">
        <v>31</v>
      </c>
      <c r="T2971">
        <v>0</v>
      </c>
    </row>
    <row r="2972" spans="1:20" x14ac:dyDescent="0.25">
      <c r="A2972" t="s">
        <v>12749</v>
      </c>
      <c r="B2972" s="1">
        <v>45944</v>
      </c>
      <c r="C2972" s="5">
        <v>0.7853472222222222</v>
      </c>
      <c r="D2972">
        <v>29.06</v>
      </c>
      <c r="E2972" t="s">
        <v>44</v>
      </c>
      <c r="F2972" t="s">
        <v>3385</v>
      </c>
      <c r="G2972" t="s">
        <v>96</v>
      </c>
      <c r="H2972" t="s">
        <v>38</v>
      </c>
      <c r="I2972" t="s">
        <v>12750</v>
      </c>
      <c r="J2972">
        <v>65</v>
      </c>
      <c r="K2972" t="s">
        <v>25</v>
      </c>
      <c r="L2972" t="s">
        <v>97</v>
      </c>
      <c r="M2972" t="s">
        <v>112</v>
      </c>
      <c r="P2972" t="s">
        <v>28</v>
      </c>
      <c r="Q2972" t="s">
        <v>12751</v>
      </c>
      <c r="R2972" t="s">
        <v>12752</v>
      </c>
      <c r="S2972" t="s">
        <v>101</v>
      </c>
      <c r="T2972">
        <v>0</v>
      </c>
    </row>
    <row r="2973" spans="1:20" x14ac:dyDescent="0.25">
      <c r="A2973" t="s">
        <v>12753</v>
      </c>
      <c r="B2973" s="1">
        <v>45903</v>
      </c>
      <c r="C2973" s="5">
        <v>0.9477430555555556</v>
      </c>
      <c r="D2973">
        <v>73.099999999999994</v>
      </c>
      <c r="E2973" t="s">
        <v>44</v>
      </c>
      <c r="F2973" t="s">
        <v>6058</v>
      </c>
      <c r="G2973" t="s">
        <v>57</v>
      </c>
      <c r="H2973" t="s">
        <v>23</v>
      </c>
      <c r="I2973" t="s">
        <v>12754</v>
      </c>
      <c r="J2973">
        <v>47</v>
      </c>
      <c r="K2973" t="s">
        <v>37</v>
      </c>
      <c r="L2973" t="s">
        <v>97</v>
      </c>
      <c r="M2973" t="s">
        <v>105</v>
      </c>
      <c r="P2973" t="s">
        <v>28</v>
      </c>
      <c r="Q2973" t="s">
        <v>12755</v>
      </c>
      <c r="R2973" t="s">
        <v>12756</v>
      </c>
      <c r="S2973" t="s">
        <v>42</v>
      </c>
      <c r="T2973">
        <v>0</v>
      </c>
    </row>
    <row r="2974" spans="1:20" x14ac:dyDescent="0.25">
      <c r="A2974" t="s">
        <v>12757</v>
      </c>
      <c r="B2974" s="1">
        <v>45933</v>
      </c>
      <c r="C2974" s="5">
        <v>0.10858796296296297</v>
      </c>
      <c r="D2974">
        <v>14.82</v>
      </c>
      <c r="E2974" t="s">
        <v>44</v>
      </c>
      <c r="F2974" t="s">
        <v>8023</v>
      </c>
      <c r="G2974" t="s">
        <v>46</v>
      </c>
      <c r="H2974" t="s">
        <v>58</v>
      </c>
      <c r="I2974" t="s">
        <v>12758</v>
      </c>
      <c r="J2974">
        <v>75</v>
      </c>
      <c r="K2974" t="s">
        <v>25</v>
      </c>
      <c r="L2974" t="s">
        <v>130</v>
      </c>
      <c r="M2974" t="s">
        <v>39</v>
      </c>
      <c r="P2974" t="s">
        <v>28</v>
      </c>
      <c r="Q2974" t="s">
        <v>12759</v>
      </c>
      <c r="R2974" t="s">
        <v>12760</v>
      </c>
      <c r="S2974" t="s">
        <v>31</v>
      </c>
      <c r="T2974">
        <v>0</v>
      </c>
    </row>
    <row r="2975" spans="1:20" x14ac:dyDescent="0.25">
      <c r="A2975" t="s">
        <v>12761</v>
      </c>
      <c r="B2975" s="1">
        <v>45846</v>
      </c>
      <c r="C2975" s="5">
        <v>0.30133101851851851</v>
      </c>
      <c r="D2975">
        <v>120.84</v>
      </c>
      <c r="E2975" t="s">
        <v>44</v>
      </c>
      <c r="F2975" t="s">
        <v>10783</v>
      </c>
      <c r="G2975" t="s">
        <v>124</v>
      </c>
      <c r="H2975" t="s">
        <v>35</v>
      </c>
      <c r="I2975" t="s">
        <v>12762</v>
      </c>
      <c r="J2975">
        <v>37</v>
      </c>
      <c r="K2975" t="s">
        <v>37</v>
      </c>
      <c r="L2975" t="s">
        <v>248</v>
      </c>
      <c r="M2975" t="s">
        <v>84</v>
      </c>
      <c r="P2975" t="s">
        <v>28</v>
      </c>
      <c r="Q2975" t="s">
        <v>12763</v>
      </c>
      <c r="R2975" t="s">
        <v>12764</v>
      </c>
      <c r="S2975" t="s">
        <v>31</v>
      </c>
      <c r="T2975">
        <v>0</v>
      </c>
    </row>
    <row r="2976" spans="1:20" x14ac:dyDescent="0.25">
      <c r="A2976" t="s">
        <v>12765</v>
      </c>
      <c r="B2976" s="1">
        <v>45809</v>
      </c>
      <c r="C2976" s="5">
        <v>0.28631944444444446</v>
      </c>
      <c r="D2976">
        <v>17.71</v>
      </c>
      <c r="E2976" t="s">
        <v>44</v>
      </c>
      <c r="F2976" t="s">
        <v>1441</v>
      </c>
      <c r="G2976" t="s">
        <v>77</v>
      </c>
      <c r="H2976" t="s">
        <v>50</v>
      </c>
      <c r="I2976" t="s">
        <v>12766</v>
      </c>
      <c r="J2976">
        <v>37</v>
      </c>
      <c r="K2976" t="s">
        <v>49</v>
      </c>
      <c r="L2976" t="s">
        <v>110</v>
      </c>
      <c r="M2976" t="s">
        <v>112</v>
      </c>
      <c r="P2976" t="s">
        <v>28</v>
      </c>
      <c r="Q2976" t="s">
        <v>12767</v>
      </c>
      <c r="R2976" t="s">
        <v>12768</v>
      </c>
      <c r="S2976" t="s">
        <v>31</v>
      </c>
      <c r="T2976">
        <v>0</v>
      </c>
    </row>
    <row r="2977" spans="1:20" x14ac:dyDescent="0.25">
      <c r="A2977" t="s">
        <v>12769</v>
      </c>
      <c r="B2977" s="1">
        <v>45954</v>
      </c>
      <c r="C2977" s="5">
        <v>0.3067361111111111</v>
      </c>
      <c r="D2977">
        <v>89.27</v>
      </c>
      <c r="E2977" t="s">
        <v>44</v>
      </c>
      <c r="F2977" t="s">
        <v>6058</v>
      </c>
      <c r="G2977" t="s">
        <v>34</v>
      </c>
      <c r="H2977" t="s">
        <v>50</v>
      </c>
      <c r="I2977" t="s">
        <v>350</v>
      </c>
      <c r="J2977">
        <v>48</v>
      </c>
      <c r="K2977" t="s">
        <v>25</v>
      </c>
      <c r="L2977" t="s">
        <v>248</v>
      </c>
      <c r="M2977" t="s">
        <v>39</v>
      </c>
      <c r="P2977" t="s">
        <v>28</v>
      </c>
      <c r="Q2977" t="s">
        <v>12770</v>
      </c>
      <c r="R2977" t="s">
        <v>12771</v>
      </c>
      <c r="S2977" t="s">
        <v>31</v>
      </c>
      <c r="T2977">
        <v>0</v>
      </c>
    </row>
    <row r="2978" spans="1:20" x14ac:dyDescent="0.25">
      <c r="A2978" t="s">
        <v>12772</v>
      </c>
      <c r="B2978" s="1">
        <v>45826</v>
      </c>
      <c r="C2978" s="5">
        <v>0.98629629629629634</v>
      </c>
      <c r="D2978">
        <v>169.74</v>
      </c>
      <c r="E2978" t="s">
        <v>44</v>
      </c>
      <c r="F2978" t="s">
        <v>7528</v>
      </c>
      <c r="G2978" t="s">
        <v>89</v>
      </c>
      <c r="H2978" t="s">
        <v>26</v>
      </c>
      <c r="I2978" t="s">
        <v>12773</v>
      </c>
      <c r="J2978">
        <v>68</v>
      </c>
      <c r="K2978" t="s">
        <v>37</v>
      </c>
      <c r="L2978" t="s">
        <v>50</v>
      </c>
      <c r="M2978" t="s">
        <v>51</v>
      </c>
      <c r="N2978" t="s">
        <v>345</v>
      </c>
      <c r="O2978">
        <v>511974</v>
      </c>
      <c r="P2978" t="s">
        <v>28</v>
      </c>
      <c r="Q2978" t="s">
        <v>12774</v>
      </c>
      <c r="R2978" t="s">
        <v>12775</v>
      </c>
      <c r="S2978" t="s">
        <v>31</v>
      </c>
      <c r="T2978">
        <v>0</v>
      </c>
    </row>
    <row r="2979" spans="1:20" x14ac:dyDescent="0.25">
      <c r="A2979" t="s">
        <v>12776</v>
      </c>
      <c r="B2979" s="1">
        <v>45917</v>
      </c>
      <c r="C2979" s="5">
        <v>0.4710300925925926</v>
      </c>
      <c r="D2979">
        <v>96.54</v>
      </c>
      <c r="E2979" t="s">
        <v>44</v>
      </c>
      <c r="F2979" t="s">
        <v>5335</v>
      </c>
      <c r="G2979" t="s">
        <v>64</v>
      </c>
      <c r="H2979" t="s">
        <v>91</v>
      </c>
      <c r="I2979" t="s">
        <v>12777</v>
      </c>
      <c r="J2979">
        <v>28</v>
      </c>
      <c r="K2979" t="s">
        <v>49</v>
      </c>
      <c r="L2979" t="s">
        <v>23</v>
      </c>
      <c r="M2979" t="s">
        <v>105</v>
      </c>
      <c r="P2979" t="s">
        <v>28</v>
      </c>
      <c r="Q2979" t="s">
        <v>12778</v>
      </c>
      <c r="R2979" t="s">
        <v>12779</v>
      </c>
      <c r="S2979" t="s">
        <v>31</v>
      </c>
      <c r="T2979">
        <v>0</v>
      </c>
    </row>
    <row r="2980" spans="1:20" x14ac:dyDescent="0.25">
      <c r="A2980" t="s">
        <v>12780</v>
      </c>
      <c r="B2980" s="1">
        <v>45782</v>
      </c>
      <c r="C2980" s="5">
        <v>0.33824074074074073</v>
      </c>
      <c r="D2980">
        <v>166.05</v>
      </c>
      <c r="E2980" t="s">
        <v>44</v>
      </c>
      <c r="F2980" t="s">
        <v>4284</v>
      </c>
      <c r="G2980" t="s">
        <v>89</v>
      </c>
      <c r="H2980" t="s">
        <v>58</v>
      </c>
      <c r="I2980" t="s">
        <v>12781</v>
      </c>
      <c r="J2980">
        <v>64</v>
      </c>
      <c r="K2980" t="s">
        <v>37</v>
      </c>
      <c r="L2980" t="s">
        <v>110</v>
      </c>
      <c r="M2980" t="s">
        <v>84</v>
      </c>
      <c r="P2980" t="s">
        <v>28</v>
      </c>
      <c r="Q2980" t="s">
        <v>12782</v>
      </c>
      <c r="R2980" t="s">
        <v>12783</v>
      </c>
      <c r="S2980" t="s">
        <v>31</v>
      </c>
      <c r="T2980">
        <v>0</v>
      </c>
    </row>
    <row r="2981" spans="1:20" x14ac:dyDescent="0.25">
      <c r="A2981" t="s">
        <v>12784</v>
      </c>
      <c r="B2981" s="1">
        <v>45808</v>
      </c>
      <c r="C2981" s="5">
        <v>0.27226851851851852</v>
      </c>
      <c r="D2981">
        <v>216.02</v>
      </c>
      <c r="E2981" t="s">
        <v>44</v>
      </c>
      <c r="F2981" t="s">
        <v>76</v>
      </c>
      <c r="G2981" t="s">
        <v>71</v>
      </c>
      <c r="H2981" t="s">
        <v>66</v>
      </c>
      <c r="I2981" t="s">
        <v>12785</v>
      </c>
      <c r="J2981">
        <v>62</v>
      </c>
      <c r="K2981" t="s">
        <v>25</v>
      </c>
      <c r="L2981" t="s">
        <v>66</v>
      </c>
      <c r="M2981" t="s">
        <v>112</v>
      </c>
      <c r="P2981" t="s">
        <v>113</v>
      </c>
      <c r="Q2981" t="s">
        <v>12786</v>
      </c>
      <c r="R2981" t="s">
        <v>12787</v>
      </c>
      <c r="S2981" t="s">
        <v>31</v>
      </c>
      <c r="T2981">
        <v>0</v>
      </c>
    </row>
    <row r="2982" spans="1:20" x14ac:dyDescent="0.25">
      <c r="A2982" t="s">
        <v>12788</v>
      </c>
      <c r="B2982" s="1">
        <v>45852</v>
      </c>
      <c r="C2982" s="5">
        <v>0.48708333333333331</v>
      </c>
      <c r="D2982">
        <v>84.29</v>
      </c>
      <c r="E2982" t="s">
        <v>44</v>
      </c>
      <c r="F2982" t="s">
        <v>12789</v>
      </c>
      <c r="G2982" t="s">
        <v>34</v>
      </c>
      <c r="H2982" t="s">
        <v>58</v>
      </c>
      <c r="I2982" t="s">
        <v>12790</v>
      </c>
      <c r="J2982">
        <v>62</v>
      </c>
      <c r="K2982" t="s">
        <v>25</v>
      </c>
      <c r="L2982" t="s">
        <v>130</v>
      </c>
      <c r="M2982" t="s">
        <v>39</v>
      </c>
      <c r="P2982" t="s">
        <v>28</v>
      </c>
      <c r="Q2982" t="s">
        <v>12791</v>
      </c>
      <c r="R2982" t="s">
        <v>12792</v>
      </c>
      <c r="S2982" t="s">
        <v>31</v>
      </c>
      <c r="T2982">
        <v>0</v>
      </c>
    </row>
    <row r="2983" spans="1:20" x14ac:dyDescent="0.25">
      <c r="A2983" t="s">
        <v>12793</v>
      </c>
      <c r="B2983" s="1">
        <v>45919</v>
      </c>
      <c r="C2983" s="5">
        <v>8.6030092592592589E-2</v>
      </c>
      <c r="D2983">
        <v>39.869999999999997</v>
      </c>
      <c r="E2983" t="s">
        <v>44</v>
      </c>
      <c r="F2983" t="s">
        <v>5300</v>
      </c>
      <c r="G2983" t="s">
        <v>22</v>
      </c>
      <c r="H2983" t="s">
        <v>58</v>
      </c>
      <c r="I2983" t="s">
        <v>12794</v>
      </c>
      <c r="J2983">
        <v>44</v>
      </c>
      <c r="K2983" t="s">
        <v>49</v>
      </c>
      <c r="L2983" t="s">
        <v>35</v>
      </c>
      <c r="M2983" t="s">
        <v>39</v>
      </c>
      <c r="P2983" t="s">
        <v>28</v>
      </c>
      <c r="Q2983" t="s">
        <v>12795</v>
      </c>
      <c r="R2983" t="s">
        <v>12796</v>
      </c>
      <c r="S2983" t="s">
        <v>31</v>
      </c>
      <c r="T2983">
        <v>0</v>
      </c>
    </row>
    <row r="2984" spans="1:20" x14ac:dyDescent="0.25">
      <c r="A2984" t="s">
        <v>12797</v>
      </c>
      <c r="B2984" s="1">
        <v>45839</v>
      </c>
      <c r="C2984" s="5">
        <v>7.1180555555555554E-3</v>
      </c>
      <c r="D2984">
        <v>119.41</v>
      </c>
      <c r="E2984" t="s">
        <v>44</v>
      </c>
      <c r="F2984" t="s">
        <v>1480</v>
      </c>
      <c r="G2984" t="s">
        <v>124</v>
      </c>
      <c r="H2984" t="s">
        <v>91</v>
      </c>
      <c r="I2984" t="s">
        <v>12798</v>
      </c>
      <c r="J2984">
        <v>33</v>
      </c>
      <c r="K2984" t="s">
        <v>37</v>
      </c>
      <c r="L2984" t="s">
        <v>66</v>
      </c>
      <c r="M2984" t="s">
        <v>112</v>
      </c>
      <c r="P2984" t="s">
        <v>28</v>
      </c>
      <c r="Q2984" t="s">
        <v>12799</v>
      </c>
      <c r="R2984" t="s">
        <v>12800</v>
      </c>
      <c r="S2984" t="s">
        <v>31</v>
      </c>
      <c r="T2984">
        <v>0</v>
      </c>
    </row>
    <row r="2985" spans="1:20" x14ac:dyDescent="0.25">
      <c r="A2985" t="s">
        <v>12801</v>
      </c>
      <c r="B2985" s="1">
        <v>45854</v>
      </c>
      <c r="C2985" s="5">
        <v>0.39144675925925926</v>
      </c>
      <c r="D2985">
        <v>3.04</v>
      </c>
      <c r="E2985" t="s">
        <v>44</v>
      </c>
      <c r="F2985" t="s">
        <v>156</v>
      </c>
      <c r="G2985" t="s">
        <v>124</v>
      </c>
      <c r="H2985" t="s">
        <v>91</v>
      </c>
      <c r="I2985" t="s">
        <v>12802</v>
      </c>
      <c r="J2985">
        <v>57</v>
      </c>
      <c r="K2985" t="s">
        <v>37</v>
      </c>
      <c r="L2985" t="s">
        <v>248</v>
      </c>
      <c r="M2985" t="s">
        <v>27</v>
      </c>
      <c r="P2985" t="s">
        <v>28</v>
      </c>
      <c r="Q2985" t="s">
        <v>12803</v>
      </c>
      <c r="R2985" t="s">
        <v>12804</v>
      </c>
      <c r="S2985" t="s">
        <v>31</v>
      </c>
      <c r="T2985">
        <v>0</v>
      </c>
    </row>
    <row r="2986" spans="1:20" x14ac:dyDescent="0.25">
      <c r="A2986" t="s">
        <v>12805</v>
      </c>
      <c r="B2986" s="1">
        <v>45925</v>
      </c>
      <c r="C2986" s="5">
        <v>0.9625231481481481</v>
      </c>
      <c r="D2986">
        <v>33.93</v>
      </c>
      <c r="E2986" t="s">
        <v>44</v>
      </c>
      <c r="F2986" t="s">
        <v>2408</v>
      </c>
      <c r="G2986" t="s">
        <v>46</v>
      </c>
      <c r="H2986" t="s">
        <v>50</v>
      </c>
      <c r="I2986" t="s">
        <v>12806</v>
      </c>
      <c r="J2986">
        <v>52</v>
      </c>
      <c r="K2986" t="s">
        <v>25</v>
      </c>
      <c r="L2986" t="s">
        <v>58</v>
      </c>
      <c r="M2986" t="s">
        <v>39</v>
      </c>
      <c r="P2986" t="s">
        <v>28</v>
      </c>
      <c r="Q2986" t="s">
        <v>12807</v>
      </c>
      <c r="R2986" t="s">
        <v>12808</v>
      </c>
      <c r="S2986" t="s">
        <v>31</v>
      </c>
      <c r="T2986">
        <v>0</v>
      </c>
    </row>
    <row r="2987" spans="1:20" x14ac:dyDescent="0.25">
      <c r="A2987" t="s">
        <v>12809</v>
      </c>
      <c r="B2987" s="1">
        <v>45950</v>
      </c>
      <c r="C2987" s="5">
        <v>0.70795138888888887</v>
      </c>
      <c r="D2987">
        <v>16.48</v>
      </c>
      <c r="E2987" t="s">
        <v>44</v>
      </c>
      <c r="F2987" t="s">
        <v>2264</v>
      </c>
      <c r="G2987" t="s">
        <v>22</v>
      </c>
      <c r="H2987" t="s">
        <v>35</v>
      </c>
      <c r="I2987" t="s">
        <v>12810</v>
      </c>
      <c r="J2987">
        <v>23</v>
      </c>
      <c r="K2987" t="s">
        <v>25</v>
      </c>
      <c r="L2987" t="s">
        <v>50</v>
      </c>
      <c r="M2987" t="s">
        <v>39</v>
      </c>
      <c r="P2987" t="s">
        <v>28</v>
      </c>
      <c r="Q2987" t="s">
        <v>12811</v>
      </c>
      <c r="R2987" t="s">
        <v>12812</v>
      </c>
      <c r="S2987" t="s">
        <v>31</v>
      </c>
      <c r="T2987">
        <v>0</v>
      </c>
    </row>
    <row r="2988" spans="1:20" x14ac:dyDescent="0.25">
      <c r="A2988" t="s">
        <v>12813</v>
      </c>
      <c r="B2988" s="1">
        <v>45871</v>
      </c>
      <c r="C2988" s="5">
        <v>0.29056712962962961</v>
      </c>
      <c r="D2988">
        <v>127.62</v>
      </c>
      <c r="E2988" t="s">
        <v>44</v>
      </c>
      <c r="F2988" t="s">
        <v>2580</v>
      </c>
      <c r="G2988" t="s">
        <v>124</v>
      </c>
      <c r="H2988" t="s">
        <v>110</v>
      </c>
      <c r="I2988" t="s">
        <v>12814</v>
      </c>
      <c r="J2988">
        <v>46</v>
      </c>
      <c r="K2988" t="s">
        <v>37</v>
      </c>
      <c r="L2988" t="s">
        <v>130</v>
      </c>
      <c r="M2988" t="s">
        <v>39</v>
      </c>
      <c r="P2988" t="s">
        <v>28</v>
      </c>
      <c r="Q2988" t="s">
        <v>12815</v>
      </c>
      <c r="R2988" t="s">
        <v>12816</v>
      </c>
      <c r="S2988" t="s">
        <v>31</v>
      </c>
      <c r="T2988">
        <v>0</v>
      </c>
    </row>
    <row r="2989" spans="1:20" x14ac:dyDescent="0.25">
      <c r="A2989" t="s">
        <v>12817</v>
      </c>
      <c r="B2989" s="1">
        <v>45923</v>
      </c>
      <c r="C2989" s="5">
        <v>0.55599537037037039</v>
      </c>
      <c r="D2989">
        <v>64.760000000000005</v>
      </c>
      <c r="E2989" t="s">
        <v>44</v>
      </c>
      <c r="F2989" t="s">
        <v>423</v>
      </c>
      <c r="G2989" t="s">
        <v>124</v>
      </c>
      <c r="H2989" t="s">
        <v>58</v>
      </c>
      <c r="I2989" t="s">
        <v>12818</v>
      </c>
      <c r="J2989">
        <v>64</v>
      </c>
      <c r="K2989" t="s">
        <v>37</v>
      </c>
      <c r="L2989" t="s">
        <v>26</v>
      </c>
      <c r="M2989" t="s">
        <v>27</v>
      </c>
      <c r="P2989" t="s">
        <v>28</v>
      </c>
      <c r="Q2989" t="s">
        <v>12819</v>
      </c>
      <c r="R2989" t="s">
        <v>12820</v>
      </c>
      <c r="S2989" t="s">
        <v>101</v>
      </c>
      <c r="T2989">
        <v>0</v>
      </c>
    </row>
    <row r="2990" spans="1:20" x14ac:dyDescent="0.25">
      <c r="A2990" t="s">
        <v>12821</v>
      </c>
      <c r="B2990" s="1">
        <v>45828</v>
      </c>
      <c r="C2990" s="5">
        <v>7.3067129629629635E-2</v>
      </c>
      <c r="D2990">
        <v>124.8</v>
      </c>
      <c r="E2990" t="s">
        <v>44</v>
      </c>
      <c r="F2990" t="s">
        <v>418</v>
      </c>
      <c r="G2990" t="s">
        <v>77</v>
      </c>
      <c r="H2990" t="s">
        <v>146</v>
      </c>
      <c r="I2990" t="s">
        <v>12822</v>
      </c>
      <c r="J2990">
        <v>37</v>
      </c>
      <c r="K2990" t="s">
        <v>49</v>
      </c>
      <c r="L2990" t="s">
        <v>23</v>
      </c>
      <c r="M2990" t="s">
        <v>105</v>
      </c>
      <c r="P2990" t="s">
        <v>28</v>
      </c>
      <c r="Q2990" t="s">
        <v>12823</v>
      </c>
      <c r="R2990" t="s">
        <v>12824</v>
      </c>
      <c r="S2990" t="s">
        <v>31</v>
      </c>
      <c r="T2990">
        <v>0</v>
      </c>
    </row>
    <row r="2991" spans="1:20" x14ac:dyDescent="0.25">
      <c r="A2991" t="s">
        <v>12825</v>
      </c>
      <c r="B2991" s="1">
        <v>45882</v>
      </c>
      <c r="C2991" s="5">
        <v>0.8498148148148148</v>
      </c>
      <c r="D2991">
        <v>664.28</v>
      </c>
      <c r="E2991" t="s">
        <v>44</v>
      </c>
      <c r="F2991" t="s">
        <v>10506</v>
      </c>
      <c r="G2991" t="s">
        <v>46</v>
      </c>
      <c r="H2991" t="s">
        <v>23</v>
      </c>
      <c r="I2991" t="s">
        <v>12826</v>
      </c>
      <c r="J2991">
        <v>39</v>
      </c>
      <c r="K2991" t="s">
        <v>49</v>
      </c>
      <c r="L2991" t="s">
        <v>50</v>
      </c>
      <c r="M2991" t="s">
        <v>112</v>
      </c>
      <c r="P2991" t="s">
        <v>28</v>
      </c>
      <c r="Q2991" t="s">
        <v>12827</v>
      </c>
      <c r="R2991" t="s">
        <v>12828</v>
      </c>
      <c r="S2991" t="s">
        <v>101</v>
      </c>
      <c r="T2991">
        <v>0</v>
      </c>
    </row>
    <row r="2992" spans="1:20" x14ac:dyDescent="0.25">
      <c r="A2992" t="s">
        <v>12829</v>
      </c>
      <c r="B2992" s="1">
        <v>45789</v>
      </c>
      <c r="C2992" s="5">
        <v>0.67844907407407407</v>
      </c>
      <c r="D2992">
        <v>885.67</v>
      </c>
      <c r="E2992" t="s">
        <v>44</v>
      </c>
      <c r="F2992" t="s">
        <v>1897</v>
      </c>
      <c r="G2992" t="s">
        <v>89</v>
      </c>
      <c r="H2992" t="s">
        <v>26</v>
      </c>
      <c r="I2992" t="s">
        <v>12830</v>
      </c>
      <c r="J2992">
        <v>35</v>
      </c>
      <c r="K2992" t="s">
        <v>49</v>
      </c>
      <c r="L2992" t="s">
        <v>97</v>
      </c>
      <c r="M2992" t="s">
        <v>105</v>
      </c>
      <c r="P2992" t="s">
        <v>28</v>
      </c>
      <c r="Q2992" t="s">
        <v>12831</v>
      </c>
      <c r="R2992" t="s">
        <v>12832</v>
      </c>
      <c r="S2992" t="s">
        <v>31</v>
      </c>
      <c r="T2992">
        <v>0</v>
      </c>
    </row>
    <row r="2993" spans="1:20" x14ac:dyDescent="0.25">
      <c r="A2993" t="s">
        <v>12833</v>
      </c>
      <c r="B2993" s="1">
        <v>45955</v>
      </c>
      <c r="C2993" s="5">
        <v>0.52131944444444445</v>
      </c>
      <c r="D2993">
        <v>51.33</v>
      </c>
      <c r="E2993" t="s">
        <v>44</v>
      </c>
      <c r="F2993" t="s">
        <v>1888</v>
      </c>
      <c r="G2993" t="s">
        <v>89</v>
      </c>
      <c r="H2993" t="s">
        <v>248</v>
      </c>
      <c r="I2993" t="s">
        <v>12834</v>
      </c>
      <c r="J2993">
        <v>37</v>
      </c>
      <c r="K2993" t="s">
        <v>49</v>
      </c>
      <c r="L2993" t="s">
        <v>23</v>
      </c>
      <c r="M2993" t="s">
        <v>105</v>
      </c>
      <c r="P2993" t="s">
        <v>28</v>
      </c>
      <c r="Q2993" t="s">
        <v>12835</v>
      </c>
      <c r="R2993" t="s">
        <v>12836</v>
      </c>
      <c r="S2993" t="s">
        <v>31</v>
      </c>
      <c r="T2993">
        <v>0</v>
      </c>
    </row>
    <row r="2994" spans="1:20" x14ac:dyDescent="0.25">
      <c r="A2994" t="s">
        <v>12837</v>
      </c>
      <c r="B2994" s="1">
        <v>45908</v>
      </c>
      <c r="C2994" s="5">
        <v>0.4654861111111111</v>
      </c>
      <c r="D2994">
        <v>40.520000000000003</v>
      </c>
      <c r="E2994" t="s">
        <v>44</v>
      </c>
      <c r="F2994" t="s">
        <v>7491</v>
      </c>
      <c r="G2994" t="s">
        <v>22</v>
      </c>
      <c r="H2994" t="s">
        <v>35</v>
      </c>
      <c r="I2994" t="s">
        <v>3046</v>
      </c>
      <c r="J2994">
        <v>22</v>
      </c>
      <c r="K2994" t="s">
        <v>49</v>
      </c>
      <c r="L2994" t="s">
        <v>47</v>
      </c>
      <c r="M2994" t="s">
        <v>112</v>
      </c>
      <c r="P2994" t="s">
        <v>28</v>
      </c>
      <c r="Q2994" t="s">
        <v>12838</v>
      </c>
      <c r="R2994" t="s">
        <v>12839</v>
      </c>
      <c r="S2994" t="s">
        <v>31</v>
      </c>
      <c r="T2994">
        <v>0</v>
      </c>
    </row>
    <row r="2995" spans="1:20" x14ac:dyDescent="0.25">
      <c r="A2995" t="s">
        <v>12840</v>
      </c>
      <c r="B2995" s="1">
        <v>45869</v>
      </c>
      <c r="C2995" s="5">
        <v>0.4019212962962963</v>
      </c>
      <c r="D2995">
        <v>379.16</v>
      </c>
      <c r="E2995" t="s">
        <v>44</v>
      </c>
      <c r="F2995" t="s">
        <v>1514</v>
      </c>
      <c r="G2995" t="s">
        <v>77</v>
      </c>
      <c r="H2995" t="s">
        <v>66</v>
      </c>
      <c r="I2995" t="s">
        <v>12841</v>
      </c>
      <c r="J2995">
        <v>34</v>
      </c>
      <c r="K2995" t="s">
        <v>49</v>
      </c>
      <c r="L2995" t="s">
        <v>58</v>
      </c>
      <c r="M2995" t="s">
        <v>84</v>
      </c>
      <c r="P2995" t="s">
        <v>28</v>
      </c>
      <c r="Q2995" t="s">
        <v>12842</v>
      </c>
      <c r="R2995" t="s">
        <v>12843</v>
      </c>
      <c r="S2995" t="s">
        <v>31</v>
      </c>
      <c r="T2995">
        <v>1</v>
      </c>
    </row>
    <row r="2996" spans="1:20" x14ac:dyDescent="0.25">
      <c r="A2996" t="s">
        <v>12844</v>
      </c>
      <c r="B2996" s="1">
        <v>45800</v>
      </c>
      <c r="C2996" s="5">
        <v>0.64386574074074077</v>
      </c>
      <c r="D2996">
        <v>6.11</v>
      </c>
      <c r="E2996" t="s">
        <v>44</v>
      </c>
      <c r="F2996" t="s">
        <v>3816</v>
      </c>
      <c r="G2996" t="s">
        <v>22</v>
      </c>
      <c r="H2996" t="s">
        <v>119</v>
      </c>
      <c r="I2996" t="s">
        <v>12845</v>
      </c>
      <c r="J2996">
        <v>60</v>
      </c>
      <c r="K2996" t="s">
        <v>49</v>
      </c>
      <c r="L2996" t="s">
        <v>110</v>
      </c>
      <c r="M2996" t="s">
        <v>39</v>
      </c>
      <c r="P2996" t="s">
        <v>28</v>
      </c>
      <c r="Q2996" t="s">
        <v>12846</v>
      </c>
      <c r="R2996" t="s">
        <v>12847</v>
      </c>
      <c r="S2996" t="s">
        <v>42</v>
      </c>
      <c r="T2996">
        <v>0</v>
      </c>
    </row>
    <row r="2997" spans="1:20" x14ac:dyDescent="0.25">
      <c r="A2997" t="s">
        <v>12848</v>
      </c>
      <c r="B2997" s="1">
        <v>45855</v>
      </c>
      <c r="C2997" s="5">
        <v>0.65425925925925921</v>
      </c>
      <c r="D2997">
        <v>72.97</v>
      </c>
      <c r="E2997" t="s">
        <v>44</v>
      </c>
      <c r="F2997" t="s">
        <v>688</v>
      </c>
      <c r="G2997" t="s">
        <v>22</v>
      </c>
      <c r="H2997" t="s">
        <v>38</v>
      </c>
      <c r="I2997" t="s">
        <v>2517</v>
      </c>
      <c r="J2997">
        <v>67</v>
      </c>
      <c r="K2997" t="s">
        <v>49</v>
      </c>
      <c r="L2997" t="s">
        <v>110</v>
      </c>
      <c r="M2997" t="s">
        <v>39</v>
      </c>
      <c r="P2997" t="s">
        <v>28</v>
      </c>
      <c r="Q2997" t="s">
        <v>12849</v>
      </c>
      <c r="R2997" t="s">
        <v>12850</v>
      </c>
      <c r="S2997" t="s">
        <v>31</v>
      </c>
      <c r="T2997">
        <v>0</v>
      </c>
    </row>
    <row r="2998" spans="1:20" x14ac:dyDescent="0.25">
      <c r="A2998" t="s">
        <v>12851</v>
      </c>
      <c r="B2998" s="1">
        <v>45808</v>
      </c>
      <c r="C2998" s="5">
        <v>0.79620370370370375</v>
      </c>
      <c r="D2998">
        <v>166.05</v>
      </c>
      <c r="E2998" t="s">
        <v>44</v>
      </c>
      <c r="F2998" t="s">
        <v>1068</v>
      </c>
      <c r="G2998" t="s">
        <v>57</v>
      </c>
      <c r="H2998" t="s">
        <v>97</v>
      </c>
      <c r="I2998" t="s">
        <v>12852</v>
      </c>
      <c r="J2998">
        <v>30</v>
      </c>
      <c r="K2998" t="s">
        <v>25</v>
      </c>
      <c r="L2998" t="s">
        <v>119</v>
      </c>
      <c r="M2998" t="s">
        <v>51</v>
      </c>
      <c r="N2998" t="s">
        <v>507</v>
      </c>
      <c r="O2998">
        <v>520217</v>
      </c>
      <c r="P2998" t="s">
        <v>28</v>
      </c>
      <c r="Q2998" t="s">
        <v>12853</v>
      </c>
      <c r="R2998" t="s">
        <v>12854</v>
      </c>
      <c r="S2998" t="s">
        <v>31</v>
      </c>
      <c r="T2998">
        <v>0</v>
      </c>
    </row>
    <row r="2999" spans="1:20" x14ac:dyDescent="0.25">
      <c r="A2999" t="s">
        <v>12855</v>
      </c>
      <c r="B2999" s="1">
        <v>45910</v>
      </c>
      <c r="C2999" s="5">
        <v>7.3657407407407408E-2</v>
      </c>
      <c r="D2999">
        <v>52.83</v>
      </c>
      <c r="E2999" t="s">
        <v>44</v>
      </c>
      <c r="F2999" t="s">
        <v>5486</v>
      </c>
      <c r="G2999" t="s">
        <v>22</v>
      </c>
      <c r="H2999" t="s">
        <v>146</v>
      </c>
      <c r="I2999" t="s">
        <v>12856</v>
      </c>
      <c r="J2999">
        <v>21</v>
      </c>
      <c r="K2999" t="s">
        <v>25</v>
      </c>
      <c r="L2999" t="s">
        <v>35</v>
      </c>
      <c r="M2999" t="s">
        <v>27</v>
      </c>
      <c r="P2999" t="s">
        <v>28</v>
      </c>
      <c r="Q2999" t="s">
        <v>12857</v>
      </c>
      <c r="R2999" t="s">
        <v>12858</v>
      </c>
      <c r="S2999" t="s">
        <v>31</v>
      </c>
      <c r="T2999">
        <v>0</v>
      </c>
    </row>
    <row r="3000" spans="1:20" x14ac:dyDescent="0.25">
      <c r="A3000" t="s">
        <v>12859</v>
      </c>
      <c r="B3000" s="1">
        <v>45879</v>
      </c>
      <c r="C3000" s="5">
        <v>0.21995370370370371</v>
      </c>
      <c r="D3000">
        <v>66.11</v>
      </c>
      <c r="E3000" t="s">
        <v>44</v>
      </c>
      <c r="F3000" t="s">
        <v>33</v>
      </c>
      <c r="G3000" t="s">
        <v>34</v>
      </c>
      <c r="H3000" t="s">
        <v>119</v>
      </c>
      <c r="I3000" t="s">
        <v>12860</v>
      </c>
      <c r="J3000">
        <v>71</v>
      </c>
      <c r="K3000" t="s">
        <v>49</v>
      </c>
      <c r="L3000" t="s">
        <v>119</v>
      </c>
      <c r="M3000" t="s">
        <v>112</v>
      </c>
      <c r="P3000" t="s">
        <v>113</v>
      </c>
      <c r="Q3000" t="s">
        <v>12861</v>
      </c>
      <c r="R3000" t="s">
        <v>12862</v>
      </c>
      <c r="S3000" t="s">
        <v>31</v>
      </c>
      <c r="T3000">
        <v>0</v>
      </c>
    </row>
    <row r="3001" spans="1:20" x14ac:dyDescent="0.25">
      <c r="A3001" t="s">
        <v>12863</v>
      </c>
      <c r="B3001" s="1">
        <v>45846</v>
      </c>
      <c r="C3001" s="5">
        <v>0.88719907407407406</v>
      </c>
      <c r="D3001">
        <v>135.06</v>
      </c>
      <c r="E3001" t="s">
        <v>44</v>
      </c>
      <c r="F3001" t="s">
        <v>1968</v>
      </c>
      <c r="G3001" t="s">
        <v>89</v>
      </c>
      <c r="H3001" t="s">
        <v>146</v>
      </c>
      <c r="I3001" t="s">
        <v>12864</v>
      </c>
      <c r="J3001">
        <v>57</v>
      </c>
      <c r="K3001" t="s">
        <v>37</v>
      </c>
      <c r="L3001" t="s">
        <v>91</v>
      </c>
      <c r="M3001" t="s">
        <v>27</v>
      </c>
      <c r="P3001" t="s">
        <v>28</v>
      </c>
      <c r="Q3001" t="s">
        <v>12865</v>
      </c>
      <c r="R3001" t="s">
        <v>5346</v>
      </c>
      <c r="S3001" t="s">
        <v>31</v>
      </c>
      <c r="T3001">
        <v>0</v>
      </c>
    </row>
    <row r="3002" spans="1:20" x14ac:dyDescent="0.25">
      <c r="A3002" t="s">
        <v>12866</v>
      </c>
      <c r="B3002" s="1">
        <v>45849</v>
      </c>
      <c r="C3002" s="5">
        <v>0.20693287037037036</v>
      </c>
      <c r="D3002">
        <v>139.22</v>
      </c>
      <c r="E3002" t="s">
        <v>44</v>
      </c>
      <c r="F3002" t="s">
        <v>12867</v>
      </c>
      <c r="G3002" t="s">
        <v>89</v>
      </c>
      <c r="H3002" t="s">
        <v>130</v>
      </c>
      <c r="I3002" t="s">
        <v>12868</v>
      </c>
      <c r="J3002">
        <v>47</v>
      </c>
      <c r="K3002" t="s">
        <v>25</v>
      </c>
      <c r="L3002" t="s">
        <v>26</v>
      </c>
      <c r="M3002" t="s">
        <v>27</v>
      </c>
      <c r="P3002" t="s">
        <v>28</v>
      </c>
      <c r="Q3002" t="s">
        <v>12869</v>
      </c>
      <c r="R3002" t="s">
        <v>12870</v>
      </c>
      <c r="S3002" t="s">
        <v>31</v>
      </c>
      <c r="T3002">
        <v>0</v>
      </c>
    </row>
    <row r="3003" spans="1:20" x14ac:dyDescent="0.25">
      <c r="A3003" t="s">
        <v>12871</v>
      </c>
      <c r="B3003" s="1">
        <v>45859</v>
      </c>
      <c r="C3003" s="5">
        <v>0.75328703703703703</v>
      </c>
      <c r="D3003">
        <v>107.75</v>
      </c>
      <c r="E3003" t="s">
        <v>44</v>
      </c>
      <c r="F3003" t="s">
        <v>12229</v>
      </c>
      <c r="G3003" t="s">
        <v>34</v>
      </c>
      <c r="H3003" t="s">
        <v>26</v>
      </c>
      <c r="I3003" t="s">
        <v>12872</v>
      </c>
      <c r="K3003" t="s">
        <v>25</v>
      </c>
      <c r="L3003" t="s">
        <v>23</v>
      </c>
      <c r="M3003" t="s">
        <v>39</v>
      </c>
      <c r="P3003" t="s">
        <v>28</v>
      </c>
      <c r="Q3003" t="s">
        <v>12873</v>
      </c>
      <c r="R3003" t="s">
        <v>12874</v>
      </c>
      <c r="S3003" t="s">
        <v>31</v>
      </c>
      <c r="T3003">
        <v>0</v>
      </c>
    </row>
    <row r="3004" spans="1:20" x14ac:dyDescent="0.25">
      <c r="A3004" t="s">
        <v>12875</v>
      </c>
      <c r="B3004" s="1">
        <v>45833</v>
      </c>
      <c r="C3004" s="5">
        <v>0.79533564814814817</v>
      </c>
      <c r="D3004">
        <v>57.07</v>
      </c>
      <c r="E3004" t="s">
        <v>44</v>
      </c>
      <c r="F3004" t="s">
        <v>3357</v>
      </c>
      <c r="G3004" t="s">
        <v>124</v>
      </c>
      <c r="H3004" t="s">
        <v>58</v>
      </c>
      <c r="I3004" t="s">
        <v>12876</v>
      </c>
      <c r="J3004">
        <v>25</v>
      </c>
      <c r="K3004" t="s">
        <v>37</v>
      </c>
      <c r="L3004" t="s">
        <v>97</v>
      </c>
      <c r="M3004" t="s">
        <v>27</v>
      </c>
      <c r="P3004" t="s">
        <v>28</v>
      </c>
      <c r="Q3004" t="s">
        <v>12877</v>
      </c>
      <c r="R3004" t="s">
        <v>12878</v>
      </c>
      <c r="S3004" t="s">
        <v>31</v>
      </c>
      <c r="T3004">
        <v>1</v>
      </c>
    </row>
  </sheetData>
  <sheetProtection algorithmName="SHA-512" hashValue="O6bJZMTuta1/hoxrqfXyyu7XQajX38tNZLc19sevwzQXhOxrBxkRozgq97mrpMdx9fIuPXjLTMA789bXZCs3LA==" saltValue="0gkU0nM6uzWL63+ZjF5hOg==" spinCount="100000" sheet="1" objects="1" scenarios="1"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E784-E79E-4431-A66B-3168DAE55836}">
  <dimension ref="A1:S2611"/>
  <sheetViews>
    <sheetView topLeftCell="D2557" zoomScale="82" zoomScaleNormal="82" workbookViewId="0">
      <selection activeCell="C33" sqref="C33"/>
    </sheetView>
  </sheetViews>
  <sheetFormatPr defaultRowHeight="15" x14ac:dyDescent="0.25"/>
  <cols>
    <col min="1" max="1" width="15.42578125" bestFit="1" customWidth="1"/>
    <col min="2" max="2" width="17.7109375" bestFit="1" customWidth="1"/>
    <col min="3" max="3" width="15" bestFit="1" customWidth="1"/>
    <col min="4" max="4" width="18" bestFit="1" customWidth="1"/>
    <col min="5" max="5" width="10.42578125" bestFit="1" customWidth="1"/>
    <col min="6" max="6" width="11.140625" bestFit="1" customWidth="1"/>
    <col min="7" max="7" width="13.7109375" bestFit="1" customWidth="1"/>
    <col min="8" max="8" width="20" bestFit="1" customWidth="1"/>
    <col min="9" max="9" width="19" bestFit="1" customWidth="1"/>
    <col min="10" max="10" width="13.7109375" bestFit="1" customWidth="1"/>
    <col min="11" max="11" width="15.42578125" bestFit="1" customWidth="1"/>
    <col min="12" max="12" width="18.7109375" bestFit="1" customWidth="1"/>
    <col min="13" max="13" width="19" bestFit="1" customWidth="1"/>
    <col min="14" max="14" width="18.42578125" bestFit="1" customWidth="1"/>
    <col min="15" max="15" width="16.42578125" bestFit="1" customWidth="1"/>
    <col min="16" max="16" width="19" bestFit="1" customWidth="1"/>
    <col min="17" max="17" width="13" bestFit="1" customWidth="1"/>
    <col min="18" max="18" width="14.140625" bestFit="1" customWidth="1"/>
    <col min="19" max="19" width="12.7109375" bestFit="1" customWidth="1"/>
    <col min="20" max="20" width="12.7109375" customWidth="1"/>
  </cols>
  <sheetData>
    <row r="1" spans="1:19" x14ac:dyDescent="0.25">
      <c r="A1" t="s">
        <v>0</v>
      </c>
      <c r="B1" t="s">
        <v>1</v>
      </c>
      <c r="C1" t="s">
        <v>12879</v>
      </c>
      <c r="D1" t="s">
        <v>2</v>
      </c>
      <c r="E1" t="s">
        <v>3</v>
      </c>
      <c r="F1" t="s">
        <v>4</v>
      </c>
      <c r="G1" t="s">
        <v>5</v>
      </c>
      <c r="H1" t="s">
        <v>6</v>
      </c>
      <c r="I1" t="s">
        <v>7</v>
      </c>
      <c r="J1" t="s">
        <v>8</v>
      </c>
      <c r="K1" t="s">
        <v>9</v>
      </c>
      <c r="L1" t="s">
        <v>10</v>
      </c>
      <c r="M1" t="s">
        <v>11</v>
      </c>
      <c r="N1" t="s">
        <v>12</v>
      </c>
      <c r="O1" t="s">
        <v>15</v>
      </c>
      <c r="P1" t="s">
        <v>18</v>
      </c>
      <c r="Q1" t="s">
        <v>19</v>
      </c>
      <c r="R1" t="s">
        <v>12880</v>
      </c>
      <c r="S1" t="s">
        <v>12881</v>
      </c>
    </row>
    <row r="2" spans="1:19" x14ac:dyDescent="0.25">
      <c r="A2" t="s">
        <v>4577</v>
      </c>
      <c r="B2" s="1">
        <v>45869</v>
      </c>
      <c r="C2" t="s">
        <v>12885</v>
      </c>
      <c r="D2" s="5">
        <v>0.7408217592592593</v>
      </c>
      <c r="E2">
        <v>4865.6499999999996</v>
      </c>
      <c r="F2" t="s">
        <v>44</v>
      </c>
      <c r="G2" t="s">
        <v>1588</v>
      </c>
      <c r="H2" t="s">
        <v>77</v>
      </c>
      <c r="I2" t="s">
        <v>119</v>
      </c>
      <c r="J2" t="s">
        <v>4578</v>
      </c>
      <c r="K2">
        <v>22</v>
      </c>
      <c r="L2" t="s">
        <v>25</v>
      </c>
      <c r="M2" t="s">
        <v>91</v>
      </c>
      <c r="N2" t="s">
        <v>105</v>
      </c>
      <c r="O2" t="s">
        <v>28</v>
      </c>
      <c r="P2" t="s">
        <v>31</v>
      </c>
      <c r="Q2">
        <v>0</v>
      </c>
      <c r="R2" t="s">
        <v>12883</v>
      </c>
      <c r="S2" t="s">
        <v>12892</v>
      </c>
    </row>
    <row r="3" spans="1:19" x14ac:dyDescent="0.25">
      <c r="A3" t="s">
        <v>4468</v>
      </c>
      <c r="B3" s="1">
        <v>45802</v>
      </c>
      <c r="C3" t="s">
        <v>12887</v>
      </c>
      <c r="D3" s="5">
        <v>5.5821759259259258E-2</v>
      </c>
      <c r="E3">
        <v>4793.59</v>
      </c>
      <c r="F3" t="s">
        <v>44</v>
      </c>
      <c r="G3" t="s">
        <v>1398</v>
      </c>
      <c r="H3" t="s">
        <v>71</v>
      </c>
      <c r="I3" t="s">
        <v>23</v>
      </c>
      <c r="J3" t="s">
        <v>4469</v>
      </c>
      <c r="K3">
        <v>25</v>
      </c>
      <c r="L3" t="s">
        <v>49</v>
      </c>
      <c r="M3" t="s">
        <v>66</v>
      </c>
      <c r="N3" t="s">
        <v>105</v>
      </c>
      <c r="O3" t="s">
        <v>28</v>
      </c>
      <c r="P3" t="s">
        <v>31</v>
      </c>
      <c r="Q3">
        <v>0</v>
      </c>
      <c r="R3" t="s">
        <v>12883</v>
      </c>
      <c r="S3" t="s">
        <v>12889</v>
      </c>
    </row>
    <row r="4" spans="1:19" x14ac:dyDescent="0.25">
      <c r="A4" t="s">
        <v>7964</v>
      </c>
      <c r="B4" s="1">
        <v>45909</v>
      </c>
      <c r="C4" t="s">
        <v>12882</v>
      </c>
      <c r="D4" s="5">
        <v>0.53746527777777775</v>
      </c>
      <c r="E4">
        <v>4781.71</v>
      </c>
      <c r="F4" t="s">
        <v>44</v>
      </c>
      <c r="G4" t="s">
        <v>7965</v>
      </c>
      <c r="H4" t="s">
        <v>89</v>
      </c>
      <c r="I4" t="s">
        <v>23</v>
      </c>
      <c r="J4" t="s">
        <v>7966</v>
      </c>
      <c r="K4">
        <v>41</v>
      </c>
      <c r="L4" t="s">
        <v>49</v>
      </c>
      <c r="M4" t="s">
        <v>26</v>
      </c>
      <c r="N4" t="s">
        <v>105</v>
      </c>
      <c r="O4" t="s">
        <v>28</v>
      </c>
      <c r="P4" t="s">
        <v>31</v>
      </c>
      <c r="Q4">
        <v>1</v>
      </c>
      <c r="R4" t="s">
        <v>12891</v>
      </c>
      <c r="S4" t="s">
        <v>12886</v>
      </c>
    </row>
    <row r="5" spans="1:19" x14ac:dyDescent="0.25">
      <c r="A5" t="s">
        <v>12106</v>
      </c>
      <c r="B5" s="1">
        <v>45849</v>
      </c>
      <c r="C5" t="s">
        <v>12885</v>
      </c>
      <c r="D5" s="5">
        <v>0.87011574074074072</v>
      </c>
      <c r="E5">
        <v>4762.05</v>
      </c>
      <c r="F5" t="s">
        <v>44</v>
      </c>
      <c r="G5" t="s">
        <v>11084</v>
      </c>
      <c r="H5" t="s">
        <v>57</v>
      </c>
      <c r="I5" t="s">
        <v>110</v>
      </c>
      <c r="J5" t="s">
        <v>12107</v>
      </c>
      <c r="K5">
        <v>35</v>
      </c>
      <c r="L5" t="s">
        <v>25</v>
      </c>
      <c r="M5" t="s">
        <v>26</v>
      </c>
      <c r="N5" t="s">
        <v>105</v>
      </c>
      <c r="O5" t="s">
        <v>28</v>
      </c>
      <c r="P5" t="s">
        <v>31</v>
      </c>
      <c r="Q5">
        <v>0</v>
      </c>
      <c r="R5" t="s">
        <v>12883</v>
      </c>
      <c r="S5" t="s">
        <v>12889</v>
      </c>
    </row>
    <row r="6" spans="1:19" x14ac:dyDescent="0.25">
      <c r="A6" t="s">
        <v>1503</v>
      </c>
      <c r="B6" s="1">
        <v>45948</v>
      </c>
      <c r="C6" t="s">
        <v>12890</v>
      </c>
      <c r="D6" s="5">
        <v>0.47833333333333333</v>
      </c>
      <c r="E6">
        <v>4753.9799999999996</v>
      </c>
      <c r="F6" t="s">
        <v>44</v>
      </c>
      <c r="G6" t="s">
        <v>1504</v>
      </c>
      <c r="H6" t="s">
        <v>46</v>
      </c>
      <c r="I6" t="s">
        <v>248</v>
      </c>
      <c r="J6" t="s">
        <v>1505</v>
      </c>
      <c r="K6">
        <v>56</v>
      </c>
      <c r="L6" t="s">
        <v>49</v>
      </c>
      <c r="M6" t="s">
        <v>110</v>
      </c>
      <c r="N6" t="s">
        <v>112</v>
      </c>
      <c r="O6" t="s">
        <v>28</v>
      </c>
      <c r="P6" t="s">
        <v>31</v>
      </c>
      <c r="Q6">
        <v>1</v>
      </c>
      <c r="R6" t="s">
        <v>12891</v>
      </c>
      <c r="S6" t="s">
        <v>12886</v>
      </c>
    </row>
    <row r="7" spans="1:19" x14ac:dyDescent="0.25">
      <c r="A7" t="s">
        <v>5722</v>
      </c>
      <c r="B7" s="1">
        <v>45789</v>
      </c>
      <c r="C7" t="s">
        <v>12887</v>
      </c>
      <c r="D7" s="5">
        <v>0.13849537037037038</v>
      </c>
      <c r="E7">
        <v>4750.9399999999996</v>
      </c>
      <c r="F7" t="s">
        <v>44</v>
      </c>
      <c r="G7" t="s">
        <v>5723</v>
      </c>
      <c r="H7" t="s">
        <v>96</v>
      </c>
      <c r="I7" t="s">
        <v>35</v>
      </c>
      <c r="J7" t="s">
        <v>5724</v>
      </c>
      <c r="K7">
        <v>48</v>
      </c>
      <c r="L7" t="s">
        <v>49</v>
      </c>
      <c r="M7" t="s">
        <v>26</v>
      </c>
      <c r="N7" t="s">
        <v>105</v>
      </c>
      <c r="O7" t="s">
        <v>28</v>
      </c>
      <c r="P7" t="s">
        <v>31</v>
      </c>
      <c r="Q7">
        <v>0</v>
      </c>
      <c r="R7" t="s">
        <v>12883</v>
      </c>
      <c r="S7" t="s">
        <v>12886</v>
      </c>
    </row>
    <row r="8" spans="1:19" x14ac:dyDescent="0.25">
      <c r="A8" t="s">
        <v>3581</v>
      </c>
      <c r="B8" s="1">
        <v>45792</v>
      </c>
      <c r="C8" t="s">
        <v>12887</v>
      </c>
      <c r="D8" s="5">
        <v>0.8652199074074074</v>
      </c>
      <c r="E8">
        <v>4729.3500000000004</v>
      </c>
      <c r="F8" t="s">
        <v>44</v>
      </c>
      <c r="G8" t="s">
        <v>3582</v>
      </c>
      <c r="H8" t="s">
        <v>96</v>
      </c>
      <c r="I8" t="s">
        <v>23</v>
      </c>
      <c r="J8" t="s">
        <v>3583</v>
      </c>
      <c r="K8">
        <v>19</v>
      </c>
      <c r="L8" t="s">
        <v>37</v>
      </c>
      <c r="M8" t="s">
        <v>146</v>
      </c>
      <c r="N8" t="s">
        <v>112</v>
      </c>
      <c r="O8" t="s">
        <v>28</v>
      </c>
      <c r="P8" t="s">
        <v>31</v>
      </c>
      <c r="Q8">
        <v>0</v>
      </c>
      <c r="R8" t="s">
        <v>12883</v>
      </c>
      <c r="S8" t="s">
        <v>12892</v>
      </c>
    </row>
    <row r="9" spans="1:19" x14ac:dyDescent="0.25">
      <c r="A9" t="s">
        <v>4228</v>
      </c>
      <c r="B9" s="1">
        <v>45945</v>
      </c>
      <c r="C9" t="s">
        <v>12890</v>
      </c>
      <c r="D9" s="5">
        <v>0.84747685185185184</v>
      </c>
      <c r="E9">
        <v>4659.0600000000004</v>
      </c>
      <c r="F9" t="s">
        <v>44</v>
      </c>
      <c r="G9" t="s">
        <v>364</v>
      </c>
      <c r="H9" t="s">
        <v>34</v>
      </c>
      <c r="I9" t="s">
        <v>66</v>
      </c>
      <c r="J9" t="s">
        <v>4229</v>
      </c>
      <c r="K9">
        <v>32</v>
      </c>
      <c r="L9" t="s">
        <v>25</v>
      </c>
      <c r="M9" t="s">
        <v>97</v>
      </c>
      <c r="N9" t="s">
        <v>105</v>
      </c>
      <c r="O9" t="s">
        <v>28</v>
      </c>
      <c r="P9" t="s">
        <v>31</v>
      </c>
      <c r="Q9">
        <v>0</v>
      </c>
      <c r="R9" t="s">
        <v>12883</v>
      </c>
      <c r="S9" t="s">
        <v>12889</v>
      </c>
    </row>
    <row r="10" spans="1:19" x14ac:dyDescent="0.25">
      <c r="A10" t="s">
        <v>8090</v>
      </c>
      <c r="B10" s="1">
        <v>45835</v>
      </c>
      <c r="C10" t="s">
        <v>12888</v>
      </c>
      <c r="D10" s="5">
        <v>0.98288194444444443</v>
      </c>
      <c r="E10">
        <v>4329.53</v>
      </c>
      <c r="F10" t="s">
        <v>44</v>
      </c>
      <c r="G10" t="s">
        <v>354</v>
      </c>
      <c r="H10" t="s">
        <v>46</v>
      </c>
      <c r="I10" t="s">
        <v>130</v>
      </c>
      <c r="J10" t="s">
        <v>6764</v>
      </c>
      <c r="K10">
        <v>37</v>
      </c>
      <c r="L10" t="s">
        <v>49</v>
      </c>
      <c r="M10" t="s">
        <v>110</v>
      </c>
      <c r="N10" t="s">
        <v>39</v>
      </c>
      <c r="O10" t="s">
        <v>28</v>
      </c>
      <c r="P10" t="s">
        <v>31</v>
      </c>
      <c r="Q10">
        <v>0</v>
      </c>
      <c r="R10" t="s">
        <v>12883</v>
      </c>
      <c r="S10" t="s">
        <v>12889</v>
      </c>
    </row>
    <row r="11" spans="1:19" x14ac:dyDescent="0.25">
      <c r="A11" t="s">
        <v>727</v>
      </c>
      <c r="B11" s="1">
        <v>45930</v>
      </c>
      <c r="C11" t="s">
        <v>12882</v>
      </c>
      <c r="D11" s="5">
        <v>0.6443402777777778</v>
      </c>
      <c r="E11">
        <v>4304.66</v>
      </c>
      <c r="F11" t="s">
        <v>44</v>
      </c>
      <c r="G11" t="s">
        <v>728</v>
      </c>
      <c r="H11" t="s">
        <v>57</v>
      </c>
      <c r="I11" t="s">
        <v>119</v>
      </c>
      <c r="J11" t="s">
        <v>729</v>
      </c>
      <c r="K11">
        <v>18</v>
      </c>
      <c r="L11" t="s">
        <v>25</v>
      </c>
      <c r="M11" t="s">
        <v>130</v>
      </c>
      <c r="N11" t="s">
        <v>27</v>
      </c>
      <c r="O11" t="s">
        <v>28</v>
      </c>
      <c r="P11" t="s">
        <v>31</v>
      </c>
      <c r="Q11">
        <v>0</v>
      </c>
      <c r="R11" t="s">
        <v>12883</v>
      </c>
      <c r="S11" t="s">
        <v>12892</v>
      </c>
    </row>
    <row r="12" spans="1:19" x14ac:dyDescent="0.25">
      <c r="A12" t="s">
        <v>1025</v>
      </c>
      <c r="B12" s="1">
        <v>45802</v>
      </c>
      <c r="C12" t="s">
        <v>12887</v>
      </c>
      <c r="D12" s="5">
        <v>0.83787037037037038</v>
      </c>
      <c r="E12">
        <v>4166.6400000000003</v>
      </c>
      <c r="F12" t="s">
        <v>44</v>
      </c>
      <c r="G12" t="s">
        <v>621</v>
      </c>
      <c r="H12" t="s">
        <v>124</v>
      </c>
      <c r="I12" t="s">
        <v>47</v>
      </c>
      <c r="J12" t="s">
        <v>1026</v>
      </c>
      <c r="K12">
        <v>28</v>
      </c>
      <c r="L12" t="s">
        <v>49</v>
      </c>
      <c r="M12" t="s">
        <v>26</v>
      </c>
      <c r="N12" t="s">
        <v>39</v>
      </c>
      <c r="O12" t="s">
        <v>28</v>
      </c>
      <c r="P12" t="s">
        <v>31</v>
      </c>
      <c r="Q12">
        <v>0</v>
      </c>
      <c r="R12" t="s">
        <v>12883</v>
      </c>
      <c r="S12" t="s">
        <v>12889</v>
      </c>
    </row>
    <row r="13" spans="1:19" x14ac:dyDescent="0.25">
      <c r="A13" t="s">
        <v>10003</v>
      </c>
      <c r="B13" s="1">
        <v>45827</v>
      </c>
      <c r="C13" t="s">
        <v>12888</v>
      </c>
      <c r="D13" s="5">
        <v>0.68603009259259262</v>
      </c>
      <c r="E13">
        <v>4162.01</v>
      </c>
      <c r="F13" t="s">
        <v>44</v>
      </c>
      <c r="G13" t="s">
        <v>4833</v>
      </c>
      <c r="H13" t="s">
        <v>96</v>
      </c>
      <c r="I13" t="s">
        <v>23</v>
      </c>
      <c r="J13" t="s">
        <v>10004</v>
      </c>
      <c r="K13">
        <v>46</v>
      </c>
      <c r="L13" t="s">
        <v>49</v>
      </c>
      <c r="M13" t="s">
        <v>146</v>
      </c>
      <c r="N13" t="s">
        <v>112</v>
      </c>
      <c r="O13" t="s">
        <v>28</v>
      </c>
      <c r="P13" t="s">
        <v>31</v>
      </c>
      <c r="Q13">
        <v>1</v>
      </c>
      <c r="R13" t="s">
        <v>12891</v>
      </c>
      <c r="S13" t="s">
        <v>12886</v>
      </c>
    </row>
    <row r="14" spans="1:19" x14ac:dyDescent="0.25">
      <c r="A14" t="s">
        <v>312</v>
      </c>
      <c r="B14" s="1">
        <v>45937</v>
      </c>
      <c r="C14" t="s">
        <v>12890</v>
      </c>
      <c r="D14" s="5">
        <v>0.13388888888888889</v>
      </c>
      <c r="E14">
        <v>4087.35</v>
      </c>
      <c r="F14" t="s">
        <v>44</v>
      </c>
      <c r="G14" t="s">
        <v>313</v>
      </c>
      <c r="H14" t="s">
        <v>46</v>
      </c>
      <c r="I14" t="s">
        <v>58</v>
      </c>
      <c r="J14" t="s">
        <v>314</v>
      </c>
      <c r="K14">
        <v>70</v>
      </c>
      <c r="L14" t="s">
        <v>37</v>
      </c>
      <c r="M14" t="s">
        <v>97</v>
      </c>
      <c r="N14" t="s">
        <v>112</v>
      </c>
      <c r="O14" t="s">
        <v>28</v>
      </c>
      <c r="P14" t="s">
        <v>31</v>
      </c>
      <c r="Q14">
        <v>0</v>
      </c>
      <c r="R14" t="s">
        <v>12883</v>
      </c>
      <c r="S14" t="s">
        <v>12884</v>
      </c>
    </row>
    <row r="15" spans="1:19" x14ac:dyDescent="0.25">
      <c r="A15" t="s">
        <v>4007</v>
      </c>
      <c r="B15" s="1">
        <v>45833</v>
      </c>
      <c r="C15" t="s">
        <v>12888</v>
      </c>
      <c r="D15" s="5">
        <v>0.62320601851851853</v>
      </c>
      <c r="E15">
        <v>4054.3</v>
      </c>
      <c r="F15" t="s">
        <v>44</v>
      </c>
      <c r="G15" t="s">
        <v>1916</v>
      </c>
      <c r="H15" t="s">
        <v>22</v>
      </c>
      <c r="I15" t="s">
        <v>110</v>
      </c>
      <c r="J15" t="s">
        <v>4008</v>
      </c>
      <c r="K15">
        <v>26</v>
      </c>
      <c r="L15" t="s">
        <v>37</v>
      </c>
      <c r="M15" t="s">
        <v>66</v>
      </c>
      <c r="N15" t="s">
        <v>51</v>
      </c>
      <c r="O15" t="s">
        <v>28</v>
      </c>
      <c r="P15" t="s">
        <v>31</v>
      </c>
      <c r="Q15">
        <v>0</v>
      </c>
      <c r="R15" t="s">
        <v>12883</v>
      </c>
      <c r="S15" t="s">
        <v>12889</v>
      </c>
    </row>
    <row r="16" spans="1:19" x14ac:dyDescent="0.25">
      <c r="A16" t="s">
        <v>5480</v>
      </c>
      <c r="B16" s="1">
        <v>45835</v>
      </c>
      <c r="C16" t="s">
        <v>12888</v>
      </c>
      <c r="D16" s="5">
        <v>0.88310185185185186</v>
      </c>
      <c r="E16">
        <v>4031.85</v>
      </c>
      <c r="F16" t="s">
        <v>44</v>
      </c>
      <c r="G16" t="s">
        <v>5481</v>
      </c>
      <c r="H16" t="s">
        <v>71</v>
      </c>
      <c r="I16" t="s">
        <v>119</v>
      </c>
      <c r="J16" t="s">
        <v>5482</v>
      </c>
      <c r="K16">
        <v>28</v>
      </c>
      <c r="L16" t="s">
        <v>49</v>
      </c>
      <c r="M16" t="s">
        <v>26</v>
      </c>
      <c r="N16" t="s">
        <v>84</v>
      </c>
      <c r="O16" t="s">
        <v>28</v>
      </c>
      <c r="P16" t="s">
        <v>31</v>
      </c>
      <c r="Q16">
        <v>0</v>
      </c>
      <c r="R16" t="s">
        <v>12883</v>
      </c>
      <c r="S16" t="s">
        <v>12889</v>
      </c>
    </row>
    <row r="17" spans="1:19" x14ac:dyDescent="0.25">
      <c r="A17" t="s">
        <v>9589</v>
      </c>
      <c r="B17" s="1">
        <v>45932</v>
      </c>
      <c r="C17" t="s">
        <v>12890</v>
      </c>
      <c r="D17" s="5">
        <v>0.22976851851851851</v>
      </c>
      <c r="E17">
        <v>4005.91</v>
      </c>
      <c r="F17" t="s">
        <v>44</v>
      </c>
      <c r="G17" t="s">
        <v>1490</v>
      </c>
      <c r="H17" t="s">
        <v>77</v>
      </c>
      <c r="I17" t="s">
        <v>35</v>
      </c>
      <c r="J17" t="s">
        <v>9590</v>
      </c>
      <c r="K17">
        <v>50</v>
      </c>
      <c r="L17" t="s">
        <v>25</v>
      </c>
      <c r="M17" t="s">
        <v>58</v>
      </c>
      <c r="N17" t="s">
        <v>105</v>
      </c>
      <c r="O17" t="s">
        <v>28</v>
      </c>
      <c r="P17" t="s">
        <v>31</v>
      </c>
      <c r="Q17">
        <v>0</v>
      </c>
      <c r="R17" t="s">
        <v>12883</v>
      </c>
      <c r="S17" t="s">
        <v>12886</v>
      </c>
    </row>
    <row r="18" spans="1:19" x14ac:dyDescent="0.25">
      <c r="A18" t="s">
        <v>2103</v>
      </c>
      <c r="B18" s="1">
        <v>45920</v>
      </c>
      <c r="C18" t="s">
        <v>12882</v>
      </c>
      <c r="D18" s="5">
        <v>3.0405092592592591E-2</v>
      </c>
      <c r="E18">
        <v>3984.23</v>
      </c>
      <c r="F18" t="s">
        <v>44</v>
      </c>
      <c r="G18" t="s">
        <v>2104</v>
      </c>
      <c r="H18" t="s">
        <v>96</v>
      </c>
      <c r="I18" t="s">
        <v>47</v>
      </c>
      <c r="J18" t="s">
        <v>2105</v>
      </c>
      <c r="K18">
        <v>41</v>
      </c>
      <c r="L18" t="s">
        <v>49</v>
      </c>
      <c r="M18" t="s">
        <v>119</v>
      </c>
      <c r="N18" t="s">
        <v>84</v>
      </c>
      <c r="O18" t="s">
        <v>28</v>
      </c>
      <c r="P18" t="s">
        <v>31</v>
      </c>
      <c r="Q18">
        <v>0</v>
      </c>
      <c r="R18" t="s">
        <v>12883</v>
      </c>
      <c r="S18" t="s">
        <v>12886</v>
      </c>
    </row>
    <row r="19" spans="1:19" x14ac:dyDescent="0.25">
      <c r="A19" t="s">
        <v>5173</v>
      </c>
      <c r="B19" s="1">
        <v>45892</v>
      </c>
      <c r="C19" t="s">
        <v>12893</v>
      </c>
      <c r="D19" s="5">
        <v>0.1925</v>
      </c>
      <c r="E19">
        <v>3966.74</v>
      </c>
      <c r="F19" t="s">
        <v>44</v>
      </c>
      <c r="G19" t="s">
        <v>1504</v>
      </c>
      <c r="H19" t="s">
        <v>89</v>
      </c>
      <c r="I19" t="s">
        <v>66</v>
      </c>
      <c r="J19" t="s">
        <v>5174</v>
      </c>
      <c r="K19">
        <v>58</v>
      </c>
      <c r="L19" t="s">
        <v>25</v>
      </c>
      <c r="M19" t="s">
        <v>146</v>
      </c>
      <c r="N19" t="s">
        <v>84</v>
      </c>
      <c r="O19" t="s">
        <v>28</v>
      </c>
      <c r="P19" t="s">
        <v>31</v>
      </c>
      <c r="Q19">
        <v>0</v>
      </c>
      <c r="R19" t="s">
        <v>12883</v>
      </c>
      <c r="S19" t="s">
        <v>12886</v>
      </c>
    </row>
    <row r="20" spans="1:19" x14ac:dyDescent="0.25">
      <c r="A20" t="s">
        <v>10787</v>
      </c>
      <c r="B20" s="1">
        <v>45932</v>
      </c>
      <c r="C20" t="s">
        <v>12890</v>
      </c>
      <c r="D20" s="5">
        <v>0.24509259259259258</v>
      </c>
      <c r="E20">
        <v>3813.6</v>
      </c>
      <c r="F20" t="s">
        <v>44</v>
      </c>
      <c r="G20" t="s">
        <v>399</v>
      </c>
      <c r="H20" t="s">
        <v>96</v>
      </c>
      <c r="I20" t="s">
        <v>38</v>
      </c>
      <c r="J20" t="s">
        <v>10788</v>
      </c>
      <c r="K20">
        <v>28</v>
      </c>
      <c r="L20" t="s">
        <v>49</v>
      </c>
      <c r="M20" t="s">
        <v>35</v>
      </c>
      <c r="N20" t="s">
        <v>105</v>
      </c>
      <c r="O20" t="s">
        <v>28</v>
      </c>
      <c r="P20" t="s">
        <v>31</v>
      </c>
      <c r="Q20">
        <v>0</v>
      </c>
      <c r="R20" t="s">
        <v>12883</v>
      </c>
      <c r="S20" t="s">
        <v>12889</v>
      </c>
    </row>
    <row r="21" spans="1:19" x14ac:dyDescent="0.25">
      <c r="A21" t="s">
        <v>10400</v>
      </c>
      <c r="B21" s="1">
        <v>45839</v>
      </c>
      <c r="C21" t="s">
        <v>12885</v>
      </c>
      <c r="D21" s="5">
        <v>0.57800925925925928</v>
      </c>
      <c r="E21">
        <v>3808.66</v>
      </c>
      <c r="F21" t="s">
        <v>44</v>
      </c>
      <c r="G21" t="s">
        <v>182</v>
      </c>
      <c r="H21" t="s">
        <v>71</v>
      </c>
      <c r="I21" t="s">
        <v>66</v>
      </c>
      <c r="J21" t="s">
        <v>10401</v>
      </c>
      <c r="K21">
        <v>15</v>
      </c>
      <c r="L21" t="s">
        <v>25</v>
      </c>
      <c r="M21" t="s">
        <v>58</v>
      </c>
      <c r="N21" t="s">
        <v>112</v>
      </c>
      <c r="O21" t="s">
        <v>28</v>
      </c>
      <c r="P21" t="s">
        <v>31</v>
      </c>
      <c r="Q21">
        <v>0</v>
      </c>
      <c r="R21" t="s">
        <v>12883</v>
      </c>
      <c r="S21" t="s">
        <v>12892</v>
      </c>
    </row>
    <row r="22" spans="1:19" x14ac:dyDescent="0.25">
      <c r="A22" t="s">
        <v>12122</v>
      </c>
      <c r="B22" s="1">
        <v>45822</v>
      </c>
      <c r="C22" t="s">
        <v>12888</v>
      </c>
      <c r="D22" s="5">
        <v>0.30401620370370369</v>
      </c>
      <c r="E22">
        <v>3785.52</v>
      </c>
      <c r="F22" t="s">
        <v>44</v>
      </c>
      <c r="G22" t="s">
        <v>673</v>
      </c>
      <c r="H22" t="s">
        <v>57</v>
      </c>
      <c r="I22" t="s">
        <v>66</v>
      </c>
      <c r="J22" t="s">
        <v>12123</v>
      </c>
      <c r="K22">
        <v>35</v>
      </c>
      <c r="L22" t="s">
        <v>25</v>
      </c>
      <c r="M22" t="s">
        <v>97</v>
      </c>
      <c r="N22" t="s">
        <v>84</v>
      </c>
      <c r="O22" t="s">
        <v>28</v>
      </c>
      <c r="P22" t="s">
        <v>31</v>
      </c>
      <c r="Q22">
        <v>0</v>
      </c>
      <c r="R22" t="s">
        <v>12883</v>
      </c>
      <c r="S22" t="s">
        <v>12889</v>
      </c>
    </row>
    <row r="23" spans="1:19" x14ac:dyDescent="0.25">
      <c r="A23" t="s">
        <v>2134</v>
      </c>
      <c r="B23" s="1">
        <v>45828</v>
      </c>
      <c r="C23" t="s">
        <v>12888</v>
      </c>
      <c r="D23" s="5">
        <v>0.33964120370370371</v>
      </c>
      <c r="E23">
        <v>3766.66</v>
      </c>
      <c r="F23" t="s">
        <v>44</v>
      </c>
      <c r="G23" t="s">
        <v>1883</v>
      </c>
      <c r="H23" t="s">
        <v>64</v>
      </c>
      <c r="I23" t="s">
        <v>91</v>
      </c>
      <c r="J23" t="s">
        <v>2135</v>
      </c>
      <c r="K23">
        <v>53</v>
      </c>
      <c r="L23" t="s">
        <v>37</v>
      </c>
      <c r="M23" t="s">
        <v>23</v>
      </c>
      <c r="N23" t="s">
        <v>27</v>
      </c>
      <c r="O23" t="s">
        <v>28</v>
      </c>
      <c r="P23" t="s">
        <v>31</v>
      </c>
      <c r="Q23">
        <v>0</v>
      </c>
      <c r="R23" t="s">
        <v>12883</v>
      </c>
      <c r="S23" t="s">
        <v>12886</v>
      </c>
    </row>
    <row r="24" spans="1:19" x14ac:dyDescent="0.25">
      <c r="A24" t="s">
        <v>1743</v>
      </c>
      <c r="B24" s="1">
        <v>45928</v>
      </c>
      <c r="C24" t="s">
        <v>12882</v>
      </c>
      <c r="D24" s="5">
        <v>0.71042824074074074</v>
      </c>
      <c r="E24">
        <v>3744.19</v>
      </c>
      <c r="F24" t="s">
        <v>44</v>
      </c>
      <c r="G24" t="s">
        <v>787</v>
      </c>
      <c r="H24" t="s">
        <v>96</v>
      </c>
      <c r="I24" t="s">
        <v>23</v>
      </c>
      <c r="J24" t="s">
        <v>1744</v>
      </c>
      <c r="K24">
        <v>22</v>
      </c>
      <c r="L24" t="s">
        <v>49</v>
      </c>
      <c r="M24" t="s">
        <v>47</v>
      </c>
      <c r="N24" t="s">
        <v>112</v>
      </c>
      <c r="O24" t="s">
        <v>28</v>
      </c>
      <c r="P24" t="s">
        <v>31</v>
      </c>
      <c r="Q24">
        <v>0</v>
      </c>
      <c r="R24" t="s">
        <v>12883</v>
      </c>
      <c r="S24" t="s">
        <v>12892</v>
      </c>
    </row>
    <row r="25" spans="1:19" x14ac:dyDescent="0.25">
      <c r="A25" t="s">
        <v>1290</v>
      </c>
      <c r="B25" s="1">
        <v>45792</v>
      </c>
      <c r="C25" t="s">
        <v>12887</v>
      </c>
      <c r="D25" s="5">
        <v>0.62016203703703698</v>
      </c>
      <c r="E25">
        <v>3743.34</v>
      </c>
      <c r="F25" t="s">
        <v>44</v>
      </c>
      <c r="G25" t="s">
        <v>1291</v>
      </c>
      <c r="H25" t="s">
        <v>89</v>
      </c>
      <c r="I25" t="s">
        <v>58</v>
      </c>
      <c r="J25" t="s">
        <v>1292</v>
      </c>
      <c r="K25">
        <v>61</v>
      </c>
      <c r="L25" t="s">
        <v>49</v>
      </c>
      <c r="M25" t="s">
        <v>91</v>
      </c>
      <c r="N25" t="s">
        <v>39</v>
      </c>
      <c r="O25" t="s">
        <v>28</v>
      </c>
      <c r="P25" t="s">
        <v>31</v>
      </c>
      <c r="Q25">
        <v>0</v>
      </c>
      <c r="R25" t="s">
        <v>12883</v>
      </c>
      <c r="S25" t="s">
        <v>12884</v>
      </c>
    </row>
    <row r="26" spans="1:19" x14ac:dyDescent="0.25">
      <c r="A26" t="s">
        <v>1290</v>
      </c>
      <c r="B26" s="1">
        <v>45792</v>
      </c>
      <c r="C26" t="s">
        <v>12887</v>
      </c>
      <c r="D26" s="5">
        <v>0.62016203703703698</v>
      </c>
      <c r="E26">
        <v>3743.34</v>
      </c>
      <c r="F26" t="s">
        <v>44</v>
      </c>
      <c r="G26" t="s">
        <v>1291</v>
      </c>
      <c r="H26" t="s">
        <v>89</v>
      </c>
      <c r="I26" t="s">
        <v>58</v>
      </c>
      <c r="J26" t="s">
        <v>1292</v>
      </c>
      <c r="K26">
        <v>61</v>
      </c>
      <c r="L26" t="s">
        <v>49</v>
      </c>
      <c r="M26" t="s">
        <v>91</v>
      </c>
      <c r="N26" t="s">
        <v>39</v>
      </c>
      <c r="O26" t="s">
        <v>28</v>
      </c>
      <c r="P26" t="s">
        <v>31</v>
      </c>
      <c r="Q26">
        <v>0</v>
      </c>
      <c r="R26" t="s">
        <v>12883</v>
      </c>
      <c r="S26" t="s">
        <v>12884</v>
      </c>
    </row>
    <row r="27" spans="1:19" x14ac:dyDescent="0.25">
      <c r="A27" t="s">
        <v>11055</v>
      </c>
      <c r="B27" s="1">
        <v>45802</v>
      </c>
      <c r="C27" t="s">
        <v>12887</v>
      </c>
      <c r="D27" s="5">
        <v>0.25311342592592595</v>
      </c>
      <c r="E27">
        <v>3737.75</v>
      </c>
      <c r="F27" t="s">
        <v>44</v>
      </c>
      <c r="G27" t="s">
        <v>10322</v>
      </c>
      <c r="H27" t="s">
        <v>96</v>
      </c>
      <c r="I27" t="s">
        <v>50</v>
      </c>
      <c r="J27" t="s">
        <v>11056</v>
      </c>
      <c r="K27">
        <v>49</v>
      </c>
      <c r="L27" t="s">
        <v>25</v>
      </c>
      <c r="M27" t="s">
        <v>146</v>
      </c>
      <c r="N27" t="s">
        <v>39</v>
      </c>
      <c r="O27" t="s">
        <v>28</v>
      </c>
      <c r="P27" t="s">
        <v>31</v>
      </c>
      <c r="Q27">
        <v>0</v>
      </c>
      <c r="R27" t="s">
        <v>12883</v>
      </c>
      <c r="S27" t="s">
        <v>12886</v>
      </c>
    </row>
    <row r="28" spans="1:19" x14ac:dyDescent="0.25">
      <c r="A28" t="s">
        <v>12545</v>
      </c>
      <c r="B28" s="1">
        <v>45945</v>
      </c>
      <c r="C28" t="s">
        <v>12890</v>
      </c>
      <c r="D28" s="5">
        <v>0.92577546296296298</v>
      </c>
      <c r="E28">
        <v>3709.08</v>
      </c>
      <c r="F28" t="s">
        <v>44</v>
      </c>
      <c r="G28" t="s">
        <v>2452</v>
      </c>
      <c r="H28" t="s">
        <v>124</v>
      </c>
      <c r="I28" t="s">
        <v>50</v>
      </c>
      <c r="J28" t="s">
        <v>12546</v>
      </c>
      <c r="K28">
        <v>11</v>
      </c>
      <c r="L28" t="s">
        <v>25</v>
      </c>
      <c r="M28" t="s">
        <v>91</v>
      </c>
      <c r="N28" t="s">
        <v>39</v>
      </c>
      <c r="O28" t="s">
        <v>28</v>
      </c>
      <c r="P28" t="s">
        <v>31</v>
      </c>
      <c r="Q28">
        <v>0</v>
      </c>
      <c r="R28" t="s">
        <v>12883</v>
      </c>
      <c r="S28" t="s">
        <v>12892</v>
      </c>
    </row>
    <row r="29" spans="1:19" x14ac:dyDescent="0.25">
      <c r="A29" t="s">
        <v>4536</v>
      </c>
      <c r="B29" s="1">
        <v>45821</v>
      </c>
      <c r="C29" t="s">
        <v>12888</v>
      </c>
      <c r="D29" s="5">
        <v>0.50638888888888889</v>
      </c>
      <c r="E29">
        <v>3658.32</v>
      </c>
      <c r="F29" t="s">
        <v>44</v>
      </c>
      <c r="G29" t="s">
        <v>145</v>
      </c>
      <c r="H29" t="s">
        <v>64</v>
      </c>
      <c r="I29" t="s">
        <v>26</v>
      </c>
      <c r="J29" t="s">
        <v>4537</v>
      </c>
      <c r="K29">
        <v>53</v>
      </c>
      <c r="L29" t="s">
        <v>25</v>
      </c>
      <c r="M29" t="s">
        <v>58</v>
      </c>
      <c r="N29" t="s">
        <v>84</v>
      </c>
      <c r="O29" t="s">
        <v>28</v>
      </c>
      <c r="P29" t="s">
        <v>31</v>
      </c>
      <c r="Q29">
        <v>0</v>
      </c>
      <c r="R29" t="s">
        <v>12883</v>
      </c>
      <c r="S29" t="s">
        <v>12886</v>
      </c>
    </row>
    <row r="30" spans="1:19" x14ac:dyDescent="0.25">
      <c r="A30" t="s">
        <v>9917</v>
      </c>
      <c r="B30" s="1">
        <v>45802</v>
      </c>
      <c r="C30" t="s">
        <v>12887</v>
      </c>
      <c r="D30" s="5">
        <v>0.59785879629629635</v>
      </c>
      <c r="E30">
        <v>3641.72</v>
      </c>
      <c r="F30" t="s">
        <v>44</v>
      </c>
      <c r="G30" t="s">
        <v>2080</v>
      </c>
      <c r="H30" t="s">
        <v>71</v>
      </c>
      <c r="I30" t="s">
        <v>248</v>
      </c>
      <c r="J30" t="s">
        <v>9918</v>
      </c>
      <c r="K30">
        <v>41</v>
      </c>
      <c r="L30" t="s">
        <v>49</v>
      </c>
      <c r="M30" t="s">
        <v>248</v>
      </c>
      <c r="N30" t="s">
        <v>51</v>
      </c>
      <c r="O30" t="s">
        <v>113</v>
      </c>
      <c r="P30" t="s">
        <v>31</v>
      </c>
      <c r="Q30">
        <v>0</v>
      </c>
      <c r="R30" t="s">
        <v>12883</v>
      </c>
      <c r="S30" t="s">
        <v>12886</v>
      </c>
    </row>
    <row r="31" spans="1:19" x14ac:dyDescent="0.25">
      <c r="A31" t="s">
        <v>8894</v>
      </c>
      <c r="B31" s="1">
        <v>45907</v>
      </c>
      <c r="C31" t="s">
        <v>12882</v>
      </c>
      <c r="D31" s="5">
        <v>0.70258101851851851</v>
      </c>
      <c r="E31">
        <v>3494.99</v>
      </c>
      <c r="F31" t="s">
        <v>44</v>
      </c>
      <c r="G31" t="s">
        <v>8754</v>
      </c>
      <c r="H31" t="s">
        <v>46</v>
      </c>
      <c r="I31" t="s">
        <v>66</v>
      </c>
      <c r="J31" t="s">
        <v>8895</v>
      </c>
      <c r="K31">
        <v>74</v>
      </c>
      <c r="L31" t="s">
        <v>49</v>
      </c>
      <c r="M31" t="s">
        <v>66</v>
      </c>
      <c r="N31" t="s">
        <v>51</v>
      </c>
      <c r="O31" t="s">
        <v>113</v>
      </c>
      <c r="P31" t="s">
        <v>31</v>
      </c>
      <c r="Q31">
        <v>0</v>
      </c>
      <c r="R31" t="s">
        <v>12883</v>
      </c>
      <c r="S31" t="s">
        <v>12884</v>
      </c>
    </row>
    <row r="32" spans="1:19" x14ac:dyDescent="0.25">
      <c r="A32" t="s">
        <v>5231</v>
      </c>
      <c r="B32" s="1">
        <v>45843</v>
      </c>
      <c r="C32" t="s">
        <v>12885</v>
      </c>
      <c r="D32" s="5">
        <v>0.49881944444444443</v>
      </c>
      <c r="E32">
        <v>3483.58</v>
      </c>
      <c r="F32" t="s">
        <v>44</v>
      </c>
      <c r="G32" t="s">
        <v>5232</v>
      </c>
      <c r="H32" t="s">
        <v>124</v>
      </c>
      <c r="I32" t="s">
        <v>66</v>
      </c>
      <c r="J32" t="s">
        <v>5233</v>
      </c>
      <c r="K32">
        <v>42</v>
      </c>
      <c r="L32" t="s">
        <v>49</v>
      </c>
      <c r="M32" t="s">
        <v>97</v>
      </c>
      <c r="N32" t="s">
        <v>51</v>
      </c>
      <c r="O32" t="s">
        <v>28</v>
      </c>
      <c r="P32" t="s">
        <v>31</v>
      </c>
      <c r="Q32">
        <v>0</v>
      </c>
      <c r="R32" t="s">
        <v>12883</v>
      </c>
      <c r="S32" t="s">
        <v>12886</v>
      </c>
    </row>
    <row r="33" spans="1:19" x14ac:dyDescent="0.25">
      <c r="A33" t="s">
        <v>1209</v>
      </c>
      <c r="B33" s="1">
        <v>45931</v>
      </c>
      <c r="C33" t="s">
        <v>12890</v>
      </c>
      <c r="D33" s="5">
        <v>0.24712962962962962</v>
      </c>
      <c r="E33">
        <v>3427.42</v>
      </c>
      <c r="F33" t="s">
        <v>44</v>
      </c>
      <c r="G33" t="s">
        <v>1210</v>
      </c>
      <c r="H33" t="s">
        <v>71</v>
      </c>
      <c r="I33" t="s">
        <v>66</v>
      </c>
      <c r="J33" t="s">
        <v>1211</v>
      </c>
      <c r="K33">
        <v>41</v>
      </c>
      <c r="L33" t="s">
        <v>49</v>
      </c>
      <c r="M33" t="s">
        <v>50</v>
      </c>
      <c r="N33" t="s">
        <v>39</v>
      </c>
      <c r="O33" t="s">
        <v>28</v>
      </c>
      <c r="P33" t="s">
        <v>31</v>
      </c>
      <c r="Q33">
        <v>0</v>
      </c>
      <c r="R33" t="s">
        <v>12883</v>
      </c>
      <c r="S33" t="s">
        <v>12886</v>
      </c>
    </row>
    <row r="34" spans="1:19" x14ac:dyDescent="0.25">
      <c r="A34" t="s">
        <v>11993</v>
      </c>
      <c r="B34" s="1">
        <v>45827</v>
      </c>
      <c r="C34" t="s">
        <v>12888</v>
      </c>
      <c r="D34" s="5">
        <v>0.94780092592592591</v>
      </c>
      <c r="E34">
        <v>3171.61</v>
      </c>
      <c r="F34" t="s">
        <v>44</v>
      </c>
      <c r="G34" t="s">
        <v>4448</v>
      </c>
      <c r="H34" t="s">
        <v>46</v>
      </c>
      <c r="I34" t="s">
        <v>47</v>
      </c>
      <c r="J34" t="s">
        <v>11994</v>
      </c>
      <c r="K34">
        <v>42</v>
      </c>
      <c r="L34" t="s">
        <v>37</v>
      </c>
      <c r="M34" t="s">
        <v>146</v>
      </c>
      <c r="N34" t="s">
        <v>84</v>
      </c>
      <c r="O34" t="s">
        <v>28</v>
      </c>
      <c r="P34" t="s">
        <v>31</v>
      </c>
      <c r="Q34">
        <v>0</v>
      </c>
      <c r="R34" t="s">
        <v>12883</v>
      </c>
      <c r="S34" t="s">
        <v>12886</v>
      </c>
    </row>
    <row r="35" spans="1:19" x14ac:dyDescent="0.25">
      <c r="A35" t="s">
        <v>11347</v>
      </c>
      <c r="B35" s="1">
        <v>45833</v>
      </c>
      <c r="C35" t="s">
        <v>12888</v>
      </c>
      <c r="D35" s="5">
        <v>0.44892361111111112</v>
      </c>
      <c r="E35">
        <v>3158.31</v>
      </c>
      <c r="F35" t="s">
        <v>44</v>
      </c>
      <c r="G35" t="s">
        <v>10506</v>
      </c>
      <c r="H35" t="s">
        <v>22</v>
      </c>
      <c r="I35" t="s">
        <v>248</v>
      </c>
      <c r="J35" t="s">
        <v>11348</v>
      </c>
      <c r="K35">
        <v>50</v>
      </c>
      <c r="L35" t="s">
        <v>37</v>
      </c>
      <c r="M35" t="s">
        <v>23</v>
      </c>
      <c r="N35" t="s">
        <v>105</v>
      </c>
      <c r="O35" t="s">
        <v>28</v>
      </c>
      <c r="P35" t="s">
        <v>31</v>
      </c>
      <c r="Q35">
        <v>0</v>
      </c>
      <c r="R35" t="s">
        <v>12883</v>
      </c>
      <c r="S35" t="s">
        <v>12886</v>
      </c>
    </row>
    <row r="36" spans="1:19" x14ac:dyDescent="0.25">
      <c r="A36" t="s">
        <v>3030</v>
      </c>
      <c r="B36" s="1">
        <v>45912</v>
      </c>
      <c r="C36" t="s">
        <v>12882</v>
      </c>
      <c r="D36" s="5">
        <v>0.92186342592592596</v>
      </c>
      <c r="E36">
        <v>3149.17</v>
      </c>
      <c r="F36" t="s">
        <v>44</v>
      </c>
      <c r="G36" t="s">
        <v>1092</v>
      </c>
      <c r="H36" t="s">
        <v>124</v>
      </c>
      <c r="I36" t="s">
        <v>58</v>
      </c>
      <c r="J36" t="s">
        <v>3031</v>
      </c>
      <c r="K36">
        <v>64</v>
      </c>
      <c r="L36" t="s">
        <v>25</v>
      </c>
      <c r="M36" t="s">
        <v>97</v>
      </c>
      <c r="N36" t="s">
        <v>84</v>
      </c>
      <c r="O36" t="s">
        <v>28</v>
      </c>
      <c r="P36" t="s">
        <v>31</v>
      </c>
      <c r="Q36">
        <v>0</v>
      </c>
      <c r="R36" t="s">
        <v>12883</v>
      </c>
      <c r="S36" t="s">
        <v>12884</v>
      </c>
    </row>
    <row r="37" spans="1:19" x14ac:dyDescent="0.25">
      <c r="A37" t="s">
        <v>2960</v>
      </c>
      <c r="B37" s="1">
        <v>45808</v>
      </c>
      <c r="C37" t="s">
        <v>12887</v>
      </c>
      <c r="D37" s="5">
        <v>0.61604166666666671</v>
      </c>
      <c r="E37">
        <v>3079.76</v>
      </c>
      <c r="F37" t="s">
        <v>44</v>
      </c>
      <c r="G37" t="s">
        <v>2961</v>
      </c>
      <c r="H37" t="s">
        <v>71</v>
      </c>
      <c r="I37" t="s">
        <v>35</v>
      </c>
      <c r="J37" t="s">
        <v>2962</v>
      </c>
      <c r="K37">
        <v>69</v>
      </c>
      <c r="L37" t="s">
        <v>37</v>
      </c>
      <c r="M37" t="s">
        <v>23</v>
      </c>
      <c r="N37" t="s">
        <v>84</v>
      </c>
      <c r="O37" t="s">
        <v>28</v>
      </c>
      <c r="P37" t="s">
        <v>31</v>
      </c>
      <c r="Q37">
        <v>0</v>
      </c>
      <c r="R37" t="s">
        <v>12883</v>
      </c>
      <c r="S37" t="s">
        <v>12884</v>
      </c>
    </row>
    <row r="38" spans="1:19" x14ac:dyDescent="0.25">
      <c r="A38" t="s">
        <v>5339</v>
      </c>
      <c r="B38" s="1">
        <v>45888</v>
      </c>
      <c r="C38" t="s">
        <v>12893</v>
      </c>
      <c r="D38" s="5">
        <v>0.44886574074074076</v>
      </c>
      <c r="E38">
        <v>3045.01</v>
      </c>
      <c r="F38" t="s">
        <v>44</v>
      </c>
      <c r="G38" t="s">
        <v>5210</v>
      </c>
      <c r="H38" t="s">
        <v>96</v>
      </c>
      <c r="I38" t="s">
        <v>110</v>
      </c>
      <c r="J38" t="s">
        <v>5340</v>
      </c>
      <c r="K38">
        <v>29</v>
      </c>
      <c r="L38" t="s">
        <v>49</v>
      </c>
      <c r="M38" t="s">
        <v>35</v>
      </c>
      <c r="N38" t="s">
        <v>27</v>
      </c>
      <c r="O38" t="s">
        <v>28</v>
      </c>
      <c r="P38" t="s">
        <v>31</v>
      </c>
      <c r="Q38">
        <v>0</v>
      </c>
      <c r="R38" t="s">
        <v>12883</v>
      </c>
      <c r="S38" t="s">
        <v>12889</v>
      </c>
    </row>
    <row r="39" spans="1:19" x14ac:dyDescent="0.25">
      <c r="A39" t="s">
        <v>11655</v>
      </c>
      <c r="B39" s="1">
        <v>45883</v>
      </c>
      <c r="C39" t="s">
        <v>12893</v>
      </c>
      <c r="D39" s="5">
        <v>0.53887731481481482</v>
      </c>
      <c r="E39">
        <v>2949.31</v>
      </c>
      <c r="F39" t="s">
        <v>44</v>
      </c>
      <c r="G39" t="s">
        <v>505</v>
      </c>
      <c r="H39" t="s">
        <v>124</v>
      </c>
      <c r="I39" t="s">
        <v>50</v>
      </c>
      <c r="J39" t="s">
        <v>11656</v>
      </c>
      <c r="K39">
        <v>40</v>
      </c>
      <c r="L39" t="s">
        <v>49</v>
      </c>
      <c r="M39" t="s">
        <v>38</v>
      </c>
      <c r="N39" t="s">
        <v>84</v>
      </c>
      <c r="O39" t="s">
        <v>28</v>
      </c>
      <c r="P39" t="s">
        <v>31</v>
      </c>
      <c r="Q39">
        <v>0</v>
      </c>
      <c r="R39" t="s">
        <v>12883</v>
      </c>
      <c r="S39" t="s">
        <v>12886</v>
      </c>
    </row>
    <row r="40" spans="1:19" x14ac:dyDescent="0.25">
      <c r="A40" t="s">
        <v>2316</v>
      </c>
      <c r="B40" s="1">
        <v>45929</v>
      </c>
      <c r="C40" t="s">
        <v>12882</v>
      </c>
      <c r="D40" s="5">
        <v>0.93950231481481483</v>
      </c>
      <c r="E40">
        <v>2898.81</v>
      </c>
      <c r="F40" t="s">
        <v>44</v>
      </c>
      <c r="G40" t="s">
        <v>2317</v>
      </c>
      <c r="H40" t="s">
        <v>57</v>
      </c>
      <c r="I40" t="s">
        <v>97</v>
      </c>
      <c r="J40" t="s">
        <v>2318</v>
      </c>
      <c r="K40">
        <v>62</v>
      </c>
      <c r="L40" t="s">
        <v>25</v>
      </c>
      <c r="M40" t="s">
        <v>47</v>
      </c>
      <c r="N40" t="s">
        <v>39</v>
      </c>
      <c r="O40" t="s">
        <v>28</v>
      </c>
      <c r="P40" t="s">
        <v>31</v>
      </c>
      <c r="Q40">
        <v>0</v>
      </c>
      <c r="R40" t="s">
        <v>12883</v>
      </c>
      <c r="S40" t="s">
        <v>12884</v>
      </c>
    </row>
    <row r="41" spans="1:19" x14ac:dyDescent="0.25">
      <c r="A41" t="s">
        <v>6185</v>
      </c>
      <c r="B41" s="1">
        <v>45874</v>
      </c>
      <c r="C41" t="s">
        <v>12893</v>
      </c>
      <c r="D41" s="5">
        <v>0.78749999999999998</v>
      </c>
      <c r="E41">
        <v>2877.13</v>
      </c>
      <c r="F41" t="s">
        <v>44</v>
      </c>
      <c r="G41" t="s">
        <v>3553</v>
      </c>
      <c r="H41" t="s">
        <v>71</v>
      </c>
      <c r="I41" t="s">
        <v>26</v>
      </c>
      <c r="J41" t="s">
        <v>6186</v>
      </c>
      <c r="K41">
        <v>37</v>
      </c>
      <c r="L41" t="s">
        <v>37</v>
      </c>
      <c r="M41" t="s">
        <v>248</v>
      </c>
      <c r="N41" t="s">
        <v>27</v>
      </c>
      <c r="O41" t="s">
        <v>28</v>
      </c>
      <c r="P41" t="s">
        <v>31</v>
      </c>
      <c r="Q41">
        <v>0</v>
      </c>
      <c r="R41" t="s">
        <v>12883</v>
      </c>
      <c r="S41" t="s">
        <v>12889</v>
      </c>
    </row>
    <row r="42" spans="1:19" x14ac:dyDescent="0.25">
      <c r="A42" t="s">
        <v>10489</v>
      </c>
      <c r="B42" s="1">
        <v>45790</v>
      </c>
      <c r="C42" t="s">
        <v>12887</v>
      </c>
      <c r="D42" s="5">
        <v>5.2800925925925925E-2</v>
      </c>
      <c r="E42">
        <v>2686.08</v>
      </c>
      <c r="F42" t="s">
        <v>44</v>
      </c>
      <c r="G42" t="s">
        <v>8727</v>
      </c>
      <c r="H42" t="s">
        <v>77</v>
      </c>
      <c r="I42" t="s">
        <v>110</v>
      </c>
      <c r="J42" t="s">
        <v>10490</v>
      </c>
      <c r="K42">
        <v>72</v>
      </c>
      <c r="L42" t="s">
        <v>37</v>
      </c>
      <c r="M42" t="s">
        <v>66</v>
      </c>
      <c r="N42" t="s">
        <v>39</v>
      </c>
      <c r="O42" t="s">
        <v>28</v>
      </c>
      <c r="P42" t="s">
        <v>31</v>
      </c>
      <c r="Q42">
        <v>0</v>
      </c>
      <c r="R42" t="s">
        <v>12883</v>
      </c>
      <c r="S42" t="s">
        <v>12884</v>
      </c>
    </row>
    <row r="43" spans="1:19" x14ac:dyDescent="0.25">
      <c r="A43" t="s">
        <v>5675</v>
      </c>
      <c r="B43" s="1">
        <v>45794</v>
      </c>
      <c r="C43" t="s">
        <v>12887</v>
      </c>
      <c r="D43" s="5">
        <v>0.93077546296296299</v>
      </c>
      <c r="E43">
        <v>2379.6799999999998</v>
      </c>
      <c r="F43" t="s">
        <v>44</v>
      </c>
      <c r="G43" t="s">
        <v>5676</v>
      </c>
      <c r="H43" t="s">
        <v>77</v>
      </c>
      <c r="I43" t="s">
        <v>130</v>
      </c>
      <c r="J43" t="s">
        <v>5677</v>
      </c>
      <c r="K43">
        <v>69</v>
      </c>
      <c r="L43" t="s">
        <v>49</v>
      </c>
      <c r="M43" t="s">
        <v>248</v>
      </c>
      <c r="N43" t="s">
        <v>84</v>
      </c>
      <c r="O43" t="s">
        <v>28</v>
      </c>
      <c r="P43" t="s">
        <v>31</v>
      </c>
      <c r="Q43">
        <v>0</v>
      </c>
      <c r="R43" t="s">
        <v>12883</v>
      </c>
      <c r="S43" t="s">
        <v>12884</v>
      </c>
    </row>
    <row r="44" spans="1:19" x14ac:dyDescent="0.25">
      <c r="A44" t="s">
        <v>4341</v>
      </c>
      <c r="B44" s="1">
        <v>45797</v>
      </c>
      <c r="C44" t="s">
        <v>12887</v>
      </c>
      <c r="D44" s="5">
        <v>0.64248842592592592</v>
      </c>
      <c r="E44">
        <v>2355.92</v>
      </c>
      <c r="F44" t="s">
        <v>44</v>
      </c>
      <c r="G44" t="s">
        <v>505</v>
      </c>
      <c r="H44" t="s">
        <v>89</v>
      </c>
      <c r="I44" t="s">
        <v>58</v>
      </c>
      <c r="J44" t="s">
        <v>4342</v>
      </c>
      <c r="K44">
        <v>56</v>
      </c>
      <c r="L44" t="s">
        <v>25</v>
      </c>
      <c r="M44" t="s">
        <v>26</v>
      </c>
      <c r="N44" t="s">
        <v>112</v>
      </c>
      <c r="O44" t="s">
        <v>28</v>
      </c>
      <c r="P44" t="s">
        <v>31</v>
      </c>
      <c r="Q44">
        <v>0</v>
      </c>
      <c r="R44" t="s">
        <v>12883</v>
      </c>
      <c r="S44" t="s">
        <v>12886</v>
      </c>
    </row>
    <row r="45" spans="1:19" x14ac:dyDescent="0.25">
      <c r="A45" t="s">
        <v>12677</v>
      </c>
      <c r="B45" s="1">
        <v>45904</v>
      </c>
      <c r="C45" t="s">
        <v>12882</v>
      </c>
      <c r="D45" s="5">
        <v>0.60914351851851856</v>
      </c>
      <c r="E45">
        <v>2281.67</v>
      </c>
      <c r="F45" t="s">
        <v>44</v>
      </c>
      <c r="G45" t="s">
        <v>9312</v>
      </c>
      <c r="H45" t="s">
        <v>34</v>
      </c>
      <c r="I45" t="s">
        <v>130</v>
      </c>
      <c r="J45" t="s">
        <v>12678</v>
      </c>
      <c r="K45">
        <v>53</v>
      </c>
      <c r="L45" t="s">
        <v>49</v>
      </c>
      <c r="M45" t="s">
        <v>47</v>
      </c>
      <c r="N45" t="s">
        <v>51</v>
      </c>
      <c r="O45" t="s">
        <v>28</v>
      </c>
      <c r="P45" t="s">
        <v>31</v>
      </c>
      <c r="Q45">
        <v>0</v>
      </c>
      <c r="R45" t="s">
        <v>12883</v>
      </c>
      <c r="S45" t="s">
        <v>12886</v>
      </c>
    </row>
    <row r="46" spans="1:19" x14ac:dyDescent="0.25">
      <c r="A46" t="s">
        <v>422</v>
      </c>
      <c r="B46" s="1">
        <v>45940</v>
      </c>
      <c r="C46" t="s">
        <v>12890</v>
      </c>
      <c r="D46" s="5">
        <v>0.16837962962962963</v>
      </c>
      <c r="E46">
        <v>2277.85</v>
      </c>
      <c r="F46" t="s">
        <v>44</v>
      </c>
      <c r="G46" t="s">
        <v>423</v>
      </c>
      <c r="H46" t="s">
        <v>124</v>
      </c>
      <c r="I46" t="s">
        <v>110</v>
      </c>
      <c r="J46" t="s">
        <v>424</v>
      </c>
      <c r="K46">
        <v>75</v>
      </c>
      <c r="L46" t="s">
        <v>49</v>
      </c>
      <c r="M46" t="s">
        <v>66</v>
      </c>
      <c r="N46" t="s">
        <v>105</v>
      </c>
      <c r="O46" t="s">
        <v>28</v>
      </c>
      <c r="P46" t="s">
        <v>31</v>
      </c>
      <c r="Q46">
        <v>0</v>
      </c>
      <c r="R46" t="s">
        <v>12883</v>
      </c>
      <c r="S46" t="s">
        <v>12884</v>
      </c>
    </row>
    <row r="47" spans="1:19" x14ac:dyDescent="0.25">
      <c r="A47" t="s">
        <v>1700</v>
      </c>
      <c r="B47" s="1">
        <v>45841</v>
      </c>
      <c r="C47" t="s">
        <v>12885</v>
      </c>
      <c r="D47" s="5">
        <v>0.60253472222222226</v>
      </c>
      <c r="E47">
        <v>2245.9299999999998</v>
      </c>
      <c r="F47" t="s">
        <v>44</v>
      </c>
      <c r="G47" t="s">
        <v>1701</v>
      </c>
      <c r="H47" t="s">
        <v>64</v>
      </c>
      <c r="I47" t="s">
        <v>146</v>
      </c>
      <c r="J47" t="s">
        <v>1702</v>
      </c>
      <c r="K47">
        <v>29</v>
      </c>
      <c r="L47" t="s">
        <v>25</v>
      </c>
      <c r="M47" t="s">
        <v>146</v>
      </c>
      <c r="N47" t="s">
        <v>105</v>
      </c>
      <c r="O47" t="s">
        <v>113</v>
      </c>
      <c r="P47" t="s">
        <v>31</v>
      </c>
      <c r="Q47">
        <v>0</v>
      </c>
      <c r="R47" t="s">
        <v>12883</v>
      </c>
      <c r="S47" t="s">
        <v>12889</v>
      </c>
    </row>
    <row r="48" spans="1:19" x14ac:dyDescent="0.25">
      <c r="A48" t="s">
        <v>8314</v>
      </c>
      <c r="B48" s="1">
        <v>45815</v>
      </c>
      <c r="C48" t="s">
        <v>12888</v>
      </c>
      <c r="D48" s="5">
        <v>0.64615740740740746</v>
      </c>
      <c r="E48">
        <v>2232.0300000000002</v>
      </c>
      <c r="F48" t="s">
        <v>44</v>
      </c>
      <c r="G48" t="s">
        <v>379</v>
      </c>
      <c r="H48" t="s">
        <v>22</v>
      </c>
      <c r="I48" t="s">
        <v>38</v>
      </c>
      <c r="J48" t="s">
        <v>8315</v>
      </c>
      <c r="K48">
        <v>36</v>
      </c>
      <c r="L48" t="s">
        <v>49</v>
      </c>
      <c r="M48" t="s">
        <v>119</v>
      </c>
      <c r="N48" t="s">
        <v>112</v>
      </c>
      <c r="O48" t="s">
        <v>28</v>
      </c>
      <c r="P48" t="s">
        <v>31</v>
      </c>
      <c r="Q48">
        <v>0</v>
      </c>
      <c r="R48" t="s">
        <v>12883</v>
      </c>
      <c r="S48" t="s">
        <v>12889</v>
      </c>
    </row>
    <row r="49" spans="1:19" x14ac:dyDescent="0.25">
      <c r="A49" t="s">
        <v>8391</v>
      </c>
      <c r="B49" s="1">
        <v>45787</v>
      </c>
      <c r="C49" t="s">
        <v>12887</v>
      </c>
      <c r="D49" s="5">
        <v>8.1018518518518514E-3</v>
      </c>
      <c r="E49">
        <v>2094.11</v>
      </c>
      <c r="F49" t="s">
        <v>44</v>
      </c>
      <c r="G49" t="s">
        <v>1077</v>
      </c>
      <c r="H49" t="s">
        <v>57</v>
      </c>
      <c r="I49" t="s">
        <v>23</v>
      </c>
      <c r="J49" t="s">
        <v>8392</v>
      </c>
      <c r="K49">
        <v>45</v>
      </c>
      <c r="L49" t="s">
        <v>49</v>
      </c>
      <c r="M49" t="s">
        <v>50</v>
      </c>
      <c r="N49" t="s">
        <v>51</v>
      </c>
      <c r="O49" t="s">
        <v>28</v>
      </c>
      <c r="P49" t="s">
        <v>31</v>
      </c>
      <c r="Q49">
        <v>0</v>
      </c>
      <c r="R49" t="s">
        <v>12883</v>
      </c>
      <c r="S49" t="s">
        <v>12886</v>
      </c>
    </row>
    <row r="50" spans="1:19" x14ac:dyDescent="0.25">
      <c r="A50" t="s">
        <v>9635</v>
      </c>
      <c r="B50" s="1">
        <v>45915</v>
      </c>
      <c r="C50" t="s">
        <v>12882</v>
      </c>
      <c r="D50" s="5">
        <v>0.29101851851851851</v>
      </c>
      <c r="E50">
        <v>2084.1</v>
      </c>
      <c r="F50" t="s">
        <v>44</v>
      </c>
      <c r="G50" t="s">
        <v>1911</v>
      </c>
      <c r="H50" t="s">
        <v>77</v>
      </c>
      <c r="I50" t="s">
        <v>35</v>
      </c>
      <c r="J50" t="s">
        <v>9636</v>
      </c>
      <c r="K50">
        <v>45</v>
      </c>
      <c r="L50" t="s">
        <v>25</v>
      </c>
      <c r="M50" t="s">
        <v>38</v>
      </c>
      <c r="N50" t="s">
        <v>84</v>
      </c>
      <c r="O50" t="s">
        <v>28</v>
      </c>
      <c r="P50" t="s">
        <v>31</v>
      </c>
      <c r="Q50">
        <v>1</v>
      </c>
      <c r="R50" t="s">
        <v>12891</v>
      </c>
      <c r="S50" t="s">
        <v>12886</v>
      </c>
    </row>
    <row r="51" spans="1:19" x14ac:dyDescent="0.25">
      <c r="A51" t="s">
        <v>3859</v>
      </c>
      <c r="B51" s="1">
        <v>45880</v>
      </c>
      <c r="C51" t="s">
        <v>12893</v>
      </c>
      <c r="D51" s="5">
        <v>0.62020833333333336</v>
      </c>
      <c r="E51">
        <v>2037.83</v>
      </c>
      <c r="F51" t="s">
        <v>44</v>
      </c>
      <c r="G51" t="s">
        <v>3860</v>
      </c>
      <c r="H51" t="s">
        <v>22</v>
      </c>
      <c r="I51" t="s">
        <v>50</v>
      </c>
      <c r="J51" t="s">
        <v>3861</v>
      </c>
      <c r="K51">
        <v>34</v>
      </c>
      <c r="L51" t="s">
        <v>49</v>
      </c>
      <c r="M51" t="s">
        <v>23</v>
      </c>
      <c r="N51" t="s">
        <v>105</v>
      </c>
      <c r="O51" t="s">
        <v>28</v>
      </c>
      <c r="P51" t="s">
        <v>31</v>
      </c>
      <c r="Q51">
        <v>0</v>
      </c>
      <c r="R51" t="s">
        <v>12883</v>
      </c>
      <c r="S51" t="s">
        <v>12889</v>
      </c>
    </row>
    <row r="52" spans="1:19" x14ac:dyDescent="0.25">
      <c r="A52" t="s">
        <v>11367</v>
      </c>
      <c r="B52" s="1">
        <v>45851</v>
      </c>
      <c r="C52" t="s">
        <v>12885</v>
      </c>
      <c r="D52" s="5">
        <v>0.57184027777777779</v>
      </c>
      <c r="E52">
        <v>1940.09</v>
      </c>
      <c r="F52" t="s">
        <v>44</v>
      </c>
      <c r="G52" t="s">
        <v>1573</v>
      </c>
      <c r="H52" t="s">
        <v>34</v>
      </c>
      <c r="I52" t="s">
        <v>97</v>
      </c>
      <c r="J52" t="s">
        <v>11368</v>
      </c>
      <c r="K52">
        <v>22</v>
      </c>
      <c r="L52" t="s">
        <v>37</v>
      </c>
      <c r="M52" t="s">
        <v>50</v>
      </c>
      <c r="N52" t="s">
        <v>105</v>
      </c>
      <c r="O52" t="s">
        <v>28</v>
      </c>
      <c r="P52" t="s">
        <v>31</v>
      </c>
      <c r="Q52">
        <v>0</v>
      </c>
      <c r="R52" t="s">
        <v>12883</v>
      </c>
      <c r="S52" t="s">
        <v>12892</v>
      </c>
    </row>
    <row r="53" spans="1:19" x14ac:dyDescent="0.25">
      <c r="A53" t="s">
        <v>6723</v>
      </c>
      <c r="B53" s="1">
        <v>45938</v>
      </c>
      <c r="C53" t="s">
        <v>12890</v>
      </c>
      <c r="D53" s="5">
        <v>0.40858796296296296</v>
      </c>
      <c r="E53">
        <v>1884.2</v>
      </c>
      <c r="F53" t="s">
        <v>44</v>
      </c>
      <c r="G53" t="s">
        <v>5210</v>
      </c>
      <c r="H53" t="s">
        <v>89</v>
      </c>
      <c r="I53" t="s">
        <v>130</v>
      </c>
      <c r="J53" t="s">
        <v>6724</v>
      </c>
      <c r="K53">
        <v>13</v>
      </c>
      <c r="L53" t="s">
        <v>25</v>
      </c>
      <c r="M53" t="s">
        <v>91</v>
      </c>
      <c r="N53" t="s">
        <v>84</v>
      </c>
      <c r="O53" t="s">
        <v>28</v>
      </c>
      <c r="P53" t="s">
        <v>31</v>
      </c>
      <c r="Q53">
        <v>0</v>
      </c>
      <c r="R53" t="s">
        <v>12883</v>
      </c>
      <c r="S53" t="s">
        <v>12892</v>
      </c>
    </row>
    <row r="54" spans="1:19" x14ac:dyDescent="0.25">
      <c r="A54" t="s">
        <v>11502</v>
      </c>
      <c r="B54" s="1">
        <v>45789</v>
      </c>
      <c r="C54" t="s">
        <v>12887</v>
      </c>
      <c r="D54" s="5">
        <v>0.42756944444444445</v>
      </c>
      <c r="E54">
        <v>1700.14</v>
      </c>
      <c r="F54" t="s">
        <v>44</v>
      </c>
      <c r="G54" t="s">
        <v>1200</v>
      </c>
      <c r="H54" t="s">
        <v>22</v>
      </c>
      <c r="I54" t="s">
        <v>26</v>
      </c>
      <c r="J54" t="s">
        <v>6344</v>
      </c>
      <c r="K54">
        <v>70</v>
      </c>
      <c r="L54" t="s">
        <v>37</v>
      </c>
      <c r="M54" t="s">
        <v>248</v>
      </c>
      <c r="N54" t="s">
        <v>27</v>
      </c>
      <c r="O54" t="s">
        <v>28</v>
      </c>
      <c r="P54" t="s">
        <v>31</v>
      </c>
      <c r="Q54">
        <v>0</v>
      </c>
      <c r="R54" t="s">
        <v>12883</v>
      </c>
      <c r="S54" t="s">
        <v>12884</v>
      </c>
    </row>
    <row r="55" spans="1:19" x14ac:dyDescent="0.25">
      <c r="A55" t="s">
        <v>11727</v>
      </c>
      <c r="B55" s="1">
        <v>45839</v>
      </c>
      <c r="C55" t="s">
        <v>12885</v>
      </c>
      <c r="D55" s="5">
        <v>5.9189814814814813E-2</v>
      </c>
      <c r="E55">
        <v>1671.09</v>
      </c>
      <c r="F55" t="s">
        <v>44</v>
      </c>
      <c r="G55" t="s">
        <v>9228</v>
      </c>
      <c r="H55" t="s">
        <v>96</v>
      </c>
      <c r="I55" t="s">
        <v>91</v>
      </c>
      <c r="J55" t="s">
        <v>11728</v>
      </c>
      <c r="K55">
        <v>25</v>
      </c>
      <c r="L55" t="s">
        <v>37</v>
      </c>
      <c r="M55" t="s">
        <v>91</v>
      </c>
      <c r="N55" t="s">
        <v>27</v>
      </c>
      <c r="O55" t="s">
        <v>113</v>
      </c>
      <c r="P55" t="s">
        <v>31</v>
      </c>
      <c r="Q55">
        <v>1</v>
      </c>
      <c r="R55" t="s">
        <v>12891</v>
      </c>
      <c r="S55" t="s">
        <v>12889</v>
      </c>
    </row>
    <row r="56" spans="1:19" x14ac:dyDescent="0.25">
      <c r="A56" t="s">
        <v>348</v>
      </c>
      <c r="B56" s="1">
        <v>45909</v>
      </c>
      <c r="C56" t="s">
        <v>12882</v>
      </c>
      <c r="D56" s="5">
        <v>0.5115277777777778</v>
      </c>
      <c r="E56">
        <v>1633.79</v>
      </c>
      <c r="F56" t="s">
        <v>44</v>
      </c>
      <c r="G56" t="s">
        <v>349</v>
      </c>
      <c r="H56" t="s">
        <v>77</v>
      </c>
      <c r="I56" t="s">
        <v>91</v>
      </c>
      <c r="J56" t="s">
        <v>350</v>
      </c>
      <c r="K56">
        <v>60</v>
      </c>
      <c r="L56" t="s">
        <v>25</v>
      </c>
      <c r="M56" t="s">
        <v>26</v>
      </c>
      <c r="N56" t="s">
        <v>51</v>
      </c>
      <c r="O56" t="s">
        <v>28</v>
      </c>
      <c r="P56" t="s">
        <v>31</v>
      </c>
      <c r="Q56">
        <v>0</v>
      </c>
      <c r="R56" t="s">
        <v>12883</v>
      </c>
      <c r="S56" t="s">
        <v>12884</v>
      </c>
    </row>
    <row r="57" spans="1:19" x14ac:dyDescent="0.25">
      <c r="A57" t="s">
        <v>332</v>
      </c>
      <c r="B57" s="1">
        <v>45791</v>
      </c>
      <c r="C57" t="s">
        <v>12887</v>
      </c>
      <c r="D57" s="5">
        <v>5.4745370370370368E-2</v>
      </c>
      <c r="E57">
        <v>1540.34</v>
      </c>
      <c r="F57" t="s">
        <v>44</v>
      </c>
      <c r="G57" t="s">
        <v>333</v>
      </c>
      <c r="H57" t="s">
        <v>34</v>
      </c>
      <c r="I57" t="s">
        <v>35</v>
      </c>
      <c r="J57" t="s">
        <v>334</v>
      </c>
      <c r="K57">
        <v>45</v>
      </c>
      <c r="L57" t="s">
        <v>37</v>
      </c>
      <c r="M57" t="s">
        <v>35</v>
      </c>
      <c r="N57" t="s">
        <v>112</v>
      </c>
      <c r="O57" t="s">
        <v>113</v>
      </c>
      <c r="P57" t="s">
        <v>31</v>
      </c>
      <c r="Q57">
        <v>0</v>
      </c>
      <c r="R57" t="s">
        <v>12883</v>
      </c>
      <c r="S57" t="s">
        <v>12886</v>
      </c>
    </row>
    <row r="58" spans="1:19" x14ac:dyDescent="0.25">
      <c r="A58" t="s">
        <v>8604</v>
      </c>
      <c r="B58" s="1">
        <v>45801</v>
      </c>
      <c r="C58" t="s">
        <v>12887</v>
      </c>
      <c r="D58" s="5">
        <v>0.51944444444444449</v>
      </c>
      <c r="E58">
        <v>1466.51</v>
      </c>
      <c r="F58" t="s">
        <v>44</v>
      </c>
      <c r="G58" t="s">
        <v>1509</v>
      </c>
      <c r="H58" t="s">
        <v>77</v>
      </c>
      <c r="I58" t="s">
        <v>47</v>
      </c>
      <c r="J58" t="s">
        <v>8605</v>
      </c>
      <c r="K58">
        <v>62</v>
      </c>
      <c r="L58" t="s">
        <v>37</v>
      </c>
      <c r="M58" t="s">
        <v>130</v>
      </c>
      <c r="N58" t="s">
        <v>105</v>
      </c>
      <c r="O58" t="s">
        <v>28</v>
      </c>
      <c r="P58" t="s">
        <v>31</v>
      </c>
      <c r="Q58">
        <v>0</v>
      </c>
      <c r="R58" t="s">
        <v>12883</v>
      </c>
      <c r="S58" t="s">
        <v>12884</v>
      </c>
    </row>
    <row r="59" spans="1:19" x14ac:dyDescent="0.25">
      <c r="A59" t="s">
        <v>7590</v>
      </c>
      <c r="B59" s="1">
        <v>45786</v>
      </c>
      <c r="C59" t="s">
        <v>12887</v>
      </c>
      <c r="D59" s="5">
        <v>0.15150462962962963</v>
      </c>
      <c r="E59">
        <v>1350.51</v>
      </c>
      <c r="F59" t="s">
        <v>44</v>
      </c>
      <c r="G59" t="s">
        <v>5499</v>
      </c>
      <c r="H59" t="s">
        <v>34</v>
      </c>
      <c r="I59" t="s">
        <v>130</v>
      </c>
      <c r="J59" t="s">
        <v>7591</v>
      </c>
      <c r="K59">
        <v>48</v>
      </c>
      <c r="L59" t="s">
        <v>25</v>
      </c>
      <c r="M59" t="s">
        <v>248</v>
      </c>
      <c r="N59" t="s">
        <v>39</v>
      </c>
      <c r="O59" t="s">
        <v>28</v>
      </c>
      <c r="P59" t="s">
        <v>31</v>
      </c>
      <c r="Q59">
        <v>0</v>
      </c>
      <c r="R59" t="s">
        <v>12883</v>
      </c>
      <c r="S59" t="s">
        <v>12886</v>
      </c>
    </row>
    <row r="60" spans="1:19" x14ac:dyDescent="0.25">
      <c r="A60" t="s">
        <v>5498</v>
      </c>
      <c r="B60" s="1">
        <v>45956</v>
      </c>
      <c r="C60" t="s">
        <v>12890</v>
      </c>
      <c r="D60" s="5">
        <v>0.62307870370370366</v>
      </c>
      <c r="E60">
        <v>1307.4000000000001</v>
      </c>
      <c r="F60" t="s">
        <v>44</v>
      </c>
      <c r="G60" t="s">
        <v>5499</v>
      </c>
      <c r="H60" t="s">
        <v>77</v>
      </c>
      <c r="I60" t="s">
        <v>26</v>
      </c>
      <c r="J60" t="s">
        <v>5500</v>
      </c>
      <c r="K60">
        <v>63</v>
      </c>
      <c r="L60" t="s">
        <v>25</v>
      </c>
      <c r="M60" t="s">
        <v>50</v>
      </c>
      <c r="N60" t="s">
        <v>27</v>
      </c>
      <c r="O60" t="s">
        <v>28</v>
      </c>
      <c r="P60" t="s">
        <v>31</v>
      </c>
      <c r="Q60">
        <v>0</v>
      </c>
      <c r="R60" t="s">
        <v>12883</v>
      </c>
      <c r="S60" t="s">
        <v>12884</v>
      </c>
    </row>
    <row r="61" spans="1:19" x14ac:dyDescent="0.25">
      <c r="A61" t="s">
        <v>4933</v>
      </c>
      <c r="B61" s="1">
        <v>45928</v>
      </c>
      <c r="C61" t="s">
        <v>12882</v>
      </c>
      <c r="D61" s="5">
        <v>0.70567129629629632</v>
      </c>
      <c r="E61">
        <v>1269.26</v>
      </c>
      <c r="F61" t="s">
        <v>44</v>
      </c>
      <c r="G61" t="s">
        <v>922</v>
      </c>
      <c r="H61" t="s">
        <v>57</v>
      </c>
      <c r="I61" t="s">
        <v>23</v>
      </c>
      <c r="J61" t="s">
        <v>4934</v>
      </c>
      <c r="K61">
        <v>73</v>
      </c>
      <c r="L61" t="s">
        <v>49</v>
      </c>
      <c r="M61" t="s">
        <v>38</v>
      </c>
      <c r="N61" t="s">
        <v>105</v>
      </c>
      <c r="O61" t="s">
        <v>28</v>
      </c>
      <c r="P61" t="s">
        <v>31</v>
      </c>
      <c r="Q61">
        <v>0</v>
      </c>
      <c r="R61" t="s">
        <v>12883</v>
      </c>
      <c r="S61" t="s">
        <v>12884</v>
      </c>
    </row>
    <row r="62" spans="1:19" x14ac:dyDescent="0.25">
      <c r="A62" t="s">
        <v>3260</v>
      </c>
      <c r="B62" s="1">
        <v>45925</v>
      </c>
      <c r="C62" t="s">
        <v>12882</v>
      </c>
      <c r="D62" s="5">
        <v>0.40989583333333335</v>
      </c>
      <c r="E62">
        <v>1185.7</v>
      </c>
      <c r="F62" t="s">
        <v>44</v>
      </c>
      <c r="G62" t="s">
        <v>3261</v>
      </c>
      <c r="H62" t="s">
        <v>64</v>
      </c>
      <c r="I62" t="s">
        <v>97</v>
      </c>
      <c r="J62" t="s">
        <v>3262</v>
      </c>
      <c r="K62">
        <v>39</v>
      </c>
      <c r="L62" t="s">
        <v>49</v>
      </c>
      <c r="M62" t="s">
        <v>130</v>
      </c>
      <c r="N62" t="s">
        <v>84</v>
      </c>
      <c r="O62" t="s">
        <v>28</v>
      </c>
      <c r="P62" t="s">
        <v>31</v>
      </c>
      <c r="Q62">
        <v>0</v>
      </c>
      <c r="R62" t="s">
        <v>12883</v>
      </c>
      <c r="S62" t="s">
        <v>12889</v>
      </c>
    </row>
    <row r="63" spans="1:19" x14ac:dyDescent="0.25">
      <c r="A63" t="s">
        <v>10950</v>
      </c>
      <c r="B63" s="1">
        <v>45845</v>
      </c>
      <c r="C63" t="s">
        <v>12885</v>
      </c>
      <c r="D63" s="5">
        <v>0.29041666666666666</v>
      </c>
      <c r="E63">
        <v>1132.96</v>
      </c>
      <c r="F63" t="s">
        <v>44</v>
      </c>
      <c r="G63" t="s">
        <v>4732</v>
      </c>
      <c r="H63" t="s">
        <v>57</v>
      </c>
      <c r="I63" t="s">
        <v>110</v>
      </c>
      <c r="J63" t="s">
        <v>10951</v>
      </c>
      <c r="K63">
        <v>39</v>
      </c>
      <c r="L63" t="s">
        <v>37</v>
      </c>
      <c r="M63" t="s">
        <v>66</v>
      </c>
      <c r="N63" t="s">
        <v>27</v>
      </c>
      <c r="O63" t="s">
        <v>28</v>
      </c>
      <c r="P63" t="s">
        <v>31</v>
      </c>
      <c r="Q63">
        <v>0</v>
      </c>
      <c r="R63" t="s">
        <v>12883</v>
      </c>
      <c r="S63" t="s">
        <v>12889</v>
      </c>
    </row>
    <row r="64" spans="1:19" x14ac:dyDescent="0.25">
      <c r="A64" t="s">
        <v>7977</v>
      </c>
      <c r="B64" s="1">
        <v>45860</v>
      </c>
      <c r="C64" t="s">
        <v>12885</v>
      </c>
      <c r="D64" s="5">
        <v>3.3460648148148149E-2</v>
      </c>
      <c r="E64">
        <v>1129.49</v>
      </c>
      <c r="F64" t="s">
        <v>44</v>
      </c>
      <c r="G64" t="s">
        <v>1451</v>
      </c>
      <c r="H64" t="s">
        <v>96</v>
      </c>
      <c r="I64" t="s">
        <v>50</v>
      </c>
      <c r="J64" t="s">
        <v>7978</v>
      </c>
      <c r="K64">
        <v>63</v>
      </c>
      <c r="L64" t="s">
        <v>49</v>
      </c>
      <c r="M64" t="s">
        <v>23</v>
      </c>
      <c r="N64" t="s">
        <v>84</v>
      </c>
      <c r="O64" t="s">
        <v>28</v>
      </c>
      <c r="P64" t="s">
        <v>31</v>
      </c>
      <c r="Q64">
        <v>0</v>
      </c>
      <c r="R64" t="s">
        <v>12883</v>
      </c>
      <c r="S64" t="s">
        <v>12884</v>
      </c>
    </row>
    <row r="65" spans="1:19" x14ac:dyDescent="0.25">
      <c r="A65" t="s">
        <v>737</v>
      </c>
      <c r="B65" s="1">
        <v>45793</v>
      </c>
      <c r="C65" t="s">
        <v>12887</v>
      </c>
      <c r="D65" s="5">
        <v>0.81534722222222222</v>
      </c>
      <c r="E65">
        <v>1033.9000000000001</v>
      </c>
      <c r="F65" t="s">
        <v>44</v>
      </c>
      <c r="G65" t="s">
        <v>738</v>
      </c>
      <c r="H65" t="s">
        <v>124</v>
      </c>
      <c r="I65" t="s">
        <v>110</v>
      </c>
      <c r="J65" t="s">
        <v>739</v>
      </c>
      <c r="K65">
        <v>34</v>
      </c>
      <c r="L65" t="s">
        <v>25</v>
      </c>
      <c r="M65" t="s">
        <v>66</v>
      </c>
      <c r="N65" t="s">
        <v>51</v>
      </c>
      <c r="O65" t="s">
        <v>28</v>
      </c>
      <c r="P65" t="s">
        <v>31</v>
      </c>
      <c r="Q65">
        <v>0</v>
      </c>
      <c r="R65" t="s">
        <v>12883</v>
      </c>
      <c r="S65" t="s">
        <v>12889</v>
      </c>
    </row>
    <row r="66" spans="1:19" x14ac:dyDescent="0.25">
      <c r="A66" t="s">
        <v>1067</v>
      </c>
      <c r="B66" s="1">
        <v>45863</v>
      </c>
      <c r="C66" t="s">
        <v>12885</v>
      </c>
      <c r="D66" s="5">
        <v>0.75770833333333332</v>
      </c>
      <c r="E66">
        <v>1014.41</v>
      </c>
      <c r="F66" t="s">
        <v>44</v>
      </c>
      <c r="G66" t="s">
        <v>1068</v>
      </c>
      <c r="H66" t="s">
        <v>96</v>
      </c>
      <c r="I66" t="s">
        <v>23</v>
      </c>
      <c r="J66" t="s">
        <v>1069</v>
      </c>
      <c r="K66">
        <v>23</v>
      </c>
      <c r="L66" t="s">
        <v>25</v>
      </c>
      <c r="M66" t="s">
        <v>91</v>
      </c>
      <c r="N66" t="s">
        <v>105</v>
      </c>
      <c r="O66" t="s">
        <v>28</v>
      </c>
      <c r="P66" t="s">
        <v>31</v>
      </c>
      <c r="Q66">
        <v>0</v>
      </c>
      <c r="R66" t="s">
        <v>12883</v>
      </c>
      <c r="S66" t="s">
        <v>12892</v>
      </c>
    </row>
    <row r="67" spans="1:19" x14ac:dyDescent="0.25">
      <c r="A67" t="s">
        <v>575</v>
      </c>
      <c r="B67" s="1">
        <v>45834</v>
      </c>
      <c r="C67" t="s">
        <v>12888</v>
      </c>
      <c r="D67" s="5">
        <v>0.37788194444444445</v>
      </c>
      <c r="E67">
        <v>1002.53</v>
      </c>
      <c r="F67" t="s">
        <v>44</v>
      </c>
      <c r="G67" t="s">
        <v>576</v>
      </c>
      <c r="H67" t="s">
        <v>46</v>
      </c>
      <c r="I67" t="s">
        <v>146</v>
      </c>
      <c r="J67" t="s">
        <v>577</v>
      </c>
      <c r="K67">
        <v>56</v>
      </c>
      <c r="L67" t="s">
        <v>49</v>
      </c>
      <c r="M67" t="s">
        <v>38</v>
      </c>
      <c r="N67" t="s">
        <v>84</v>
      </c>
      <c r="O67" t="s">
        <v>28</v>
      </c>
      <c r="P67" t="s">
        <v>31</v>
      </c>
      <c r="Q67">
        <v>0</v>
      </c>
      <c r="R67" t="s">
        <v>12883</v>
      </c>
      <c r="S67" t="s">
        <v>12886</v>
      </c>
    </row>
    <row r="68" spans="1:19" x14ac:dyDescent="0.25">
      <c r="A68" t="s">
        <v>8322</v>
      </c>
      <c r="B68" s="1">
        <v>45920</v>
      </c>
      <c r="C68" t="s">
        <v>12882</v>
      </c>
      <c r="D68" s="5">
        <v>0.35399305555555555</v>
      </c>
      <c r="E68">
        <v>999.7</v>
      </c>
      <c r="F68" t="s">
        <v>44</v>
      </c>
      <c r="G68" t="s">
        <v>2423</v>
      </c>
      <c r="H68" t="s">
        <v>96</v>
      </c>
      <c r="I68" t="s">
        <v>66</v>
      </c>
      <c r="J68" t="s">
        <v>8323</v>
      </c>
      <c r="K68">
        <v>42</v>
      </c>
      <c r="L68" t="s">
        <v>37</v>
      </c>
      <c r="M68" t="s">
        <v>38</v>
      </c>
      <c r="N68" t="s">
        <v>27</v>
      </c>
      <c r="O68" t="s">
        <v>28</v>
      </c>
      <c r="P68" t="s">
        <v>31</v>
      </c>
      <c r="Q68">
        <v>0</v>
      </c>
      <c r="R68" t="s">
        <v>12883</v>
      </c>
      <c r="S68" t="s">
        <v>12886</v>
      </c>
    </row>
    <row r="69" spans="1:19" x14ac:dyDescent="0.25">
      <c r="A69" t="s">
        <v>7603</v>
      </c>
      <c r="B69" s="1">
        <v>45933</v>
      </c>
      <c r="C69" t="s">
        <v>12890</v>
      </c>
      <c r="D69" s="5">
        <v>0.34534722222222225</v>
      </c>
      <c r="E69">
        <v>997.99</v>
      </c>
      <c r="F69" t="s">
        <v>44</v>
      </c>
      <c r="G69" t="s">
        <v>7604</v>
      </c>
      <c r="H69" t="s">
        <v>46</v>
      </c>
      <c r="I69" t="s">
        <v>23</v>
      </c>
      <c r="J69" t="s">
        <v>7605</v>
      </c>
      <c r="K69">
        <v>34</v>
      </c>
      <c r="L69" t="s">
        <v>37</v>
      </c>
      <c r="M69" t="s">
        <v>97</v>
      </c>
      <c r="N69" t="s">
        <v>112</v>
      </c>
      <c r="O69" t="s">
        <v>28</v>
      </c>
      <c r="P69" t="s">
        <v>31</v>
      </c>
      <c r="Q69">
        <v>0</v>
      </c>
      <c r="R69" t="s">
        <v>12883</v>
      </c>
      <c r="S69" t="s">
        <v>12889</v>
      </c>
    </row>
    <row r="70" spans="1:19" x14ac:dyDescent="0.25">
      <c r="A70" t="s">
        <v>2070</v>
      </c>
      <c r="B70" s="1">
        <v>45849</v>
      </c>
      <c r="C70" t="s">
        <v>12885</v>
      </c>
      <c r="D70" s="5">
        <v>0.42953703703703705</v>
      </c>
      <c r="E70">
        <v>995.93</v>
      </c>
      <c r="F70" t="s">
        <v>44</v>
      </c>
      <c r="G70" t="s">
        <v>1637</v>
      </c>
      <c r="H70" t="s">
        <v>46</v>
      </c>
      <c r="I70" t="s">
        <v>50</v>
      </c>
      <c r="J70" t="s">
        <v>2071</v>
      </c>
      <c r="K70">
        <v>52</v>
      </c>
      <c r="L70" t="s">
        <v>49</v>
      </c>
      <c r="M70" t="s">
        <v>248</v>
      </c>
      <c r="N70" t="s">
        <v>105</v>
      </c>
      <c r="O70" t="s">
        <v>28</v>
      </c>
      <c r="P70" t="s">
        <v>31</v>
      </c>
      <c r="Q70">
        <v>1</v>
      </c>
      <c r="R70" t="s">
        <v>12891</v>
      </c>
      <c r="S70" t="s">
        <v>12886</v>
      </c>
    </row>
    <row r="71" spans="1:19" x14ac:dyDescent="0.25">
      <c r="A71" t="s">
        <v>11743</v>
      </c>
      <c r="B71" s="1">
        <v>45894</v>
      </c>
      <c r="C71" t="s">
        <v>12893</v>
      </c>
      <c r="D71" s="5">
        <v>0.40958333333333335</v>
      </c>
      <c r="E71">
        <v>994.82</v>
      </c>
      <c r="F71" t="s">
        <v>44</v>
      </c>
      <c r="G71" t="s">
        <v>1490</v>
      </c>
      <c r="H71" t="s">
        <v>22</v>
      </c>
      <c r="I71" t="s">
        <v>50</v>
      </c>
      <c r="J71" t="s">
        <v>11744</v>
      </c>
      <c r="K71">
        <v>30</v>
      </c>
      <c r="L71" t="s">
        <v>37</v>
      </c>
      <c r="M71" t="s">
        <v>66</v>
      </c>
      <c r="N71" t="s">
        <v>27</v>
      </c>
      <c r="O71" t="s">
        <v>28</v>
      </c>
      <c r="P71" t="s">
        <v>31</v>
      </c>
      <c r="Q71">
        <v>0</v>
      </c>
      <c r="R71" t="s">
        <v>12883</v>
      </c>
      <c r="S71" t="s">
        <v>12889</v>
      </c>
    </row>
    <row r="72" spans="1:19" x14ac:dyDescent="0.25">
      <c r="A72" t="s">
        <v>2511</v>
      </c>
      <c r="B72" s="1">
        <v>45864</v>
      </c>
      <c r="C72" t="s">
        <v>12885</v>
      </c>
      <c r="D72" s="5">
        <v>5.3587962962962964E-3</v>
      </c>
      <c r="E72">
        <v>991.81</v>
      </c>
      <c r="F72" t="s">
        <v>44</v>
      </c>
      <c r="G72" t="s">
        <v>2512</v>
      </c>
      <c r="H72" t="s">
        <v>71</v>
      </c>
      <c r="I72" t="s">
        <v>26</v>
      </c>
      <c r="J72" t="s">
        <v>2513</v>
      </c>
      <c r="K72">
        <v>61</v>
      </c>
      <c r="L72" t="s">
        <v>37</v>
      </c>
      <c r="M72" t="s">
        <v>38</v>
      </c>
      <c r="N72" t="s">
        <v>27</v>
      </c>
      <c r="O72" t="s">
        <v>28</v>
      </c>
      <c r="P72" t="s">
        <v>31</v>
      </c>
      <c r="Q72">
        <v>0</v>
      </c>
      <c r="R72" t="s">
        <v>12883</v>
      </c>
      <c r="S72" t="s">
        <v>12884</v>
      </c>
    </row>
    <row r="73" spans="1:19" x14ac:dyDescent="0.25">
      <c r="A73" t="s">
        <v>1054</v>
      </c>
      <c r="B73" s="1">
        <v>45794</v>
      </c>
      <c r="C73" t="s">
        <v>12887</v>
      </c>
      <c r="D73" s="5">
        <v>0.39435185185185184</v>
      </c>
      <c r="E73">
        <v>984.15</v>
      </c>
      <c r="F73" t="s">
        <v>44</v>
      </c>
      <c r="G73" t="s">
        <v>541</v>
      </c>
      <c r="H73" t="s">
        <v>77</v>
      </c>
      <c r="I73" t="s">
        <v>66</v>
      </c>
      <c r="J73" t="s">
        <v>1055</v>
      </c>
      <c r="K73">
        <v>70</v>
      </c>
      <c r="L73" t="s">
        <v>25</v>
      </c>
      <c r="M73" t="s">
        <v>23</v>
      </c>
      <c r="N73" t="s">
        <v>39</v>
      </c>
      <c r="O73" t="s">
        <v>28</v>
      </c>
      <c r="P73" t="s">
        <v>31</v>
      </c>
      <c r="Q73">
        <v>0</v>
      </c>
      <c r="R73" t="s">
        <v>12883</v>
      </c>
      <c r="S73" t="s">
        <v>12884</v>
      </c>
    </row>
    <row r="74" spans="1:19" x14ac:dyDescent="0.25">
      <c r="A74" t="s">
        <v>2818</v>
      </c>
      <c r="B74" s="1">
        <v>45798</v>
      </c>
      <c r="C74" t="s">
        <v>12887</v>
      </c>
      <c r="D74" s="5">
        <v>0.24687500000000001</v>
      </c>
      <c r="E74">
        <v>983.83</v>
      </c>
      <c r="F74" t="s">
        <v>44</v>
      </c>
      <c r="G74" t="s">
        <v>2819</v>
      </c>
      <c r="H74" t="s">
        <v>22</v>
      </c>
      <c r="I74" t="s">
        <v>146</v>
      </c>
      <c r="J74" t="s">
        <v>2820</v>
      </c>
      <c r="K74">
        <v>21</v>
      </c>
      <c r="L74" t="s">
        <v>37</v>
      </c>
      <c r="M74" t="s">
        <v>26</v>
      </c>
      <c r="N74" t="s">
        <v>84</v>
      </c>
      <c r="O74" t="s">
        <v>28</v>
      </c>
      <c r="P74" t="s">
        <v>31</v>
      </c>
      <c r="Q74">
        <v>0</v>
      </c>
      <c r="R74" t="s">
        <v>12883</v>
      </c>
      <c r="S74" t="s">
        <v>12892</v>
      </c>
    </row>
    <row r="75" spans="1:19" x14ac:dyDescent="0.25">
      <c r="A75" t="s">
        <v>5030</v>
      </c>
      <c r="B75" s="1">
        <v>45803</v>
      </c>
      <c r="C75" t="s">
        <v>12887</v>
      </c>
      <c r="D75" s="5">
        <v>0.95840277777777783</v>
      </c>
      <c r="E75">
        <v>981.95</v>
      </c>
      <c r="F75" t="s">
        <v>44</v>
      </c>
      <c r="G75" t="s">
        <v>5031</v>
      </c>
      <c r="H75" t="s">
        <v>34</v>
      </c>
      <c r="I75" t="s">
        <v>119</v>
      </c>
      <c r="J75" t="s">
        <v>5032</v>
      </c>
      <c r="K75">
        <v>45</v>
      </c>
      <c r="L75" t="s">
        <v>25</v>
      </c>
      <c r="M75" t="s">
        <v>248</v>
      </c>
      <c r="N75" t="s">
        <v>39</v>
      </c>
      <c r="O75" t="s">
        <v>28</v>
      </c>
      <c r="P75" t="s">
        <v>31</v>
      </c>
      <c r="Q75">
        <v>0</v>
      </c>
      <c r="R75" t="s">
        <v>12883</v>
      </c>
      <c r="S75" t="s">
        <v>12886</v>
      </c>
    </row>
    <row r="76" spans="1:19" x14ac:dyDescent="0.25">
      <c r="A76" t="s">
        <v>7969</v>
      </c>
      <c r="B76" s="1">
        <v>45810</v>
      </c>
      <c r="C76" t="s">
        <v>12888</v>
      </c>
      <c r="D76" s="5">
        <v>0.23729166666666668</v>
      </c>
      <c r="E76">
        <v>978.69</v>
      </c>
      <c r="F76" t="s">
        <v>44</v>
      </c>
      <c r="G76" t="s">
        <v>5178</v>
      </c>
      <c r="H76" t="s">
        <v>46</v>
      </c>
      <c r="I76" t="s">
        <v>91</v>
      </c>
      <c r="J76" t="s">
        <v>7970</v>
      </c>
      <c r="K76">
        <v>24</v>
      </c>
      <c r="L76" t="s">
        <v>49</v>
      </c>
      <c r="M76" t="s">
        <v>47</v>
      </c>
      <c r="N76" t="s">
        <v>84</v>
      </c>
      <c r="O76" t="s">
        <v>28</v>
      </c>
      <c r="P76" t="s">
        <v>31</v>
      </c>
      <c r="Q76">
        <v>0</v>
      </c>
      <c r="R76" t="s">
        <v>12883</v>
      </c>
      <c r="S76" t="s">
        <v>12892</v>
      </c>
    </row>
    <row r="77" spans="1:19" x14ac:dyDescent="0.25">
      <c r="A77" t="s">
        <v>8251</v>
      </c>
      <c r="B77" s="1">
        <v>45871</v>
      </c>
      <c r="C77" t="s">
        <v>12893</v>
      </c>
      <c r="D77" s="5">
        <v>0.69539351851851849</v>
      </c>
      <c r="E77">
        <v>976.81</v>
      </c>
      <c r="F77" t="s">
        <v>44</v>
      </c>
      <c r="G77" t="s">
        <v>7169</v>
      </c>
      <c r="H77" t="s">
        <v>64</v>
      </c>
      <c r="I77" t="s">
        <v>146</v>
      </c>
      <c r="J77" t="s">
        <v>8252</v>
      </c>
      <c r="K77">
        <v>38</v>
      </c>
      <c r="L77" t="s">
        <v>37</v>
      </c>
      <c r="M77" t="s">
        <v>26</v>
      </c>
      <c r="N77" t="s">
        <v>51</v>
      </c>
      <c r="O77" t="s">
        <v>28</v>
      </c>
      <c r="P77" t="s">
        <v>31</v>
      </c>
      <c r="Q77">
        <v>0</v>
      </c>
      <c r="R77" t="s">
        <v>12883</v>
      </c>
      <c r="S77" t="s">
        <v>12889</v>
      </c>
    </row>
    <row r="78" spans="1:19" x14ac:dyDescent="0.25">
      <c r="A78" t="s">
        <v>6018</v>
      </c>
      <c r="B78" s="1">
        <v>45937</v>
      </c>
      <c r="C78" t="s">
        <v>12890</v>
      </c>
      <c r="D78" s="5">
        <v>0.70516203703703706</v>
      </c>
      <c r="E78">
        <v>974.74</v>
      </c>
      <c r="F78" t="s">
        <v>44</v>
      </c>
      <c r="G78" t="s">
        <v>1916</v>
      </c>
      <c r="H78" t="s">
        <v>46</v>
      </c>
      <c r="I78" t="s">
        <v>47</v>
      </c>
      <c r="J78" t="s">
        <v>6019</v>
      </c>
      <c r="K78">
        <v>55</v>
      </c>
      <c r="L78" t="s">
        <v>49</v>
      </c>
      <c r="M78" t="s">
        <v>130</v>
      </c>
      <c r="N78" t="s">
        <v>84</v>
      </c>
      <c r="O78" t="s">
        <v>28</v>
      </c>
      <c r="P78" t="s">
        <v>31</v>
      </c>
      <c r="Q78">
        <v>0</v>
      </c>
      <c r="R78" t="s">
        <v>12883</v>
      </c>
      <c r="S78" t="s">
        <v>12886</v>
      </c>
    </row>
    <row r="79" spans="1:19" x14ac:dyDescent="0.25">
      <c r="A79" t="s">
        <v>4207</v>
      </c>
      <c r="B79" s="1">
        <v>45846</v>
      </c>
      <c r="C79" t="s">
        <v>12885</v>
      </c>
      <c r="D79" s="5">
        <v>0.59945601851851849</v>
      </c>
      <c r="E79">
        <v>974.73</v>
      </c>
      <c r="F79" t="s">
        <v>44</v>
      </c>
      <c r="G79" t="s">
        <v>733</v>
      </c>
      <c r="H79" t="s">
        <v>89</v>
      </c>
      <c r="I79" t="s">
        <v>66</v>
      </c>
      <c r="J79" t="s">
        <v>4208</v>
      </c>
      <c r="K79">
        <v>49</v>
      </c>
      <c r="L79" t="s">
        <v>25</v>
      </c>
      <c r="M79" t="s">
        <v>110</v>
      </c>
      <c r="N79" t="s">
        <v>84</v>
      </c>
      <c r="O79" t="s">
        <v>28</v>
      </c>
      <c r="P79" t="s">
        <v>31</v>
      </c>
      <c r="Q79">
        <v>0</v>
      </c>
      <c r="R79" t="s">
        <v>12883</v>
      </c>
      <c r="S79" t="s">
        <v>12886</v>
      </c>
    </row>
    <row r="80" spans="1:19" x14ac:dyDescent="0.25">
      <c r="A80" t="s">
        <v>12177</v>
      </c>
      <c r="B80" s="1">
        <v>45865</v>
      </c>
      <c r="C80" t="s">
        <v>12885</v>
      </c>
      <c r="D80" s="5">
        <v>0.53370370370370368</v>
      </c>
      <c r="E80">
        <v>973.23</v>
      </c>
      <c r="F80" t="s">
        <v>44</v>
      </c>
      <c r="G80" t="s">
        <v>1101</v>
      </c>
      <c r="H80" t="s">
        <v>22</v>
      </c>
      <c r="I80" t="s">
        <v>119</v>
      </c>
      <c r="J80" t="s">
        <v>12178</v>
      </c>
      <c r="K80">
        <v>41</v>
      </c>
      <c r="L80" t="s">
        <v>49</v>
      </c>
      <c r="M80" t="s">
        <v>130</v>
      </c>
      <c r="N80" t="s">
        <v>84</v>
      </c>
      <c r="O80" t="s">
        <v>28</v>
      </c>
      <c r="P80" t="s">
        <v>31</v>
      </c>
      <c r="Q80">
        <v>0</v>
      </c>
      <c r="R80" t="s">
        <v>12883</v>
      </c>
      <c r="S80" t="s">
        <v>12886</v>
      </c>
    </row>
    <row r="81" spans="1:19" x14ac:dyDescent="0.25">
      <c r="A81" t="s">
        <v>4783</v>
      </c>
      <c r="B81" s="1">
        <v>45868</v>
      </c>
      <c r="C81" t="s">
        <v>12885</v>
      </c>
      <c r="D81" s="5">
        <v>0.57290509259259259</v>
      </c>
      <c r="E81">
        <v>972.87</v>
      </c>
      <c r="F81" t="s">
        <v>44</v>
      </c>
      <c r="G81" t="s">
        <v>3526</v>
      </c>
      <c r="H81" t="s">
        <v>71</v>
      </c>
      <c r="I81" t="s">
        <v>50</v>
      </c>
      <c r="J81" t="s">
        <v>4784</v>
      </c>
      <c r="K81">
        <v>64</v>
      </c>
      <c r="L81" t="s">
        <v>37</v>
      </c>
      <c r="M81" t="s">
        <v>50</v>
      </c>
      <c r="N81" t="s">
        <v>39</v>
      </c>
      <c r="O81" t="s">
        <v>113</v>
      </c>
      <c r="P81" t="s">
        <v>31</v>
      </c>
      <c r="Q81">
        <v>0</v>
      </c>
      <c r="R81" t="s">
        <v>12883</v>
      </c>
      <c r="S81" t="s">
        <v>12884</v>
      </c>
    </row>
    <row r="82" spans="1:19" x14ac:dyDescent="0.25">
      <c r="A82" t="s">
        <v>1100</v>
      </c>
      <c r="B82" s="1">
        <v>45864</v>
      </c>
      <c r="C82" t="s">
        <v>12885</v>
      </c>
      <c r="D82" s="5">
        <v>0.15427083333333333</v>
      </c>
      <c r="E82">
        <v>970.24</v>
      </c>
      <c r="F82" t="s">
        <v>44</v>
      </c>
      <c r="G82" t="s">
        <v>1101</v>
      </c>
      <c r="H82" t="s">
        <v>124</v>
      </c>
      <c r="I82" t="s">
        <v>110</v>
      </c>
      <c r="J82" t="s">
        <v>1102</v>
      </c>
      <c r="K82">
        <v>53</v>
      </c>
      <c r="L82" t="s">
        <v>37</v>
      </c>
      <c r="M82" t="s">
        <v>119</v>
      </c>
      <c r="N82" t="s">
        <v>112</v>
      </c>
      <c r="O82" t="s">
        <v>28</v>
      </c>
      <c r="P82" t="s">
        <v>31</v>
      </c>
      <c r="Q82">
        <v>0</v>
      </c>
      <c r="R82" t="s">
        <v>12883</v>
      </c>
      <c r="S82" t="s">
        <v>12886</v>
      </c>
    </row>
    <row r="83" spans="1:19" x14ac:dyDescent="0.25">
      <c r="A83" t="s">
        <v>2809</v>
      </c>
      <c r="B83" s="1">
        <v>45824</v>
      </c>
      <c r="C83" t="s">
        <v>12888</v>
      </c>
      <c r="D83" s="5">
        <v>0.13046296296296298</v>
      </c>
      <c r="E83">
        <v>956.27</v>
      </c>
      <c r="F83" t="s">
        <v>44</v>
      </c>
      <c r="G83" t="s">
        <v>2810</v>
      </c>
      <c r="H83" t="s">
        <v>22</v>
      </c>
      <c r="I83" t="s">
        <v>130</v>
      </c>
      <c r="J83" t="s">
        <v>2811</v>
      </c>
      <c r="K83">
        <v>21</v>
      </c>
      <c r="L83" t="s">
        <v>49</v>
      </c>
      <c r="M83" t="s">
        <v>50</v>
      </c>
      <c r="N83" t="s">
        <v>84</v>
      </c>
      <c r="O83" t="s">
        <v>28</v>
      </c>
      <c r="P83" t="s">
        <v>31</v>
      </c>
      <c r="Q83">
        <v>0</v>
      </c>
      <c r="R83" t="s">
        <v>12883</v>
      </c>
      <c r="S83" t="s">
        <v>12892</v>
      </c>
    </row>
    <row r="84" spans="1:19" x14ac:dyDescent="0.25">
      <c r="A84" t="s">
        <v>10918</v>
      </c>
      <c r="B84" s="1">
        <v>45956</v>
      </c>
      <c r="C84" t="s">
        <v>12890</v>
      </c>
      <c r="D84" s="5">
        <v>0.63747685185185188</v>
      </c>
      <c r="E84">
        <v>954.5</v>
      </c>
      <c r="F84" t="s">
        <v>44</v>
      </c>
      <c r="G84" t="s">
        <v>8247</v>
      </c>
      <c r="H84" t="s">
        <v>57</v>
      </c>
      <c r="I84" t="s">
        <v>248</v>
      </c>
      <c r="J84" t="s">
        <v>10919</v>
      </c>
      <c r="K84">
        <v>23</v>
      </c>
      <c r="L84" t="s">
        <v>37</v>
      </c>
      <c r="M84" t="s">
        <v>146</v>
      </c>
      <c r="N84" t="s">
        <v>27</v>
      </c>
      <c r="O84" t="s">
        <v>28</v>
      </c>
      <c r="P84" t="s">
        <v>31</v>
      </c>
      <c r="Q84">
        <v>1</v>
      </c>
      <c r="R84" t="s">
        <v>12891</v>
      </c>
      <c r="S84" t="s">
        <v>12892</v>
      </c>
    </row>
    <row r="85" spans="1:19" x14ac:dyDescent="0.25">
      <c r="A85" t="s">
        <v>10619</v>
      </c>
      <c r="B85" s="1">
        <v>45811</v>
      </c>
      <c r="C85" t="s">
        <v>12888</v>
      </c>
      <c r="D85" s="5">
        <v>9.5208333333333339E-2</v>
      </c>
      <c r="E85">
        <v>951.99</v>
      </c>
      <c r="F85" t="s">
        <v>44</v>
      </c>
      <c r="G85" t="s">
        <v>1818</v>
      </c>
      <c r="H85" t="s">
        <v>96</v>
      </c>
      <c r="I85" t="s">
        <v>38</v>
      </c>
      <c r="J85" t="s">
        <v>10620</v>
      </c>
      <c r="K85">
        <v>63</v>
      </c>
      <c r="L85" t="s">
        <v>25</v>
      </c>
      <c r="M85" t="s">
        <v>47</v>
      </c>
      <c r="N85" t="s">
        <v>27</v>
      </c>
      <c r="O85" t="s">
        <v>28</v>
      </c>
      <c r="P85" t="s">
        <v>31</v>
      </c>
      <c r="Q85">
        <v>0</v>
      </c>
      <c r="R85" t="s">
        <v>12883</v>
      </c>
      <c r="S85" t="s">
        <v>12884</v>
      </c>
    </row>
    <row r="86" spans="1:19" x14ac:dyDescent="0.25">
      <c r="A86" t="s">
        <v>7258</v>
      </c>
      <c r="B86" s="1">
        <v>45911</v>
      </c>
      <c r="C86" t="s">
        <v>12882</v>
      </c>
      <c r="D86" s="5">
        <v>0.64262731481481483</v>
      </c>
      <c r="E86">
        <v>950.34</v>
      </c>
      <c r="F86" t="s">
        <v>44</v>
      </c>
      <c r="G86" t="s">
        <v>5192</v>
      </c>
      <c r="H86" t="s">
        <v>96</v>
      </c>
      <c r="I86" t="s">
        <v>119</v>
      </c>
      <c r="J86" t="s">
        <v>7259</v>
      </c>
      <c r="K86">
        <v>65</v>
      </c>
      <c r="L86" t="s">
        <v>25</v>
      </c>
      <c r="M86" t="s">
        <v>26</v>
      </c>
      <c r="N86" t="s">
        <v>112</v>
      </c>
      <c r="O86" t="s">
        <v>28</v>
      </c>
      <c r="P86" t="s">
        <v>31</v>
      </c>
      <c r="Q86">
        <v>0</v>
      </c>
      <c r="R86" t="s">
        <v>12883</v>
      </c>
      <c r="S86" t="s">
        <v>12884</v>
      </c>
    </row>
    <row r="87" spans="1:19" x14ac:dyDescent="0.25">
      <c r="A87" t="s">
        <v>4301</v>
      </c>
      <c r="B87" s="1">
        <v>45819</v>
      </c>
      <c r="C87" t="s">
        <v>12888</v>
      </c>
      <c r="D87" s="5">
        <v>0.6744444444444444</v>
      </c>
      <c r="E87">
        <v>950.08</v>
      </c>
      <c r="F87" t="s">
        <v>44</v>
      </c>
      <c r="G87" t="s">
        <v>3017</v>
      </c>
      <c r="H87" t="s">
        <v>71</v>
      </c>
      <c r="I87" t="s">
        <v>91</v>
      </c>
      <c r="J87" t="s">
        <v>4302</v>
      </c>
      <c r="K87">
        <v>45</v>
      </c>
      <c r="L87" t="s">
        <v>25</v>
      </c>
      <c r="M87" t="s">
        <v>248</v>
      </c>
      <c r="N87" t="s">
        <v>84</v>
      </c>
      <c r="O87" t="s">
        <v>28</v>
      </c>
      <c r="P87" t="s">
        <v>31</v>
      </c>
      <c r="Q87">
        <v>0</v>
      </c>
      <c r="R87" t="s">
        <v>12883</v>
      </c>
      <c r="S87" t="s">
        <v>12886</v>
      </c>
    </row>
    <row r="88" spans="1:19" x14ac:dyDescent="0.25">
      <c r="A88" t="s">
        <v>9336</v>
      </c>
      <c r="B88" s="1">
        <v>45877</v>
      </c>
      <c r="C88" t="s">
        <v>12893</v>
      </c>
      <c r="D88" s="5">
        <v>0.32711805555555556</v>
      </c>
      <c r="E88">
        <v>948.76</v>
      </c>
      <c r="F88" t="s">
        <v>44</v>
      </c>
      <c r="G88" t="s">
        <v>5853</v>
      </c>
      <c r="H88" t="s">
        <v>64</v>
      </c>
      <c r="I88" t="s">
        <v>91</v>
      </c>
      <c r="J88" t="s">
        <v>9337</v>
      </c>
      <c r="K88">
        <v>28</v>
      </c>
      <c r="L88" t="s">
        <v>37</v>
      </c>
      <c r="M88" t="s">
        <v>248</v>
      </c>
      <c r="N88" t="s">
        <v>51</v>
      </c>
      <c r="O88" t="s">
        <v>28</v>
      </c>
      <c r="P88" t="s">
        <v>31</v>
      </c>
      <c r="Q88">
        <v>0</v>
      </c>
      <c r="R88" t="s">
        <v>12883</v>
      </c>
      <c r="S88" t="s">
        <v>12889</v>
      </c>
    </row>
    <row r="89" spans="1:19" x14ac:dyDescent="0.25">
      <c r="A89" t="s">
        <v>10718</v>
      </c>
      <c r="B89" s="1">
        <v>45926</v>
      </c>
      <c r="C89" t="s">
        <v>12882</v>
      </c>
      <c r="D89" s="5">
        <v>0.55518518518518523</v>
      </c>
      <c r="E89">
        <v>948.51</v>
      </c>
      <c r="F89" t="s">
        <v>44</v>
      </c>
      <c r="G89" t="s">
        <v>423</v>
      </c>
      <c r="H89" t="s">
        <v>57</v>
      </c>
      <c r="I89" t="s">
        <v>119</v>
      </c>
      <c r="J89" t="s">
        <v>10719</v>
      </c>
      <c r="K89">
        <v>53</v>
      </c>
      <c r="L89" t="s">
        <v>37</v>
      </c>
      <c r="M89" t="s">
        <v>26</v>
      </c>
      <c r="N89" t="s">
        <v>51</v>
      </c>
      <c r="O89" t="s">
        <v>28</v>
      </c>
      <c r="P89" t="s">
        <v>31</v>
      </c>
      <c r="Q89">
        <v>0</v>
      </c>
      <c r="R89" t="s">
        <v>12883</v>
      </c>
      <c r="S89" t="s">
        <v>12886</v>
      </c>
    </row>
    <row r="90" spans="1:19" x14ac:dyDescent="0.25">
      <c r="A90" t="s">
        <v>9006</v>
      </c>
      <c r="B90" s="1">
        <v>45869</v>
      </c>
      <c r="C90" t="s">
        <v>12885</v>
      </c>
      <c r="D90" s="5">
        <v>0.47239583333333335</v>
      </c>
      <c r="E90">
        <v>947.02</v>
      </c>
      <c r="F90" t="s">
        <v>44</v>
      </c>
      <c r="G90" t="s">
        <v>9007</v>
      </c>
      <c r="H90" t="s">
        <v>71</v>
      </c>
      <c r="I90" t="s">
        <v>119</v>
      </c>
      <c r="J90" t="s">
        <v>9008</v>
      </c>
      <c r="K90">
        <v>45</v>
      </c>
      <c r="L90" t="s">
        <v>37</v>
      </c>
      <c r="M90" t="s">
        <v>146</v>
      </c>
      <c r="N90" t="s">
        <v>27</v>
      </c>
      <c r="O90" t="s">
        <v>28</v>
      </c>
      <c r="P90" t="s">
        <v>31</v>
      </c>
      <c r="Q90">
        <v>0</v>
      </c>
      <c r="R90" t="s">
        <v>12883</v>
      </c>
      <c r="S90" t="s">
        <v>12886</v>
      </c>
    </row>
    <row r="91" spans="1:19" x14ac:dyDescent="0.25">
      <c r="A91" t="s">
        <v>7820</v>
      </c>
      <c r="B91" s="1">
        <v>45836</v>
      </c>
      <c r="C91" t="s">
        <v>12888</v>
      </c>
      <c r="D91" s="5">
        <v>1.2256944444444445E-2</v>
      </c>
      <c r="E91">
        <v>943.97</v>
      </c>
      <c r="F91" t="s">
        <v>44</v>
      </c>
      <c r="G91" t="s">
        <v>7821</v>
      </c>
      <c r="H91" t="s">
        <v>34</v>
      </c>
      <c r="I91" t="s">
        <v>50</v>
      </c>
      <c r="J91" t="s">
        <v>7822</v>
      </c>
      <c r="K91">
        <v>44</v>
      </c>
      <c r="L91" t="s">
        <v>37</v>
      </c>
      <c r="M91" t="s">
        <v>58</v>
      </c>
      <c r="N91" t="s">
        <v>51</v>
      </c>
      <c r="O91" t="s">
        <v>28</v>
      </c>
      <c r="P91" t="s">
        <v>31</v>
      </c>
      <c r="Q91">
        <v>0</v>
      </c>
      <c r="R91" t="s">
        <v>12883</v>
      </c>
      <c r="S91" t="s">
        <v>12886</v>
      </c>
    </row>
    <row r="92" spans="1:19" x14ac:dyDescent="0.25">
      <c r="A92" t="s">
        <v>8274</v>
      </c>
      <c r="B92" s="1">
        <v>45914</v>
      </c>
      <c r="C92" t="s">
        <v>12882</v>
      </c>
      <c r="D92" s="5">
        <v>2.8055555555555556E-2</v>
      </c>
      <c r="E92">
        <v>943.4</v>
      </c>
      <c r="F92" t="s">
        <v>44</v>
      </c>
      <c r="G92" t="s">
        <v>5138</v>
      </c>
      <c r="H92" t="s">
        <v>77</v>
      </c>
      <c r="I92" t="s">
        <v>50</v>
      </c>
      <c r="J92" t="s">
        <v>8275</v>
      </c>
      <c r="K92">
        <v>60</v>
      </c>
      <c r="L92" t="s">
        <v>37</v>
      </c>
      <c r="M92" t="s">
        <v>110</v>
      </c>
      <c r="N92" t="s">
        <v>51</v>
      </c>
      <c r="O92" t="s">
        <v>28</v>
      </c>
      <c r="P92" t="s">
        <v>31</v>
      </c>
      <c r="Q92">
        <v>0</v>
      </c>
      <c r="R92" t="s">
        <v>12883</v>
      </c>
      <c r="S92" t="s">
        <v>12884</v>
      </c>
    </row>
    <row r="93" spans="1:19" x14ac:dyDescent="0.25">
      <c r="A93" t="s">
        <v>5623</v>
      </c>
      <c r="B93" s="1">
        <v>45926</v>
      </c>
      <c r="C93" t="s">
        <v>12882</v>
      </c>
      <c r="D93" s="5">
        <v>0.22010416666666666</v>
      </c>
      <c r="E93">
        <v>942.23</v>
      </c>
      <c r="F93" t="s">
        <v>44</v>
      </c>
      <c r="G93" t="s">
        <v>5624</v>
      </c>
      <c r="H93" t="s">
        <v>77</v>
      </c>
      <c r="I93" t="s">
        <v>146</v>
      </c>
      <c r="J93" t="s">
        <v>5625</v>
      </c>
      <c r="K93">
        <v>31</v>
      </c>
      <c r="L93" t="s">
        <v>49</v>
      </c>
      <c r="M93" t="s">
        <v>110</v>
      </c>
      <c r="N93" t="s">
        <v>27</v>
      </c>
      <c r="O93" t="s">
        <v>28</v>
      </c>
      <c r="P93" t="s">
        <v>31</v>
      </c>
      <c r="Q93">
        <v>0</v>
      </c>
      <c r="R93" t="s">
        <v>12883</v>
      </c>
      <c r="S93" t="s">
        <v>12889</v>
      </c>
    </row>
    <row r="94" spans="1:19" x14ac:dyDescent="0.25">
      <c r="A94" t="s">
        <v>5713</v>
      </c>
      <c r="B94" s="1">
        <v>45864</v>
      </c>
      <c r="C94" t="s">
        <v>12885</v>
      </c>
      <c r="D94" s="5">
        <v>0.95239583333333333</v>
      </c>
      <c r="E94">
        <v>940.26</v>
      </c>
      <c r="F94" t="s">
        <v>44</v>
      </c>
      <c r="G94" t="s">
        <v>4696</v>
      </c>
      <c r="H94" t="s">
        <v>89</v>
      </c>
      <c r="I94" t="s">
        <v>91</v>
      </c>
      <c r="J94" t="s">
        <v>5714</v>
      </c>
      <c r="K94">
        <v>50</v>
      </c>
      <c r="L94" t="s">
        <v>25</v>
      </c>
      <c r="M94" t="s">
        <v>119</v>
      </c>
      <c r="N94" t="s">
        <v>105</v>
      </c>
      <c r="O94" t="s">
        <v>28</v>
      </c>
      <c r="P94" t="s">
        <v>31</v>
      </c>
      <c r="Q94">
        <v>1</v>
      </c>
      <c r="R94" t="s">
        <v>12891</v>
      </c>
      <c r="S94" t="s">
        <v>12886</v>
      </c>
    </row>
    <row r="95" spans="1:19" x14ac:dyDescent="0.25">
      <c r="A95" t="s">
        <v>3577</v>
      </c>
      <c r="B95" s="1">
        <v>45885</v>
      </c>
      <c r="C95" t="s">
        <v>12893</v>
      </c>
      <c r="D95" s="5">
        <v>0.81322916666666667</v>
      </c>
      <c r="E95">
        <v>940</v>
      </c>
      <c r="F95" t="s">
        <v>44</v>
      </c>
      <c r="G95" t="s">
        <v>1504</v>
      </c>
      <c r="H95" t="s">
        <v>77</v>
      </c>
      <c r="I95" t="s">
        <v>26</v>
      </c>
      <c r="J95" t="s">
        <v>3578</v>
      </c>
      <c r="K95">
        <v>40</v>
      </c>
      <c r="L95" t="s">
        <v>37</v>
      </c>
      <c r="M95" t="s">
        <v>91</v>
      </c>
      <c r="N95" t="s">
        <v>27</v>
      </c>
      <c r="O95" t="s">
        <v>28</v>
      </c>
      <c r="P95" t="s">
        <v>31</v>
      </c>
      <c r="Q95">
        <v>0</v>
      </c>
      <c r="R95" t="s">
        <v>12883</v>
      </c>
      <c r="S95" t="s">
        <v>12886</v>
      </c>
    </row>
    <row r="96" spans="1:19" x14ac:dyDescent="0.25">
      <c r="A96" t="s">
        <v>9929</v>
      </c>
      <c r="B96" s="1">
        <v>45900</v>
      </c>
      <c r="C96" t="s">
        <v>12893</v>
      </c>
      <c r="D96" s="5">
        <v>0.86517361111111113</v>
      </c>
      <c r="E96">
        <v>937.79</v>
      </c>
      <c r="F96" t="s">
        <v>44</v>
      </c>
      <c r="G96" t="s">
        <v>5922</v>
      </c>
      <c r="H96" t="s">
        <v>34</v>
      </c>
      <c r="I96" t="s">
        <v>110</v>
      </c>
      <c r="J96" t="s">
        <v>9930</v>
      </c>
      <c r="K96">
        <v>48</v>
      </c>
      <c r="L96" t="s">
        <v>37</v>
      </c>
      <c r="M96" t="s">
        <v>23</v>
      </c>
      <c r="N96" t="s">
        <v>112</v>
      </c>
      <c r="O96" t="s">
        <v>28</v>
      </c>
      <c r="P96" t="s">
        <v>31</v>
      </c>
      <c r="Q96">
        <v>0</v>
      </c>
      <c r="R96" t="s">
        <v>12883</v>
      </c>
      <c r="S96" t="s">
        <v>12886</v>
      </c>
    </row>
    <row r="97" spans="1:19" x14ac:dyDescent="0.25">
      <c r="A97" t="s">
        <v>10992</v>
      </c>
      <c r="B97" s="1">
        <v>45833</v>
      </c>
      <c r="C97" t="s">
        <v>12888</v>
      </c>
      <c r="D97" s="5">
        <v>0.39432870370370371</v>
      </c>
      <c r="E97">
        <v>933.06</v>
      </c>
      <c r="F97" t="s">
        <v>44</v>
      </c>
      <c r="G97" t="s">
        <v>10993</v>
      </c>
      <c r="H97" t="s">
        <v>64</v>
      </c>
      <c r="I97" t="s">
        <v>35</v>
      </c>
      <c r="J97" t="s">
        <v>10994</v>
      </c>
      <c r="K97">
        <v>32</v>
      </c>
      <c r="L97" t="s">
        <v>37</v>
      </c>
      <c r="M97" t="s">
        <v>97</v>
      </c>
      <c r="N97" t="s">
        <v>112</v>
      </c>
      <c r="O97" t="s">
        <v>28</v>
      </c>
      <c r="P97" t="s">
        <v>31</v>
      </c>
      <c r="Q97">
        <v>0</v>
      </c>
      <c r="R97" t="s">
        <v>12883</v>
      </c>
      <c r="S97" t="s">
        <v>12889</v>
      </c>
    </row>
    <row r="98" spans="1:19" x14ac:dyDescent="0.25">
      <c r="A98" t="s">
        <v>9256</v>
      </c>
      <c r="B98" s="1">
        <v>45887</v>
      </c>
      <c r="C98" t="s">
        <v>12893</v>
      </c>
      <c r="D98" s="5">
        <v>0.71562499999999996</v>
      </c>
      <c r="E98">
        <v>930.07</v>
      </c>
      <c r="F98" t="s">
        <v>44</v>
      </c>
      <c r="G98" t="s">
        <v>3413</v>
      </c>
      <c r="H98" t="s">
        <v>71</v>
      </c>
      <c r="I98" t="s">
        <v>35</v>
      </c>
      <c r="J98" t="s">
        <v>9257</v>
      </c>
      <c r="K98">
        <v>63</v>
      </c>
      <c r="L98" t="s">
        <v>37</v>
      </c>
      <c r="M98" t="s">
        <v>119</v>
      </c>
      <c r="N98" t="s">
        <v>27</v>
      </c>
      <c r="O98" t="s">
        <v>28</v>
      </c>
      <c r="P98" t="s">
        <v>31</v>
      </c>
      <c r="Q98">
        <v>0</v>
      </c>
      <c r="R98" t="s">
        <v>12883</v>
      </c>
      <c r="S98" t="s">
        <v>12884</v>
      </c>
    </row>
    <row r="99" spans="1:19" x14ac:dyDescent="0.25">
      <c r="A99" t="s">
        <v>9386</v>
      </c>
      <c r="B99" s="1">
        <v>45897</v>
      </c>
      <c r="C99" t="s">
        <v>12893</v>
      </c>
      <c r="D99" s="5">
        <v>0.97565972222222219</v>
      </c>
      <c r="E99">
        <v>928.34</v>
      </c>
      <c r="F99" t="s">
        <v>44</v>
      </c>
      <c r="G99" t="s">
        <v>8937</v>
      </c>
      <c r="H99" t="s">
        <v>22</v>
      </c>
      <c r="I99" t="s">
        <v>91</v>
      </c>
      <c r="J99" t="s">
        <v>9387</v>
      </c>
      <c r="K99">
        <v>44</v>
      </c>
      <c r="L99" t="s">
        <v>49</v>
      </c>
      <c r="M99" t="s">
        <v>97</v>
      </c>
      <c r="N99" t="s">
        <v>51</v>
      </c>
      <c r="O99" t="s">
        <v>28</v>
      </c>
      <c r="P99" t="s">
        <v>31</v>
      </c>
      <c r="Q99">
        <v>0</v>
      </c>
      <c r="R99" t="s">
        <v>12883</v>
      </c>
      <c r="S99" t="s">
        <v>12886</v>
      </c>
    </row>
    <row r="100" spans="1:19" x14ac:dyDescent="0.25">
      <c r="A100" t="s">
        <v>10404</v>
      </c>
      <c r="B100" s="1">
        <v>45862</v>
      </c>
      <c r="C100" t="s">
        <v>12885</v>
      </c>
      <c r="D100" s="5">
        <v>0.95901620370370366</v>
      </c>
      <c r="E100">
        <v>923.35</v>
      </c>
      <c r="F100" t="s">
        <v>44</v>
      </c>
      <c r="G100" t="s">
        <v>2340</v>
      </c>
      <c r="H100" t="s">
        <v>57</v>
      </c>
      <c r="I100" t="s">
        <v>110</v>
      </c>
      <c r="J100" t="s">
        <v>10405</v>
      </c>
      <c r="K100">
        <v>23</v>
      </c>
      <c r="L100" t="s">
        <v>25</v>
      </c>
      <c r="M100" t="s">
        <v>91</v>
      </c>
      <c r="N100" t="s">
        <v>27</v>
      </c>
      <c r="O100" t="s">
        <v>28</v>
      </c>
      <c r="P100" t="s">
        <v>31</v>
      </c>
      <c r="Q100">
        <v>0</v>
      </c>
      <c r="R100" t="s">
        <v>12883</v>
      </c>
      <c r="S100" t="s">
        <v>12892</v>
      </c>
    </row>
    <row r="101" spans="1:19" x14ac:dyDescent="0.25">
      <c r="A101" t="s">
        <v>8449</v>
      </c>
      <c r="B101" s="1">
        <v>45856</v>
      </c>
      <c r="C101" t="s">
        <v>12885</v>
      </c>
      <c r="D101" s="5">
        <v>0.34174768518518517</v>
      </c>
      <c r="E101">
        <v>923.09</v>
      </c>
      <c r="F101" t="s">
        <v>44</v>
      </c>
      <c r="G101" t="s">
        <v>145</v>
      </c>
      <c r="H101" t="s">
        <v>96</v>
      </c>
      <c r="I101" t="s">
        <v>58</v>
      </c>
      <c r="J101" t="s">
        <v>8450</v>
      </c>
      <c r="K101">
        <v>45</v>
      </c>
      <c r="L101" t="s">
        <v>49</v>
      </c>
      <c r="M101" t="s">
        <v>50</v>
      </c>
      <c r="N101" t="s">
        <v>27</v>
      </c>
      <c r="O101" t="s">
        <v>28</v>
      </c>
      <c r="P101" t="s">
        <v>31</v>
      </c>
      <c r="Q101">
        <v>0</v>
      </c>
      <c r="R101" t="s">
        <v>12883</v>
      </c>
      <c r="S101" t="s">
        <v>12886</v>
      </c>
    </row>
    <row r="102" spans="1:19" x14ac:dyDescent="0.25">
      <c r="A102" t="s">
        <v>4907</v>
      </c>
      <c r="B102" s="1">
        <v>45877</v>
      </c>
      <c r="C102" t="s">
        <v>12893</v>
      </c>
      <c r="D102" s="5">
        <v>0.96824074074074074</v>
      </c>
      <c r="E102">
        <v>921.5</v>
      </c>
      <c r="F102" t="s">
        <v>44</v>
      </c>
      <c r="G102" t="s">
        <v>787</v>
      </c>
      <c r="H102" t="s">
        <v>34</v>
      </c>
      <c r="I102" t="s">
        <v>35</v>
      </c>
      <c r="J102" t="s">
        <v>4908</v>
      </c>
      <c r="K102">
        <v>50</v>
      </c>
      <c r="L102" t="s">
        <v>49</v>
      </c>
      <c r="M102" t="s">
        <v>50</v>
      </c>
      <c r="N102" t="s">
        <v>27</v>
      </c>
      <c r="O102" t="s">
        <v>28</v>
      </c>
      <c r="P102" t="s">
        <v>31</v>
      </c>
      <c r="Q102">
        <v>0</v>
      </c>
      <c r="R102" t="s">
        <v>12883</v>
      </c>
      <c r="S102" t="s">
        <v>12886</v>
      </c>
    </row>
    <row r="103" spans="1:19" x14ac:dyDescent="0.25">
      <c r="A103" t="s">
        <v>5894</v>
      </c>
      <c r="B103" s="1">
        <v>45810</v>
      </c>
      <c r="C103" t="s">
        <v>12888</v>
      </c>
      <c r="D103" s="5">
        <v>0.53473379629629625</v>
      </c>
      <c r="E103">
        <v>919.36</v>
      </c>
      <c r="F103" t="s">
        <v>44</v>
      </c>
      <c r="G103" t="s">
        <v>3385</v>
      </c>
      <c r="H103" t="s">
        <v>96</v>
      </c>
      <c r="I103" t="s">
        <v>248</v>
      </c>
      <c r="J103" t="s">
        <v>5895</v>
      </c>
      <c r="K103">
        <v>54</v>
      </c>
      <c r="L103" t="s">
        <v>49</v>
      </c>
      <c r="M103" t="s">
        <v>58</v>
      </c>
      <c r="N103" t="s">
        <v>51</v>
      </c>
      <c r="O103" t="s">
        <v>28</v>
      </c>
      <c r="P103" t="s">
        <v>31</v>
      </c>
      <c r="Q103">
        <v>0</v>
      </c>
      <c r="R103" t="s">
        <v>12883</v>
      </c>
      <c r="S103" t="s">
        <v>12886</v>
      </c>
    </row>
    <row r="104" spans="1:19" x14ac:dyDescent="0.25">
      <c r="A104" t="s">
        <v>3843</v>
      </c>
      <c r="B104" s="1">
        <v>45833</v>
      </c>
      <c r="C104" t="s">
        <v>12888</v>
      </c>
      <c r="D104" s="5">
        <v>0.93475694444444446</v>
      </c>
      <c r="E104">
        <v>919.08</v>
      </c>
      <c r="F104" t="s">
        <v>44</v>
      </c>
      <c r="G104" t="s">
        <v>946</v>
      </c>
      <c r="H104" t="s">
        <v>22</v>
      </c>
      <c r="I104" t="s">
        <v>47</v>
      </c>
      <c r="J104" t="s">
        <v>3844</v>
      </c>
      <c r="K104">
        <v>44</v>
      </c>
      <c r="L104" t="s">
        <v>25</v>
      </c>
      <c r="M104" t="s">
        <v>23</v>
      </c>
      <c r="N104" t="s">
        <v>105</v>
      </c>
      <c r="O104" t="s">
        <v>28</v>
      </c>
      <c r="P104" t="s">
        <v>31</v>
      </c>
      <c r="Q104">
        <v>0</v>
      </c>
      <c r="R104" t="s">
        <v>12883</v>
      </c>
      <c r="S104" t="s">
        <v>12886</v>
      </c>
    </row>
    <row r="105" spans="1:19" x14ac:dyDescent="0.25">
      <c r="A105" t="s">
        <v>5312</v>
      </c>
      <c r="B105" s="1">
        <v>45841</v>
      </c>
      <c r="C105" t="s">
        <v>12885</v>
      </c>
      <c r="D105" s="5">
        <v>0.57695601851851852</v>
      </c>
      <c r="E105">
        <v>916.16</v>
      </c>
      <c r="F105" t="s">
        <v>44</v>
      </c>
      <c r="G105" t="s">
        <v>1101</v>
      </c>
      <c r="H105" t="s">
        <v>89</v>
      </c>
      <c r="I105" t="s">
        <v>50</v>
      </c>
      <c r="J105" t="s">
        <v>5313</v>
      </c>
      <c r="K105">
        <v>43</v>
      </c>
      <c r="L105" t="s">
        <v>25</v>
      </c>
      <c r="M105" t="s">
        <v>38</v>
      </c>
      <c r="N105" t="s">
        <v>39</v>
      </c>
      <c r="O105" t="s">
        <v>28</v>
      </c>
      <c r="P105" t="s">
        <v>31</v>
      </c>
      <c r="Q105">
        <v>0</v>
      </c>
      <c r="R105" t="s">
        <v>12883</v>
      </c>
      <c r="S105" t="s">
        <v>12886</v>
      </c>
    </row>
    <row r="106" spans="1:19" x14ac:dyDescent="0.25">
      <c r="A106" t="s">
        <v>8086</v>
      </c>
      <c r="B106" s="1">
        <v>45857</v>
      </c>
      <c r="C106" t="s">
        <v>12885</v>
      </c>
      <c r="D106" s="5">
        <v>0.14813657407407407</v>
      </c>
      <c r="E106">
        <v>909.08</v>
      </c>
      <c r="F106" t="s">
        <v>44</v>
      </c>
      <c r="G106" t="s">
        <v>7192</v>
      </c>
      <c r="H106" t="s">
        <v>89</v>
      </c>
      <c r="I106" t="s">
        <v>130</v>
      </c>
      <c r="J106" t="s">
        <v>8087</v>
      </c>
      <c r="K106">
        <v>68</v>
      </c>
      <c r="L106" t="s">
        <v>25</v>
      </c>
      <c r="M106" t="s">
        <v>130</v>
      </c>
      <c r="N106" t="s">
        <v>112</v>
      </c>
      <c r="O106" t="s">
        <v>113</v>
      </c>
      <c r="P106" t="s">
        <v>31</v>
      </c>
      <c r="Q106">
        <v>0</v>
      </c>
      <c r="R106" t="s">
        <v>12883</v>
      </c>
      <c r="S106" t="s">
        <v>12884</v>
      </c>
    </row>
    <row r="107" spans="1:19" x14ac:dyDescent="0.25">
      <c r="A107" t="s">
        <v>7985</v>
      </c>
      <c r="B107" s="1">
        <v>45921</v>
      </c>
      <c r="C107" t="s">
        <v>12882</v>
      </c>
      <c r="D107" s="5">
        <v>0.74435185185185182</v>
      </c>
      <c r="E107">
        <v>907.55</v>
      </c>
      <c r="F107" t="s">
        <v>44</v>
      </c>
      <c r="G107" t="s">
        <v>5335</v>
      </c>
      <c r="H107" t="s">
        <v>71</v>
      </c>
      <c r="I107" t="s">
        <v>35</v>
      </c>
      <c r="J107" t="s">
        <v>7986</v>
      </c>
      <c r="K107">
        <v>74</v>
      </c>
      <c r="L107" t="s">
        <v>49</v>
      </c>
      <c r="M107" t="s">
        <v>58</v>
      </c>
      <c r="N107" t="s">
        <v>27</v>
      </c>
      <c r="O107" t="s">
        <v>28</v>
      </c>
      <c r="P107" t="s">
        <v>31</v>
      </c>
      <c r="Q107">
        <v>0</v>
      </c>
      <c r="R107" t="s">
        <v>12883</v>
      </c>
      <c r="S107" t="s">
        <v>12884</v>
      </c>
    </row>
    <row r="108" spans="1:19" x14ac:dyDescent="0.25">
      <c r="A108" t="s">
        <v>6672</v>
      </c>
      <c r="B108" s="1">
        <v>45898</v>
      </c>
      <c r="C108" t="s">
        <v>12893</v>
      </c>
      <c r="D108" s="5">
        <v>0.90793981481481478</v>
      </c>
      <c r="E108">
        <v>905.42</v>
      </c>
      <c r="F108" t="s">
        <v>44</v>
      </c>
      <c r="G108" t="s">
        <v>3385</v>
      </c>
      <c r="H108" t="s">
        <v>34</v>
      </c>
      <c r="I108" t="s">
        <v>110</v>
      </c>
      <c r="J108" t="s">
        <v>6673</v>
      </c>
      <c r="K108">
        <v>46</v>
      </c>
      <c r="L108" t="s">
        <v>37</v>
      </c>
      <c r="M108" t="s">
        <v>47</v>
      </c>
      <c r="N108" t="s">
        <v>27</v>
      </c>
      <c r="O108" t="s">
        <v>28</v>
      </c>
      <c r="P108" t="s">
        <v>31</v>
      </c>
      <c r="Q108">
        <v>0</v>
      </c>
      <c r="R108" t="s">
        <v>12883</v>
      </c>
      <c r="S108" t="s">
        <v>12886</v>
      </c>
    </row>
    <row r="109" spans="1:19" x14ac:dyDescent="0.25">
      <c r="A109" t="s">
        <v>892</v>
      </c>
      <c r="B109" s="1">
        <v>45916</v>
      </c>
      <c r="C109" t="s">
        <v>12882</v>
      </c>
      <c r="D109" s="5">
        <v>0.68574074074074076</v>
      </c>
      <c r="E109">
        <v>904.57</v>
      </c>
      <c r="F109" t="s">
        <v>44</v>
      </c>
      <c r="G109" t="s">
        <v>893</v>
      </c>
      <c r="H109" t="s">
        <v>64</v>
      </c>
      <c r="I109" t="s">
        <v>146</v>
      </c>
      <c r="J109" t="s">
        <v>894</v>
      </c>
      <c r="K109">
        <v>57</v>
      </c>
      <c r="L109" t="s">
        <v>37</v>
      </c>
      <c r="M109" t="s">
        <v>66</v>
      </c>
      <c r="N109" t="s">
        <v>51</v>
      </c>
      <c r="O109" t="s">
        <v>28</v>
      </c>
      <c r="P109" t="s">
        <v>31</v>
      </c>
      <c r="Q109">
        <v>0</v>
      </c>
      <c r="R109" t="s">
        <v>12883</v>
      </c>
      <c r="S109" t="s">
        <v>12886</v>
      </c>
    </row>
    <row r="110" spans="1:19" x14ac:dyDescent="0.25">
      <c r="A110" t="s">
        <v>3634</v>
      </c>
      <c r="B110" s="1">
        <v>45926</v>
      </c>
      <c r="C110" t="s">
        <v>12882</v>
      </c>
      <c r="D110" s="5">
        <v>0.14510416666666667</v>
      </c>
      <c r="E110">
        <v>904.41</v>
      </c>
      <c r="F110" t="s">
        <v>44</v>
      </c>
      <c r="G110" t="s">
        <v>1418</v>
      </c>
      <c r="H110" t="s">
        <v>22</v>
      </c>
      <c r="I110" t="s">
        <v>119</v>
      </c>
      <c r="J110" t="s">
        <v>3635</v>
      </c>
      <c r="K110">
        <v>58</v>
      </c>
      <c r="L110" t="s">
        <v>49</v>
      </c>
      <c r="M110" t="s">
        <v>47</v>
      </c>
      <c r="N110" t="s">
        <v>27</v>
      </c>
      <c r="O110" t="s">
        <v>28</v>
      </c>
      <c r="P110" t="s">
        <v>31</v>
      </c>
      <c r="Q110">
        <v>0</v>
      </c>
      <c r="R110" t="s">
        <v>12883</v>
      </c>
      <c r="S110" t="s">
        <v>12886</v>
      </c>
    </row>
    <row r="111" spans="1:19" x14ac:dyDescent="0.25">
      <c r="A111" t="s">
        <v>8842</v>
      </c>
      <c r="B111" s="1">
        <v>45837</v>
      </c>
      <c r="C111" t="s">
        <v>12888</v>
      </c>
      <c r="D111" s="5">
        <v>0.83412037037037035</v>
      </c>
      <c r="E111">
        <v>902.65</v>
      </c>
      <c r="F111" t="s">
        <v>44</v>
      </c>
      <c r="G111" t="s">
        <v>4329</v>
      </c>
      <c r="H111" t="s">
        <v>64</v>
      </c>
      <c r="I111" t="s">
        <v>97</v>
      </c>
      <c r="J111" t="s">
        <v>8843</v>
      </c>
      <c r="K111">
        <v>41</v>
      </c>
      <c r="L111" t="s">
        <v>49</v>
      </c>
      <c r="M111" t="s">
        <v>23</v>
      </c>
      <c r="N111" t="s">
        <v>105</v>
      </c>
      <c r="O111" t="s">
        <v>28</v>
      </c>
      <c r="P111" t="s">
        <v>31</v>
      </c>
      <c r="Q111">
        <v>0</v>
      </c>
      <c r="R111" t="s">
        <v>12883</v>
      </c>
      <c r="S111" t="s">
        <v>12886</v>
      </c>
    </row>
    <row r="112" spans="1:19" x14ac:dyDescent="0.25">
      <c r="A112" t="s">
        <v>10722</v>
      </c>
      <c r="B112" s="1">
        <v>45854</v>
      </c>
      <c r="C112" t="s">
        <v>12885</v>
      </c>
      <c r="D112" s="5">
        <v>0.15207175925925925</v>
      </c>
      <c r="E112">
        <v>900.54</v>
      </c>
      <c r="F112" t="s">
        <v>44</v>
      </c>
      <c r="G112" t="s">
        <v>1514</v>
      </c>
      <c r="H112" t="s">
        <v>71</v>
      </c>
      <c r="I112" t="s">
        <v>248</v>
      </c>
      <c r="J112" t="s">
        <v>10723</v>
      </c>
      <c r="K112">
        <v>23</v>
      </c>
      <c r="L112" t="s">
        <v>49</v>
      </c>
      <c r="M112" t="s">
        <v>23</v>
      </c>
      <c r="N112" t="s">
        <v>27</v>
      </c>
      <c r="O112" t="s">
        <v>28</v>
      </c>
      <c r="P112" t="s">
        <v>31</v>
      </c>
      <c r="Q112">
        <v>0</v>
      </c>
      <c r="R112" t="s">
        <v>12883</v>
      </c>
      <c r="S112" t="s">
        <v>12892</v>
      </c>
    </row>
    <row r="113" spans="1:19" x14ac:dyDescent="0.25">
      <c r="A113" t="s">
        <v>4824</v>
      </c>
      <c r="B113" s="1">
        <v>45923</v>
      </c>
      <c r="C113" t="s">
        <v>12882</v>
      </c>
      <c r="D113" s="5">
        <v>0.64788194444444447</v>
      </c>
      <c r="E113">
        <v>899.11</v>
      </c>
      <c r="F113" t="s">
        <v>44</v>
      </c>
      <c r="G113" t="s">
        <v>723</v>
      </c>
      <c r="H113" t="s">
        <v>96</v>
      </c>
      <c r="I113" t="s">
        <v>248</v>
      </c>
      <c r="J113" t="s">
        <v>4825</v>
      </c>
      <c r="K113">
        <v>59</v>
      </c>
      <c r="L113" t="s">
        <v>25</v>
      </c>
      <c r="M113" t="s">
        <v>38</v>
      </c>
      <c r="N113" t="s">
        <v>112</v>
      </c>
      <c r="O113" t="s">
        <v>28</v>
      </c>
      <c r="P113" t="s">
        <v>31</v>
      </c>
      <c r="Q113">
        <v>0</v>
      </c>
      <c r="R113" t="s">
        <v>12883</v>
      </c>
      <c r="S113" t="s">
        <v>12886</v>
      </c>
    </row>
    <row r="114" spans="1:19" x14ac:dyDescent="0.25">
      <c r="A114" t="s">
        <v>1798</v>
      </c>
      <c r="B114" s="1">
        <v>45872</v>
      </c>
      <c r="C114" t="s">
        <v>12893</v>
      </c>
      <c r="D114" s="5">
        <v>0.45447916666666666</v>
      </c>
      <c r="E114">
        <v>897.89</v>
      </c>
      <c r="F114" t="s">
        <v>44</v>
      </c>
      <c r="G114" t="s">
        <v>1799</v>
      </c>
      <c r="H114" t="s">
        <v>57</v>
      </c>
      <c r="I114" t="s">
        <v>110</v>
      </c>
      <c r="J114" t="s">
        <v>1800</v>
      </c>
      <c r="K114">
        <v>62</v>
      </c>
      <c r="L114" t="s">
        <v>37</v>
      </c>
      <c r="M114" t="s">
        <v>23</v>
      </c>
      <c r="N114" t="s">
        <v>39</v>
      </c>
      <c r="O114" t="s">
        <v>28</v>
      </c>
      <c r="P114" t="s">
        <v>31</v>
      </c>
      <c r="Q114">
        <v>0</v>
      </c>
      <c r="R114" t="s">
        <v>12883</v>
      </c>
      <c r="S114" t="s">
        <v>12884</v>
      </c>
    </row>
    <row r="115" spans="1:19" x14ac:dyDescent="0.25">
      <c r="A115" t="s">
        <v>7019</v>
      </c>
      <c r="B115" s="1">
        <v>45876</v>
      </c>
      <c r="C115" t="s">
        <v>12893</v>
      </c>
      <c r="D115" s="5">
        <v>1.7071759259259259E-2</v>
      </c>
      <c r="E115">
        <v>896.91</v>
      </c>
      <c r="F115" t="s">
        <v>44</v>
      </c>
      <c r="G115" t="s">
        <v>3375</v>
      </c>
      <c r="H115" t="s">
        <v>22</v>
      </c>
      <c r="I115" t="s">
        <v>248</v>
      </c>
      <c r="J115" t="s">
        <v>7020</v>
      </c>
      <c r="K115">
        <v>59</v>
      </c>
      <c r="L115" t="s">
        <v>25</v>
      </c>
      <c r="M115" t="s">
        <v>119</v>
      </c>
      <c r="N115" t="s">
        <v>112</v>
      </c>
      <c r="O115" t="s">
        <v>28</v>
      </c>
      <c r="P115" t="s">
        <v>31</v>
      </c>
      <c r="Q115">
        <v>0</v>
      </c>
      <c r="R115" t="s">
        <v>12883</v>
      </c>
      <c r="S115" t="s">
        <v>12886</v>
      </c>
    </row>
    <row r="116" spans="1:19" x14ac:dyDescent="0.25">
      <c r="A116" t="s">
        <v>9778</v>
      </c>
      <c r="B116" s="1">
        <v>45785</v>
      </c>
      <c r="C116" t="s">
        <v>12887</v>
      </c>
      <c r="D116" s="5">
        <v>0.3886574074074074</v>
      </c>
      <c r="E116">
        <v>886.95</v>
      </c>
      <c r="F116" t="s">
        <v>44</v>
      </c>
      <c r="G116" t="s">
        <v>258</v>
      </c>
      <c r="H116" t="s">
        <v>71</v>
      </c>
      <c r="I116" t="s">
        <v>26</v>
      </c>
      <c r="J116" t="s">
        <v>9779</v>
      </c>
      <c r="K116">
        <v>20</v>
      </c>
      <c r="L116" t="s">
        <v>37</v>
      </c>
      <c r="M116" t="s">
        <v>146</v>
      </c>
      <c r="N116" t="s">
        <v>27</v>
      </c>
      <c r="O116" t="s">
        <v>28</v>
      </c>
      <c r="P116" t="s">
        <v>31</v>
      </c>
      <c r="Q116">
        <v>0</v>
      </c>
      <c r="R116" t="s">
        <v>12883</v>
      </c>
      <c r="S116" t="s">
        <v>12892</v>
      </c>
    </row>
    <row r="117" spans="1:19" x14ac:dyDescent="0.25">
      <c r="A117" t="s">
        <v>12829</v>
      </c>
      <c r="B117" s="1">
        <v>45789</v>
      </c>
      <c r="C117" t="s">
        <v>12887</v>
      </c>
      <c r="D117" s="5">
        <v>0.67844907407407407</v>
      </c>
      <c r="E117">
        <v>885.67</v>
      </c>
      <c r="F117" t="s">
        <v>44</v>
      </c>
      <c r="G117" t="s">
        <v>1897</v>
      </c>
      <c r="H117" t="s">
        <v>89</v>
      </c>
      <c r="I117" t="s">
        <v>26</v>
      </c>
      <c r="J117" t="s">
        <v>12830</v>
      </c>
      <c r="K117">
        <v>35</v>
      </c>
      <c r="L117" t="s">
        <v>49</v>
      </c>
      <c r="M117" t="s">
        <v>97</v>
      </c>
      <c r="N117" t="s">
        <v>105</v>
      </c>
      <c r="O117" t="s">
        <v>28</v>
      </c>
      <c r="P117" t="s">
        <v>31</v>
      </c>
      <c r="Q117">
        <v>0</v>
      </c>
      <c r="R117" t="s">
        <v>12883</v>
      </c>
      <c r="S117" t="s">
        <v>12889</v>
      </c>
    </row>
    <row r="118" spans="1:19" x14ac:dyDescent="0.25">
      <c r="A118" t="s">
        <v>4851</v>
      </c>
      <c r="B118" s="1">
        <v>45836</v>
      </c>
      <c r="C118" t="s">
        <v>12888</v>
      </c>
      <c r="D118" s="5">
        <v>0.47377314814814814</v>
      </c>
      <c r="E118">
        <v>883.66</v>
      </c>
      <c r="F118" t="s">
        <v>44</v>
      </c>
      <c r="G118" t="s">
        <v>4852</v>
      </c>
      <c r="H118" t="s">
        <v>46</v>
      </c>
      <c r="I118" t="s">
        <v>47</v>
      </c>
      <c r="J118" t="s">
        <v>4853</v>
      </c>
      <c r="K118">
        <v>55</v>
      </c>
      <c r="L118" t="s">
        <v>37</v>
      </c>
      <c r="M118" t="s">
        <v>248</v>
      </c>
      <c r="N118" t="s">
        <v>27</v>
      </c>
      <c r="O118" t="s">
        <v>28</v>
      </c>
      <c r="P118" t="s">
        <v>31</v>
      </c>
      <c r="Q118">
        <v>0</v>
      </c>
      <c r="R118" t="s">
        <v>12883</v>
      </c>
      <c r="S118" t="s">
        <v>12886</v>
      </c>
    </row>
    <row r="119" spans="1:19" x14ac:dyDescent="0.25">
      <c r="A119" t="s">
        <v>176</v>
      </c>
      <c r="B119" s="1">
        <v>45949</v>
      </c>
      <c r="C119" t="s">
        <v>12890</v>
      </c>
      <c r="D119" s="5">
        <v>0.92934027777777772</v>
      </c>
      <c r="E119">
        <v>880.89</v>
      </c>
      <c r="F119" t="s">
        <v>44</v>
      </c>
      <c r="G119" t="s">
        <v>177</v>
      </c>
      <c r="H119" t="s">
        <v>22</v>
      </c>
      <c r="I119" t="s">
        <v>119</v>
      </c>
      <c r="J119" t="s">
        <v>178</v>
      </c>
      <c r="K119">
        <v>54</v>
      </c>
      <c r="L119" t="s">
        <v>37</v>
      </c>
      <c r="M119" t="s">
        <v>50</v>
      </c>
      <c r="N119" t="s">
        <v>105</v>
      </c>
      <c r="O119" t="s">
        <v>28</v>
      </c>
      <c r="P119" t="s">
        <v>31</v>
      </c>
      <c r="Q119">
        <v>0</v>
      </c>
      <c r="R119" t="s">
        <v>12883</v>
      </c>
      <c r="S119" t="s">
        <v>12886</v>
      </c>
    </row>
    <row r="120" spans="1:19" x14ac:dyDescent="0.25">
      <c r="A120" t="s">
        <v>1407</v>
      </c>
      <c r="B120" s="1">
        <v>45951</v>
      </c>
      <c r="C120" t="s">
        <v>12890</v>
      </c>
      <c r="D120" s="5">
        <v>0.33850694444444446</v>
      </c>
      <c r="E120">
        <v>877.12</v>
      </c>
      <c r="F120" t="s">
        <v>44</v>
      </c>
      <c r="G120" t="s">
        <v>1408</v>
      </c>
      <c r="H120" t="s">
        <v>124</v>
      </c>
      <c r="I120" t="s">
        <v>26</v>
      </c>
      <c r="J120" t="s">
        <v>1409</v>
      </c>
      <c r="K120">
        <v>25</v>
      </c>
      <c r="L120" t="s">
        <v>49</v>
      </c>
      <c r="M120" t="s">
        <v>35</v>
      </c>
      <c r="N120" t="s">
        <v>39</v>
      </c>
      <c r="O120" t="s">
        <v>28</v>
      </c>
      <c r="P120" t="s">
        <v>31</v>
      </c>
      <c r="Q120">
        <v>0</v>
      </c>
      <c r="R120" t="s">
        <v>12883</v>
      </c>
      <c r="S120" t="s">
        <v>12889</v>
      </c>
    </row>
    <row r="121" spans="1:19" x14ac:dyDescent="0.25">
      <c r="A121" t="s">
        <v>4434</v>
      </c>
      <c r="B121" s="1">
        <v>45795</v>
      </c>
      <c r="C121" t="s">
        <v>12887</v>
      </c>
      <c r="D121" s="5">
        <v>0.83083333333333331</v>
      </c>
      <c r="E121">
        <v>875.35</v>
      </c>
      <c r="F121" t="s">
        <v>44</v>
      </c>
      <c r="G121" t="s">
        <v>2966</v>
      </c>
      <c r="H121" t="s">
        <v>22</v>
      </c>
      <c r="I121" t="s">
        <v>130</v>
      </c>
      <c r="J121" t="s">
        <v>4435</v>
      </c>
      <c r="K121">
        <v>68</v>
      </c>
      <c r="L121" t="s">
        <v>25</v>
      </c>
      <c r="M121" t="s">
        <v>38</v>
      </c>
      <c r="N121" t="s">
        <v>112</v>
      </c>
      <c r="O121" t="s">
        <v>28</v>
      </c>
      <c r="P121" t="s">
        <v>31</v>
      </c>
      <c r="Q121">
        <v>0</v>
      </c>
      <c r="R121" t="s">
        <v>12883</v>
      </c>
      <c r="S121" t="s">
        <v>12884</v>
      </c>
    </row>
    <row r="122" spans="1:19" x14ac:dyDescent="0.25">
      <c r="A122" t="s">
        <v>1836</v>
      </c>
      <c r="B122" s="1">
        <v>45863</v>
      </c>
      <c r="C122" t="s">
        <v>12885</v>
      </c>
      <c r="D122" s="5">
        <v>0.85472222222222227</v>
      </c>
      <c r="E122">
        <v>871.46</v>
      </c>
      <c r="F122" t="s">
        <v>44</v>
      </c>
      <c r="G122" t="s">
        <v>313</v>
      </c>
      <c r="H122" t="s">
        <v>89</v>
      </c>
      <c r="I122" t="s">
        <v>35</v>
      </c>
      <c r="J122" t="s">
        <v>1837</v>
      </c>
      <c r="K122">
        <v>30</v>
      </c>
      <c r="L122" t="s">
        <v>25</v>
      </c>
      <c r="M122" t="s">
        <v>91</v>
      </c>
      <c r="N122" t="s">
        <v>84</v>
      </c>
      <c r="O122" t="s">
        <v>28</v>
      </c>
      <c r="P122" t="s">
        <v>31</v>
      </c>
      <c r="Q122">
        <v>0</v>
      </c>
      <c r="R122" t="s">
        <v>12883</v>
      </c>
      <c r="S122" t="s">
        <v>12889</v>
      </c>
    </row>
    <row r="123" spans="1:19" x14ac:dyDescent="0.25">
      <c r="A123" t="s">
        <v>1656</v>
      </c>
      <c r="B123" s="1">
        <v>45941</v>
      </c>
      <c r="C123" t="s">
        <v>12890</v>
      </c>
      <c r="D123" s="5">
        <v>0.65307870370370369</v>
      </c>
      <c r="E123">
        <v>867.6</v>
      </c>
      <c r="F123" t="s">
        <v>44</v>
      </c>
      <c r="G123" t="s">
        <v>505</v>
      </c>
      <c r="H123" t="s">
        <v>77</v>
      </c>
      <c r="I123" t="s">
        <v>97</v>
      </c>
      <c r="J123" t="s">
        <v>1657</v>
      </c>
      <c r="K123">
        <v>69</v>
      </c>
      <c r="L123" t="s">
        <v>37</v>
      </c>
      <c r="M123" t="s">
        <v>110</v>
      </c>
      <c r="N123" t="s">
        <v>39</v>
      </c>
      <c r="O123" t="s">
        <v>28</v>
      </c>
      <c r="P123" t="s">
        <v>31</v>
      </c>
      <c r="Q123">
        <v>0</v>
      </c>
      <c r="R123" t="s">
        <v>12883</v>
      </c>
      <c r="S123" t="s">
        <v>12884</v>
      </c>
    </row>
    <row r="124" spans="1:19" x14ac:dyDescent="0.25">
      <c r="A124" t="s">
        <v>12090</v>
      </c>
      <c r="B124" s="1">
        <v>45951</v>
      </c>
      <c r="C124" t="s">
        <v>12890</v>
      </c>
      <c r="D124" s="5">
        <v>2.1909722222222223E-2</v>
      </c>
      <c r="E124">
        <v>866.52</v>
      </c>
      <c r="F124" t="s">
        <v>44</v>
      </c>
      <c r="G124" t="s">
        <v>6949</v>
      </c>
      <c r="H124" t="s">
        <v>34</v>
      </c>
      <c r="I124" t="s">
        <v>35</v>
      </c>
      <c r="J124" t="s">
        <v>12091</v>
      </c>
      <c r="K124">
        <v>21</v>
      </c>
      <c r="L124" t="s">
        <v>37</v>
      </c>
      <c r="M124" t="s">
        <v>130</v>
      </c>
      <c r="N124" t="s">
        <v>112</v>
      </c>
      <c r="O124" t="s">
        <v>28</v>
      </c>
      <c r="P124" t="s">
        <v>31</v>
      </c>
      <c r="Q124">
        <v>0</v>
      </c>
      <c r="R124" t="s">
        <v>12883</v>
      </c>
      <c r="S124" t="s">
        <v>12892</v>
      </c>
    </row>
    <row r="125" spans="1:19" x14ac:dyDescent="0.25">
      <c r="A125" t="s">
        <v>3170</v>
      </c>
      <c r="B125" s="1">
        <v>45924</v>
      </c>
      <c r="C125" t="s">
        <v>12882</v>
      </c>
      <c r="D125" s="5">
        <v>0.86539351851851853</v>
      </c>
      <c r="E125">
        <v>862.22</v>
      </c>
      <c r="F125" t="s">
        <v>44</v>
      </c>
      <c r="G125" t="s">
        <v>3171</v>
      </c>
      <c r="H125" t="s">
        <v>71</v>
      </c>
      <c r="I125" t="s">
        <v>119</v>
      </c>
      <c r="J125" t="s">
        <v>3172</v>
      </c>
      <c r="K125">
        <v>56</v>
      </c>
      <c r="L125" t="s">
        <v>37</v>
      </c>
      <c r="M125" t="s">
        <v>66</v>
      </c>
      <c r="N125" t="s">
        <v>39</v>
      </c>
      <c r="O125" t="s">
        <v>28</v>
      </c>
      <c r="P125" t="s">
        <v>31</v>
      </c>
      <c r="Q125">
        <v>0</v>
      </c>
      <c r="R125" t="s">
        <v>12883</v>
      </c>
      <c r="S125" t="s">
        <v>12886</v>
      </c>
    </row>
    <row r="126" spans="1:19" x14ac:dyDescent="0.25">
      <c r="A126" t="s">
        <v>3365</v>
      </c>
      <c r="B126" s="1">
        <v>45831</v>
      </c>
      <c r="C126" t="s">
        <v>12888</v>
      </c>
      <c r="D126" s="5">
        <v>0.67443287037037036</v>
      </c>
      <c r="E126">
        <v>861.93</v>
      </c>
      <c r="F126" t="s">
        <v>44</v>
      </c>
      <c r="G126" t="s">
        <v>3366</v>
      </c>
      <c r="H126" t="s">
        <v>57</v>
      </c>
      <c r="I126" t="s">
        <v>35</v>
      </c>
      <c r="J126" t="s">
        <v>3367</v>
      </c>
      <c r="K126">
        <v>41</v>
      </c>
      <c r="L126" t="s">
        <v>49</v>
      </c>
      <c r="M126" t="s">
        <v>38</v>
      </c>
      <c r="N126" t="s">
        <v>105</v>
      </c>
      <c r="O126" t="s">
        <v>28</v>
      </c>
      <c r="P126" t="s">
        <v>31</v>
      </c>
      <c r="Q126">
        <v>0</v>
      </c>
      <c r="R126" t="s">
        <v>12883</v>
      </c>
      <c r="S126" t="s">
        <v>12886</v>
      </c>
    </row>
    <row r="127" spans="1:19" x14ac:dyDescent="0.25">
      <c r="A127" t="s">
        <v>7395</v>
      </c>
      <c r="B127" s="1">
        <v>45876</v>
      </c>
      <c r="C127" t="s">
        <v>12893</v>
      </c>
      <c r="D127" s="5">
        <v>0.52788194444444447</v>
      </c>
      <c r="E127">
        <v>860.19</v>
      </c>
      <c r="F127" t="s">
        <v>44</v>
      </c>
      <c r="G127" t="s">
        <v>6265</v>
      </c>
      <c r="H127" t="s">
        <v>89</v>
      </c>
      <c r="I127" t="s">
        <v>248</v>
      </c>
      <c r="J127" t="s">
        <v>4068</v>
      </c>
      <c r="K127">
        <v>34</v>
      </c>
      <c r="L127" t="s">
        <v>49</v>
      </c>
      <c r="M127" t="s">
        <v>97</v>
      </c>
      <c r="N127" t="s">
        <v>39</v>
      </c>
      <c r="O127" t="s">
        <v>28</v>
      </c>
      <c r="P127" t="s">
        <v>31</v>
      </c>
      <c r="Q127">
        <v>0</v>
      </c>
      <c r="R127" t="s">
        <v>12883</v>
      </c>
      <c r="S127" t="s">
        <v>12889</v>
      </c>
    </row>
    <row r="128" spans="1:19" x14ac:dyDescent="0.25">
      <c r="A128" t="s">
        <v>10355</v>
      </c>
      <c r="B128" s="1">
        <v>45898</v>
      </c>
      <c r="C128" t="s">
        <v>12893</v>
      </c>
      <c r="D128" s="5">
        <v>9.1585648148148152E-2</v>
      </c>
      <c r="E128">
        <v>857.54</v>
      </c>
      <c r="F128" t="s">
        <v>44</v>
      </c>
      <c r="G128" t="s">
        <v>4696</v>
      </c>
      <c r="H128" t="s">
        <v>64</v>
      </c>
      <c r="I128" t="s">
        <v>58</v>
      </c>
      <c r="J128" t="s">
        <v>10356</v>
      </c>
      <c r="K128">
        <v>72</v>
      </c>
      <c r="L128" t="s">
        <v>25</v>
      </c>
      <c r="M128" t="s">
        <v>66</v>
      </c>
      <c r="N128" t="s">
        <v>51</v>
      </c>
      <c r="O128" t="s">
        <v>28</v>
      </c>
      <c r="P128" t="s">
        <v>31</v>
      </c>
      <c r="Q128">
        <v>0</v>
      </c>
      <c r="R128" t="s">
        <v>12883</v>
      </c>
      <c r="S128" t="s">
        <v>12884</v>
      </c>
    </row>
    <row r="129" spans="1:19" x14ac:dyDescent="0.25">
      <c r="A129" t="s">
        <v>2520</v>
      </c>
      <c r="B129" s="1">
        <v>45871</v>
      </c>
      <c r="C129" t="s">
        <v>12893</v>
      </c>
      <c r="D129" s="5">
        <v>2.8819444444444444E-3</v>
      </c>
      <c r="E129">
        <v>856.3</v>
      </c>
      <c r="F129" t="s">
        <v>44</v>
      </c>
      <c r="G129" t="s">
        <v>1153</v>
      </c>
      <c r="H129" t="s">
        <v>89</v>
      </c>
      <c r="I129" t="s">
        <v>130</v>
      </c>
      <c r="J129" t="s">
        <v>2521</v>
      </c>
      <c r="K129">
        <v>30</v>
      </c>
      <c r="L129" t="s">
        <v>25</v>
      </c>
      <c r="M129" t="s">
        <v>23</v>
      </c>
      <c r="N129" t="s">
        <v>51</v>
      </c>
      <c r="O129" t="s">
        <v>28</v>
      </c>
      <c r="P129" t="s">
        <v>31</v>
      </c>
      <c r="Q129">
        <v>0</v>
      </c>
      <c r="R129" t="s">
        <v>12883</v>
      </c>
      <c r="S129" t="s">
        <v>12889</v>
      </c>
    </row>
    <row r="130" spans="1:19" x14ac:dyDescent="0.25">
      <c r="A130" t="s">
        <v>11774</v>
      </c>
      <c r="B130" s="1">
        <v>45867</v>
      </c>
      <c r="C130" t="s">
        <v>12885</v>
      </c>
      <c r="D130" s="5">
        <v>0.69811342592592596</v>
      </c>
      <c r="E130">
        <v>852.87</v>
      </c>
      <c r="F130" t="s">
        <v>44</v>
      </c>
      <c r="G130" t="s">
        <v>3553</v>
      </c>
      <c r="H130" t="s">
        <v>124</v>
      </c>
      <c r="I130" t="s">
        <v>91</v>
      </c>
      <c r="J130" t="s">
        <v>11775</v>
      </c>
      <c r="K130">
        <v>60</v>
      </c>
      <c r="L130" t="s">
        <v>49</v>
      </c>
      <c r="M130" t="s">
        <v>38</v>
      </c>
      <c r="N130" t="s">
        <v>105</v>
      </c>
      <c r="O130" t="s">
        <v>28</v>
      </c>
      <c r="P130" t="s">
        <v>31</v>
      </c>
      <c r="Q130">
        <v>0</v>
      </c>
      <c r="R130" t="s">
        <v>12883</v>
      </c>
      <c r="S130" t="s">
        <v>12884</v>
      </c>
    </row>
    <row r="131" spans="1:19" x14ac:dyDescent="0.25">
      <c r="A131" t="s">
        <v>9984</v>
      </c>
      <c r="B131" s="1">
        <v>45913</v>
      </c>
      <c r="C131" t="s">
        <v>12882</v>
      </c>
      <c r="D131" s="5">
        <v>0.26114583333333335</v>
      </c>
      <c r="E131">
        <v>849.25</v>
      </c>
      <c r="F131" t="s">
        <v>44</v>
      </c>
      <c r="G131" t="s">
        <v>6113</v>
      </c>
      <c r="H131" t="s">
        <v>34</v>
      </c>
      <c r="I131" t="s">
        <v>119</v>
      </c>
      <c r="J131" t="s">
        <v>9985</v>
      </c>
      <c r="K131">
        <v>18</v>
      </c>
      <c r="L131" t="s">
        <v>37</v>
      </c>
      <c r="M131" t="s">
        <v>97</v>
      </c>
      <c r="N131" t="s">
        <v>105</v>
      </c>
      <c r="O131" t="s">
        <v>28</v>
      </c>
      <c r="P131" t="s">
        <v>31</v>
      </c>
      <c r="Q131">
        <v>0</v>
      </c>
      <c r="R131" t="s">
        <v>12883</v>
      </c>
      <c r="S131" t="s">
        <v>12892</v>
      </c>
    </row>
    <row r="132" spans="1:19" x14ac:dyDescent="0.25">
      <c r="A132" t="s">
        <v>10174</v>
      </c>
      <c r="B132" s="1">
        <v>45936</v>
      </c>
      <c r="C132" t="s">
        <v>12890</v>
      </c>
      <c r="D132" s="5">
        <v>0.30797453703703703</v>
      </c>
      <c r="E132">
        <v>847.16</v>
      </c>
      <c r="F132" t="s">
        <v>44</v>
      </c>
      <c r="G132" t="s">
        <v>6265</v>
      </c>
      <c r="H132" t="s">
        <v>34</v>
      </c>
      <c r="I132" t="s">
        <v>110</v>
      </c>
      <c r="J132" t="s">
        <v>10175</v>
      </c>
      <c r="K132">
        <v>70</v>
      </c>
      <c r="L132" t="s">
        <v>25</v>
      </c>
      <c r="M132" t="s">
        <v>23</v>
      </c>
      <c r="N132" t="s">
        <v>27</v>
      </c>
      <c r="O132" t="s">
        <v>28</v>
      </c>
      <c r="P132" t="s">
        <v>31</v>
      </c>
      <c r="Q132">
        <v>0</v>
      </c>
      <c r="R132" t="s">
        <v>12883</v>
      </c>
      <c r="S132" t="s">
        <v>12884</v>
      </c>
    </row>
    <row r="133" spans="1:19" x14ac:dyDescent="0.25">
      <c r="A133" t="s">
        <v>595</v>
      </c>
      <c r="B133" s="1">
        <v>45800</v>
      </c>
      <c r="C133" t="s">
        <v>12887</v>
      </c>
      <c r="D133" s="5">
        <v>0.64659722222222227</v>
      </c>
      <c r="E133">
        <v>846.05</v>
      </c>
      <c r="F133" t="s">
        <v>44</v>
      </c>
      <c r="G133" t="s">
        <v>596</v>
      </c>
      <c r="H133" t="s">
        <v>34</v>
      </c>
      <c r="I133" t="s">
        <v>58</v>
      </c>
      <c r="J133" t="s">
        <v>597</v>
      </c>
      <c r="K133">
        <v>45</v>
      </c>
      <c r="L133" t="s">
        <v>49</v>
      </c>
      <c r="M133" t="s">
        <v>38</v>
      </c>
      <c r="N133" t="s">
        <v>27</v>
      </c>
      <c r="O133" t="s">
        <v>28</v>
      </c>
      <c r="P133" t="s">
        <v>31</v>
      </c>
      <c r="Q133">
        <v>0</v>
      </c>
      <c r="R133" t="s">
        <v>12883</v>
      </c>
      <c r="S133" t="s">
        <v>12886</v>
      </c>
    </row>
    <row r="134" spans="1:19" x14ac:dyDescent="0.25">
      <c r="A134" t="s">
        <v>11701</v>
      </c>
      <c r="B134" s="1">
        <v>45955</v>
      </c>
      <c r="C134" t="s">
        <v>12890</v>
      </c>
      <c r="D134" s="5">
        <v>0.76637731481481486</v>
      </c>
      <c r="E134">
        <v>844.42</v>
      </c>
      <c r="F134" t="s">
        <v>44</v>
      </c>
      <c r="G134" t="s">
        <v>11702</v>
      </c>
      <c r="H134" t="s">
        <v>64</v>
      </c>
      <c r="I134" t="s">
        <v>35</v>
      </c>
      <c r="J134" t="s">
        <v>11703</v>
      </c>
      <c r="K134">
        <v>45</v>
      </c>
      <c r="L134" t="s">
        <v>37</v>
      </c>
      <c r="M134" t="s">
        <v>110</v>
      </c>
      <c r="N134" t="s">
        <v>27</v>
      </c>
      <c r="O134" t="s">
        <v>28</v>
      </c>
      <c r="P134" t="s">
        <v>31</v>
      </c>
      <c r="Q134">
        <v>0</v>
      </c>
      <c r="R134" t="s">
        <v>12883</v>
      </c>
      <c r="S134" t="s">
        <v>12886</v>
      </c>
    </row>
    <row r="135" spans="1:19" x14ac:dyDescent="0.25">
      <c r="A135" t="s">
        <v>211</v>
      </c>
      <c r="B135" s="1">
        <v>45918</v>
      </c>
      <c r="C135" t="s">
        <v>12882</v>
      </c>
      <c r="D135" s="5">
        <v>0.16180555555555556</v>
      </c>
      <c r="E135">
        <v>843.68</v>
      </c>
      <c r="F135" t="s">
        <v>44</v>
      </c>
      <c r="G135" t="s">
        <v>212</v>
      </c>
      <c r="H135" t="s">
        <v>96</v>
      </c>
      <c r="I135" t="s">
        <v>91</v>
      </c>
      <c r="J135" t="s">
        <v>213</v>
      </c>
      <c r="K135">
        <v>45</v>
      </c>
      <c r="L135" t="s">
        <v>49</v>
      </c>
      <c r="M135" t="s">
        <v>26</v>
      </c>
      <c r="N135" t="s">
        <v>112</v>
      </c>
      <c r="O135" t="s">
        <v>28</v>
      </c>
      <c r="P135" t="s">
        <v>31</v>
      </c>
      <c r="Q135">
        <v>0</v>
      </c>
      <c r="R135" t="s">
        <v>12883</v>
      </c>
      <c r="S135" t="s">
        <v>12886</v>
      </c>
    </row>
    <row r="136" spans="1:19" x14ac:dyDescent="0.25">
      <c r="A136" t="s">
        <v>5137</v>
      </c>
      <c r="B136" s="1">
        <v>45870</v>
      </c>
      <c r="C136" t="s">
        <v>12893</v>
      </c>
      <c r="D136" s="5">
        <v>0.23626157407407408</v>
      </c>
      <c r="E136">
        <v>842.12</v>
      </c>
      <c r="F136" t="s">
        <v>44</v>
      </c>
      <c r="G136" t="s">
        <v>5138</v>
      </c>
      <c r="H136" t="s">
        <v>64</v>
      </c>
      <c r="I136" t="s">
        <v>35</v>
      </c>
      <c r="J136" t="s">
        <v>5139</v>
      </c>
      <c r="K136">
        <v>51</v>
      </c>
      <c r="L136" t="s">
        <v>25</v>
      </c>
      <c r="M136" t="s">
        <v>146</v>
      </c>
      <c r="N136" t="s">
        <v>105</v>
      </c>
      <c r="O136" t="s">
        <v>28</v>
      </c>
      <c r="P136" t="s">
        <v>31</v>
      </c>
      <c r="Q136">
        <v>0</v>
      </c>
      <c r="R136" t="s">
        <v>12883</v>
      </c>
      <c r="S136" t="s">
        <v>12886</v>
      </c>
    </row>
    <row r="137" spans="1:19" x14ac:dyDescent="0.25">
      <c r="A137" t="s">
        <v>3676</v>
      </c>
      <c r="B137" s="1">
        <v>45960</v>
      </c>
      <c r="C137" t="s">
        <v>12890</v>
      </c>
      <c r="D137" s="5">
        <v>0.41197916666666667</v>
      </c>
      <c r="E137">
        <v>839.9</v>
      </c>
      <c r="F137" t="s">
        <v>44</v>
      </c>
      <c r="G137" t="s">
        <v>3045</v>
      </c>
      <c r="H137" t="s">
        <v>96</v>
      </c>
      <c r="I137" t="s">
        <v>91</v>
      </c>
      <c r="J137" t="s">
        <v>3677</v>
      </c>
      <c r="K137">
        <v>33</v>
      </c>
      <c r="L137" t="s">
        <v>25</v>
      </c>
      <c r="M137" t="s">
        <v>110</v>
      </c>
      <c r="N137" t="s">
        <v>27</v>
      </c>
      <c r="O137" t="s">
        <v>28</v>
      </c>
      <c r="P137" t="s">
        <v>31</v>
      </c>
      <c r="Q137">
        <v>0</v>
      </c>
      <c r="R137" t="s">
        <v>12883</v>
      </c>
      <c r="S137" t="s">
        <v>12889</v>
      </c>
    </row>
    <row r="138" spans="1:19" x14ac:dyDescent="0.25">
      <c r="A138" t="s">
        <v>7549</v>
      </c>
      <c r="B138" s="1">
        <v>45925</v>
      </c>
      <c r="C138" t="s">
        <v>12882</v>
      </c>
      <c r="D138" s="5">
        <v>0.12969907407407408</v>
      </c>
      <c r="E138">
        <v>835.04</v>
      </c>
      <c r="F138" t="s">
        <v>44</v>
      </c>
      <c r="G138" t="s">
        <v>997</v>
      </c>
      <c r="H138" t="s">
        <v>89</v>
      </c>
      <c r="I138" t="s">
        <v>23</v>
      </c>
      <c r="J138" t="s">
        <v>7550</v>
      </c>
      <c r="K138">
        <v>61</v>
      </c>
      <c r="L138" t="s">
        <v>37</v>
      </c>
      <c r="M138" t="s">
        <v>26</v>
      </c>
      <c r="N138" t="s">
        <v>105</v>
      </c>
      <c r="O138" t="s">
        <v>28</v>
      </c>
      <c r="P138" t="s">
        <v>31</v>
      </c>
      <c r="Q138">
        <v>0</v>
      </c>
      <c r="R138" t="s">
        <v>12883</v>
      </c>
      <c r="S138" t="s">
        <v>12884</v>
      </c>
    </row>
    <row r="139" spans="1:19" x14ac:dyDescent="0.25">
      <c r="A139" t="s">
        <v>12331</v>
      </c>
      <c r="B139" s="1">
        <v>45804</v>
      </c>
      <c r="C139" t="s">
        <v>12887</v>
      </c>
      <c r="D139" s="5">
        <v>0.34318287037037037</v>
      </c>
      <c r="E139">
        <v>832.41</v>
      </c>
      <c r="F139" t="s">
        <v>44</v>
      </c>
      <c r="G139" t="s">
        <v>6546</v>
      </c>
      <c r="H139" t="s">
        <v>89</v>
      </c>
      <c r="I139" t="s">
        <v>26</v>
      </c>
      <c r="J139" t="s">
        <v>12332</v>
      </c>
      <c r="K139">
        <v>53</v>
      </c>
      <c r="L139" t="s">
        <v>49</v>
      </c>
      <c r="M139" t="s">
        <v>47</v>
      </c>
      <c r="N139" t="s">
        <v>105</v>
      </c>
      <c r="O139" t="s">
        <v>28</v>
      </c>
      <c r="P139" t="s">
        <v>31</v>
      </c>
      <c r="Q139">
        <v>0</v>
      </c>
      <c r="R139" t="s">
        <v>12883</v>
      </c>
      <c r="S139" t="s">
        <v>12886</v>
      </c>
    </row>
    <row r="140" spans="1:19" x14ac:dyDescent="0.25">
      <c r="A140" t="s">
        <v>4490</v>
      </c>
      <c r="B140" s="1">
        <v>45856</v>
      </c>
      <c r="C140" t="s">
        <v>12885</v>
      </c>
      <c r="D140" s="5">
        <v>3.7939814814814815E-2</v>
      </c>
      <c r="E140">
        <v>829.93</v>
      </c>
      <c r="F140" t="s">
        <v>44</v>
      </c>
      <c r="G140" t="s">
        <v>4491</v>
      </c>
      <c r="H140" t="s">
        <v>124</v>
      </c>
      <c r="I140" t="s">
        <v>146</v>
      </c>
      <c r="J140" t="s">
        <v>4492</v>
      </c>
      <c r="K140">
        <v>59</v>
      </c>
      <c r="L140" t="s">
        <v>37</v>
      </c>
      <c r="M140" t="s">
        <v>248</v>
      </c>
      <c r="N140" t="s">
        <v>39</v>
      </c>
      <c r="O140" t="s">
        <v>28</v>
      </c>
      <c r="P140" t="s">
        <v>31</v>
      </c>
      <c r="Q140">
        <v>0</v>
      </c>
      <c r="R140" t="s">
        <v>12883</v>
      </c>
      <c r="S140" t="s">
        <v>12886</v>
      </c>
    </row>
    <row r="141" spans="1:19" x14ac:dyDescent="0.25">
      <c r="A141" t="s">
        <v>6833</v>
      </c>
      <c r="B141" s="1">
        <v>45949</v>
      </c>
      <c r="C141" t="s">
        <v>12890</v>
      </c>
      <c r="D141" s="5">
        <v>0.56843750000000004</v>
      </c>
      <c r="E141">
        <v>828.98</v>
      </c>
      <c r="F141" t="s">
        <v>44</v>
      </c>
      <c r="G141" t="s">
        <v>4661</v>
      </c>
      <c r="H141" t="s">
        <v>64</v>
      </c>
      <c r="I141" t="s">
        <v>66</v>
      </c>
      <c r="J141" t="s">
        <v>6834</v>
      </c>
      <c r="K141">
        <v>39</v>
      </c>
      <c r="L141" t="s">
        <v>49</v>
      </c>
      <c r="M141" t="s">
        <v>66</v>
      </c>
      <c r="N141" t="s">
        <v>105</v>
      </c>
      <c r="O141" t="s">
        <v>113</v>
      </c>
      <c r="P141" t="s">
        <v>31</v>
      </c>
      <c r="Q141">
        <v>0</v>
      </c>
      <c r="R141" t="s">
        <v>12883</v>
      </c>
      <c r="S141" t="s">
        <v>12889</v>
      </c>
    </row>
    <row r="142" spans="1:19" x14ac:dyDescent="0.25">
      <c r="A142" t="s">
        <v>9945</v>
      </c>
      <c r="B142" s="1">
        <v>45936</v>
      </c>
      <c r="C142" t="s">
        <v>12890</v>
      </c>
      <c r="D142" s="5">
        <v>0.94737268518518514</v>
      </c>
      <c r="E142">
        <v>825.68</v>
      </c>
      <c r="F142" t="s">
        <v>44</v>
      </c>
      <c r="G142" t="s">
        <v>5067</v>
      </c>
      <c r="H142" t="s">
        <v>71</v>
      </c>
      <c r="I142" t="s">
        <v>110</v>
      </c>
      <c r="J142" t="s">
        <v>9946</v>
      </c>
      <c r="K142">
        <v>71</v>
      </c>
      <c r="L142" t="s">
        <v>25</v>
      </c>
      <c r="M142" t="s">
        <v>119</v>
      </c>
      <c r="N142" t="s">
        <v>39</v>
      </c>
      <c r="O142" t="s">
        <v>28</v>
      </c>
      <c r="P142" t="s">
        <v>31</v>
      </c>
      <c r="Q142">
        <v>0</v>
      </c>
      <c r="R142" t="s">
        <v>12883</v>
      </c>
      <c r="S142" t="s">
        <v>12884</v>
      </c>
    </row>
    <row r="143" spans="1:19" x14ac:dyDescent="0.25">
      <c r="A143" t="s">
        <v>7084</v>
      </c>
      <c r="B143" s="1">
        <v>45947</v>
      </c>
      <c r="C143" t="s">
        <v>12890</v>
      </c>
      <c r="D143" s="5">
        <v>0.39706018518518521</v>
      </c>
      <c r="E143">
        <v>824.83</v>
      </c>
      <c r="F143" t="s">
        <v>44</v>
      </c>
      <c r="G143" t="s">
        <v>1968</v>
      </c>
      <c r="H143" t="s">
        <v>34</v>
      </c>
      <c r="I143" t="s">
        <v>47</v>
      </c>
      <c r="J143" t="s">
        <v>7085</v>
      </c>
      <c r="K143">
        <v>36</v>
      </c>
      <c r="L143" t="s">
        <v>37</v>
      </c>
      <c r="M143" t="s">
        <v>47</v>
      </c>
      <c r="N143" t="s">
        <v>112</v>
      </c>
      <c r="O143" t="s">
        <v>113</v>
      </c>
      <c r="P143" t="s">
        <v>31</v>
      </c>
      <c r="Q143">
        <v>0</v>
      </c>
      <c r="R143" t="s">
        <v>12883</v>
      </c>
      <c r="S143" t="s">
        <v>12889</v>
      </c>
    </row>
    <row r="144" spans="1:19" x14ac:dyDescent="0.25">
      <c r="A144" t="s">
        <v>12745</v>
      </c>
      <c r="B144" s="1">
        <v>45840</v>
      </c>
      <c r="C144" t="s">
        <v>12885</v>
      </c>
      <c r="D144" s="5">
        <v>0.2426736111111111</v>
      </c>
      <c r="E144">
        <v>824.81</v>
      </c>
      <c r="F144" t="s">
        <v>44</v>
      </c>
      <c r="G144" t="s">
        <v>5036</v>
      </c>
      <c r="H144" t="s">
        <v>46</v>
      </c>
      <c r="I144" t="s">
        <v>66</v>
      </c>
      <c r="J144" t="s">
        <v>12746</v>
      </c>
      <c r="K144">
        <v>24</v>
      </c>
      <c r="L144" t="s">
        <v>49</v>
      </c>
      <c r="M144" t="s">
        <v>47</v>
      </c>
      <c r="N144" t="s">
        <v>39</v>
      </c>
      <c r="O144" t="s">
        <v>28</v>
      </c>
      <c r="P144" t="s">
        <v>31</v>
      </c>
      <c r="Q144">
        <v>0</v>
      </c>
      <c r="R144" t="s">
        <v>12883</v>
      </c>
      <c r="S144" t="s">
        <v>12892</v>
      </c>
    </row>
    <row r="145" spans="1:19" x14ac:dyDescent="0.25">
      <c r="A145" t="s">
        <v>6372</v>
      </c>
      <c r="B145" s="1">
        <v>45947</v>
      </c>
      <c r="C145" t="s">
        <v>12890</v>
      </c>
      <c r="D145" s="5">
        <v>0.45399305555555558</v>
      </c>
      <c r="E145">
        <v>818.39</v>
      </c>
      <c r="F145" t="s">
        <v>44</v>
      </c>
      <c r="G145" t="s">
        <v>1823</v>
      </c>
      <c r="H145" t="s">
        <v>57</v>
      </c>
      <c r="I145" t="s">
        <v>38</v>
      </c>
      <c r="J145" t="s">
        <v>6373</v>
      </c>
      <c r="K145">
        <v>65</v>
      </c>
      <c r="L145" t="s">
        <v>37</v>
      </c>
      <c r="M145" t="s">
        <v>23</v>
      </c>
      <c r="N145" t="s">
        <v>84</v>
      </c>
      <c r="O145" t="s">
        <v>28</v>
      </c>
      <c r="P145" t="s">
        <v>31</v>
      </c>
      <c r="Q145">
        <v>0</v>
      </c>
      <c r="R145" t="s">
        <v>12883</v>
      </c>
      <c r="S145" t="s">
        <v>12884</v>
      </c>
    </row>
    <row r="146" spans="1:19" x14ac:dyDescent="0.25">
      <c r="A146" t="s">
        <v>4262</v>
      </c>
      <c r="B146" s="1">
        <v>45934</v>
      </c>
      <c r="C146" t="s">
        <v>12890</v>
      </c>
      <c r="D146" s="5">
        <v>0.14753472222222222</v>
      </c>
      <c r="E146">
        <v>818.36</v>
      </c>
      <c r="F146" t="s">
        <v>44</v>
      </c>
      <c r="G146" t="s">
        <v>4263</v>
      </c>
      <c r="H146" t="s">
        <v>46</v>
      </c>
      <c r="I146" t="s">
        <v>26</v>
      </c>
      <c r="J146" t="s">
        <v>4264</v>
      </c>
      <c r="K146">
        <v>54</v>
      </c>
      <c r="L146" t="s">
        <v>49</v>
      </c>
      <c r="M146" t="s">
        <v>58</v>
      </c>
      <c r="N146" t="s">
        <v>84</v>
      </c>
      <c r="O146" t="s">
        <v>28</v>
      </c>
      <c r="P146" t="s">
        <v>31</v>
      </c>
      <c r="Q146">
        <v>0</v>
      </c>
      <c r="R146" t="s">
        <v>12883</v>
      </c>
      <c r="S146" t="s">
        <v>12886</v>
      </c>
    </row>
    <row r="147" spans="1:19" x14ac:dyDescent="0.25">
      <c r="A147" t="s">
        <v>687</v>
      </c>
      <c r="B147" s="1">
        <v>45907</v>
      </c>
      <c r="C147" t="s">
        <v>12882</v>
      </c>
      <c r="D147" s="5">
        <v>0.67527777777777775</v>
      </c>
      <c r="E147">
        <v>816.11</v>
      </c>
      <c r="F147" t="s">
        <v>44</v>
      </c>
      <c r="G147" t="s">
        <v>688</v>
      </c>
      <c r="H147" t="s">
        <v>89</v>
      </c>
      <c r="I147" t="s">
        <v>146</v>
      </c>
      <c r="J147" t="s">
        <v>689</v>
      </c>
      <c r="K147">
        <v>20</v>
      </c>
      <c r="L147" t="s">
        <v>25</v>
      </c>
      <c r="M147" t="s">
        <v>35</v>
      </c>
      <c r="N147" t="s">
        <v>112</v>
      </c>
      <c r="O147" t="s">
        <v>28</v>
      </c>
      <c r="P147" t="s">
        <v>31</v>
      </c>
      <c r="Q147">
        <v>0</v>
      </c>
      <c r="R147" t="s">
        <v>12883</v>
      </c>
      <c r="S147" t="s">
        <v>12892</v>
      </c>
    </row>
    <row r="148" spans="1:19" x14ac:dyDescent="0.25">
      <c r="A148" t="s">
        <v>4363</v>
      </c>
      <c r="B148" s="1">
        <v>45844</v>
      </c>
      <c r="C148" t="s">
        <v>12885</v>
      </c>
      <c r="D148" s="5">
        <v>0.31318287037037035</v>
      </c>
      <c r="E148">
        <v>813.61</v>
      </c>
      <c r="F148" t="s">
        <v>44</v>
      </c>
      <c r="G148" t="s">
        <v>4364</v>
      </c>
      <c r="H148" t="s">
        <v>71</v>
      </c>
      <c r="I148" t="s">
        <v>66</v>
      </c>
      <c r="J148" t="s">
        <v>4365</v>
      </c>
      <c r="K148">
        <v>20</v>
      </c>
      <c r="L148" t="s">
        <v>25</v>
      </c>
      <c r="M148" t="s">
        <v>66</v>
      </c>
      <c r="N148" t="s">
        <v>39</v>
      </c>
      <c r="O148" t="s">
        <v>113</v>
      </c>
      <c r="P148" t="s">
        <v>31</v>
      </c>
      <c r="Q148">
        <v>0</v>
      </c>
      <c r="R148" t="s">
        <v>12883</v>
      </c>
      <c r="S148" t="s">
        <v>12892</v>
      </c>
    </row>
    <row r="149" spans="1:19" x14ac:dyDescent="0.25">
      <c r="A149" t="s">
        <v>1602</v>
      </c>
      <c r="B149" s="1">
        <v>45812</v>
      </c>
      <c r="C149" t="s">
        <v>12888</v>
      </c>
      <c r="D149" s="5">
        <v>0.88856481481481486</v>
      </c>
      <c r="E149">
        <v>803.57</v>
      </c>
      <c r="F149" t="s">
        <v>44</v>
      </c>
      <c r="G149" t="s">
        <v>1603</v>
      </c>
      <c r="H149" t="s">
        <v>89</v>
      </c>
      <c r="I149" t="s">
        <v>130</v>
      </c>
      <c r="J149" t="s">
        <v>1302</v>
      </c>
      <c r="K149">
        <v>56</v>
      </c>
      <c r="L149" t="s">
        <v>25</v>
      </c>
      <c r="M149" t="s">
        <v>35</v>
      </c>
      <c r="N149" t="s">
        <v>84</v>
      </c>
      <c r="O149" t="s">
        <v>28</v>
      </c>
      <c r="P149" t="s">
        <v>31</v>
      </c>
      <c r="Q149">
        <v>0</v>
      </c>
      <c r="R149" t="s">
        <v>12883</v>
      </c>
      <c r="S149" t="s">
        <v>12886</v>
      </c>
    </row>
    <row r="150" spans="1:19" x14ac:dyDescent="0.25">
      <c r="A150" t="s">
        <v>11139</v>
      </c>
      <c r="B150" s="1">
        <v>45815</v>
      </c>
      <c r="C150" t="s">
        <v>12888</v>
      </c>
      <c r="D150" s="5">
        <v>0.77105324074074078</v>
      </c>
      <c r="E150">
        <v>800.15</v>
      </c>
      <c r="F150" t="s">
        <v>44</v>
      </c>
      <c r="G150" t="s">
        <v>413</v>
      </c>
      <c r="H150" t="s">
        <v>71</v>
      </c>
      <c r="I150" t="s">
        <v>58</v>
      </c>
      <c r="J150" t="s">
        <v>11140</v>
      </c>
      <c r="K150">
        <v>68</v>
      </c>
      <c r="L150" t="s">
        <v>49</v>
      </c>
      <c r="M150" t="s">
        <v>119</v>
      </c>
      <c r="N150" t="s">
        <v>84</v>
      </c>
      <c r="O150" t="s">
        <v>28</v>
      </c>
      <c r="P150" t="s">
        <v>31</v>
      </c>
      <c r="Q150">
        <v>0</v>
      </c>
      <c r="R150" t="s">
        <v>12883</v>
      </c>
      <c r="S150" t="s">
        <v>12884</v>
      </c>
    </row>
    <row r="151" spans="1:19" x14ac:dyDescent="0.25">
      <c r="A151" t="s">
        <v>4581</v>
      </c>
      <c r="B151" s="1">
        <v>45888</v>
      </c>
      <c r="C151" t="s">
        <v>12893</v>
      </c>
      <c r="D151" s="5">
        <v>9.0254629629629629E-2</v>
      </c>
      <c r="E151">
        <v>794.39</v>
      </c>
      <c r="F151" t="s">
        <v>44</v>
      </c>
      <c r="G151" t="s">
        <v>2094</v>
      </c>
      <c r="H151" t="s">
        <v>124</v>
      </c>
      <c r="I151" t="s">
        <v>35</v>
      </c>
      <c r="J151" t="s">
        <v>4582</v>
      </c>
      <c r="K151">
        <v>47</v>
      </c>
      <c r="L151" t="s">
        <v>37</v>
      </c>
      <c r="M151" t="s">
        <v>38</v>
      </c>
      <c r="N151" t="s">
        <v>51</v>
      </c>
      <c r="O151" t="s">
        <v>28</v>
      </c>
      <c r="P151" t="s">
        <v>31</v>
      </c>
      <c r="Q151">
        <v>0</v>
      </c>
      <c r="R151" t="s">
        <v>12883</v>
      </c>
      <c r="S151" t="s">
        <v>12886</v>
      </c>
    </row>
    <row r="152" spans="1:19" x14ac:dyDescent="0.25">
      <c r="A152" t="s">
        <v>10583</v>
      </c>
      <c r="B152" s="1">
        <v>45825</v>
      </c>
      <c r="C152" t="s">
        <v>12888</v>
      </c>
      <c r="D152" s="5">
        <v>0.21391203703703704</v>
      </c>
      <c r="E152">
        <v>786</v>
      </c>
      <c r="F152" t="s">
        <v>44</v>
      </c>
      <c r="G152" t="s">
        <v>9374</v>
      </c>
      <c r="H152" t="s">
        <v>64</v>
      </c>
      <c r="I152" t="s">
        <v>248</v>
      </c>
      <c r="J152" t="s">
        <v>10584</v>
      </c>
      <c r="K152">
        <v>72</v>
      </c>
      <c r="L152" t="s">
        <v>49</v>
      </c>
      <c r="M152" t="s">
        <v>50</v>
      </c>
      <c r="N152" t="s">
        <v>84</v>
      </c>
      <c r="O152" t="s">
        <v>28</v>
      </c>
      <c r="P152" t="s">
        <v>31</v>
      </c>
      <c r="Q152">
        <v>0</v>
      </c>
      <c r="R152" t="s">
        <v>12883</v>
      </c>
      <c r="S152" t="s">
        <v>12884</v>
      </c>
    </row>
    <row r="153" spans="1:19" x14ac:dyDescent="0.25">
      <c r="A153" t="s">
        <v>10128</v>
      </c>
      <c r="B153" s="1">
        <v>45911</v>
      </c>
      <c r="C153" t="s">
        <v>12882</v>
      </c>
      <c r="D153" s="5">
        <v>0.59684027777777782</v>
      </c>
      <c r="E153">
        <v>784.1</v>
      </c>
      <c r="F153" t="s">
        <v>44</v>
      </c>
      <c r="G153" t="s">
        <v>1224</v>
      </c>
      <c r="H153" t="s">
        <v>22</v>
      </c>
      <c r="I153" t="s">
        <v>97</v>
      </c>
      <c r="J153" t="s">
        <v>10129</v>
      </c>
      <c r="K153">
        <v>27</v>
      </c>
      <c r="L153" t="s">
        <v>49</v>
      </c>
      <c r="M153" t="s">
        <v>23</v>
      </c>
      <c r="N153" t="s">
        <v>39</v>
      </c>
      <c r="O153" t="s">
        <v>28</v>
      </c>
      <c r="P153" t="s">
        <v>31</v>
      </c>
      <c r="Q153">
        <v>0</v>
      </c>
      <c r="R153" t="s">
        <v>12883</v>
      </c>
      <c r="S153" t="s">
        <v>12889</v>
      </c>
    </row>
    <row r="154" spans="1:19" x14ac:dyDescent="0.25">
      <c r="A154" t="s">
        <v>4167</v>
      </c>
      <c r="B154" s="1">
        <v>45853</v>
      </c>
      <c r="C154" t="s">
        <v>12885</v>
      </c>
      <c r="D154" s="5">
        <v>0.14547453703703703</v>
      </c>
      <c r="E154">
        <v>782.38</v>
      </c>
      <c r="F154" t="s">
        <v>44</v>
      </c>
      <c r="G154" t="s">
        <v>1583</v>
      </c>
      <c r="H154" t="s">
        <v>46</v>
      </c>
      <c r="I154" t="s">
        <v>23</v>
      </c>
      <c r="J154" t="s">
        <v>4168</v>
      </c>
      <c r="K154">
        <v>29</v>
      </c>
      <c r="L154" t="s">
        <v>25</v>
      </c>
      <c r="M154" t="s">
        <v>248</v>
      </c>
      <c r="N154" t="s">
        <v>27</v>
      </c>
      <c r="O154" t="s">
        <v>28</v>
      </c>
      <c r="P154" t="s">
        <v>31</v>
      </c>
      <c r="Q154">
        <v>0</v>
      </c>
      <c r="R154" t="s">
        <v>12883</v>
      </c>
      <c r="S154" t="s">
        <v>12889</v>
      </c>
    </row>
    <row r="155" spans="1:19" x14ac:dyDescent="0.25">
      <c r="A155" t="s">
        <v>6626</v>
      </c>
      <c r="B155" s="1">
        <v>45929</v>
      </c>
      <c r="C155" t="s">
        <v>12882</v>
      </c>
      <c r="D155" s="5">
        <v>0.235625</v>
      </c>
      <c r="E155">
        <v>782.3</v>
      </c>
      <c r="F155" t="s">
        <v>44</v>
      </c>
      <c r="G155" t="s">
        <v>2712</v>
      </c>
      <c r="H155" t="s">
        <v>64</v>
      </c>
      <c r="I155" t="s">
        <v>58</v>
      </c>
      <c r="J155" t="s">
        <v>6627</v>
      </c>
      <c r="K155">
        <v>70</v>
      </c>
      <c r="L155" t="s">
        <v>25</v>
      </c>
      <c r="M155" t="s">
        <v>58</v>
      </c>
      <c r="N155" t="s">
        <v>105</v>
      </c>
      <c r="O155" t="s">
        <v>113</v>
      </c>
      <c r="P155" t="s">
        <v>31</v>
      </c>
      <c r="Q155">
        <v>0</v>
      </c>
      <c r="R155" t="s">
        <v>12883</v>
      </c>
      <c r="S155" t="s">
        <v>12884</v>
      </c>
    </row>
    <row r="156" spans="1:19" x14ac:dyDescent="0.25">
      <c r="A156" t="s">
        <v>4395</v>
      </c>
      <c r="B156" s="1">
        <v>45861</v>
      </c>
      <c r="C156" t="s">
        <v>12885</v>
      </c>
      <c r="D156" s="5">
        <v>0.42248842592592595</v>
      </c>
      <c r="E156">
        <v>781.79</v>
      </c>
      <c r="F156" t="s">
        <v>44</v>
      </c>
      <c r="G156" t="s">
        <v>2494</v>
      </c>
      <c r="H156" t="s">
        <v>46</v>
      </c>
      <c r="I156" t="s">
        <v>130</v>
      </c>
      <c r="J156" t="s">
        <v>4396</v>
      </c>
      <c r="K156">
        <v>19</v>
      </c>
      <c r="L156" t="s">
        <v>25</v>
      </c>
      <c r="M156" t="s">
        <v>47</v>
      </c>
      <c r="N156" t="s">
        <v>39</v>
      </c>
      <c r="O156" t="s">
        <v>28</v>
      </c>
      <c r="P156" t="s">
        <v>31</v>
      </c>
      <c r="Q156">
        <v>0</v>
      </c>
      <c r="R156" t="s">
        <v>12883</v>
      </c>
      <c r="S156" t="s">
        <v>12892</v>
      </c>
    </row>
    <row r="157" spans="1:19" x14ac:dyDescent="0.25">
      <c r="A157" t="s">
        <v>12633</v>
      </c>
      <c r="B157" s="1">
        <v>45783</v>
      </c>
      <c r="C157" t="s">
        <v>12887</v>
      </c>
      <c r="D157" s="5">
        <v>0.59373842592592596</v>
      </c>
      <c r="E157">
        <v>781.77</v>
      </c>
      <c r="F157" t="s">
        <v>44</v>
      </c>
      <c r="G157" t="s">
        <v>3743</v>
      </c>
      <c r="H157" t="s">
        <v>22</v>
      </c>
      <c r="I157" t="s">
        <v>35</v>
      </c>
      <c r="J157" t="s">
        <v>12634</v>
      </c>
      <c r="K157">
        <v>61</v>
      </c>
      <c r="L157" t="s">
        <v>49</v>
      </c>
      <c r="M157" t="s">
        <v>97</v>
      </c>
      <c r="N157" t="s">
        <v>27</v>
      </c>
      <c r="O157" t="s">
        <v>28</v>
      </c>
      <c r="P157" t="s">
        <v>31</v>
      </c>
      <c r="Q157">
        <v>0</v>
      </c>
      <c r="R157" t="s">
        <v>12883</v>
      </c>
      <c r="S157" t="s">
        <v>12884</v>
      </c>
    </row>
    <row r="158" spans="1:19" x14ac:dyDescent="0.25">
      <c r="A158" t="s">
        <v>11281</v>
      </c>
      <c r="B158" s="1">
        <v>45828</v>
      </c>
      <c r="C158" t="s">
        <v>12888</v>
      </c>
      <c r="D158" s="5">
        <v>0.41966435185185186</v>
      </c>
      <c r="E158">
        <v>779.6</v>
      </c>
      <c r="F158" t="s">
        <v>44</v>
      </c>
      <c r="G158" t="s">
        <v>9288</v>
      </c>
      <c r="H158" t="s">
        <v>34</v>
      </c>
      <c r="I158" t="s">
        <v>38</v>
      </c>
      <c r="J158" t="s">
        <v>11282</v>
      </c>
      <c r="K158">
        <v>35</v>
      </c>
      <c r="L158" t="s">
        <v>49</v>
      </c>
      <c r="M158" t="s">
        <v>146</v>
      </c>
      <c r="N158" t="s">
        <v>105</v>
      </c>
      <c r="O158" t="s">
        <v>28</v>
      </c>
      <c r="P158" t="s">
        <v>31</v>
      </c>
      <c r="Q158">
        <v>0</v>
      </c>
      <c r="R158" t="s">
        <v>12883</v>
      </c>
      <c r="S158" t="s">
        <v>12889</v>
      </c>
    </row>
    <row r="159" spans="1:19" x14ac:dyDescent="0.25">
      <c r="A159" t="s">
        <v>2272</v>
      </c>
      <c r="B159" s="1">
        <v>45808</v>
      </c>
      <c r="C159" t="s">
        <v>12887</v>
      </c>
      <c r="D159" s="5">
        <v>0.32005787037037037</v>
      </c>
      <c r="E159">
        <v>777.69</v>
      </c>
      <c r="F159" t="s">
        <v>44</v>
      </c>
      <c r="G159" t="s">
        <v>1666</v>
      </c>
      <c r="H159" t="s">
        <v>77</v>
      </c>
      <c r="I159" t="s">
        <v>58</v>
      </c>
      <c r="J159" t="s">
        <v>2273</v>
      </c>
      <c r="K159">
        <v>71</v>
      </c>
      <c r="L159" t="s">
        <v>37</v>
      </c>
      <c r="M159" t="s">
        <v>35</v>
      </c>
      <c r="N159" t="s">
        <v>112</v>
      </c>
      <c r="O159" t="s">
        <v>28</v>
      </c>
      <c r="P159" t="s">
        <v>31</v>
      </c>
      <c r="Q159">
        <v>0</v>
      </c>
      <c r="R159" t="s">
        <v>12883</v>
      </c>
      <c r="S159" t="s">
        <v>12884</v>
      </c>
    </row>
    <row r="160" spans="1:19" x14ac:dyDescent="0.25">
      <c r="A160" t="s">
        <v>3725</v>
      </c>
      <c r="B160" s="1">
        <v>45916</v>
      </c>
      <c r="C160" t="s">
        <v>12882</v>
      </c>
      <c r="D160" s="5">
        <v>0.35197916666666668</v>
      </c>
      <c r="E160">
        <v>769.31</v>
      </c>
      <c r="F160" t="s">
        <v>44</v>
      </c>
      <c r="G160" t="s">
        <v>3726</v>
      </c>
      <c r="H160" t="s">
        <v>64</v>
      </c>
      <c r="I160" t="s">
        <v>91</v>
      </c>
      <c r="J160" t="s">
        <v>3727</v>
      </c>
      <c r="K160">
        <v>63</v>
      </c>
      <c r="L160" t="s">
        <v>49</v>
      </c>
      <c r="M160" t="s">
        <v>58</v>
      </c>
      <c r="N160" t="s">
        <v>51</v>
      </c>
      <c r="O160" t="s">
        <v>28</v>
      </c>
      <c r="P160" t="s">
        <v>31</v>
      </c>
      <c r="Q160">
        <v>0</v>
      </c>
      <c r="R160" t="s">
        <v>12883</v>
      </c>
      <c r="S160" t="s">
        <v>12884</v>
      </c>
    </row>
    <row r="161" spans="1:19" x14ac:dyDescent="0.25">
      <c r="A161" t="s">
        <v>6057</v>
      </c>
      <c r="B161" s="1">
        <v>45786</v>
      </c>
      <c r="C161" t="s">
        <v>12887</v>
      </c>
      <c r="D161" s="5">
        <v>0.817962962962963</v>
      </c>
      <c r="E161">
        <v>766.46</v>
      </c>
      <c r="F161" t="s">
        <v>44</v>
      </c>
      <c r="G161" t="s">
        <v>6058</v>
      </c>
      <c r="H161" t="s">
        <v>34</v>
      </c>
      <c r="I161" t="s">
        <v>38</v>
      </c>
      <c r="J161" t="s">
        <v>6059</v>
      </c>
      <c r="K161">
        <v>40</v>
      </c>
      <c r="L161" t="s">
        <v>37</v>
      </c>
      <c r="M161" t="s">
        <v>248</v>
      </c>
      <c r="N161" t="s">
        <v>84</v>
      </c>
      <c r="O161" t="s">
        <v>28</v>
      </c>
      <c r="P161" t="s">
        <v>31</v>
      </c>
      <c r="Q161">
        <v>0</v>
      </c>
      <c r="R161" t="s">
        <v>12883</v>
      </c>
      <c r="S161" t="s">
        <v>12886</v>
      </c>
    </row>
    <row r="162" spans="1:19" x14ac:dyDescent="0.25">
      <c r="A162" t="s">
        <v>5878</v>
      </c>
      <c r="B162" s="1">
        <v>45804</v>
      </c>
      <c r="C162" t="s">
        <v>12887</v>
      </c>
      <c r="D162" s="5">
        <v>0.63905092592592594</v>
      </c>
      <c r="E162">
        <v>766.06</v>
      </c>
      <c r="F162" t="s">
        <v>44</v>
      </c>
      <c r="G162" t="s">
        <v>3911</v>
      </c>
      <c r="H162" t="s">
        <v>64</v>
      </c>
      <c r="I162" t="s">
        <v>119</v>
      </c>
      <c r="J162" t="s">
        <v>5879</v>
      </c>
      <c r="K162">
        <v>40</v>
      </c>
      <c r="L162" t="s">
        <v>25</v>
      </c>
      <c r="M162" t="s">
        <v>47</v>
      </c>
      <c r="N162" t="s">
        <v>27</v>
      </c>
      <c r="O162" t="s">
        <v>28</v>
      </c>
      <c r="P162" t="s">
        <v>31</v>
      </c>
      <c r="Q162">
        <v>0</v>
      </c>
      <c r="R162" t="s">
        <v>12883</v>
      </c>
      <c r="S162" t="s">
        <v>12886</v>
      </c>
    </row>
    <row r="163" spans="1:19" x14ac:dyDescent="0.25">
      <c r="A163" t="s">
        <v>6759</v>
      </c>
      <c r="B163" s="1">
        <v>45828</v>
      </c>
      <c r="C163" t="s">
        <v>12888</v>
      </c>
      <c r="D163" s="5">
        <v>0.81363425925925925</v>
      </c>
      <c r="E163">
        <v>765.71</v>
      </c>
      <c r="F163" t="s">
        <v>44</v>
      </c>
      <c r="G163" t="s">
        <v>2308</v>
      </c>
      <c r="H163" t="s">
        <v>96</v>
      </c>
      <c r="I163" t="s">
        <v>248</v>
      </c>
      <c r="J163" t="s">
        <v>6760</v>
      </c>
      <c r="K163">
        <v>41</v>
      </c>
      <c r="L163" t="s">
        <v>49</v>
      </c>
      <c r="M163" t="s">
        <v>35</v>
      </c>
      <c r="N163" t="s">
        <v>51</v>
      </c>
      <c r="O163" t="s">
        <v>28</v>
      </c>
      <c r="P163" t="s">
        <v>31</v>
      </c>
      <c r="Q163">
        <v>0</v>
      </c>
      <c r="R163" t="s">
        <v>12883</v>
      </c>
      <c r="S163" t="s">
        <v>12886</v>
      </c>
    </row>
    <row r="164" spans="1:19" x14ac:dyDescent="0.25">
      <c r="A164" t="s">
        <v>9283</v>
      </c>
      <c r="B164" s="1">
        <v>45892</v>
      </c>
      <c r="C164" t="s">
        <v>12893</v>
      </c>
      <c r="D164" s="5">
        <v>0.33069444444444446</v>
      </c>
      <c r="E164">
        <v>763.62</v>
      </c>
      <c r="F164" t="s">
        <v>44</v>
      </c>
      <c r="G164" t="s">
        <v>4448</v>
      </c>
      <c r="H164" t="s">
        <v>46</v>
      </c>
      <c r="I164" t="s">
        <v>23</v>
      </c>
      <c r="J164" t="s">
        <v>9284</v>
      </c>
      <c r="K164">
        <v>19</v>
      </c>
      <c r="L164" t="s">
        <v>25</v>
      </c>
      <c r="M164" t="s">
        <v>248</v>
      </c>
      <c r="N164" t="s">
        <v>105</v>
      </c>
      <c r="O164" t="s">
        <v>28</v>
      </c>
      <c r="P164" t="s">
        <v>31</v>
      </c>
      <c r="Q164">
        <v>0</v>
      </c>
      <c r="R164" t="s">
        <v>12883</v>
      </c>
      <c r="S164" t="s">
        <v>12892</v>
      </c>
    </row>
    <row r="165" spans="1:19" x14ac:dyDescent="0.25">
      <c r="A165" t="s">
        <v>1827</v>
      </c>
      <c r="B165" s="1">
        <v>45829</v>
      </c>
      <c r="C165" t="s">
        <v>12888</v>
      </c>
      <c r="D165" s="5">
        <v>0.20157407407407407</v>
      </c>
      <c r="E165">
        <v>762.16</v>
      </c>
      <c r="F165" t="s">
        <v>44</v>
      </c>
      <c r="G165" t="s">
        <v>1282</v>
      </c>
      <c r="H165" t="s">
        <v>46</v>
      </c>
      <c r="I165" t="s">
        <v>119</v>
      </c>
      <c r="J165" t="s">
        <v>1828</v>
      </c>
      <c r="K165">
        <v>35</v>
      </c>
      <c r="L165" t="s">
        <v>37</v>
      </c>
      <c r="M165" t="s">
        <v>130</v>
      </c>
      <c r="N165" t="s">
        <v>27</v>
      </c>
      <c r="O165" t="s">
        <v>28</v>
      </c>
      <c r="P165" t="s">
        <v>31</v>
      </c>
      <c r="Q165">
        <v>0</v>
      </c>
      <c r="R165" t="s">
        <v>12883</v>
      </c>
      <c r="S165" t="s">
        <v>12889</v>
      </c>
    </row>
    <row r="166" spans="1:19" x14ac:dyDescent="0.25">
      <c r="A166" t="s">
        <v>8230</v>
      </c>
      <c r="B166" s="1">
        <v>45826</v>
      </c>
      <c r="C166" t="s">
        <v>12888</v>
      </c>
      <c r="D166" s="5">
        <v>0.42969907407407409</v>
      </c>
      <c r="E166">
        <v>760.96</v>
      </c>
      <c r="F166" t="s">
        <v>44</v>
      </c>
      <c r="G166" t="s">
        <v>728</v>
      </c>
      <c r="H166" t="s">
        <v>124</v>
      </c>
      <c r="I166" t="s">
        <v>66</v>
      </c>
      <c r="J166" t="s">
        <v>8231</v>
      </c>
      <c r="K166">
        <v>54</v>
      </c>
      <c r="L166" t="s">
        <v>37</v>
      </c>
      <c r="M166" t="s">
        <v>23</v>
      </c>
      <c r="N166" t="s">
        <v>112</v>
      </c>
      <c r="O166" t="s">
        <v>28</v>
      </c>
      <c r="P166" t="s">
        <v>31</v>
      </c>
      <c r="Q166">
        <v>0</v>
      </c>
      <c r="R166" t="s">
        <v>12883</v>
      </c>
      <c r="S166" t="s">
        <v>12886</v>
      </c>
    </row>
    <row r="167" spans="1:19" x14ac:dyDescent="0.25">
      <c r="A167" t="s">
        <v>9737</v>
      </c>
      <c r="B167" s="1">
        <v>45843</v>
      </c>
      <c r="C167" t="s">
        <v>12885</v>
      </c>
      <c r="D167" s="5">
        <v>0.30290509259259257</v>
      </c>
      <c r="E167">
        <v>759.84</v>
      </c>
      <c r="F167" t="s">
        <v>44</v>
      </c>
      <c r="G167" t="s">
        <v>6100</v>
      </c>
      <c r="H167" t="s">
        <v>46</v>
      </c>
      <c r="I167" t="s">
        <v>119</v>
      </c>
      <c r="J167" t="s">
        <v>9738</v>
      </c>
      <c r="K167">
        <v>30</v>
      </c>
      <c r="L167" t="s">
        <v>37</v>
      </c>
      <c r="M167" t="s">
        <v>110</v>
      </c>
      <c r="N167" t="s">
        <v>27</v>
      </c>
      <c r="O167" t="s">
        <v>28</v>
      </c>
      <c r="P167" t="s">
        <v>31</v>
      </c>
      <c r="Q167">
        <v>0</v>
      </c>
      <c r="R167" t="s">
        <v>12883</v>
      </c>
      <c r="S167" t="s">
        <v>12889</v>
      </c>
    </row>
    <row r="168" spans="1:19" x14ac:dyDescent="0.25">
      <c r="A168" t="s">
        <v>1687</v>
      </c>
      <c r="B168" s="1">
        <v>45910</v>
      </c>
      <c r="C168" t="s">
        <v>12882</v>
      </c>
      <c r="D168" s="5">
        <v>0.28381944444444446</v>
      </c>
      <c r="E168">
        <v>759.1</v>
      </c>
      <c r="F168" t="s">
        <v>44</v>
      </c>
      <c r="G168" t="s">
        <v>1291</v>
      </c>
      <c r="H168" t="s">
        <v>89</v>
      </c>
      <c r="I168" t="s">
        <v>119</v>
      </c>
      <c r="J168" t="s">
        <v>1688</v>
      </c>
      <c r="K168">
        <v>43</v>
      </c>
      <c r="L168" t="s">
        <v>25</v>
      </c>
      <c r="M168" t="s">
        <v>91</v>
      </c>
      <c r="N168" t="s">
        <v>112</v>
      </c>
      <c r="O168" t="s">
        <v>28</v>
      </c>
      <c r="P168" t="s">
        <v>31</v>
      </c>
      <c r="Q168">
        <v>0</v>
      </c>
      <c r="R168" t="s">
        <v>12883</v>
      </c>
      <c r="S168" t="s">
        <v>12886</v>
      </c>
    </row>
    <row r="169" spans="1:19" x14ac:dyDescent="0.25">
      <c r="A169" t="s">
        <v>10468</v>
      </c>
      <c r="B169" s="1">
        <v>45831</v>
      </c>
      <c r="C169" t="s">
        <v>12888</v>
      </c>
      <c r="D169" s="5">
        <v>0.25231481481481483</v>
      </c>
      <c r="E169">
        <v>758.19</v>
      </c>
      <c r="F169" t="s">
        <v>44</v>
      </c>
      <c r="G169" t="s">
        <v>743</v>
      </c>
      <c r="H169" t="s">
        <v>89</v>
      </c>
      <c r="I169" t="s">
        <v>91</v>
      </c>
      <c r="J169" t="s">
        <v>10469</v>
      </c>
      <c r="K169">
        <v>43</v>
      </c>
      <c r="L169" t="s">
        <v>37</v>
      </c>
      <c r="M169" t="s">
        <v>97</v>
      </c>
      <c r="N169" t="s">
        <v>112</v>
      </c>
      <c r="O169" t="s">
        <v>28</v>
      </c>
      <c r="P169" t="s">
        <v>31</v>
      </c>
      <c r="Q169">
        <v>0</v>
      </c>
      <c r="R169" t="s">
        <v>12883</v>
      </c>
      <c r="S169" t="s">
        <v>12886</v>
      </c>
    </row>
    <row r="170" spans="1:19" x14ac:dyDescent="0.25">
      <c r="A170" t="s">
        <v>6368</v>
      </c>
      <c r="B170" s="1">
        <v>45823</v>
      </c>
      <c r="C170" t="s">
        <v>12888</v>
      </c>
      <c r="D170" s="5">
        <v>5.5821759259259258E-2</v>
      </c>
      <c r="E170">
        <v>757.32</v>
      </c>
      <c r="F170" t="s">
        <v>44</v>
      </c>
      <c r="G170" t="s">
        <v>323</v>
      </c>
      <c r="H170" t="s">
        <v>77</v>
      </c>
      <c r="I170" t="s">
        <v>58</v>
      </c>
      <c r="J170" t="s">
        <v>6369</v>
      </c>
      <c r="K170">
        <v>28</v>
      </c>
      <c r="L170" t="s">
        <v>25</v>
      </c>
      <c r="M170" t="s">
        <v>47</v>
      </c>
      <c r="N170" t="s">
        <v>39</v>
      </c>
      <c r="O170" t="s">
        <v>28</v>
      </c>
      <c r="P170" t="s">
        <v>31</v>
      </c>
      <c r="Q170">
        <v>0</v>
      </c>
      <c r="R170" t="s">
        <v>12883</v>
      </c>
      <c r="S170" t="s">
        <v>12889</v>
      </c>
    </row>
    <row r="171" spans="1:19" x14ac:dyDescent="0.25">
      <c r="A171" t="s">
        <v>12224</v>
      </c>
      <c r="B171" s="1">
        <v>45829</v>
      </c>
      <c r="C171" t="s">
        <v>12888</v>
      </c>
      <c r="D171" s="5">
        <v>0.515625</v>
      </c>
      <c r="E171">
        <v>756.36</v>
      </c>
      <c r="F171" t="s">
        <v>44</v>
      </c>
      <c r="G171" t="s">
        <v>171</v>
      </c>
      <c r="H171" t="s">
        <v>77</v>
      </c>
      <c r="I171" t="s">
        <v>248</v>
      </c>
      <c r="J171" t="s">
        <v>12225</v>
      </c>
      <c r="K171">
        <v>60</v>
      </c>
      <c r="L171" t="s">
        <v>25</v>
      </c>
      <c r="M171" t="s">
        <v>58</v>
      </c>
      <c r="N171" t="s">
        <v>112</v>
      </c>
      <c r="O171" t="s">
        <v>28</v>
      </c>
      <c r="P171" t="s">
        <v>31</v>
      </c>
      <c r="Q171">
        <v>0</v>
      </c>
      <c r="R171" t="s">
        <v>12883</v>
      </c>
      <c r="S171" t="s">
        <v>12884</v>
      </c>
    </row>
    <row r="172" spans="1:19" x14ac:dyDescent="0.25">
      <c r="A172" t="s">
        <v>10962</v>
      </c>
      <c r="B172" s="1">
        <v>45947</v>
      </c>
      <c r="C172" t="s">
        <v>12890</v>
      </c>
      <c r="D172" s="5">
        <v>0.94005787037037036</v>
      </c>
      <c r="E172">
        <v>755.62</v>
      </c>
      <c r="F172" t="s">
        <v>44</v>
      </c>
      <c r="G172" t="s">
        <v>10963</v>
      </c>
      <c r="H172" t="s">
        <v>34</v>
      </c>
      <c r="I172" t="s">
        <v>35</v>
      </c>
      <c r="J172" t="s">
        <v>10964</v>
      </c>
      <c r="K172">
        <v>19</v>
      </c>
      <c r="L172" t="s">
        <v>49</v>
      </c>
      <c r="M172" t="s">
        <v>26</v>
      </c>
      <c r="N172" t="s">
        <v>27</v>
      </c>
      <c r="O172" t="s">
        <v>28</v>
      </c>
      <c r="P172" t="s">
        <v>31</v>
      </c>
      <c r="Q172">
        <v>0</v>
      </c>
      <c r="R172" t="s">
        <v>12883</v>
      </c>
      <c r="S172" t="s">
        <v>12892</v>
      </c>
    </row>
    <row r="173" spans="1:19" x14ac:dyDescent="0.25">
      <c r="A173" t="s">
        <v>9487</v>
      </c>
      <c r="B173" s="1">
        <v>45832</v>
      </c>
      <c r="C173" t="s">
        <v>12888</v>
      </c>
      <c r="D173" s="5">
        <v>0.94802083333333331</v>
      </c>
      <c r="E173">
        <v>753.81</v>
      </c>
      <c r="F173" t="s">
        <v>44</v>
      </c>
      <c r="G173" t="s">
        <v>2457</v>
      </c>
      <c r="H173" t="s">
        <v>96</v>
      </c>
      <c r="I173" t="s">
        <v>91</v>
      </c>
      <c r="J173" t="s">
        <v>9488</v>
      </c>
      <c r="K173">
        <v>57</v>
      </c>
      <c r="L173" t="s">
        <v>37</v>
      </c>
      <c r="M173" t="s">
        <v>26</v>
      </c>
      <c r="N173" t="s">
        <v>112</v>
      </c>
      <c r="O173" t="s">
        <v>28</v>
      </c>
      <c r="P173" t="s">
        <v>31</v>
      </c>
      <c r="Q173">
        <v>0</v>
      </c>
      <c r="R173" t="s">
        <v>12883</v>
      </c>
      <c r="S173" t="s">
        <v>12886</v>
      </c>
    </row>
    <row r="174" spans="1:19" x14ac:dyDescent="0.25">
      <c r="A174" t="s">
        <v>3495</v>
      </c>
      <c r="B174" s="1">
        <v>45823</v>
      </c>
      <c r="C174" t="s">
        <v>12888</v>
      </c>
      <c r="D174" s="5">
        <v>0.17439814814814814</v>
      </c>
      <c r="E174">
        <v>749.46</v>
      </c>
      <c r="F174" t="s">
        <v>44</v>
      </c>
      <c r="G174" t="s">
        <v>621</v>
      </c>
      <c r="H174" t="s">
        <v>22</v>
      </c>
      <c r="I174" t="s">
        <v>47</v>
      </c>
      <c r="J174" t="s">
        <v>3496</v>
      </c>
      <c r="K174">
        <v>40</v>
      </c>
      <c r="L174" t="s">
        <v>25</v>
      </c>
      <c r="M174" t="s">
        <v>35</v>
      </c>
      <c r="N174" t="s">
        <v>105</v>
      </c>
      <c r="O174" t="s">
        <v>28</v>
      </c>
      <c r="P174" t="s">
        <v>31</v>
      </c>
      <c r="Q174">
        <v>0</v>
      </c>
      <c r="R174" t="s">
        <v>12883</v>
      </c>
      <c r="S174" t="s">
        <v>12886</v>
      </c>
    </row>
    <row r="175" spans="1:19" x14ac:dyDescent="0.25">
      <c r="A175" t="s">
        <v>9101</v>
      </c>
      <c r="B175" s="1">
        <v>45787</v>
      </c>
      <c r="C175" t="s">
        <v>12887</v>
      </c>
      <c r="D175" s="5">
        <v>0.75523148148148145</v>
      </c>
      <c r="E175">
        <v>747.57</v>
      </c>
      <c r="F175" t="s">
        <v>44</v>
      </c>
      <c r="G175" t="s">
        <v>6677</v>
      </c>
      <c r="H175" t="s">
        <v>71</v>
      </c>
      <c r="I175" t="s">
        <v>91</v>
      </c>
      <c r="J175" t="s">
        <v>9102</v>
      </c>
      <c r="K175">
        <v>34</v>
      </c>
      <c r="L175" t="s">
        <v>37</v>
      </c>
      <c r="M175" t="s">
        <v>26</v>
      </c>
      <c r="N175" t="s">
        <v>51</v>
      </c>
      <c r="O175" t="s">
        <v>28</v>
      </c>
      <c r="P175" t="s">
        <v>31</v>
      </c>
      <c r="Q175">
        <v>0</v>
      </c>
      <c r="R175" t="s">
        <v>12883</v>
      </c>
      <c r="S175" t="s">
        <v>12889</v>
      </c>
    </row>
    <row r="176" spans="1:19" x14ac:dyDescent="0.25">
      <c r="A176" t="s">
        <v>7879</v>
      </c>
      <c r="B176" s="1">
        <v>45902</v>
      </c>
      <c r="C176" t="s">
        <v>12882</v>
      </c>
      <c r="D176" s="5">
        <v>0.32775462962962965</v>
      </c>
      <c r="E176">
        <v>744.57</v>
      </c>
      <c r="F176" t="s">
        <v>44</v>
      </c>
      <c r="G176" t="s">
        <v>1427</v>
      </c>
      <c r="H176" t="s">
        <v>46</v>
      </c>
      <c r="I176" t="s">
        <v>119</v>
      </c>
      <c r="J176" t="s">
        <v>7880</v>
      </c>
      <c r="K176">
        <v>33</v>
      </c>
      <c r="L176" t="s">
        <v>37</v>
      </c>
      <c r="M176" t="s">
        <v>66</v>
      </c>
      <c r="N176" t="s">
        <v>51</v>
      </c>
      <c r="O176" t="s">
        <v>28</v>
      </c>
      <c r="P176" t="s">
        <v>31</v>
      </c>
      <c r="Q176">
        <v>0</v>
      </c>
      <c r="R176" t="s">
        <v>12883</v>
      </c>
      <c r="S176" t="s">
        <v>12889</v>
      </c>
    </row>
    <row r="177" spans="1:19" x14ac:dyDescent="0.25">
      <c r="A177" t="s">
        <v>8152</v>
      </c>
      <c r="B177" s="1">
        <v>45921</v>
      </c>
      <c r="C177" t="s">
        <v>12882</v>
      </c>
      <c r="D177" s="5">
        <v>6.4490740740740737E-2</v>
      </c>
      <c r="E177">
        <v>737.01</v>
      </c>
      <c r="F177" t="s">
        <v>44</v>
      </c>
      <c r="G177" t="s">
        <v>8153</v>
      </c>
      <c r="H177" t="s">
        <v>34</v>
      </c>
      <c r="I177" t="s">
        <v>26</v>
      </c>
      <c r="J177" t="s">
        <v>8154</v>
      </c>
      <c r="K177">
        <v>25</v>
      </c>
      <c r="L177" t="s">
        <v>49</v>
      </c>
      <c r="M177" t="s">
        <v>47</v>
      </c>
      <c r="N177" t="s">
        <v>27</v>
      </c>
      <c r="O177" t="s">
        <v>28</v>
      </c>
      <c r="P177" t="s">
        <v>31</v>
      </c>
      <c r="Q177">
        <v>0</v>
      </c>
      <c r="R177" t="s">
        <v>12883</v>
      </c>
      <c r="S177" t="s">
        <v>12889</v>
      </c>
    </row>
    <row r="178" spans="1:19" x14ac:dyDescent="0.25">
      <c r="A178" t="s">
        <v>6948</v>
      </c>
      <c r="B178" s="1">
        <v>45959</v>
      </c>
      <c r="C178" t="s">
        <v>12890</v>
      </c>
      <c r="D178" s="5">
        <v>0.80975694444444446</v>
      </c>
      <c r="E178">
        <v>733.04</v>
      </c>
      <c r="F178" t="s">
        <v>44</v>
      </c>
      <c r="G178" t="s">
        <v>6949</v>
      </c>
      <c r="H178" t="s">
        <v>96</v>
      </c>
      <c r="I178" t="s">
        <v>119</v>
      </c>
      <c r="J178" t="s">
        <v>6950</v>
      </c>
      <c r="K178">
        <v>42</v>
      </c>
      <c r="L178" t="s">
        <v>37</v>
      </c>
      <c r="M178" t="s">
        <v>91</v>
      </c>
      <c r="N178" t="s">
        <v>39</v>
      </c>
      <c r="O178" t="s">
        <v>28</v>
      </c>
      <c r="P178" t="s">
        <v>31</v>
      </c>
      <c r="Q178">
        <v>0</v>
      </c>
      <c r="R178" t="s">
        <v>12883</v>
      </c>
      <c r="S178" t="s">
        <v>12886</v>
      </c>
    </row>
    <row r="179" spans="1:19" x14ac:dyDescent="0.25">
      <c r="A179" t="s">
        <v>712</v>
      </c>
      <c r="B179" s="1">
        <v>45864</v>
      </c>
      <c r="C179" t="s">
        <v>12885</v>
      </c>
      <c r="D179" s="5">
        <v>0.16043981481481481</v>
      </c>
      <c r="E179">
        <v>727.26</v>
      </c>
      <c r="F179" t="s">
        <v>44</v>
      </c>
      <c r="G179" t="s">
        <v>713</v>
      </c>
      <c r="H179" t="s">
        <v>77</v>
      </c>
      <c r="I179" t="s">
        <v>66</v>
      </c>
      <c r="J179" t="s">
        <v>714</v>
      </c>
      <c r="K179">
        <v>44</v>
      </c>
      <c r="L179" t="s">
        <v>49</v>
      </c>
      <c r="M179" t="s">
        <v>97</v>
      </c>
      <c r="N179" t="s">
        <v>112</v>
      </c>
      <c r="O179" t="s">
        <v>28</v>
      </c>
      <c r="P179" t="s">
        <v>31</v>
      </c>
      <c r="Q179">
        <v>0</v>
      </c>
      <c r="R179" t="s">
        <v>12883</v>
      </c>
      <c r="S179" t="s">
        <v>12886</v>
      </c>
    </row>
    <row r="180" spans="1:19" x14ac:dyDescent="0.25">
      <c r="A180" t="s">
        <v>9518</v>
      </c>
      <c r="B180" s="1">
        <v>45893</v>
      </c>
      <c r="C180" t="s">
        <v>12893</v>
      </c>
      <c r="D180" s="5">
        <v>0.45624999999999999</v>
      </c>
      <c r="E180">
        <v>724.48</v>
      </c>
      <c r="F180" t="s">
        <v>44</v>
      </c>
      <c r="G180" t="s">
        <v>5782</v>
      </c>
      <c r="H180" t="s">
        <v>71</v>
      </c>
      <c r="I180" t="s">
        <v>26</v>
      </c>
      <c r="J180" t="s">
        <v>9519</v>
      </c>
      <c r="K180">
        <v>73</v>
      </c>
      <c r="L180" t="s">
        <v>49</v>
      </c>
      <c r="M180" t="s">
        <v>50</v>
      </c>
      <c r="N180" t="s">
        <v>105</v>
      </c>
      <c r="O180" t="s">
        <v>28</v>
      </c>
      <c r="P180" t="s">
        <v>31</v>
      </c>
      <c r="Q180">
        <v>0</v>
      </c>
      <c r="R180" t="s">
        <v>12883</v>
      </c>
      <c r="S180" t="s">
        <v>12884</v>
      </c>
    </row>
    <row r="181" spans="1:19" x14ac:dyDescent="0.25">
      <c r="A181" t="s">
        <v>11876</v>
      </c>
      <c r="B181" s="1">
        <v>45867</v>
      </c>
      <c r="C181" t="s">
        <v>12885</v>
      </c>
      <c r="D181" s="5">
        <v>0.35332175925925924</v>
      </c>
      <c r="E181">
        <v>716.99</v>
      </c>
      <c r="F181" t="s">
        <v>44</v>
      </c>
      <c r="G181" t="s">
        <v>4661</v>
      </c>
      <c r="H181" t="s">
        <v>71</v>
      </c>
      <c r="I181" t="s">
        <v>50</v>
      </c>
      <c r="J181" t="s">
        <v>11877</v>
      </c>
      <c r="K181">
        <v>61</v>
      </c>
      <c r="L181" t="s">
        <v>37</v>
      </c>
      <c r="M181" t="s">
        <v>50</v>
      </c>
      <c r="N181" t="s">
        <v>84</v>
      </c>
      <c r="O181" t="s">
        <v>113</v>
      </c>
      <c r="P181" t="s">
        <v>31</v>
      </c>
      <c r="Q181">
        <v>0</v>
      </c>
      <c r="R181" t="s">
        <v>12883</v>
      </c>
      <c r="S181" t="s">
        <v>12884</v>
      </c>
    </row>
    <row r="182" spans="1:19" x14ac:dyDescent="0.25">
      <c r="A182" t="s">
        <v>3621</v>
      </c>
      <c r="B182" s="1">
        <v>45957</v>
      </c>
      <c r="C182" t="s">
        <v>12890</v>
      </c>
      <c r="D182" s="5">
        <v>4.9351851851851855E-2</v>
      </c>
      <c r="E182">
        <v>715.87</v>
      </c>
      <c r="F182" t="s">
        <v>44</v>
      </c>
      <c r="G182" t="s">
        <v>2163</v>
      </c>
      <c r="H182" t="s">
        <v>64</v>
      </c>
      <c r="I182" t="s">
        <v>97</v>
      </c>
      <c r="J182" t="s">
        <v>3622</v>
      </c>
      <c r="K182">
        <v>53</v>
      </c>
      <c r="L182" t="s">
        <v>37</v>
      </c>
      <c r="M182" t="s">
        <v>50</v>
      </c>
      <c r="N182" t="s">
        <v>27</v>
      </c>
      <c r="O182" t="s">
        <v>28</v>
      </c>
      <c r="P182" t="s">
        <v>31</v>
      </c>
      <c r="Q182">
        <v>0</v>
      </c>
      <c r="R182" t="s">
        <v>12883</v>
      </c>
      <c r="S182" t="s">
        <v>12886</v>
      </c>
    </row>
    <row r="183" spans="1:19" x14ac:dyDescent="0.25">
      <c r="A183" t="s">
        <v>11803</v>
      </c>
      <c r="B183" s="1">
        <v>45804</v>
      </c>
      <c r="C183" t="s">
        <v>12887</v>
      </c>
      <c r="D183" s="5">
        <v>0.98135416666666664</v>
      </c>
      <c r="E183">
        <v>715.82</v>
      </c>
      <c r="F183" t="s">
        <v>44</v>
      </c>
      <c r="G183" t="s">
        <v>874</v>
      </c>
      <c r="H183" t="s">
        <v>46</v>
      </c>
      <c r="I183" t="s">
        <v>119</v>
      </c>
      <c r="J183" t="s">
        <v>11804</v>
      </c>
      <c r="K183">
        <v>53</v>
      </c>
      <c r="L183" t="s">
        <v>49</v>
      </c>
      <c r="M183" t="s">
        <v>23</v>
      </c>
      <c r="N183" t="s">
        <v>105</v>
      </c>
      <c r="O183" t="s">
        <v>28</v>
      </c>
      <c r="P183" t="s">
        <v>31</v>
      </c>
      <c r="Q183">
        <v>0</v>
      </c>
      <c r="R183" t="s">
        <v>12883</v>
      </c>
      <c r="S183" t="s">
        <v>12886</v>
      </c>
    </row>
    <row r="184" spans="1:19" x14ac:dyDescent="0.25">
      <c r="A184" t="s">
        <v>7200</v>
      </c>
      <c r="B184" s="1">
        <v>45919</v>
      </c>
      <c r="C184" t="s">
        <v>12882</v>
      </c>
      <c r="D184" s="5">
        <v>0.74405092592592592</v>
      </c>
      <c r="E184">
        <v>715.57</v>
      </c>
      <c r="F184" t="s">
        <v>44</v>
      </c>
      <c r="G184" t="s">
        <v>1666</v>
      </c>
      <c r="H184" t="s">
        <v>64</v>
      </c>
      <c r="I184" t="s">
        <v>97</v>
      </c>
      <c r="J184" t="s">
        <v>7201</v>
      </c>
      <c r="K184">
        <v>42</v>
      </c>
      <c r="L184" t="s">
        <v>49</v>
      </c>
      <c r="M184" t="s">
        <v>50</v>
      </c>
      <c r="N184" t="s">
        <v>105</v>
      </c>
      <c r="O184" t="s">
        <v>28</v>
      </c>
      <c r="P184" t="s">
        <v>31</v>
      </c>
      <c r="Q184">
        <v>0</v>
      </c>
      <c r="R184" t="s">
        <v>12883</v>
      </c>
      <c r="S184" t="s">
        <v>12886</v>
      </c>
    </row>
    <row r="185" spans="1:19" x14ac:dyDescent="0.25">
      <c r="A185" t="s">
        <v>1552</v>
      </c>
      <c r="B185" s="1">
        <v>45852</v>
      </c>
      <c r="C185" t="s">
        <v>12885</v>
      </c>
      <c r="D185" s="5">
        <v>0.66238425925925926</v>
      </c>
      <c r="E185">
        <v>706.75</v>
      </c>
      <c r="F185" t="s">
        <v>44</v>
      </c>
      <c r="G185" t="s">
        <v>1553</v>
      </c>
      <c r="H185" t="s">
        <v>57</v>
      </c>
      <c r="I185" t="s">
        <v>50</v>
      </c>
      <c r="J185" t="s">
        <v>1554</v>
      </c>
      <c r="K185">
        <v>59</v>
      </c>
      <c r="L185" t="s">
        <v>25</v>
      </c>
      <c r="M185" t="s">
        <v>26</v>
      </c>
      <c r="N185" t="s">
        <v>39</v>
      </c>
      <c r="O185" t="s">
        <v>28</v>
      </c>
      <c r="P185" t="s">
        <v>31</v>
      </c>
      <c r="Q185">
        <v>0</v>
      </c>
      <c r="R185" t="s">
        <v>12883</v>
      </c>
      <c r="S185" t="s">
        <v>12886</v>
      </c>
    </row>
    <row r="186" spans="1:19" x14ac:dyDescent="0.25">
      <c r="A186" t="s">
        <v>4924</v>
      </c>
      <c r="B186" s="1">
        <v>45899</v>
      </c>
      <c r="C186" t="s">
        <v>12893</v>
      </c>
      <c r="D186" s="5">
        <v>0.9712615740740741</v>
      </c>
      <c r="E186">
        <v>698.46</v>
      </c>
      <c r="F186" t="s">
        <v>44</v>
      </c>
      <c r="G186" t="s">
        <v>3758</v>
      </c>
      <c r="H186" t="s">
        <v>96</v>
      </c>
      <c r="I186" t="s">
        <v>119</v>
      </c>
      <c r="J186" t="s">
        <v>4925</v>
      </c>
      <c r="K186">
        <v>21</v>
      </c>
      <c r="L186" t="s">
        <v>25</v>
      </c>
      <c r="M186" t="s">
        <v>130</v>
      </c>
      <c r="N186" t="s">
        <v>112</v>
      </c>
      <c r="O186" t="s">
        <v>28</v>
      </c>
      <c r="P186" t="s">
        <v>31</v>
      </c>
      <c r="Q186">
        <v>0</v>
      </c>
      <c r="R186" t="s">
        <v>12883</v>
      </c>
      <c r="S186" t="s">
        <v>12892</v>
      </c>
    </row>
    <row r="187" spans="1:19" x14ac:dyDescent="0.25">
      <c r="A187" t="s">
        <v>4429</v>
      </c>
      <c r="B187" s="1">
        <v>45837</v>
      </c>
      <c r="C187" t="s">
        <v>12888</v>
      </c>
      <c r="D187" s="5">
        <v>0.85748842592592589</v>
      </c>
      <c r="E187">
        <v>695.79</v>
      </c>
      <c r="F187" t="s">
        <v>44</v>
      </c>
      <c r="G187" t="s">
        <v>4430</v>
      </c>
      <c r="H187" t="s">
        <v>96</v>
      </c>
      <c r="I187" t="s">
        <v>119</v>
      </c>
      <c r="J187" t="s">
        <v>4431</v>
      </c>
      <c r="K187">
        <v>21</v>
      </c>
      <c r="L187" t="s">
        <v>37</v>
      </c>
      <c r="M187" t="s">
        <v>130</v>
      </c>
      <c r="N187" t="s">
        <v>39</v>
      </c>
      <c r="O187" t="s">
        <v>28</v>
      </c>
      <c r="P187" t="s">
        <v>31</v>
      </c>
      <c r="Q187">
        <v>0</v>
      </c>
      <c r="R187" t="s">
        <v>12883</v>
      </c>
      <c r="S187" t="s">
        <v>12892</v>
      </c>
    </row>
    <row r="188" spans="1:19" x14ac:dyDescent="0.25">
      <c r="A188" t="s">
        <v>3205</v>
      </c>
      <c r="B188" s="1">
        <v>45912</v>
      </c>
      <c r="C188" t="s">
        <v>12882</v>
      </c>
      <c r="D188" s="5">
        <v>0.90438657407407408</v>
      </c>
      <c r="E188">
        <v>694.36</v>
      </c>
      <c r="F188" t="s">
        <v>44</v>
      </c>
      <c r="G188" t="s">
        <v>3206</v>
      </c>
      <c r="H188" t="s">
        <v>96</v>
      </c>
      <c r="I188" t="s">
        <v>66</v>
      </c>
      <c r="J188" t="s">
        <v>3207</v>
      </c>
      <c r="K188">
        <v>33</v>
      </c>
      <c r="L188" t="s">
        <v>49</v>
      </c>
      <c r="M188" t="s">
        <v>35</v>
      </c>
      <c r="N188" t="s">
        <v>84</v>
      </c>
      <c r="O188" t="s">
        <v>28</v>
      </c>
      <c r="P188" t="s">
        <v>31</v>
      </c>
      <c r="Q188">
        <v>0</v>
      </c>
      <c r="R188" t="s">
        <v>12883</v>
      </c>
      <c r="S188" t="s">
        <v>12889</v>
      </c>
    </row>
    <row r="189" spans="1:19" x14ac:dyDescent="0.25">
      <c r="A189" t="s">
        <v>11594</v>
      </c>
      <c r="B189" s="1">
        <v>45813</v>
      </c>
      <c r="C189" t="s">
        <v>12888</v>
      </c>
      <c r="D189" s="5">
        <v>0.17748842592592592</v>
      </c>
      <c r="E189">
        <v>684.93</v>
      </c>
      <c r="F189" t="s">
        <v>44</v>
      </c>
      <c r="G189" t="s">
        <v>3097</v>
      </c>
      <c r="H189" t="s">
        <v>124</v>
      </c>
      <c r="I189" t="s">
        <v>97</v>
      </c>
      <c r="J189" t="s">
        <v>11595</v>
      </c>
      <c r="K189">
        <v>102</v>
      </c>
      <c r="L189" t="s">
        <v>49</v>
      </c>
      <c r="M189" t="s">
        <v>66</v>
      </c>
      <c r="N189" t="s">
        <v>105</v>
      </c>
      <c r="O189" t="s">
        <v>28</v>
      </c>
      <c r="P189" t="s">
        <v>31</v>
      </c>
      <c r="Q189">
        <v>0</v>
      </c>
      <c r="R189" t="s">
        <v>12883</v>
      </c>
      <c r="S189" t="s">
        <v>12884</v>
      </c>
    </row>
    <row r="190" spans="1:19" x14ac:dyDescent="0.25">
      <c r="A190" t="s">
        <v>8098</v>
      </c>
      <c r="B190" s="1">
        <v>45858</v>
      </c>
      <c r="C190" t="s">
        <v>12885</v>
      </c>
      <c r="D190" s="5">
        <v>0.68876157407407412</v>
      </c>
      <c r="E190">
        <v>681.23</v>
      </c>
      <c r="F190" t="s">
        <v>44</v>
      </c>
      <c r="G190" t="s">
        <v>591</v>
      </c>
      <c r="H190" t="s">
        <v>96</v>
      </c>
      <c r="I190" t="s">
        <v>35</v>
      </c>
      <c r="J190" t="s">
        <v>8099</v>
      </c>
      <c r="K190">
        <v>37</v>
      </c>
      <c r="L190" t="s">
        <v>25</v>
      </c>
      <c r="M190" t="s">
        <v>248</v>
      </c>
      <c r="N190" t="s">
        <v>105</v>
      </c>
      <c r="O190" t="s">
        <v>28</v>
      </c>
      <c r="P190" t="s">
        <v>31</v>
      </c>
      <c r="Q190">
        <v>0</v>
      </c>
      <c r="R190" t="s">
        <v>12883</v>
      </c>
      <c r="S190" t="s">
        <v>12889</v>
      </c>
    </row>
    <row r="191" spans="1:19" x14ac:dyDescent="0.25">
      <c r="A191" t="s">
        <v>10714</v>
      </c>
      <c r="B191" s="1">
        <v>45934</v>
      </c>
      <c r="C191" t="s">
        <v>12890</v>
      </c>
      <c r="D191" s="5">
        <v>4.5833333333333334E-3</v>
      </c>
      <c r="E191">
        <v>679.47</v>
      </c>
      <c r="F191" t="s">
        <v>44</v>
      </c>
      <c r="G191" t="s">
        <v>8783</v>
      </c>
      <c r="H191" t="s">
        <v>124</v>
      </c>
      <c r="I191" t="s">
        <v>130</v>
      </c>
      <c r="J191" t="s">
        <v>10715</v>
      </c>
      <c r="K191">
        <v>46</v>
      </c>
      <c r="L191" t="s">
        <v>25</v>
      </c>
      <c r="M191" t="s">
        <v>35</v>
      </c>
      <c r="N191" t="s">
        <v>105</v>
      </c>
      <c r="O191" t="s">
        <v>28</v>
      </c>
      <c r="P191" t="s">
        <v>31</v>
      </c>
      <c r="Q191">
        <v>0</v>
      </c>
      <c r="R191" t="s">
        <v>12883</v>
      </c>
      <c r="S191" t="s">
        <v>12886</v>
      </c>
    </row>
    <row r="192" spans="1:19" x14ac:dyDescent="0.25">
      <c r="A192" t="s">
        <v>6299</v>
      </c>
      <c r="B192" s="1">
        <v>45809</v>
      </c>
      <c r="C192" t="s">
        <v>12888</v>
      </c>
      <c r="D192" s="5">
        <v>0.82366898148148149</v>
      </c>
      <c r="E192">
        <v>679.34</v>
      </c>
      <c r="F192" t="s">
        <v>44</v>
      </c>
      <c r="G192" t="s">
        <v>6300</v>
      </c>
      <c r="H192" t="s">
        <v>57</v>
      </c>
      <c r="I192" t="s">
        <v>23</v>
      </c>
      <c r="J192" t="s">
        <v>6301</v>
      </c>
      <c r="K192">
        <v>42</v>
      </c>
      <c r="L192" t="s">
        <v>37</v>
      </c>
      <c r="M192" t="s">
        <v>97</v>
      </c>
      <c r="N192" t="s">
        <v>39</v>
      </c>
      <c r="O192" t="s">
        <v>28</v>
      </c>
      <c r="P192" t="s">
        <v>31</v>
      </c>
      <c r="Q192">
        <v>1</v>
      </c>
      <c r="R192" t="s">
        <v>12891</v>
      </c>
      <c r="S192" t="s">
        <v>12886</v>
      </c>
    </row>
    <row r="193" spans="1:19" x14ac:dyDescent="0.25">
      <c r="A193" t="s">
        <v>4383</v>
      </c>
      <c r="B193" s="1">
        <v>45872</v>
      </c>
      <c r="C193" t="s">
        <v>12893</v>
      </c>
      <c r="D193" s="5">
        <v>0.88734953703703701</v>
      </c>
      <c r="E193">
        <v>678.58</v>
      </c>
      <c r="F193" t="s">
        <v>44</v>
      </c>
      <c r="G193" t="s">
        <v>4016</v>
      </c>
      <c r="H193" t="s">
        <v>71</v>
      </c>
      <c r="I193" t="s">
        <v>248</v>
      </c>
      <c r="J193" t="s">
        <v>4384</v>
      </c>
      <c r="K193">
        <v>43</v>
      </c>
      <c r="L193" t="s">
        <v>37</v>
      </c>
      <c r="M193" t="s">
        <v>35</v>
      </c>
      <c r="N193" t="s">
        <v>27</v>
      </c>
      <c r="O193" t="s">
        <v>28</v>
      </c>
      <c r="P193" t="s">
        <v>31</v>
      </c>
      <c r="Q193">
        <v>0</v>
      </c>
      <c r="R193" t="s">
        <v>12883</v>
      </c>
      <c r="S193" t="s">
        <v>12886</v>
      </c>
    </row>
    <row r="194" spans="1:19" x14ac:dyDescent="0.25">
      <c r="A194" t="s">
        <v>8533</v>
      </c>
      <c r="B194" s="1">
        <v>45783</v>
      </c>
      <c r="C194" t="s">
        <v>12887</v>
      </c>
      <c r="D194" s="5">
        <v>0.39504629629629628</v>
      </c>
      <c r="E194">
        <v>678.44</v>
      </c>
      <c r="F194" t="s">
        <v>44</v>
      </c>
      <c r="G194" t="s">
        <v>1568</v>
      </c>
      <c r="H194" t="s">
        <v>64</v>
      </c>
      <c r="I194" t="s">
        <v>248</v>
      </c>
      <c r="J194" t="s">
        <v>8534</v>
      </c>
      <c r="K194">
        <v>75</v>
      </c>
      <c r="L194" t="s">
        <v>25</v>
      </c>
      <c r="M194" t="s">
        <v>58</v>
      </c>
      <c r="N194" t="s">
        <v>105</v>
      </c>
      <c r="O194" t="s">
        <v>28</v>
      </c>
      <c r="P194" t="s">
        <v>31</v>
      </c>
      <c r="Q194">
        <v>0</v>
      </c>
      <c r="R194" t="s">
        <v>12883</v>
      </c>
      <c r="S194" t="s">
        <v>12884</v>
      </c>
    </row>
    <row r="195" spans="1:19" x14ac:dyDescent="0.25">
      <c r="A195" t="s">
        <v>12086</v>
      </c>
      <c r="B195" s="1">
        <v>45859</v>
      </c>
      <c r="C195" t="s">
        <v>12885</v>
      </c>
      <c r="D195" s="5">
        <v>0.44987268518518519</v>
      </c>
      <c r="E195">
        <v>670.21</v>
      </c>
      <c r="F195" t="s">
        <v>44</v>
      </c>
      <c r="G195" t="s">
        <v>6596</v>
      </c>
      <c r="H195" t="s">
        <v>64</v>
      </c>
      <c r="I195" t="s">
        <v>248</v>
      </c>
      <c r="J195" t="s">
        <v>12087</v>
      </c>
      <c r="K195">
        <v>37</v>
      </c>
      <c r="L195" t="s">
        <v>49</v>
      </c>
      <c r="M195" t="s">
        <v>50</v>
      </c>
      <c r="N195" t="s">
        <v>112</v>
      </c>
      <c r="O195" t="s">
        <v>28</v>
      </c>
      <c r="P195" t="s">
        <v>31</v>
      </c>
      <c r="Q195">
        <v>0</v>
      </c>
      <c r="R195" t="s">
        <v>12883</v>
      </c>
      <c r="S195" t="s">
        <v>12889</v>
      </c>
    </row>
    <row r="196" spans="1:19" x14ac:dyDescent="0.25">
      <c r="A196" t="s">
        <v>5828</v>
      </c>
      <c r="B196" s="1">
        <v>45901</v>
      </c>
      <c r="C196" t="s">
        <v>12882</v>
      </c>
      <c r="D196" s="5">
        <v>0.89666666666666661</v>
      </c>
      <c r="E196">
        <v>660.8</v>
      </c>
      <c r="F196" t="s">
        <v>44</v>
      </c>
      <c r="G196" t="s">
        <v>1371</v>
      </c>
      <c r="H196" t="s">
        <v>71</v>
      </c>
      <c r="I196" t="s">
        <v>26</v>
      </c>
      <c r="J196" t="s">
        <v>5829</v>
      </c>
      <c r="K196">
        <v>46</v>
      </c>
      <c r="L196" t="s">
        <v>37</v>
      </c>
      <c r="M196" t="s">
        <v>66</v>
      </c>
      <c r="N196" t="s">
        <v>112</v>
      </c>
      <c r="O196" t="s">
        <v>28</v>
      </c>
      <c r="P196" t="s">
        <v>31</v>
      </c>
      <c r="Q196">
        <v>0</v>
      </c>
      <c r="R196" t="s">
        <v>12883</v>
      </c>
      <c r="S196" t="s">
        <v>12886</v>
      </c>
    </row>
    <row r="197" spans="1:19" x14ac:dyDescent="0.25">
      <c r="A197" t="s">
        <v>4159</v>
      </c>
      <c r="B197" s="1">
        <v>45852</v>
      </c>
      <c r="C197" t="s">
        <v>12885</v>
      </c>
      <c r="D197" s="5">
        <v>0.18601851851851853</v>
      </c>
      <c r="E197">
        <v>659.17</v>
      </c>
      <c r="F197" t="s">
        <v>44</v>
      </c>
      <c r="G197" t="s">
        <v>601</v>
      </c>
      <c r="H197" t="s">
        <v>89</v>
      </c>
      <c r="I197" t="s">
        <v>38</v>
      </c>
      <c r="J197" t="s">
        <v>4160</v>
      </c>
      <c r="K197">
        <v>28</v>
      </c>
      <c r="L197" t="s">
        <v>37</v>
      </c>
      <c r="M197" t="s">
        <v>66</v>
      </c>
      <c r="N197" t="s">
        <v>51</v>
      </c>
      <c r="O197" t="s">
        <v>28</v>
      </c>
      <c r="P197" t="s">
        <v>31</v>
      </c>
      <c r="Q197">
        <v>0</v>
      </c>
      <c r="R197" t="s">
        <v>12883</v>
      </c>
      <c r="S197" t="s">
        <v>12889</v>
      </c>
    </row>
    <row r="198" spans="1:19" x14ac:dyDescent="0.25">
      <c r="A198" t="s">
        <v>11598</v>
      </c>
      <c r="B198" s="1">
        <v>45822</v>
      </c>
      <c r="C198" t="s">
        <v>12888</v>
      </c>
      <c r="D198" s="5">
        <v>7.4884259259259262E-2</v>
      </c>
      <c r="E198">
        <v>653.72</v>
      </c>
      <c r="F198" t="s">
        <v>44</v>
      </c>
      <c r="G198" t="s">
        <v>2956</v>
      </c>
      <c r="H198" t="s">
        <v>22</v>
      </c>
      <c r="I198" t="s">
        <v>146</v>
      </c>
      <c r="J198" t="s">
        <v>11599</v>
      </c>
      <c r="K198">
        <v>57</v>
      </c>
      <c r="L198" t="s">
        <v>37</v>
      </c>
      <c r="M198" t="s">
        <v>146</v>
      </c>
      <c r="N198" t="s">
        <v>105</v>
      </c>
      <c r="O198" t="s">
        <v>113</v>
      </c>
      <c r="P198" t="s">
        <v>31</v>
      </c>
      <c r="Q198">
        <v>0</v>
      </c>
      <c r="R198" t="s">
        <v>12883</v>
      </c>
      <c r="S198" t="s">
        <v>12886</v>
      </c>
    </row>
    <row r="199" spans="1:19" x14ac:dyDescent="0.25">
      <c r="A199" t="s">
        <v>4219</v>
      </c>
      <c r="B199" s="1">
        <v>45892</v>
      </c>
      <c r="C199" t="s">
        <v>12893</v>
      </c>
      <c r="D199" s="5">
        <v>0.94429398148148147</v>
      </c>
      <c r="E199">
        <v>645.94000000000005</v>
      </c>
      <c r="F199" t="s">
        <v>44</v>
      </c>
      <c r="G199" t="s">
        <v>1177</v>
      </c>
      <c r="H199" t="s">
        <v>22</v>
      </c>
      <c r="I199" t="s">
        <v>130</v>
      </c>
      <c r="J199" t="s">
        <v>4220</v>
      </c>
      <c r="K199">
        <v>58</v>
      </c>
      <c r="L199" t="s">
        <v>49</v>
      </c>
      <c r="M199" t="s">
        <v>23</v>
      </c>
      <c r="N199" t="s">
        <v>112</v>
      </c>
      <c r="O199" t="s">
        <v>28</v>
      </c>
      <c r="P199" t="s">
        <v>31</v>
      </c>
      <c r="Q199">
        <v>0</v>
      </c>
      <c r="R199" t="s">
        <v>12883</v>
      </c>
      <c r="S199" t="s">
        <v>12886</v>
      </c>
    </row>
    <row r="200" spans="1:19" x14ac:dyDescent="0.25">
      <c r="A200" t="s">
        <v>12585</v>
      </c>
      <c r="B200" s="1">
        <v>45791</v>
      </c>
      <c r="C200" t="s">
        <v>12887</v>
      </c>
      <c r="D200" s="5">
        <v>0.62975694444444441</v>
      </c>
      <c r="E200">
        <v>643.95000000000005</v>
      </c>
      <c r="F200" t="s">
        <v>44</v>
      </c>
      <c r="G200" t="s">
        <v>9980</v>
      </c>
      <c r="H200" t="s">
        <v>96</v>
      </c>
      <c r="I200" t="s">
        <v>91</v>
      </c>
      <c r="J200" t="s">
        <v>12586</v>
      </c>
      <c r="K200">
        <v>61</v>
      </c>
      <c r="L200" t="s">
        <v>37</v>
      </c>
      <c r="M200" t="s">
        <v>35</v>
      </c>
      <c r="N200" t="s">
        <v>27</v>
      </c>
      <c r="O200" t="s">
        <v>28</v>
      </c>
      <c r="P200" t="s">
        <v>31</v>
      </c>
      <c r="Q200">
        <v>0</v>
      </c>
      <c r="R200" t="s">
        <v>12883</v>
      </c>
      <c r="S200" t="s">
        <v>12884</v>
      </c>
    </row>
    <row r="201" spans="1:19" x14ac:dyDescent="0.25">
      <c r="A201" t="s">
        <v>7572</v>
      </c>
      <c r="B201" s="1">
        <v>45934</v>
      </c>
      <c r="C201" t="s">
        <v>12890</v>
      </c>
      <c r="D201" s="5">
        <v>7.5995370370370366E-2</v>
      </c>
      <c r="E201">
        <v>638.65</v>
      </c>
      <c r="F201" t="s">
        <v>44</v>
      </c>
      <c r="G201" t="s">
        <v>5255</v>
      </c>
      <c r="H201" t="s">
        <v>57</v>
      </c>
      <c r="I201" t="s">
        <v>97</v>
      </c>
      <c r="J201" t="s">
        <v>7573</v>
      </c>
      <c r="K201">
        <v>54</v>
      </c>
      <c r="L201" t="s">
        <v>25</v>
      </c>
      <c r="M201" t="s">
        <v>119</v>
      </c>
      <c r="N201" t="s">
        <v>105</v>
      </c>
      <c r="O201" t="s">
        <v>28</v>
      </c>
      <c r="P201" t="s">
        <v>31</v>
      </c>
      <c r="Q201">
        <v>0</v>
      </c>
      <c r="R201" t="s">
        <v>12883</v>
      </c>
      <c r="S201" t="s">
        <v>12886</v>
      </c>
    </row>
    <row r="202" spans="1:19" x14ac:dyDescent="0.25">
      <c r="A202" t="s">
        <v>1616</v>
      </c>
      <c r="B202" s="1">
        <v>45878</v>
      </c>
      <c r="C202" t="s">
        <v>12893</v>
      </c>
      <c r="D202" s="5">
        <v>0.77719907407407407</v>
      </c>
      <c r="E202">
        <v>632.02</v>
      </c>
      <c r="F202" t="s">
        <v>44</v>
      </c>
      <c r="G202" t="s">
        <v>1617</v>
      </c>
      <c r="H202" t="s">
        <v>57</v>
      </c>
      <c r="I202" t="s">
        <v>130</v>
      </c>
      <c r="J202" t="s">
        <v>1618</v>
      </c>
      <c r="K202">
        <v>75</v>
      </c>
      <c r="L202" t="s">
        <v>49</v>
      </c>
      <c r="M202" t="s">
        <v>119</v>
      </c>
      <c r="N202" t="s">
        <v>39</v>
      </c>
      <c r="O202" t="s">
        <v>28</v>
      </c>
      <c r="P202" t="s">
        <v>31</v>
      </c>
      <c r="Q202">
        <v>1</v>
      </c>
      <c r="R202" t="s">
        <v>12891</v>
      </c>
      <c r="S202" t="s">
        <v>12884</v>
      </c>
    </row>
    <row r="203" spans="1:19" x14ac:dyDescent="0.25">
      <c r="A203" t="s">
        <v>5565</v>
      </c>
      <c r="B203" s="1">
        <v>45855</v>
      </c>
      <c r="C203" t="s">
        <v>12885</v>
      </c>
      <c r="D203" s="5">
        <v>0.99689814814814814</v>
      </c>
      <c r="E203">
        <v>627.16999999999996</v>
      </c>
      <c r="F203" t="s">
        <v>44</v>
      </c>
      <c r="G203" t="s">
        <v>5566</v>
      </c>
      <c r="H203" t="s">
        <v>89</v>
      </c>
      <c r="I203" t="s">
        <v>38</v>
      </c>
      <c r="J203" t="s">
        <v>5567</v>
      </c>
      <c r="K203">
        <v>41</v>
      </c>
      <c r="L203" t="s">
        <v>49</v>
      </c>
      <c r="M203" t="s">
        <v>110</v>
      </c>
      <c r="N203" t="s">
        <v>51</v>
      </c>
      <c r="O203" t="s">
        <v>28</v>
      </c>
      <c r="P203" t="s">
        <v>31</v>
      </c>
      <c r="Q203">
        <v>0</v>
      </c>
      <c r="R203" t="s">
        <v>12883</v>
      </c>
      <c r="S203" t="s">
        <v>12886</v>
      </c>
    </row>
    <row r="204" spans="1:19" x14ac:dyDescent="0.25">
      <c r="A204" t="s">
        <v>4941</v>
      </c>
      <c r="B204" s="1">
        <v>45847</v>
      </c>
      <c r="C204" t="s">
        <v>12885</v>
      </c>
      <c r="D204" s="5">
        <v>0.55527777777777776</v>
      </c>
      <c r="E204">
        <v>625.30999999999995</v>
      </c>
      <c r="F204" t="s">
        <v>44</v>
      </c>
      <c r="G204" t="s">
        <v>4150</v>
      </c>
      <c r="H204" t="s">
        <v>57</v>
      </c>
      <c r="I204" t="s">
        <v>66</v>
      </c>
      <c r="J204" t="s">
        <v>4942</v>
      </c>
      <c r="K204">
        <v>33</v>
      </c>
      <c r="L204" t="s">
        <v>37</v>
      </c>
      <c r="M204" t="s">
        <v>47</v>
      </c>
      <c r="N204" t="s">
        <v>84</v>
      </c>
      <c r="O204" t="s">
        <v>28</v>
      </c>
      <c r="P204" t="s">
        <v>31</v>
      </c>
      <c r="Q204">
        <v>0</v>
      </c>
      <c r="R204" t="s">
        <v>12883</v>
      </c>
      <c r="S204" t="s">
        <v>12889</v>
      </c>
    </row>
    <row r="205" spans="1:19" x14ac:dyDescent="0.25">
      <c r="A205" t="s">
        <v>6920</v>
      </c>
      <c r="B205" s="1">
        <v>45942</v>
      </c>
      <c r="C205" t="s">
        <v>12890</v>
      </c>
      <c r="D205" s="5">
        <v>0.49753472222222223</v>
      </c>
      <c r="E205">
        <v>625.11</v>
      </c>
      <c r="F205" t="s">
        <v>44</v>
      </c>
      <c r="G205" t="s">
        <v>4661</v>
      </c>
      <c r="H205" t="s">
        <v>71</v>
      </c>
      <c r="I205" t="s">
        <v>35</v>
      </c>
      <c r="J205" t="s">
        <v>6921</v>
      </c>
      <c r="K205">
        <v>56</v>
      </c>
      <c r="L205" t="s">
        <v>49</v>
      </c>
      <c r="M205" t="s">
        <v>130</v>
      </c>
      <c r="N205" t="s">
        <v>84</v>
      </c>
      <c r="O205" t="s">
        <v>28</v>
      </c>
      <c r="P205" t="s">
        <v>31</v>
      </c>
      <c r="Q205">
        <v>0</v>
      </c>
      <c r="R205" t="s">
        <v>12883</v>
      </c>
      <c r="S205" t="s">
        <v>12886</v>
      </c>
    </row>
    <row r="206" spans="1:19" x14ac:dyDescent="0.25">
      <c r="A206" t="s">
        <v>7594</v>
      </c>
      <c r="B206" s="1">
        <v>45943</v>
      </c>
      <c r="C206" t="s">
        <v>12890</v>
      </c>
      <c r="D206" s="5">
        <v>0.9653356481481481</v>
      </c>
      <c r="E206">
        <v>620.47</v>
      </c>
      <c r="F206" t="s">
        <v>44</v>
      </c>
      <c r="G206" t="s">
        <v>7595</v>
      </c>
      <c r="H206" t="s">
        <v>46</v>
      </c>
      <c r="I206" t="s">
        <v>119</v>
      </c>
      <c r="J206" t="s">
        <v>7596</v>
      </c>
      <c r="K206">
        <v>23</v>
      </c>
      <c r="L206" t="s">
        <v>49</v>
      </c>
      <c r="M206" t="s">
        <v>50</v>
      </c>
      <c r="N206" t="s">
        <v>39</v>
      </c>
      <c r="O206" t="s">
        <v>28</v>
      </c>
      <c r="P206" t="s">
        <v>31</v>
      </c>
      <c r="Q206">
        <v>0</v>
      </c>
      <c r="R206" t="s">
        <v>12883</v>
      </c>
      <c r="S206" t="s">
        <v>12892</v>
      </c>
    </row>
    <row r="207" spans="1:19" x14ac:dyDescent="0.25">
      <c r="A207" t="s">
        <v>8181</v>
      </c>
      <c r="B207" s="1">
        <v>45836</v>
      </c>
      <c r="C207" t="s">
        <v>12888</v>
      </c>
      <c r="D207" s="5">
        <v>0.45907407407407408</v>
      </c>
      <c r="E207">
        <v>615.20000000000005</v>
      </c>
      <c r="F207" t="s">
        <v>44</v>
      </c>
      <c r="G207" t="s">
        <v>2229</v>
      </c>
      <c r="H207" t="s">
        <v>46</v>
      </c>
      <c r="I207" t="s">
        <v>23</v>
      </c>
      <c r="J207" t="s">
        <v>8182</v>
      </c>
      <c r="K207">
        <v>106</v>
      </c>
      <c r="L207" t="s">
        <v>37</v>
      </c>
      <c r="M207" t="s">
        <v>146</v>
      </c>
      <c r="N207" t="s">
        <v>105</v>
      </c>
      <c r="O207" t="s">
        <v>28</v>
      </c>
      <c r="P207" t="s">
        <v>31</v>
      </c>
      <c r="Q207">
        <v>1</v>
      </c>
      <c r="R207" t="s">
        <v>12891</v>
      </c>
      <c r="S207" t="s">
        <v>12884</v>
      </c>
    </row>
    <row r="208" spans="1:19" x14ac:dyDescent="0.25">
      <c r="A208" t="s">
        <v>3747</v>
      </c>
      <c r="B208" s="1">
        <v>45934</v>
      </c>
      <c r="C208" t="s">
        <v>12890</v>
      </c>
      <c r="D208" s="5">
        <v>0.53334490740740736</v>
      </c>
      <c r="E208">
        <v>612.02</v>
      </c>
      <c r="F208" t="s">
        <v>44</v>
      </c>
      <c r="G208" t="s">
        <v>3748</v>
      </c>
      <c r="H208" t="s">
        <v>89</v>
      </c>
      <c r="I208" t="s">
        <v>119</v>
      </c>
      <c r="J208" t="s">
        <v>3749</v>
      </c>
      <c r="K208">
        <v>62</v>
      </c>
      <c r="L208" t="s">
        <v>49</v>
      </c>
      <c r="M208" t="s">
        <v>97</v>
      </c>
      <c r="N208" t="s">
        <v>51</v>
      </c>
      <c r="O208" t="s">
        <v>28</v>
      </c>
      <c r="P208" t="s">
        <v>31</v>
      </c>
      <c r="Q208">
        <v>0</v>
      </c>
      <c r="R208" t="s">
        <v>12883</v>
      </c>
      <c r="S208" t="s">
        <v>12884</v>
      </c>
    </row>
    <row r="209" spans="1:19" x14ac:dyDescent="0.25">
      <c r="A209" t="s">
        <v>972</v>
      </c>
      <c r="B209" s="1">
        <v>45792</v>
      </c>
      <c r="C209" t="s">
        <v>12887</v>
      </c>
      <c r="D209" s="5">
        <v>0.80488425925925922</v>
      </c>
      <c r="E209">
        <v>604.79999999999995</v>
      </c>
      <c r="F209" t="s">
        <v>44</v>
      </c>
      <c r="G209" t="s">
        <v>973</v>
      </c>
      <c r="H209" t="s">
        <v>34</v>
      </c>
      <c r="I209" t="s">
        <v>26</v>
      </c>
      <c r="J209" t="s">
        <v>974</v>
      </c>
      <c r="K209">
        <v>27</v>
      </c>
      <c r="L209" t="s">
        <v>25</v>
      </c>
      <c r="M209" t="s">
        <v>35</v>
      </c>
      <c r="N209" t="s">
        <v>105</v>
      </c>
      <c r="O209" t="s">
        <v>28</v>
      </c>
      <c r="P209" t="s">
        <v>31</v>
      </c>
      <c r="Q209">
        <v>0</v>
      </c>
      <c r="R209" t="s">
        <v>12883</v>
      </c>
      <c r="S209" t="s">
        <v>12889</v>
      </c>
    </row>
    <row r="210" spans="1:19" x14ac:dyDescent="0.25">
      <c r="A210" t="s">
        <v>1223</v>
      </c>
      <c r="B210" s="1">
        <v>45939</v>
      </c>
      <c r="C210" t="s">
        <v>12890</v>
      </c>
      <c r="D210" s="5">
        <v>0.86425925925925928</v>
      </c>
      <c r="E210">
        <v>602.24</v>
      </c>
      <c r="F210" t="s">
        <v>44</v>
      </c>
      <c r="G210" t="s">
        <v>1224</v>
      </c>
      <c r="H210" t="s">
        <v>64</v>
      </c>
      <c r="I210" t="s">
        <v>35</v>
      </c>
      <c r="J210" t="s">
        <v>1225</v>
      </c>
      <c r="K210">
        <v>59</v>
      </c>
      <c r="L210" t="s">
        <v>25</v>
      </c>
      <c r="M210" t="s">
        <v>26</v>
      </c>
      <c r="N210" t="s">
        <v>39</v>
      </c>
      <c r="O210" t="s">
        <v>28</v>
      </c>
      <c r="P210" t="s">
        <v>31</v>
      </c>
      <c r="Q210">
        <v>0</v>
      </c>
      <c r="R210" t="s">
        <v>12883</v>
      </c>
      <c r="S210" t="s">
        <v>12886</v>
      </c>
    </row>
    <row r="211" spans="1:19" x14ac:dyDescent="0.25">
      <c r="A211" t="s">
        <v>2002</v>
      </c>
      <c r="B211" s="1">
        <v>45918</v>
      </c>
      <c r="C211" t="s">
        <v>12882</v>
      </c>
      <c r="D211" s="5">
        <v>0.74898148148148147</v>
      </c>
      <c r="E211">
        <v>599.70000000000005</v>
      </c>
      <c r="F211" t="s">
        <v>44</v>
      </c>
      <c r="G211" t="s">
        <v>1393</v>
      </c>
      <c r="H211" t="s">
        <v>57</v>
      </c>
      <c r="I211" t="s">
        <v>146</v>
      </c>
      <c r="J211" t="s">
        <v>2003</v>
      </c>
      <c r="K211">
        <v>53</v>
      </c>
      <c r="L211" t="s">
        <v>25</v>
      </c>
      <c r="M211" t="s">
        <v>35</v>
      </c>
      <c r="N211" t="s">
        <v>105</v>
      </c>
      <c r="O211" t="s">
        <v>28</v>
      </c>
      <c r="P211" t="s">
        <v>31</v>
      </c>
      <c r="Q211">
        <v>0</v>
      </c>
      <c r="R211" t="s">
        <v>12883</v>
      </c>
      <c r="S211" t="s">
        <v>12886</v>
      </c>
    </row>
    <row r="212" spans="1:19" x14ac:dyDescent="0.25">
      <c r="A212" t="s">
        <v>3937</v>
      </c>
      <c r="B212" s="1">
        <v>45947</v>
      </c>
      <c r="C212" t="s">
        <v>12890</v>
      </c>
      <c r="D212" s="5">
        <v>0.85623842592592592</v>
      </c>
      <c r="E212">
        <v>599.66</v>
      </c>
      <c r="F212" t="s">
        <v>44</v>
      </c>
      <c r="G212" t="s">
        <v>1291</v>
      </c>
      <c r="H212" t="s">
        <v>46</v>
      </c>
      <c r="I212" t="s">
        <v>50</v>
      </c>
      <c r="J212" t="s">
        <v>3938</v>
      </c>
      <c r="K212">
        <v>60</v>
      </c>
      <c r="L212" t="s">
        <v>37</v>
      </c>
      <c r="M212" t="s">
        <v>91</v>
      </c>
      <c r="N212" t="s">
        <v>27</v>
      </c>
      <c r="O212" t="s">
        <v>28</v>
      </c>
      <c r="P212" t="s">
        <v>31</v>
      </c>
      <c r="Q212">
        <v>0</v>
      </c>
      <c r="R212" t="s">
        <v>12883</v>
      </c>
      <c r="S212" t="s">
        <v>12884</v>
      </c>
    </row>
    <row r="213" spans="1:19" x14ac:dyDescent="0.25">
      <c r="A213" t="s">
        <v>7903</v>
      </c>
      <c r="B213" s="1">
        <v>45889</v>
      </c>
      <c r="C213" t="s">
        <v>12893</v>
      </c>
      <c r="D213" s="5">
        <v>0.85187500000000005</v>
      </c>
      <c r="E213">
        <v>592.07000000000005</v>
      </c>
      <c r="F213" t="s">
        <v>44</v>
      </c>
      <c r="G213" t="s">
        <v>3128</v>
      </c>
      <c r="H213" t="s">
        <v>71</v>
      </c>
      <c r="I213" t="s">
        <v>110</v>
      </c>
      <c r="J213" t="s">
        <v>7904</v>
      </c>
      <c r="K213">
        <v>48</v>
      </c>
      <c r="L213" t="s">
        <v>25</v>
      </c>
      <c r="M213" t="s">
        <v>23</v>
      </c>
      <c r="N213" t="s">
        <v>39</v>
      </c>
      <c r="O213" t="s">
        <v>28</v>
      </c>
      <c r="P213" t="s">
        <v>31</v>
      </c>
      <c r="Q213">
        <v>0</v>
      </c>
      <c r="R213" t="s">
        <v>12883</v>
      </c>
      <c r="S213" t="s">
        <v>12886</v>
      </c>
    </row>
    <row r="214" spans="1:19" x14ac:dyDescent="0.25">
      <c r="A214" t="s">
        <v>6355</v>
      </c>
      <c r="B214" s="1">
        <v>45960</v>
      </c>
      <c r="C214" t="s">
        <v>12890</v>
      </c>
      <c r="D214" s="5">
        <v>0.25822916666666668</v>
      </c>
      <c r="E214">
        <v>590.86</v>
      </c>
      <c r="F214" t="s">
        <v>44</v>
      </c>
      <c r="G214" t="s">
        <v>4350</v>
      </c>
      <c r="H214" t="s">
        <v>71</v>
      </c>
      <c r="I214" t="s">
        <v>146</v>
      </c>
      <c r="J214" t="s">
        <v>6356</v>
      </c>
      <c r="K214">
        <v>63</v>
      </c>
      <c r="L214" t="s">
        <v>49</v>
      </c>
      <c r="M214" t="s">
        <v>50</v>
      </c>
      <c r="N214" t="s">
        <v>51</v>
      </c>
      <c r="O214" t="s">
        <v>28</v>
      </c>
      <c r="P214" t="s">
        <v>31</v>
      </c>
      <c r="Q214">
        <v>0</v>
      </c>
      <c r="R214" t="s">
        <v>12883</v>
      </c>
      <c r="S214" t="s">
        <v>12884</v>
      </c>
    </row>
    <row r="215" spans="1:19" x14ac:dyDescent="0.25">
      <c r="A215" t="s">
        <v>1162</v>
      </c>
      <c r="B215" s="1">
        <v>45808</v>
      </c>
      <c r="C215" t="s">
        <v>12887</v>
      </c>
      <c r="D215" s="5">
        <v>0.14890046296296297</v>
      </c>
      <c r="E215">
        <v>588.4</v>
      </c>
      <c r="F215" t="s">
        <v>44</v>
      </c>
      <c r="G215" t="s">
        <v>1163</v>
      </c>
      <c r="H215" t="s">
        <v>64</v>
      </c>
      <c r="I215" t="s">
        <v>248</v>
      </c>
      <c r="J215" t="s">
        <v>1164</v>
      </c>
      <c r="K215">
        <v>31</v>
      </c>
      <c r="L215" t="s">
        <v>37</v>
      </c>
      <c r="M215" t="s">
        <v>130</v>
      </c>
      <c r="N215" t="s">
        <v>105</v>
      </c>
      <c r="O215" t="s">
        <v>28</v>
      </c>
      <c r="P215" t="s">
        <v>31</v>
      </c>
      <c r="Q215">
        <v>0</v>
      </c>
      <c r="R215" t="s">
        <v>12883</v>
      </c>
      <c r="S215" t="s">
        <v>12889</v>
      </c>
    </row>
    <row r="216" spans="1:19" x14ac:dyDescent="0.25">
      <c r="A216" t="s">
        <v>3906</v>
      </c>
      <c r="B216" s="1">
        <v>45795</v>
      </c>
      <c r="C216" t="s">
        <v>12887</v>
      </c>
      <c r="D216" s="5">
        <v>0.1615162037037037</v>
      </c>
      <c r="E216">
        <v>587.4</v>
      </c>
      <c r="F216" t="s">
        <v>44</v>
      </c>
      <c r="G216" t="s">
        <v>3206</v>
      </c>
      <c r="H216" t="s">
        <v>77</v>
      </c>
      <c r="I216" t="s">
        <v>58</v>
      </c>
      <c r="J216" t="s">
        <v>3907</v>
      </c>
      <c r="K216">
        <v>37</v>
      </c>
      <c r="L216" t="s">
        <v>37</v>
      </c>
      <c r="M216" t="s">
        <v>66</v>
      </c>
      <c r="N216" t="s">
        <v>51</v>
      </c>
      <c r="O216" t="s">
        <v>28</v>
      </c>
      <c r="P216" t="s">
        <v>31</v>
      </c>
      <c r="Q216">
        <v>0</v>
      </c>
      <c r="R216" t="s">
        <v>12883</v>
      </c>
      <c r="S216" t="s">
        <v>12889</v>
      </c>
    </row>
    <row r="217" spans="1:19" x14ac:dyDescent="0.25">
      <c r="A217" t="s">
        <v>4463</v>
      </c>
      <c r="B217" s="1">
        <v>45882</v>
      </c>
      <c r="C217" t="s">
        <v>12893</v>
      </c>
      <c r="D217" s="5">
        <v>4.3692129629629629E-2</v>
      </c>
      <c r="E217">
        <v>580.54999999999995</v>
      </c>
      <c r="F217" t="s">
        <v>44</v>
      </c>
      <c r="G217" t="s">
        <v>4464</v>
      </c>
      <c r="H217" t="s">
        <v>77</v>
      </c>
      <c r="I217" t="s">
        <v>91</v>
      </c>
      <c r="J217" t="s">
        <v>4465</v>
      </c>
      <c r="K217">
        <v>28</v>
      </c>
      <c r="L217" t="s">
        <v>37</v>
      </c>
      <c r="M217" t="s">
        <v>119</v>
      </c>
      <c r="N217" t="s">
        <v>112</v>
      </c>
      <c r="O217" t="s">
        <v>28</v>
      </c>
      <c r="P217" t="s">
        <v>31</v>
      </c>
      <c r="Q217">
        <v>0</v>
      </c>
      <c r="R217" t="s">
        <v>12883</v>
      </c>
      <c r="S217" t="s">
        <v>12889</v>
      </c>
    </row>
    <row r="218" spans="1:19" x14ac:dyDescent="0.25">
      <c r="A218" t="s">
        <v>1474</v>
      </c>
      <c r="B218" s="1">
        <v>45892</v>
      </c>
      <c r="C218" t="s">
        <v>12893</v>
      </c>
      <c r="D218" s="5">
        <v>0.16396990740740741</v>
      </c>
      <c r="E218">
        <v>580.44000000000005</v>
      </c>
      <c r="F218" t="s">
        <v>44</v>
      </c>
      <c r="G218" t="s">
        <v>1475</v>
      </c>
      <c r="H218" t="s">
        <v>22</v>
      </c>
      <c r="I218" t="s">
        <v>146</v>
      </c>
      <c r="J218" t="s">
        <v>1476</v>
      </c>
      <c r="K218">
        <v>51</v>
      </c>
      <c r="L218" t="s">
        <v>25</v>
      </c>
      <c r="M218" t="s">
        <v>23</v>
      </c>
      <c r="N218" t="s">
        <v>112</v>
      </c>
      <c r="O218" t="s">
        <v>28</v>
      </c>
      <c r="P218" t="s">
        <v>31</v>
      </c>
      <c r="Q218">
        <v>0</v>
      </c>
      <c r="R218" t="s">
        <v>12883</v>
      </c>
      <c r="S218" t="s">
        <v>12886</v>
      </c>
    </row>
    <row r="219" spans="1:19" x14ac:dyDescent="0.25">
      <c r="A219" t="s">
        <v>11143</v>
      </c>
      <c r="B219" s="1">
        <v>45868</v>
      </c>
      <c r="C219" t="s">
        <v>12885</v>
      </c>
      <c r="D219" s="5">
        <v>0.82671296296296293</v>
      </c>
      <c r="E219">
        <v>578.11</v>
      </c>
      <c r="F219" t="s">
        <v>44</v>
      </c>
      <c r="G219" t="s">
        <v>2598</v>
      </c>
      <c r="H219" t="s">
        <v>34</v>
      </c>
      <c r="I219" t="s">
        <v>119</v>
      </c>
      <c r="J219" t="s">
        <v>11144</v>
      </c>
      <c r="K219">
        <v>67</v>
      </c>
      <c r="L219" t="s">
        <v>37</v>
      </c>
      <c r="M219" t="s">
        <v>97</v>
      </c>
      <c r="N219" t="s">
        <v>39</v>
      </c>
      <c r="O219" t="s">
        <v>28</v>
      </c>
      <c r="P219" t="s">
        <v>31</v>
      </c>
      <c r="Q219">
        <v>0</v>
      </c>
      <c r="R219" t="s">
        <v>12883</v>
      </c>
      <c r="S219" t="s">
        <v>12884</v>
      </c>
    </row>
    <row r="220" spans="1:19" x14ac:dyDescent="0.25">
      <c r="A220" t="s">
        <v>4387</v>
      </c>
      <c r="B220" s="1">
        <v>45908</v>
      </c>
      <c r="C220" t="s">
        <v>12882</v>
      </c>
      <c r="D220" s="5">
        <v>2.1458333333333333E-2</v>
      </c>
      <c r="E220">
        <v>571.95000000000005</v>
      </c>
      <c r="F220" t="s">
        <v>44</v>
      </c>
      <c r="G220" t="s">
        <v>467</v>
      </c>
      <c r="H220" t="s">
        <v>34</v>
      </c>
      <c r="I220" t="s">
        <v>50</v>
      </c>
      <c r="J220" t="s">
        <v>4388</v>
      </c>
      <c r="K220">
        <v>64</v>
      </c>
      <c r="L220" t="s">
        <v>49</v>
      </c>
      <c r="M220" t="s">
        <v>50</v>
      </c>
      <c r="N220" t="s">
        <v>39</v>
      </c>
      <c r="O220" t="s">
        <v>113</v>
      </c>
      <c r="P220" t="s">
        <v>31</v>
      </c>
      <c r="Q220">
        <v>0</v>
      </c>
      <c r="R220" t="s">
        <v>12883</v>
      </c>
      <c r="S220" t="s">
        <v>12884</v>
      </c>
    </row>
    <row r="221" spans="1:19" x14ac:dyDescent="0.25">
      <c r="A221" t="s">
        <v>4071</v>
      </c>
      <c r="B221" s="1">
        <v>45880</v>
      </c>
      <c r="C221" t="s">
        <v>12893</v>
      </c>
      <c r="D221" s="5">
        <v>0.19028935185185186</v>
      </c>
      <c r="E221">
        <v>570.33000000000004</v>
      </c>
      <c r="F221" t="s">
        <v>44</v>
      </c>
      <c r="G221" t="s">
        <v>4072</v>
      </c>
      <c r="H221" t="s">
        <v>34</v>
      </c>
      <c r="I221" t="s">
        <v>35</v>
      </c>
      <c r="J221" t="s">
        <v>4073</v>
      </c>
      <c r="K221">
        <v>33</v>
      </c>
      <c r="L221" t="s">
        <v>49</v>
      </c>
      <c r="M221" t="s">
        <v>47</v>
      </c>
      <c r="N221" t="s">
        <v>105</v>
      </c>
      <c r="O221" t="s">
        <v>28</v>
      </c>
      <c r="P221" t="s">
        <v>31</v>
      </c>
      <c r="Q221">
        <v>0</v>
      </c>
      <c r="R221" t="s">
        <v>12883</v>
      </c>
      <c r="S221" t="s">
        <v>12889</v>
      </c>
    </row>
    <row r="222" spans="1:19" x14ac:dyDescent="0.25">
      <c r="A222" t="s">
        <v>4573</v>
      </c>
      <c r="B222" s="1">
        <v>45872</v>
      </c>
      <c r="C222" t="s">
        <v>12893</v>
      </c>
      <c r="D222" s="5">
        <v>0.31296296296296294</v>
      </c>
      <c r="E222">
        <v>569.94000000000005</v>
      </c>
      <c r="F222" t="s">
        <v>44</v>
      </c>
      <c r="G222" t="s">
        <v>2635</v>
      </c>
      <c r="H222" t="s">
        <v>64</v>
      </c>
      <c r="I222" t="s">
        <v>130</v>
      </c>
      <c r="J222" t="s">
        <v>4574</v>
      </c>
      <c r="K222">
        <v>53</v>
      </c>
      <c r="L222" t="s">
        <v>37</v>
      </c>
      <c r="M222" t="s">
        <v>35</v>
      </c>
      <c r="N222" t="s">
        <v>84</v>
      </c>
      <c r="O222" t="s">
        <v>28</v>
      </c>
      <c r="P222" t="s">
        <v>31</v>
      </c>
      <c r="Q222">
        <v>0</v>
      </c>
      <c r="R222" t="s">
        <v>12883</v>
      </c>
      <c r="S222" t="s">
        <v>12886</v>
      </c>
    </row>
    <row r="223" spans="1:19" x14ac:dyDescent="0.25">
      <c r="A223" t="s">
        <v>2555</v>
      </c>
      <c r="B223" s="1">
        <v>45937</v>
      </c>
      <c r="C223" t="s">
        <v>12890</v>
      </c>
      <c r="D223" s="5">
        <v>0.27620370370370373</v>
      </c>
      <c r="E223">
        <v>569.44000000000005</v>
      </c>
      <c r="F223" t="s">
        <v>44</v>
      </c>
      <c r="G223" t="s">
        <v>2556</v>
      </c>
      <c r="H223" t="s">
        <v>89</v>
      </c>
      <c r="I223" t="s">
        <v>58</v>
      </c>
      <c r="J223" t="s">
        <v>2557</v>
      </c>
      <c r="K223">
        <v>48</v>
      </c>
      <c r="L223" t="s">
        <v>37</v>
      </c>
      <c r="M223" t="s">
        <v>38</v>
      </c>
      <c r="N223" t="s">
        <v>27</v>
      </c>
      <c r="O223" t="s">
        <v>28</v>
      </c>
      <c r="P223" t="s">
        <v>31</v>
      </c>
      <c r="Q223">
        <v>0</v>
      </c>
      <c r="R223" t="s">
        <v>12883</v>
      </c>
      <c r="S223" t="s">
        <v>12886</v>
      </c>
    </row>
    <row r="224" spans="1:19" x14ac:dyDescent="0.25">
      <c r="A224" t="s">
        <v>6181</v>
      </c>
      <c r="B224" s="1">
        <v>45836</v>
      </c>
      <c r="C224" t="s">
        <v>12888</v>
      </c>
      <c r="D224" s="5">
        <v>8.6585648148148148E-2</v>
      </c>
      <c r="E224">
        <v>569.12</v>
      </c>
      <c r="F224" t="s">
        <v>44</v>
      </c>
      <c r="G224" t="s">
        <v>5824</v>
      </c>
      <c r="H224" t="s">
        <v>64</v>
      </c>
      <c r="I224" t="s">
        <v>38</v>
      </c>
      <c r="J224" t="s">
        <v>6182</v>
      </c>
      <c r="K224">
        <v>70</v>
      </c>
      <c r="L224" t="s">
        <v>49</v>
      </c>
      <c r="M224" t="s">
        <v>58</v>
      </c>
      <c r="N224" t="s">
        <v>51</v>
      </c>
      <c r="O224" t="s">
        <v>28</v>
      </c>
      <c r="P224" t="s">
        <v>31</v>
      </c>
      <c r="Q224">
        <v>1</v>
      </c>
      <c r="R224" t="s">
        <v>12891</v>
      </c>
      <c r="S224" t="s">
        <v>12884</v>
      </c>
    </row>
    <row r="225" spans="1:19" x14ac:dyDescent="0.25">
      <c r="A225" t="s">
        <v>10754</v>
      </c>
      <c r="B225" s="1">
        <v>45790</v>
      </c>
      <c r="C225" t="s">
        <v>12887</v>
      </c>
      <c r="D225" s="5">
        <v>0.55136574074074074</v>
      </c>
      <c r="E225">
        <v>568.66999999999996</v>
      </c>
      <c r="F225" t="s">
        <v>44</v>
      </c>
      <c r="G225" t="s">
        <v>6772</v>
      </c>
      <c r="H225" t="s">
        <v>71</v>
      </c>
      <c r="I225" t="s">
        <v>50</v>
      </c>
      <c r="J225" t="s">
        <v>10755</v>
      </c>
      <c r="K225">
        <v>64</v>
      </c>
      <c r="L225" t="s">
        <v>25</v>
      </c>
      <c r="M225" t="s">
        <v>119</v>
      </c>
      <c r="N225" t="s">
        <v>105</v>
      </c>
      <c r="O225" t="s">
        <v>28</v>
      </c>
      <c r="P225" t="s">
        <v>31</v>
      </c>
      <c r="Q225">
        <v>0</v>
      </c>
      <c r="R225" t="s">
        <v>12883</v>
      </c>
      <c r="S225" t="s">
        <v>12884</v>
      </c>
    </row>
    <row r="226" spans="1:19" x14ac:dyDescent="0.25">
      <c r="A226" t="s">
        <v>7113</v>
      </c>
      <c r="B226" s="1">
        <v>45853</v>
      </c>
      <c r="C226" t="s">
        <v>12885</v>
      </c>
      <c r="D226" s="5">
        <v>4.0428240740740744E-2</v>
      </c>
      <c r="E226">
        <v>566.33000000000004</v>
      </c>
      <c r="F226" t="s">
        <v>44</v>
      </c>
      <c r="G226" t="s">
        <v>1446</v>
      </c>
      <c r="H226" t="s">
        <v>64</v>
      </c>
      <c r="I226" t="s">
        <v>146</v>
      </c>
      <c r="J226" t="s">
        <v>7114</v>
      </c>
      <c r="K226">
        <v>50</v>
      </c>
      <c r="L226" t="s">
        <v>49</v>
      </c>
      <c r="M226" t="s">
        <v>47</v>
      </c>
      <c r="N226" t="s">
        <v>112</v>
      </c>
      <c r="O226" t="s">
        <v>28</v>
      </c>
      <c r="P226" t="s">
        <v>31</v>
      </c>
      <c r="Q226">
        <v>0</v>
      </c>
      <c r="R226" t="s">
        <v>12883</v>
      </c>
      <c r="S226" t="s">
        <v>12886</v>
      </c>
    </row>
    <row r="227" spans="1:19" x14ac:dyDescent="0.25">
      <c r="A227" t="s">
        <v>4886</v>
      </c>
      <c r="B227" s="1">
        <v>45862</v>
      </c>
      <c r="C227" t="s">
        <v>12885</v>
      </c>
      <c r="D227" s="5">
        <v>0.17193287037037036</v>
      </c>
      <c r="E227">
        <v>561.44000000000005</v>
      </c>
      <c r="F227" t="s">
        <v>44</v>
      </c>
      <c r="G227" t="s">
        <v>1841</v>
      </c>
      <c r="H227" t="s">
        <v>64</v>
      </c>
      <c r="I227" t="s">
        <v>97</v>
      </c>
      <c r="J227" t="s">
        <v>4887</v>
      </c>
      <c r="K227">
        <v>30</v>
      </c>
      <c r="L227" t="s">
        <v>37</v>
      </c>
      <c r="M227" t="s">
        <v>248</v>
      </c>
      <c r="N227" t="s">
        <v>27</v>
      </c>
      <c r="O227" t="s">
        <v>28</v>
      </c>
      <c r="P227" t="s">
        <v>31</v>
      </c>
      <c r="Q227">
        <v>0</v>
      </c>
      <c r="R227" t="s">
        <v>12883</v>
      </c>
      <c r="S227" t="s">
        <v>12889</v>
      </c>
    </row>
    <row r="228" spans="1:19" x14ac:dyDescent="0.25">
      <c r="A228" t="s">
        <v>5062</v>
      </c>
      <c r="B228" s="1">
        <v>45943</v>
      </c>
      <c r="C228" t="s">
        <v>12890</v>
      </c>
      <c r="D228" s="5">
        <v>0.48122685185185188</v>
      </c>
      <c r="E228">
        <v>560.07000000000005</v>
      </c>
      <c r="F228" t="s">
        <v>44</v>
      </c>
      <c r="G228" t="s">
        <v>472</v>
      </c>
      <c r="H228" t="s">
        <v>57</v>
      </c>
      <c r="I228" t="s">
        <v>146</v>
      </c>
      <c r="J228" t="s">
        <v>5063</v>
      </c>
      <c r="K228">
        <v>71</v>
      </c>
      <c r="L228" t="s">
        <v>49</v>
      </c>
      <c r="M228" t="s">
        <v>50</v>
      </c>
      <c r="N228" t="s">
        <v>112</v>
      </c>
      <c r="O228" t="s">
        <v>28</v>
      </c>
      <c r="P228" t="s">
        <v>31</v>
      </c>
      <c r="Q228">
        <v>1</v>
      </c>
      <c r="R228" t="s">
        <v>12891</v>
      </c>
      <c r="S228" t="s">
        <v>12884</v>
      </c>
    </row>
    <row r="229" spans="1:19" x14ac:dyDescent="0.25">
      <c r="A229" t="s">
        <v>5640</v>
      </c>
      <c r="B229" s="1">
        <v>45862</v>
      </c>
      <c r="C229" t="s">
        <v>12885</v>
      </c>
      <c r="D229" s="5">
        <v>0.59293981481481484</v>
      </c>
      <c r="E229">
        <v>556.11</v>
      </c>
      <c r="F229" t="s">
        <v>44</v>
      </c>
      <c r="G229" t="s">
        <v>1427</v>
      </c>
      <c r="H229" t="s">
        <v>64</v>
      </c>
      <c r="I229" t="s">
        <v>248</v>
      </c>
      <c r="J229" t="s">
        <v>5641</v>
      </c>
      <c r="K229">
        <v>18</v>
      </c>
      <c r="L229" t="s">
        <v>37</v>
      </c>
      <c r="M229" t="s">
        <v>146</v>
      </c>
      <c r="N229" t="s">
        <v>105</v>
      </c>
      <c r="O229" t="s">
        <v>28</v>
      </c>
      <c r="P229" t="s">
        <v>31</v>
      </c>
      <c r="Q229">
        <v>0</v>
      </c>
      <c r="R229" t="s">
        <v>12883</v>
      </c>
      <c r="S229" t="s">
        <v>12892</v>
      </c>
    </row>
    <row r="230" spans="1:19" x14ac:dyDescent="0.25">
      <c r="A230" t="s">
        <v>8157</v>
      </c>
      <c r="B230" s="1">
        <v>45944</v>
      </c>
      <c r="C230" t="s">
        <v>12890</v>
      </c>
      <c r="D230" s="5">
        <v>0.51195601851851846</v>
      </c>
      <c r="E230">
        <v>555.91</v>
      </c>
      <c r="F230" t="s">
        <v>44</v>
      </c>
      <c r="G230" t="s">
        <v>2791</v>
      </c>
      <c r="H230" t="s">
        <v>77</v>
      </c>
      <c r="I230" t="s">
        <v>91</v>
      </c>
      <c r="J230" t="s">
        <v>8158</v>
      </c>
      <c r="K230">
        <v>65</v>
      </c>
      <c r="L230" t="s">
        <v>49</v>
      </c>
      <c r="M230" t="s">
        <v>23</v>
      </c>
      <c r="N230" t="s">
        <v>39</v>
      </c>
      <c r="O230" t="s">
        <v>28</v>
      </c>
      <c r="P230" t="s">
        <v>31</v>
      </c>
      <c r="Q230">
        <v>0</v>
      </c>
      <c r="R230" t="s">
        <v>12883</v>
      </c>
      <c r="S230" t="s">
        <v>12884</v>
      </c>
    </row>
    <row r="231" spans="1:19" x14ac:dyDescent="0.25">
      <c r="A231" t="s">
        <v>6792</v>
      </c>
      <c r="B231" s="1">
        <v>45953</v>
      </c>
      <c r="C231" t="s">
        <v>12890</v>
      </c>
      <c r="D231" s="5">
        <v>0.40600694444444446</v>
      </c>
      <c r="E231">
        <v>554.48</v>
      </c>
      <c r="F231" t="s">
        <v>44</v>
      </c>
      <c r="G231" t="s">
        <v>5782</v>
      </c>
      <c r="H231" t="s">
        <v>64</v>
      </c>
      <c r="I231" t="s">
        <v>23</v>
      </c>
      <c r="J231" t="s">
        <v>6793</v>
      </c>
      <c r="K231">
        <v>38</v>
      </c>
      <c r="L231" t="s">
        <v>49</v>
      </c>
      <c r="M231" t="s">
        <v>110</v>
      </c>
      <c r="N231" t="s">
        <v>27</v>
      </c>
      <c r="O231" t="s">
        <v>28</v>
      </c>
      <c r="P231" t="s">
        <v>31</v>
      </c>
      <c r="Q231">
        <v>0</v>
      </c>
      <c r="R231" t="s">
        <v>12883</v>
      </c>
      <c r="S231" t="s">
        <v>12889</v>
      </c>
    </row>
    <row r="232" spans="1:19" x14ac:dyDescent="0.25">
      <c r="A232" t="s">
        <v>6483</v>
      </c>
      <c r="B232" s="1">
        <v>45942</v>
      </c>
      <c r="C232" t="s">
        <v>12890</v>
      </c>
      <c r="D232" s="5">
        <v>0.59163194444444445</v>
      </c>
      <c r="E232">
        <v>547.80999999999995</v>
      </c>
      <c r="F232" t="s">
        <v>44</v>
      </c>
      <c r="G232" t="s">
        <v>197</v>
      </c>
      <c r="H232" t="s">
        <v>22</v>
      </c>
      <c r="I232" t="s">
        <v>66</v>
      </c>
      <c r="J232" t="s">
        <v>6484</v>
      </c>
      <c r="K232">
        <v>35</v>
      </c>
      <c r="L232" t="s">
        <v>25</v>
      </c>
      <c r="M232" t="s">
        <v>66</v>
      </c>
      <c r="N232" t="s">
        <v>39</v>
      </c>
      <c r="O232" t="s">
        <v>113</v>
      </c>
      <c r="P232" t="s">
        <v>31</v>
      </c>
      <c r="Q232">
        <v>0</v>
      </c>
      <c r="R232" t="s">
        <v>12883</v>
      </c>
      <c r="S232" t="s">
        <v>12889</v>
      </c>
    </row>
    <row r="233" spans="1:19" x14ac:dyDescent="0.25">
      <c r="A233" t="s">
        <v>7694</v>
      </c>
      <c r="B233" s="1">
        <v>45959</v>
      </c>
      <c r="C233" t="s">
        <v>12890</v>
      </c>
      <c r="D233" s="5">
        <v>0.64828703703703705</v>
      </c>
      <c r="E233">
        <v>547.41999999999996</v>
      </c>
      <c r="F233" t="s">
        <v>44</v>
      </c>
      <c r="G233" t="s">
        <v>1110</v>
      </c>
      <c r="H233" t="s">
        <v>124</v>
      </c>
      <c r="I233" t="s">
        <v>66</v>
      </c>
      <c r="J233" t="s">
        <v>7695</v>
      </c>
      <c r="K233">
        <v>28</v>
      </c>
      <c r="L233" t="s">
        <v>49</v>
      </c>
      <c r="M233" t="s">
        <v>130</v>
      </c>
      <c r="N233" t="s">
        <v>84</v>
      </c>
      <c r="O233" t="s">
        <v>28</v>
      </c>
      <c r="P233" t="s">
        <v>31</v>
      </c>
      <c r="Q233">
        <v>0</v>
      </c>
      <c r="R233" t="s">
        <v>12883</v>
      </c>
      <c r="S233" t="s">
        <v>12889</v>
      </c>
    </row>
    <row r="234" spans="1:19" x14ac:dyDescent="0.25">
      <c r="A234" t="s">
        <v>6291</v>
      </c>
      <c r="B234" s="1">
        <v>45903</v>
      </c>
      <c r="C234" t="s">
        <v>12882</v>
      </c>
      <c r="D234" s="5">
        <v>3.5381944444444445E-2</v>
      </c>
      <c r="E234">
        <v>545.45000000000005</v>
      </c>
      <c r="F234" t="s">
        <v>44</v>
      </c>
      <c r="G234" t="s">
        <v>2721</v>
      </c>
      <c r="H234" t="s">
        <v>57</v>
      </c>
      <c r="I234" t="s">
        <v>47</v>
      </c>
      <c r="J234" t="s">
        <v>6292</v>
      </c>
      <c r="K234">
        <v>22</v>
      </c>
      <c r="L234" t="s">
        <v>37</v>
      </c>
      <c r="M234" t="s">
        <v>58</v>
      </c>
      <c r="N234" t="s">
        <v>112</v>
      </c>
      <c r="O234" t="s">
        <v>28</v>
      </c>
      <c r="P234" t="s">
        <v>31</v>
      </c>
      <c r="Q234">
        <v>0</v>
      </c>
      <c r="R234" t="s">
        <v>12883</v>
      </c>
      <c r="S234" t="s">
        <v>12892</v>
      </c>
    </row>
    <row r="235" spans="1:19" x14ac:dyDescent="0.25">
      <c r="A235" t="s">
        <v>11448</v>
      </c>
      <c r="B235" s="1">
        <v>45829</v>
      </c>
      <c r="C235" t="s">
        <v>12888</v>
      </c>
      <c r="D235" s="5">
        <v>3.695601851851852E-2</v>
      </c>
      <c r="E235">
        <v>544.15</v>
      </c>
      <c r="F235" t="s">
        <v>44</v>
      </c>
      <c r="G235" t="s">
        <v>1666</v>
      </c>
      <c r="H235" t="s">
        <v>64</v>
      </c>
      <c r="I235" t="s">
        <v>23</v>
      </c>
      <c r="J235" t="s">
        <v>11449</v>
      </c>
      <c r="K235">
        <v>74</v>
      </c>
      <c r="L235" t="s">
        <v>37</v>
      </c>
      <c r="M235" t="s">
        <v>58</v>
      </c>
      <c r="N235" t="s">
        <v>112</v>
      </c>
      <c r="O235" t="s">
        <v>28</v>
      </c>
      <c r="P235" t="s">
        <v>31</v>
      </c>
      <c r="Q235">
        <v>0</v>
      </c>
      <c r="R235" t="s">
        <v>12883</v>
      </c>
      <c r="S235" t="s">
        <v>12884</v>
      </c>
    </row>
    <row r="236" spans="1:19" x14ac:dyDescent="0.25">
      <c r="A236" t="s">
        <v>8346</v>
      </c>
      <c r="B236" s="1">
        <v>45892</v>
      </c>
      <c r="C236" t="s">
        <v>12893</v>
      </c>
      <c r="D236" s="5">
        <v>0.6400231481481482</v>
      </c>
      <c r="E236">
        <v>540.34</v>
      </c>
      <c r="F236" t="s">
        <v>44</v>
      </c>
      <c r="G236" t="s">
        <v>2462</v>
      </c>
      <c r="H236" t="s">
        <v>124</v>
      </c>
      <c r="I236" t="s">
        <v>146</v>
      </c>
      <c r="J236" t="s">
        <v>8347</v>
      </c>
      <c r="K236">
        <v>32</v>
      </c>
      <c r="L236" t="s">
        <v>37</v>
      </c>
      <c r="M236" t="s">
        <v>146</v>
      </c>
      <c r="N236" t="s">
        <v>105</v>
      </c>
      <c r="O236" t="s">
        <v>113</v>
      </c>
      <c r="P236" t="s">
        <v>31</v>
      </c>
      <c r="Q236">
        <v>0</v>
      </c>
      <c r="R236" t="s">
        <v>12883</v>
      </c>
      <c r="S236" t="s">
        <v>12889</v>
      </c>
    </row>
    <row r="237" spans="1:19" x14ac:dyDescent="0.25">
      <c r="A237" t="s">
        <v>9677</v>
      </c>
      <c r="B237" s="1">
        <v>45857</v>
      </c>
      <c r="C237" t="s">
        <v>12885</v>
      </c>
      <c r="D237" s="5">
        <v>0.38721064814814815</v>
      </c>
      <c r="E237">
        <v>536.85</v>
      </c>
      <c r="F237" t="s">
        <v>44</v>
      </c>
      <c r="G237" t="s">
        <v>1163</v>
      </c>
      <c r="H237" t="s">
        <v>46</v>
      </c>
      <c r="I237" t="s">
        <v>97</v>
      </c>
      <c r="J237" t="s">
        <v>9678</v>
      </c>
      <c r="K237">
        <v>72</v>
      </c>
      <c r="L237" t="s">
        <v>37</v>
      </c>
      <c r="M237" t="s">
        <v>50</v>
      </c>
      <c r="N237" t="s">
        <v>105</v>
      </c>
      <c r="O237" t="s">
        <v>28</v>
      </c>
      <c r="P237" t="s">
        <v>31</v>
      </c>
      <c r="Q237">
        <v>0</v>
      </c>
      <c r="R237" t="s">
        <v>12883</v>
      </c>
      <c r="S237" t="s">
        <v>12884</v>
      </c>
    </row>
    <row r="238" spans="1:19" x14ac:dyDescent="0.25">
      <c r="A238" t="s">
        <v>10098</v>
      </c>
      <c r="B238" s="1">
        <v>45900</v>
      </c>
      <c r="C238" t="s">
        <v>12893</v>
      </c>
      <c r="D238" s="5">
        <v>0.42809027777777775</v>
      </c>
      <c r="E238">
        <v>536.25</v>
      </c>
      <c r="F238" t="s">
        <v>44</v>
      </c>
      <c r="G238" t="s">
        <v>10099</v>
      </c>
      <c r="H238" t="s">
        <v>96</v>
      </c>
      <c r="I238" t="s">
        <v>146</v>
      </c>
      <c r="J238" t="s">
        <v>10100</v>
      </c>
      <c r="K238">
        <v>68</v>
      </c>
      <c r="L238" t="s">
        <v>37</v>
      </c>
      <c r="M238" t="s">
        <v>97</v>
      </c>
      <c r="N238" t="s">
        <v>105</v>
      </c>
      <c r="O238" t="s">
        <v>28</v>
      </c>
      <c r="P238" t="s">
        <v>31</v>
      </c>
      <c r="Q238">
        <v>0</v>
      </c>
      <c r="R238" t="s">
        <v>12883</v>
      </c>
      <c r="S238" t="s">
        <v>12884</v>
      </c>
    </row>
    <row r="239" spans="1:19" x14ac:dyDescent="0.25">
      <c r="A239" t="s">
        <v>11046</v>
      </c>
      <c r="B239" s="1">
        <v>45888</v>
      </c>
      <c r="C239" t="s">
        <v>12893</v>
      </c>
      <c r="D239" s="5">
        <v>0.18557870370370369</v>
      </c>
      <c r="E239">
        <v>535.75</v>
      </c>
      <c r="F239" t="s">
        <v>44</v>
      </c>
      <c r="G239" t="s">
        <v>1215</v>
      </c>
      <c r="H239" t="s">
        <v>22</v>
      </c>
      <c r="I239" t="s">
        <v>50</v>
      </c>
      <c r="J239" t="s">
        <v>11047</v>
      </c>
      <c r="K239">
        <v>68</v>
      </c>
      <c r="L239" t="s">
        <v>25</v>
      </c>
      <c r="M239" t="s">
        <v>110</v>
      </c>
      <c r="N239" t="s">
        <v>105</v>
      </c>
      <c r="O239" t="s">
        <v>28</v>
      </c>
      <c r="P239" t="s">
        <v>31</v>
      </c>
      <c r="Q239">
        <v>0</v>
      </c>
      <c r="R239" t="s">
        <v>12883</v>
      </c>
      <c r="S239" t="s">
        <v>12884</v>
      </c>
    </row>
    <row r="240" spans="1:19" x14ac:dyDescent="0.25">
      <c r="A240" t="s">
        <v>3127</v>
      </c>
      <c r="B240" s="1">
        <v>45802</v>
      </c>
      <c r="C240" t="s">
        <v>12887</v>
      </c>
      <c r="D240" s="5">
        <v>0.56131944444444448</v>
      </c>
      <c r="E240">
        <v>525.84</v>
      </c>
      <c r="F240" t="s">
        <v>44</v>
      </c>
      <c r="G240" t="s">
        <v>3128</v>
      </c>
      <c r="H240" t="s">
        <v>34</v>
      </c>
      <c r="I240" t="s">
        <v>47</v>
      </c>
      <c r="J240" t="s">
        <v>3129</v>
      </c>
      <c r="K240">
        <v>21</v>
      </c>
      <c r="L240" t="s">
        <v>49</v>
      </c>
      <c r="M240" t="s">
        <v>130</v>
      </c>
      <c r="N240" t="s">
        <v>112</v>
      </c>
      <c r="O240" t="s">
        <v>28</v>
      </c>
      <c r="P240" t="s">
        <v>31</v>
      </c>
      <c r="Q240">
        <v>0</v>
      </c>
      <c r="R240" t="s">
        <v>12883</v>
      </c>
      <c r="S240" t="s">
        <v>12892</v>
      </c>
    </row>
    <row r="241" spans="1:19" x14ac:dyDescent="0.25">
      <c r="A241" t="s">
        <v>657</v>
      </c>
      <c r="B241" s="1">
        <v>45932</v>
      </c>
      <c r="C241" t="s">
        <v>12890</v>
      </c>
      <c r="D241" s="5">
        <v>0.61695601851851856</v>
      </c>
      <c r="E241">
        <v>524.6</v>
      </c>
      <c r="F241" t="s">
        <v>44</v>
      </c>
      <c r="G241" t="s">
        <v>658</v>
      </c>
      <c r="H241" t="s">
        <v>34</v>
      </c>
      <c r="I241" t="s">
        <v>23</v>
      </c>
      <c r="J241" t="s">
        <v>659</v>
      </c>
      <c r="K241">
        <v>67</v>
      </c>
      <c r="L241" t="s">
        <v>25</v>
      </c>
      <c r="M241" t="s">
        <v>146</v>
      </c>
      <c r="N241" t="s">
        <v>51</v>
      </c>
      <c r="O241" t="s">
        <v>28</v>
      </c>
      <c r="P241" t="s">
        <v>31</v>
      </c>
      <c r="Q241">
        <v>0</v>
      </c>
      <c r="R241" t="s">
        <v>12883</v>
      </c>
      <c r="S241" t="s">
        <v>12884</v>
      </c>
    </row>
    <row r="242" spans="1:19" x14ac:dyDescent="0.25">
      <c r="A242" t="s">
        <v>8831</v>
      </c>
      <c r="B242" s="1">
        <v>45868</v>
      </c>
      <c r="C242" t="s">
        <v>12885</v>
      </c>
      <c r="D242" s="5">
        <v>6.6423611111111114E-2</v>
      </c>
      <c r="E242">
        <v>519.54</v>
      </c>
      <c r="F242" t="s">
        <v>44</v>
      </c>
      <c r="G242" t="s">
        <v>2828</v>
      </c>
      <c r="H242" t="s">
        <v>57</v>
      </c>
      <c r="I242" t="s">
        <v>91</v>
      </c>
      <c r="J242" t="s">
        <v>8832</v>
      </c>
      <c r="K242">
        <v>59</v>
      </c>
      <c r="L242" t="s">
        <v>25</v>
      </c>
      <c r="M242" t="s">
        <v>91</v>
      </c>
      <c r="N242" t="s">
        <v>51</v>
      </c>
      <c r="O242" t="s">
        <v>113</v>
      </c>
      <c r="P242" t="s">
        <v>31</v>
      </c>
      <c r="Q242">
        <v>0</v>
      </c>
      <c r="R242" t="s">
        <v>12883</v>
      </c>
      <c r="S242" t="s">
        <v>12886</v>
      </c>
    </row>
    <row r="243" spans="1:19" x14ac:dyDescent="0.25">
      <c r="A243" t="s">
        <v>10627</v>
      </c>
      <c r="B243" s="1">
        <v>45810</v>
      </c>
      <c r="C243" t="s">
        <v>12888</v>
      </c>
      <c r="D243" s="5">
        <v>0.5033333333333333</v>
      </c>
      <c r="E243">
        <v>519.54</v>
      </c>
      <c r="F243" t="s">
        <v>44</v>
      </c>
      <c r="G243" t="s">
        <v>2433</v>
      </c>
      <c r="H243" t="s">
        <v>46</v>
      </c>
      <c r="I243" t="s">
        <v>146</v>
      </c>
      <c r="J243" t="s">
        <v>1781</v>
      </c>
      <c r="K243">
        <v>55</v>
      </c>
      <c r="L243" t="s">
        <v>25</v>
      </c>
      <c r="M243" t="s">
        <v>119</v>
      </c>
      <c r="N243" t="s">
        <v>84</v>
      </c>
      <c r="O243" t="s">
        <v>28</v>
      </c>
      <c r="P243" t="s">
        <v>31</v>
      </c>
      <c r="Q243">
        <v>0</v>
      </c>
      <c r="R243" t="s">
        <v>12883</v>
      </c>
      <c r="S243" t="s">
        <v>12886</v>
      </c>
    </row>
    <row r="244" spans="1:19" x14ac:dyDescent="0.25">
      <c r="A244" t="s">
        <v>10313</v>
      </c>
      <c r="B244" s="1">
        <v>45891</v>
      </c>
      <c r="C244" t="s">
        <v>12893</v>
      </c>
      <c r="D244" s="5">
        <v>0.58572916666666663</v>
      </c>
      <c r="E244">
        <v>518.41</v>
      </c>
      <c r="F244" t="s">
        <v>44</v>
      </c>
      <c r="G244" t="s">
        <v>6148</v>
      </c>
      <c r="H244" t="s">
        <v>64</v>
      </c>
      <c r="I244" t="s">
        <v>97</v>
      </c>
      <c r="J244" t="s">
        <v>10314</v>
      </c>
      <c r="K244">
        <v>73</v>
      </c>
      <c r="L244" t="s">
        <v>37</v>
      </c>
      <c r="M244" t="s">
        <v>47</v>
      </c>
      <c r="N244" t="s">
        <v>105</v>
      </c>
      <c r="O244" t="s">
        <v>28</v>
      </c>
      <c r="P244" t="s">
        <v>31</v>
      </c>
      <c r="Q244">
        <v>0</v>
      </c>
      <c r="R244" t="s">
        <v>12883</v>
      </c>
      <c r="S244" t="s">
        <v>12884</v>
      </c>
    </row>
    <row r="245" spans="1:19" x14ac:dyDescent="0.25">
      <c r="A245" t="s">
        <v>6904</v>
      </c>
      <c r="B245" s="1">
        <v>45907</v>
      </c>
      <c r="C245" t="s">
        <v>12882</v>
      </c>
      <c r="D245" s="5">
        <v>0.80292824074074076</v>
      </c>
      <c r="E245">
        <v>518.17999999999995</v>
      </c>
      <c r="F245" t="s">
        <v>44</v>
      </c>
      <c r="G245" t="s">
        <v>374</v>
      </c>
      <c r="H245" t="s">
        <v>71</v>
      </c>
      <c r="I245" t="s">
        <v>35</v>
      </c>
      <c r="J245" t="s">
        <v>6905</v>
      </c>
      <c r="K245">
        <v>36</v>
      </c>
      <c r="L245" t="s">
        <v>25</v>
      </c>
      <c r="M245" t="s">
        <v>66</v>
      </c>
      <c r="N245" t="s">
        <v>112</v>
      </c>
      <c r="O245" t="s">
        <v>28</v>
      </c>
      <c r="P245" t="s">
        <v>31</v>
      </c>
      <c r="Q245">
        <v>0</v>
      </c>
      <c r="R245" t="s">
        <v>12883</v>
      </c>
      <c r="S245" t="s">
        <v>12889</v>
      </c>
    </row>
    <row r="246" spans="1:19" x14ac:dyDescent="0.25">
      <c r="A246" t="s">
        <v>2644</v>
      </c>
      <c r="B246" s="1">
        <v>45905</v>
      </c>
      <c r="C246" t="s">
        <v>12882</v>
      </c>
      <c r="D246" s="5">
        <v>8.7314814814814817E-2</v>
      </c>
      <c r="E246">
        <v>514.76</v>
      </c>
      <c r="F246" t="s">
        <v>44</v>
      </c>
      <c r="G246" t="s">
        <v>2645</v>
      </c>
      <c r="H246" t="s">
        <v>71</v>
      </c>
      <c r="I246" t="s">
        <v>91</v>
      </c>
      <c r="J246" t="s">
        <v>2646</v>
      </c>
      <c r="K246">
        <v>34</v>
      </c>
      <c r="L246" t="s">
        <v>25</v>
      </c>
      <c r="M246" t="s">
        <v>110</v>
      </c>
      <c r="N246" t="s">
        <v>51</v>
      </c>
      <c r="O246" t="s">
        <v>28</v>
      </c>
      <c r="P246" t="s">
        <v>31</v>
      </c>
      <c r="Q246">
        <v>0</v>
      </c>
      <c r="R246" t="s">
        <v>12883</v>
      </c>
      <c r="S246" t="s">
        <v>12889</v>
      </c>
    </row>
    <row r="247" spans="1:19" x14ac:dyDescent="0.25">
      <c r="A247" t="s">
        <v>3123</v>
      </c>
      <c r="B247" s="1">
        <v>45955</v>
      </c>
      <c r="C247" t="s">
        <v>12890</v>
      </c>
      <c r="D247" s="5">
        <v>8.0081018518518524E-2</v>
      </c>
      <c r="E247">
        <v>508.78</v>
      </c>
      <c r="F247" t="s">
        <v>44</v>
      </c>
      <c r="G247" t="s">
        <v>1465</v>
      </c>
      <c r="H247" t="s">
        <v>71</v>
      </c>
      <c r="I247" t="s">
        <v>26</v>
      </c>
      <c r="J247" t="s">
        <v>3124</v>
      </c>
      <c r="K247">
        <v>66</v>
      </c>
      <c r="L247" t="s">
        <v>25</v>
      </c>
      <c r="M247" t="s">
        <v>110</v>
      </c>
      <c r="N247" t="s">
        <v>27</v>
      </c>
      <c r="O247" t="s">
        <v>28</v>
      </c>
      <c r="P247" t="s">
        <v>31</v>
      </c>
      <c r="Q247">
        <v>0</v>
      </c>
      <c r="R247" t="s">
        <v>12883</v>
      </c>
      <c r="S247" t="s">
        <v>12884</v>
      </c>
    </row>
    <row r="248" spans="1:19" x14ac:dyDescent="0.25">
      <c r="A248" t="s">
        <v>12526</v>
      </c>
      <c r="B248" s="1">
        <v>45915</v>
      </c>
      <c r="C248" t="s">
        <v>12882</v>
      </c>
      <c r="D248" s="5">
        <v>0.28104166666666669</v>
      </c>
      <c r="E248">
        <v>506.36</v>
      </c>
      <c r="F248" t="s">
        <v>44</v>
      </c>
      <c r="G248" t="s">
        <v>3261</v>
      </c>
      <c r="H248" t="s">
        <v>77</v>
      </c>
      <c r="I248" t="s">
        <v>97</v>
      </c>
      <c r="J248" t="s">
        <v>12527</v>
      </c>
      <c r="K248">
        <v>66</v>
      </c>
      <c r="L248" t="s">
        <v>49</v>
      </c>
      <c r="M248" t="s">
        <v>110</v>
      </c>
      <c r="N248" t="s">
        <v>27</v>
      </c>
      <c r="O248" t="s">
        <v>28</v>
      </c>
      <c r="P248" t="s">
        <v>31</v>
      </c>
      <c r="Q248">
        <v>0</v>
      </c>
      <c r="R248" t="s">
        <v>12883</v>
      </c>
      <c r="S248" t="s">
        <v>12884</v>
      </c>
    </row>
    <row r="249" spans="1:19" x14ac:dyDescent="0.25">
      <c r="A249" t="s">
        <v>7221</v>
      </c>
      <c r="B249" s="1">
        <v>45887</v>
      </c>
      <c r="C249" t="s">
        <v>12893</v>
      </c>
      <c r="D249" s="5">
        <v>0.70108796296296294</v>
      </c>
      <c r="E249">
        <v>501.32</v>
      </c>
      <c r="F249" t="s">
        <v>44</v>
      </c>
      <c r="G249" t="s">
        <v>3942</v>
      </c>
      <c r="H249" t="s">
        <v>77</v>
      </c>
      <c r="I249" t="s">
        <v>119</v>
      </c>
      <c r="J249" t="s">
        <v>7222</v>
      </c>
      <c r="K249">
        <v>58</v>
      </c>
      <c r="L249" t="s">
        <v>25</v>
      </c>
      <c r="M249" t="s">
        <v>130</v>
      </c>
      <c r="N249" t="s">
        <v>84</v>
      </c>
      <c r="O249" t="s">
        <v>28</v>
      </c>
      <c r="P249" t="s">
        <v>31</v>
      </c>
      <c r="Q249">
        <v>0</v>
      </c>
      <c r="R249" t="s">
        <v>12883</v>
      </c>
      <c r="S249" t="s">
        <v>12886</v>
      </c>
    </row>
    <row r="250" spans="1:19" x14ac:dyDescent="0.25">
      <c r="A250" t="s">
        <v>7849</v>
      </c>
      <c r="B250" s="1">
        <v>45947</v>
      </c>
      <c r="C250" t="s">
        <v>12890</v>
      </c>
      <c r="D250" s="5">
        <v>0.86739583333333337</v>
      </c>
      <c r="E250">
        <v>500.92</v>
      </c>
      <c r="F250" t="s">
        <v>44</v>
      </c>
      <c r="G250" t="s">
        <v>7850</v>
      </c>
      <c r="H250" t="s">
        <v>57</v>
      </c>
      <c r="I250" t="s">
        <v>130</v>
      </c>
      <c r="J250" t="s">
        <v>7851</v>
      </c>
      <c r="K250">
        <v>73</v>
      </c>
      <c r="L250" t="s">
        <v>37</v>
      </c>
      <c r="M250" t="s">
        <v>91</v>
      </c>
      <c r="N250" t="s">
        <v>39</v>
      </c>
      <c r="O250" t="s">
        <v>28</v>
      </c>
      <c r="P250" t="s">
        <v>31</v>
      </c>
      <c r="Q250">
        <v>0</v>
      </c>
      <c r="R250" t="s">
        <v>12883</v>
      </c>
      <c r="S250" t="s">
        <v>12884</v>
      </c>
    </row>
    <row r="251" spans="1:19" x14ac:dyDescent="0.25">
      <c r="A251" t="s">
        <v>4864</v>
      </c>
      <c r="B251" s="1">
        <v>45915</v>
      </c>
      <c r="C251" t="s">
        <v>12882</v>
      </c>
      <c r="D251" s="5">
        <v>0.7731365740740741</v>
      </c>
      <c r="E251">
        <v>499.24</v>
      </c>
      <c r="F251" t="s">
        <v>44</v>
      </c>
      <c r="G251" t="s">
        <v>3726</v>
      </c>
      <c r="H251" t="s">
        <v>96</v>
      </c>
      <c r="I251" t="s">
        <v>50</v>
      </c>
      <c r="J251" t="s">
        <v>4865</v>
      </c>
      <c r="K251">
        <v>34</v>
      </c>
      <c r="L251" t="s">
        <v>49</v>
      </c>
      <c r="M251" t="s">
        <v>58</v>
      </c>
      <c r="N251" t="s">
        <v>39</v>
      </c>
      <c r="O251" t="s">
        <v>28</v>
      </c>
      <c r="P251" t="s">
        <v>31</v>
      </c>
      <c r="Q251">
        <v>0</v>
      </c>
      <c r="R251" t="s">
        <v>12883</v>
      </c>
      <c r="S251" t="s">
        <v>12889</v>
      </c>
    </row>
    <row r="252" spans="1:19" x14ac:dyDescent="0.25">
      <c r="A252" t="s">
        <v>8630</v>
      </c>
      <c r="B252" s="1">
        <v>45833</v>
      </c>
      <c r="C252" t="s">
        <v>12888</v>
      </c>
      <c r="D252" s="5">
        <v>0.1361111111111111</v>
      </c>
      <c r="E252">
        <v>498.64</v>
      </c>
      <c r="F252" t="s">
        <v>44</v>
      </c>
      <c r="G252" t="s">
        <v>3986</v>
      </c>
      <c r="H252" t="s">
        <v>22</v>
      </c>
      <c r="I252" t="s">
        <v>38</v>
      </c>
      <c r="J252" t="s">
        <v>8631</v>
      </c>
      <c r="K252">
        <v>48</v>
      </c>
      <c r="L252" t="s">
        <v>37</v>
      </c>
      <c r="M252" t="s">
        <v>38</v>
      </c>
      <c r="N252" t="s">
        <v>27</v>
      </c>
      <c r="O252" t="s">
        <v>113</v>
      </c>
      <c r="P252" t="s">
        <v>31</v>
      </c>
      <c r="Q252">
        <v>0</v>
      </c>
      <c r="R252" t="s">
        <v>12883</v>
      </c>
      <c r="S252" t="s">
        <v>12886</v>
      </c>
    </row>
    <row r="253" spans="1:19" x14ac:dyDescent="0.25">
      <c r="A253" t="s">
        <v>10857</v>
      </c>
      <c r="B253" s="1">
        <v>45958</v>
      </c>
      <c r="C253" t="s">
        <v>12890</v>
      </c>
      <c r="D253" s="5">
        <v>0.68436342592592592</v>
      </c>
      <c r="E253">
        <v>496.8</v>
      </c>
      <c r="F253" t="s">
        <v>44</v>
      </c>
      <c r="G253" t="s">
        <v>1790</v>
      </c>
      <c r="H253" t="s">
        <v>124</v>
      </c>
      <c r="I253" t="s">
        <v>58</v>
      </c>
      <c r="J253" t="s">
        <v>10858</v>
      </c>
      <c r="K253">
        <v>16</v>
      </c>
      <c r="L253" t="s">
        <v>49</v>
      </c>
      <c r="M253" t="s">
        <v>130</v>
      </c>
      <c r="N253" t="s">
        <v>112</v>
      </c>
      <c r="O253" t="s">
        <v>28</v>
      </c>
      <c r="P253" t="s">
        <v>31</v>
      </c>
      <c r="Q253">
        <v>0</v>
      </c>
      <c r="R253" t="s">
        <v>12883</v>
      </c>
      <c r="S253" t="s">
        <v>12892</v>
      </c>
    </row>
    <row r="254" spans="1:19" x14ac:dyDescent="0.25">
      <c r="A254" t="s">
        <v>6222</v>
      </c>
      <c r="B254" s="1">
        <v>45823</v>
      </c>
      <c r="C254" t="s">
        <v>12888</v>
      </c>
      <c r="D254" s="5">
        <v>0.64486111111111111</v>
      </c>
      <c r="E254">
        <v>494.59</v>
      </c>
      <c r="F254" t="s">
        <v>44</v>
      </c>
      <c r="G254" t="s">
        <v>893</v>
      </c>
      <c r="H254" t="s">
        <v>22</v>
      </c>
      <c r="I254" t="s">
        <v>248</v>
      </c>
      <c r="J254" t="s">
        <v>6223</v>
      </c>
      <c r="K254">
        <v>34</v>
      </c>
      <c r="L254" t="s">
        <v>37</v>
      </c>
      <c r="M254" t="s">
        <v>146</v>
      </c>
      <c r="N254" t="s">
        <v>84</v>
      </c>
      <c r="O254" t="s">
        <v>28</v>
      </c>
      <c r="P254" t="s">
        <v>31</v>
      </c>
      <c r="Q254">
        <v>0</v>
      </c>
      <c r="R254" t="s">
        <v>12883</v>
      </c>
      <c r="S254" t="s">
        <v>12889</v>
      </c>
    </row>
    <row r="255" spans="1:19" x14ac:dyDescent="0.25">
      <c r="A255" t="s">
        <v>216</v>
      </c>
      <c r="B255" s="1">
        <v>45919</v>
      </c>
      <c r="C255" t="s">
        <v>12882</v>
      </c>
      <c r="D255" s="5">
        <v>0.60001157407407413</v>
      </c>
      <c r="E255">
        <v>492.34</v>
      </c>
      <c r="F255" t="s">
        <v>44</v>
      </c>
      <c r="G255" t="s">
        <v>217</v>
      </c>
      <c r="H255" t="s">
        <v>22</v>
      </c>
      <c r="I255" t="s">
        <v>91</v>
      </c>
      <c r="J255" t="s">
        <v>218</v>
      </c>
      <c r="K255">
        <v>51</v>
      </c>
      <c r="L255" t="s">
        <v>25</v>
      </c>
      <c r="M255" t="s">
        <v>38</v>
      </c>
      <c r="N255" t="s">
        <v>39</v>
      </c>
      <c r="O255" t="s">
        <v>28</v>
      </c>
      <c r="P255" t="s">
        <v>31</v>
      </c>
      <c r="Q255">
        <v>0</v>
      </c>
      <c r="R255" t="s">
        <v>12883</v>
      </c>
      <c r="S255" t="s">
        <v>12886</v>
      </c>
    </row>
    <row r="256" spans="1:19" x14ac:dyDescent="0.25">
      <c r="A256" t="s">
        <v>9876</v>
      </c>
      <c r="B256" s="1">
        <v>45869</v>
      </c>
      <c r="C256" t="s">
        <v>12885</v>
      </c>
      <c r="D256" s="5">
        <v>0.80478009259259264</v>
      </c>
      <c r="E256">
        <v>491.64</v>
      </c>
      <c r="F256" t="s">
        <v>44</v>
      </c>
      <c r="G256" t="s">
        <v>1115</v>
      </c>
      <c r="H256" t="s">
        <v>64</v>
      </c>
      <c r="I256" t="s">
        <v>110</v>
      </c>
      <c r="J256" t="s">
        <v>9877</v>
      </c>
      <c r="K256">
        <v>43</v>
      </c>
      <c r="L256" t="s">
        <v>49</v>
      </c>
      <c r="M256" t="s">
        <v>91</v>
      </c>
      <c r="N256" t="s">
        <v>84</v>
      </c>
      <c r="O256" t="s">
        <v>28</v>
      </c>
      <c r="P256" t="s">
        <v>31</v>
      </c>
      <c r="Q256">
        <v>0</v>
      </c>
      <c r="R256" t="s">
        <v>12883</v>
      </c>
      <c r="S256" t="s">
        <v>12886</v>
      </c>
    </row>
    <row r="257" spans="1:19" x14ac:dyDescent="0.25">
      <c r="A257" t="s">
        <v>2873</v>
      </c>
      <c r="B257" s="1">
        <v>45934</v>
      </c>
      <c r="C257" t="s">
        <v>12890</v>
      </c>
      <c r="D257" s="5">
        <v>0.50165509259259256</v>
      </c>
      <c r="E257">
        <v>491.39</v>
      </c>
      <c r="F257" t="s">
        <v>44</v>
      </c>
      <c r="G257" t="s">
        <v>237</v>
      </c>
      <c r="H257" t="s">
        <v>96</v>
      </c>
      <c r="I257" t="s">
        <v>47</v>
      </c>
      <c r="J257" t="s">
        <v>2874</v>
      </c>
      <c r="K257">
        <v>42</v>
      </c>
      <c r="L257" t="s">
        <v>49</v>
      </c>
      <c r="M257" t="s">
        <v>58</v>
      </c>
      <c r="N257" t="s">
        <v>84</v>
      </c>
      <c r="O257" t="s">
        <v>28</v>
      </c>
      <c r="P257" t="s">
        <v>31</v>
      </c>
      <c r="Q257">
        <v>0</v>
      </c>
      <c r="R257" t="s">
        <v>12883</v>
      </c>
      <c r="S257" t="s">
        <v>12886</v>
      </c>
    </row>
    <row r="258" spans="1:19" x14ac:dyDescent="0.25">
      <c r="A258" t="s">
        <v>3339</v>
      </c>
      <c r="B258" s="1">
        <v>45883</v>
      </c>
      <c r="C258" t="s">
        <v>12893</v>
      </c>
      <c r="D258" s="5">
        <v>0.55327546296296293</v>
      </c>
      <c r="E258">
        <v>484.05</v>
      </c>
      <c r="F258" t="s">
        <v>44</v>
      </c>
      <c r="G258" t="s">
        <v>3340</v>
      </c>
      <c r="H258" t="s">
        <v>46</v>
      </c>
      <c r="I258" t="s">
        <v>110</v>
      </c>
      <c r="J258" t="s">
        <v>3341</v>
      </c>
      <c r="K258">
        <v>62</v>
      </c>
      <c r="L258" t="s">
        <v>49</v>
      </c>
      <c r="M258" t="s">
        <v>26</v>
      </c>
      <c r="N258" t="s">
        <v>39</v>
      </c>
      <c r="O258" t="s">
        <v>28</v>
      </c>
      <c r="P258" t="s">
        <v>31</v>
      </c>
      <c r="Q258">
        <v>0</v>
      </c>
      <c r="R258" t="s">
        <v>12883</v>
      </c>
      <c r="S258" t="s">
        <v>12884</v>
      </c>
    </row>
    <row r="259" spans="1:19" x14ac:dyDescent="0.25">
      <c r="A259" t="s">
        <v>1096</v>
      </c>
      <c r="B259" s="1">
        <v>45884</v>
      </c>
      <c r="C259" t="s">
        <v>12893</v>
      </c>
      <c r="D259" s="5">
        <v>0.65212962962962961</v>
      </c>
      <c r="E259">
        <v>483.03</v>
      </c>
      <c r="F259" t="s">
        <v>44</v>
      </c>
      <c r="G259" t="s">
        <v>1035</v>
      </c>
      <c r="H259" t="s">
        <v>64</v>
      </c>
      <c r="I259" t="s">
        <v>35</v>
      </c>
      <c r="J259" t="s">
        <v>1097</v>
      </c>
      <c r="K259">
        <v>55</v>
      </c>
      <c r="L259" t="s">
        <v>25</v>
      </c>
      <c r="M259" t="s">
        <v>50</v>
      </c>
      <c r="N259" t="s">
        <v>39</v>
      </c>
      <c r="O259" t="s">
        <v>28</v>
      </c>
      <c r="P259" t="s">
        <v>31</v>
      </c>
      <c r="Q259">
        <v>0</v>
      </c>
      <c r="R259" t="s">
        <v>12883</v>
      </c>
      <c r="S259" t="s">
        <v>12886</v>
      </c>
    </row>
    <row r="260" spans="1:19" x14ac:dyDescent="0.25">
      <c r="A260" t="s">
        <v>11359</v>
      </c>
      <c r="B260" s="1">
        <v>45832</v>
      </c>
      <c r="C260" t="s">
        <v>12888</v>
      </c>
      <c r="D260" s="5">
        <v>7.7812500000000007E-2</v>
      </c>
      <c r="E260">
        <v>479.28</v>
      </c>
      <c r="F260" t="s">
        <v>44</v>
      </c>
      <c r="G260" t="s">
        <v>2956</v>
      </c>
      <c r="H260" t="s">
        <v>89</v>
      </c>
      <c r="I260" t="s">
        <v>38</v>
      </c>
      <c r="J260" t="s">
        <v>11360</v>
      </c>
      <c r="K260">
        <v>91</v>
      </c>
      <c r="L260" t="s">
        <v>25</v>
      </c>
      <c r="M260" t="s">
        <v>97</v>
      </c>
      <c r="N260" t="s">
        <v>39</v>
      </c>
      <c r="O260" t="s">
        <v>28</v>
      </c>
      <c r="P260" t="s">
        <v>31</v>
      </c>
      <c r="Q260">
        <v>0</v>
      </c>
      <c r="R260" t="s">
        <v>12883</v>
      </c>
      <c r="S260" t="s">
        <v>12884</v>
      </c>
    </row>
    <row r="261" spans="1:19" x14ac:dyDescent="0.25">
      <c r="A261" t="s">
        <v>12273</v>
      </c>
      <c r="B261" s="1">
        <v>45882</v>
      </c>
      <c r="C261" t="s">
        <v>12893</v>
      </c>
      <c r="D261" s="5">
        <v>0.4037384259259259</v>
      </c>
      <c r="E261">
        <v>479.23</v>
      </c>
      <c r="F261" t="s">
        <v>44</v>
      </c>
      <c r="G261" t="s">
        <v>1841</v>
      </c>
      <c r="H261" t="s">
        <v>46</v>
      </c>
      <c r="I261" t="s">
        <v>26</v>
      </c>
      <c r="J261" t="s">
        <v>12274</v>
      </c>
      <c r="K261">
        <v>48</v>
      </c>
      <c r="L261" t="s">
        <v>49</v>
      </c>
      <c r="M261" t="s">
        <v>146</v>
      </c>
      <c r="N261" t="s">
        <v>27</v>
      </c>
      <c r="O261" t="s">
        <v>28</v>
      </c>
      <c r="P261" t="s">
        <v>31</v>
      </c>
      <c r="Q261">
        <v>0</v>
      </c>
      <c r="R261" t="s">
        <v>12883</v>
      </c>
      <c r="S261" t="s">
        <v>12886</v>
      </c>
    </row>
    <row r="262" spans="1:19" x14ac:dyDescent="0.25">
      <c r="A262" t="s">
        <v>9264</v>
      </c>
      <c r="B262" s="1">
        <v>45789</v>
      </c>
      <c r="C262" t="s">
        <v>12887</v>
      </c>
      <c r="D262" s="5">
        <v>0.80137731481481478</v>
      </c>
      <c r="E262">
        <v>477.83</v>
      </c>
      <c r="F262" t="s">
        <v>44</v>
      </c>
      <c r="G262" t="s">
        <v>8210</v>
      </c>
      <c r="H262" t="s">
        <v>124</v>
      </c>
      <c r="I262" t="s">
        <v>119</v>
      </c>
      <c r="J262" t="s">
        <v>9265</v>
      </c>
      <c r="K262">
        <v>31</v>
      </c>
      <c r="L262" t="s">
        <v>49</v>
      </c>
      <c r="M262" t="s">
        <v>58</v>
      </c>
      <c r="N262" t="s">
        <v>51</v>
      </c>
      <c r="O262" t="s">
        <v>28</v>
      </c>
      <c r="P262" t="s">
        <v>31</v>
      </c>
      <c r="Q262">
        <v>0</v>
      </c>
      <c r="R262" t="s">
        <v>12883</v>
      </c>
      <c r="S262" t="s">
        <v>12889</v>
      </c>
    </row>
    <row r="263" spans="1:19" x14ac:dyDescent="0.25">
      <c r="A263" t="s">
        <v>11387</v>
      </c>
      <c r="B263" s="1">
        <v>45933</v>
      </c>
      <c r="C263" t="s">
        <v>12890</v>
      </c>
      <c r="D263" s="5">
        <v>0.23548611111111112</v>
      </c>
      <c r="E263">
        <v>477.59</v>
      </c>
      <c r="F263" t="s">
        <v>44</v>
      </c>
      <c r="G263" t="s">
        <v>4421</v>
      </c>
      <c r="H263" t="s">
        <v>89</v>
      </c>
      <c r="I263" t="s">
        <v>58</v>
      </c>
      <c r="J263" t="s">
        <v>11388</v>
      </c>
      <c r="K263">
        <v>25</v>
      </c>
      <c r="L263" t="s">
        <v>25</v>
      </c>
      <c r="M263" t="s">
        <v>50</v>
      </c>
      <c r="N263" t="s">
        <v>39</v>
      </c>
      <c r="O263" t="s">
        <v>28</v>
      </c>
      <c r="P263" t="s">
        <v>31</v>
      </c>
      <c r="Q263">
        <v>0</v>
      </c>
      <c r="R263" t="s">
        <v>12883</v>
      </c>
      <c r="S263" t="s">
        <v>12889</v>
      </c>
    </row>
    <row r="264" spans="1:19" x14ac:dyDescent="0.25">
      <c r="A264" t="s">
        <v>2616</v>
      </c>
      <c r="B264" s="1">
        <v>45894</v>
      </c>
      <c r="C264" t="s">
        <v>12893</v>
      </c>
      <c r="D264" s="5">
        <v>4.4699074074074072E-2</v>
      </c>
      <c r="E264">
        <v>476.47</v>
      </c>
      <c r="F264" t="s">
        <v>44</v>
      </c>
      <c r="G264" t="s">
        <v>1017</v>
      </c>
      <c r="H264" t="s">
        <v>64</v>
      </c>
      <c r="I264" t="s">
        <v>35</v>
      </c>
      <c r="J264" t="s">
        <v>2617</v>
      </c>
      <c r="K264">
        <v>52</v>
      </c>
      <c r="L264" t="s">
        <v>25</v>
      </c>
      <c r="M264" t="s">
        <v>58</v>
      </c>
      <c r="N264" t="s">
        <v>105</v>
      </c>
      <c r="O264" t="s">
        <v>28</v>
      </c>
      <c r="P264" t="s">
        <v>31</v>
      </c>
      <c r="Q264">
        <v>0</v>
      </c>
      <c r="R264" t="s">
        <v>12883</v>
      </c>
      <c r="S264" t="s">
        <v>12886</v>
      </c>
    </row>
    <row r="265" spans="1:19" x14ac:dyDescent="0.25">
      <c r="A265" t="s">
        <v>10194</v>
      </c>
      <c r="B265" s="1">
        <v>45925</v>
      </c>
      <c r="C265" t="s">
        <v>12882</v>
      </c>
      <c r="D265" s="5">
        <v>0.64384259259259258</v>
      </c>
      <c r="E265">
        <v>469.48</v>
      </c>
      <c r="F265" t="s">
        <v>44</v>
      </c>
      <c r="G265" t="s">
        <v>763</v>
      </c>
      <c r="H265" t="s">
        <v>46</v>
      </c>
      <c r="I265" t="s">
        <v>91</v>
      </c>
      <c r="J265" t="s">
        <v>10195</v>
      </c>
      <c r="K265">
        <v>31</v>
      </c>
      <c r="L265" t="s">
        <v>25</v>
      </c>
      <c r="M265" t="s">
        <v>97</v>
      </c>
      <c r="N265" t="s">
        <v>39</v>
      </c>
      <c r="O265" t="s">
        <v>28</v>
      </c>
      <c r="P265" t="s">
        <v>31</v>
      </c>
      <c r="Q265">
        <v>0</v>
      </c>
      <c r="R265" t="s">
        <v>12883</v>
      </c>
      <c r="S265" t="s">
        <v>12889</v>
      </c>
    </row>
    <row r="266" spans="1:19" x14ac:dyDescent="0.25">
      <c r="A266" t="s">
        <v>3441</v>
      </c>
      <c r="B266" s="1">
        <v>45945</v>
      </c>
      <c r="C266" t="s">
        <v>12890</v>
      </c>
      <c r="D266" s="5">
        <v>0.32459490740740743</v>
      </c>
      <c r="E266">
        <v>462.01</v>
      </c>
      <c r="F266" t="s">
        <v>44</v>
      </c>
      <c r="G266" t="s">
        <v>3442</v>
      </c>
      <c r="H266" t="s">
        <v>96</v>
      </c>
      <c r="I266" t="s">
        <v>91</v>
      </c>
      <c r="J266" t="s">
        <v>3443</v>
      </c>
      <c r="K266">
        <v>27</v>
      </c>
      <c r="L266" t="s">
        <v>49</v>
      </c>
      <c r="M266" t="s">
        <v>47</v>
      </c>
      <c r="N266" t="s">
        <v>112</v>
      </c>
      <c r="O266" t="s">
        <v>28</v>
      </c>
      <c r="P266" t="s">
        <v>31</v>
      </c>
      <c r="Q266">
        <v>0</v>
      </c>
      <c r="R266" t="s">
        <v>12883</v>
      </c>
      <c r="S266" t="s">
        <v>12889</v>
      </c>
    </row>
    <row r="267" spans="1:19" x14ac:dyDescent="0.25">
      <c r="A267" t="s">
        <v>5053</v>
      </c>
      <c r="B267" s="1">
        <v>45874</v>
      </c>
      <c r="C267" t="s">
        <v>12893</v>
      </c>
      <c r="D267" s="5">
        <v>0.8316782407407407</v>
      </c>
      <c r="E267">
        <v>461.92</v>
      </c>
      <c r="F267" t="s">
        <v>44</v>
      </c>
      <c r="G267" t="s">
        <v>4811</v>
      </c>
      <c r="H267" t="s">
        <v>124</v>
      </c>
      <c r="I267" t="s">
        <v>58</v>
      </c>
      <c r="J267" t="s">
        <v>5054</v>
      </c>
      <c r="K267">
        <v>65</v>
      </c>
      <c r="L267" t="s">
        <v>37</v>
      </c>
      <c r="M267" t="s">
        <v>91</v>
      </c>
      <c r="N267" t="s">
        <v>51</v>
      </c>
      <c r="O267" t="s">
        <v>28</v>
      </c>
      <c r="P267" t="s">
        <v>31</v>
      </c>
      <c r="Q267">
        <v>0</v>
      </c>
      <c r="R267" t="s">
        <v>12883</v>
      </c>
      <c r="S267" t="s">
        <v>12884</v>
      </c>
    </row>
    <row r="268" spans="1:19" x14ac:dyDescent="0.25">
      <c r="A268" t="s">
        <v>12216</v>
      </c>
      <c r="B268" s="1">
        <v>45879</v>
      </c>
      <c r="C268" t="s">
        <v>12893</v>
      </c>
      <c r="D268" s="5">
        <v>0.46954861111111112</v>
      </c>
      <c r="E268">
        <v>461.58</v>
      </c>
      <c r="F268" t="s">
        <v>44</v>
      </c>
      <c r="G268" t="s">
        <v>3128</v>
      </c>
      <c r="H268" t="s">
        <v>46</v>
      </c>
      <c r="I268" t="s">
        <v>97</v>
      </c>
      <c r="J268" t="s">
        <v>12217</v>
      </c>
      <c r="K268">
        <v>66</v>
      </c>
      <c r="L268" t="s">
        <v>25</v>
      </c>
      <c r="M268" t="s">
        <v>47</v>
      </c>
      <c r="N268" t="s">
        <v>84</v>
      </c>
      <c r="O268" t="s">
        <v>28</v>
      </c>
      <c r="P268" t="s">
        <v>31</v>
      </c>
      <c r="Q268">
        <v>0</v>
      </c>
      <c r="R268" t="s">
        <v>12883</v>
      </c>
      <c r="S268" t="s">
        <v>12884</v>
      </c>
    </row>
    <row r="269" spans="1:19" x14ac:dyDescent="0.25">
      <c r="A269" t="s">
        <v>7608</v>
      </c>
      <c r="B269" s="1">
        <v>45952</v>
      </c>
      <c r="C269" t="s">
        <v>12890</v>
      </c>
      <c r="D269" s="5">
        <v>0.81803240740740746</v>
      </c>
      <c r="E269">
        <v>456.65</v>
      </c>
      <c r="F269" t="s">
        <v>44</v>
      </c>
      <c r="G269" t="s">
        <v>1143</v>
      </c>
      <c r="H269" t="s">
        <v>124</v>
      </c>
      <c r="I269" t="s">
        <v>66</v>
      </c>
      <c r="J269" t="s">
        <v>7609</v>
      </c>
      <c r="K269">
        <v>55</v>
      </c>
      <c r="L269" t="s">
        <v>49</v>
      </c>
      <c r="M269" t="s">
        <v>66</v>
      </c>
      <c r="N269" t="s">
        <v>27</v>
      </c>
      <c r="O269" t="s">
        <v>113</v>
      </c>
      <c r="P269" t="s">
        <v>31</v>
      </c>
      <c r="Q269">
        <v>0</v>
      </c>
      <c r="R269" t="s">
        <v>12883</v>
      </c>
      <c r="S269" t="s">
        <v>12886</v>
      </c>
    </row>
    <row r="270" spans="1:19" x14ac:dyDescent="0.25">
      <c r="A270" t="s">
        <v>6420</v>
      </c>
      <c r="B270" s="1">
        <v>45798</v>
      </c>
      <c r="C270" t="s">
        <v>12887</v>
      </c>
      <c r="D270" s="5">
        <v>0.66335648148148152</v>
      </c>
      <c r="E270">
        <v>450.62</v>
      </c>
      <c r="F270" t="s">
        <v>44</v>
      </c>
      <c r="G270" t="s">
        <v>5512</v>
      </c>
      <c r="H270" t="s">
        <v>64</v>
      </c>
      <c r="I270" t="s">
        <v>91</v>
      </c>
      <c r="J270" t="s">
        <v>6421</v>
      </c>
      <c r="K270">
        <v>24</v>
      </c>
      <c r="L270" t="s">
        <v>37</v>
      </c>
      <c r="M270" t="s">
        <v>66</v>
      </c>
      <c r="N270" t="s">
        <v>105</v>
      </c>
      <c r="O270" t="s">
        <v>28</v>
      </c>
      <c r="P270" t="s">
        <v>31</v>
      </c>
      <c r="Q270">
        <v>0</v>
      </c>
      <c r="R270" t="s">
        <v>12883</v>
      </c>
      <c r="S270" t="s">
        <v>12892</v>
      </c>
    </row>
    <row r="271" spans="1:19" x14ac:dyDescent="0.25">
      <c r="A271" t="s">
        <v>10210</v>
      </c>
      <c r="B271" s="1">
        <v>45901</v>
      </c>
      <c r="C271" t="s">
        <v>12882</v>
      </c>
      <c r="D271" s="5">
        <v>0.25614583333333335</v>
      </c>
      <c r="E271">
        <v>449.85</v>
      </c>
      <c r="F271" t="s">
        <v>44</v>
      </c>
      <c r="G271" t="s">
        <v>9093</v>
      </c>
      <c r="H271" t="s">
        <v>124</v>
      </c>
      <c r="I271" t="s">
        <v>23</v>
      </c>
      <c r="J271" t="s">
        <v>10211</v>
      </c>
      <c r="K271">
        <v>69</v>
      </c>
      <c r="L271" t="s">
        <v>37</v>
      </c>
      <c r="M271" t="s">
        <v>26</v>
      </c>
      <c r="N271" t="s">
        <v>51</v>
      </c>
      <c r="O271" t="s">
        <v>28</v>
      </c>
      <c r="P271" t="s">
        <v>31</v>
      </c>
      <c r="Q271">
        <v>0</v>
      </c>
      <c r="R271" t="s">
        <v>12883</v>
      </c>
      <c r="S271" t="s">
        <v>12884</v>
      </c>
    </row>
    <row r="272" spans="1:19" x14ac:dyDescent="0.25">
      <c r="A272" t="s">
        <v>4792</v>
      </c>
      <c r="B272" s="1">
        <v>45912</v>
      </c>
      <c r="C272" t="s">
        <v>12882</v>
      </c>
      <c r="D272" s="5">
        <v>0.27832175925925928</v>
      </c>
      <c r="E272">
        <v>447</v>
      </c>
      <c r="F272" t="s">
        <v>44</v>
      </c>
      <c r="G272" t="s">
        <v>2190</v>
      </c>
      <c r="H272" t="s">
        <v>64</v>
      </c>
      <c r="I272" t="s">
        <v>66</v>
      </c>
      <c r="J272" t="s">
        <v>4793</v>
      </c>
      <c r="K272">
        <v>24</v>
      </c>
      <c r="L272" t="s">
        <v>25</v>
      </c>
      <c r="M272" t="s">
        <v>23</v>
      </c>
      <c r="N272" t="s">
        <v>84</v>
      </c>
      <c r="O272" t="s">
        <v>28</v>
      </c>
      <c r="P272" t="s">
        <v>31</v>
      </c>
      <c r="Q272">
        <v>0</v>
      </c>
      <c r="R272" t="s">
        <v>12883</v>
      </c>
      <c r="S272" t="s">
        <v>12892</v>
      </c>
    </row>
    <row r="273" spans="1:19" x14ac:dyDescent="0.25">
      <c r="A273" t="s">
        <v>322</v>
      </c>
      <c r="B273" s="1">
        <v>45794</v>
      </c>
      <c r="C273" t="s">
        <v>12887</v>
      </c>
      <c r="D273" s="5">
        <v>9.525462962962963E-3</v>
      </c>
      <c r="E273">
        <v>445.87</v>
      </c>
      <c r="F273" t="s">
        <v>44</v>
      </c>
      <c r="G273" t="s">
        <v>323</v>
      </c>
      <c r="H273" t="s">
        <v>89</v>
      </c>
      <c r="I273" t="s">
        <v>130</v>
      </c>
      <c r="J273" t="s">
        <v>324</v>
      </c>
      <c r="K273">
        <v>22</v>
      </c>
      <c r="L273" t="s">
        <v>25</v>
      </c>
      <c r="M273" t="s">
        <v>50</v>
      </c>
      <c r="N273" t="s">
        <v>112</v>
      </c>
      <c r="O273" t="s">
        <v>28</v>
      </c>
      <c r="P273" t="s">
        <v>31</v>
      </c>
      <c r="Q273">
        <v>0</v>
      </c>
      <c r="R273" t="s">
        <v>12883</v>
      </c>
      <c r="S273" t="s">
        <v>12892</v>
      </c>
    </row>
    <row r="274" spans="1:19" x14ac:dyDescent="0.25">
      <c r="A274" t="s">
        <v>3446</v>
      </c>
      <c r="B274" s="1">
        <v>45832</v>
      </c>
      <c r="C274" t="s">
        <v>12888</v>
      </c>
      <c r="D274" s="5">
        <v>0.38653935185185184</v>
      </c>
      <c r="E274">
        <v>441.42</v>
      </c>
      <c r="F274" t="s">
        <v>44</v>
      </c>
      <c r="G274" t="s">
        <v>3447</v>
      </c>
      <c r="H274" t="s">
        <v>124</v>
      </c>
      <c r="I274" t="s">
        <v>97</v>
      </c>
      <c r="J274" t="s">
        <v>3448</v>
      </c>
      <c r="K274">
        <v>27</v>
      </c>
      <c r="L274" t="s">
        <v>37</v>
      </c>
      <c r="M274" t="s">
        <v>35</v>
      </c>
      <c r="N274" t="s">
        <v>112</v>
      </c>
      <c r="O274" t="s">
        <v>28</v>
      </c>
      <c r="P274" t="s">
        <v>31</v>
      </c>
      <c r="Q274">
        <v>0</v>
      </c>
      <c r="R274" t="s">
        <v>12883</v>
      </c>
      <c r="S274" t="s">
        <v>12889</v>
      </c>
    </row>
    <row r="275" spans="1:19" x14ac:dyDescent="0.25">
      <c r="A275" t="s">
        <v>8148</v>
      </c>
      <c r="B275" s="1">
        <v>45873</v>
      </c>
      <c r="C275" t="s">
        <v>12893</v>
      </c>
      <c r="D275" s="5">
        <v>7.1527777777777779E-3</v>
      </c>
      <c r="E275">
        <v>440.52</v>
      </c>
      <c r="F275" t="s">
        <v>44</v>
      </c>
      <c r="G275" t="s">
        <v>438</v>
      </c>
      <c r="H275" t="s">
        <v>22</v>
      </c>
      <c r="I275" t="s">
        <v>47</v>
      </c>
      <c r="J275" t="s">
        <v>8149</v>
      </c>
      <c r="K275">
        <v>62</v>
      </c>
      <c r="L275" t="s">
        <v>25</v>
      </c>
      <c r="M275" t="s">
        <v>130</v>
      </c>
      <c r="N275" t="s">
        <v>27</v>
      </c>
      <c r="O275" t="s">
        <v>28</v>
      </c>
      <c r="P275" t="s">
        <v>31</v>
      </c>
      <c r="Q275">
        <v>0</v>
      </c>
      <c r="R275" t="s">
        <v>12883</v>
      </c>
      <c r="S275" t="s">
        <v>12884</v>
      </c>
    </row>
    <row r="276" spans="1:19" x14ac:dyDescent="0.25">
      <c r="A276" t="s">
        <v>10938</v>
      </c>
      <c r="B276" s="1">
        <v>45781</v>
      </c>
      <c r="C276" t="s">
        <v>12887</v>
      </c>
      <c r="D276" s="5">
        <v>0.54903935185185182</v>
      </c>
      <c r="E276">
        <v>438.71</v>
      </c>
      <c r="F276" t="s">
        <v>44</v>
      </c>
      <c r="G276" t="s">
        <v>7821</v>
      </c>
      <c r="H276" t="s">
        <v>22</v>
      </c>
      <c r="I276" t="s">
        <v>23</v>
      </c>
      <c r="J276" t="s">
        <v>10939</v>
      </c>
      <c r="K276">
        <v>72</v>
      </c>
      <c r="L276" t="s">
        <v>37</v>
      </c>
      <c r="M276" t="s">
        <v>23</v>
      </c>
      <c r="N276" t="s">
        <v>112</v>
      </c>
      <c r="O276" t="s">
        <v>113</v>
      </c>
      <c r="P276" t="s">
        <v>31</v>
      </c>
      <c r="Q276">
        <v>0</v>
      </c>
      <c r="R276" t="s">
        <v>12883</v>
      </c>
      <c r="S276" t="s">
        <v>12884</v>
      </c>
    </row>
    <row r="277" spans="1:19" x14ac:dyDescent="0.25">
      <c r="A277" t="s">
        <v>10464</v>
      </c>
      <c r="B277" s="1">
        <v>45851</v>
      </c>
      <c r="C277" t="s">
        <v>12885</v>
      </c>
      <c r="D277" s="5">
        <v>0.95699074074074075</v>
      </c>
      <c r="E277">
        <v>438.55</v>
      </c>
      <c r="F277" t="s">
        <v>44</v>
      </c>
      <c r="G277" t="s">
        <v>5094</v>
      </c>
      <c r="H277" t="s">
        <v>22</v>
      </c>
      <c r="I277" t="s">
        <v>110</v>
      </c>
      <c r="J277" t="s">
        <v>10465</v>
      </c>
      <c r="K277">
        <v>44</v>
      </c>
      <c r="L277" t="s">
        <v>25</v>
      </c>
      <c r="M277" t="s">
        <v>91</v>
      </c>
      <c r="N277" t="s">
        <v>39</v>
      </c>
      <c r="O277" t="s">
        <v>28</v>
      </c>
      <c r="P277" t="s">
        <v>31</v>
      </c>
      <c r="Q277">
        <v>0</v>
      </c>
      <c r="R277" t="s">
        <v>12883</v>
      </c>
      <c r="S277" t="s">
        <v>12886</v>
      </c>
    </row>
    <row r="278" spans="1:19" x14ac:dyDescent="0.25">
      <c r="A278" t="s">
        <v>12153</v>
      </c>
      <c r="B278" s="1">
        <v>45859</v>
      </c>
      <c r="C278" t="s">
        <v>12885</v>
      </c>
      <c r="D278" s="5">
        <v>1.2372685185185184E-2</v>
      </c>
      <c r="E278">
        <v>437.46</v>
      </c>
      <c r="F278" t="s">
        <v>44</v>
      </c>
      <c r="G278" t="s">
        <v>908</v>
      </c>
      <c r="H278" t="s">
        <v>46</v>
      </c>
      <c r="I278" t="s">
        <v>66</v>
      </c>
      <c r="J278" t="s">
        <v>12154</v>
      </c>
      <c r="K278">
        <v>56</v>
      </c>
      <c r="L278" t="s">
        <v>25</v>
      </c>
      <c r="M278" t="s">
        <v>50</v>
      </c>
      <c r="N278" t="s">
        <v>27</v>
      </c>
      <c r="O278" t="s">
        <v>28</v>
      </c>
      <c r="P278" t="s">
        <v>31</v>
      </c>
      <c r="Q278">
        <v>0</v>
      </c>
      <c r="R278" t="s">
        <v>12883</v>
      </c>
      <c r="S278" t="s">
        <v>12886</v>
      </c>
    </row>
    <row r="279" spans="1:19" x14ac:dyDescent="0.25">
      <c r="A279" t="s">
        <v>6364</v>
      </c>
      <c r="B279" s="1">
        <v>45903</v>
      </c>
      <c r="C279" t="s">
        <v>12882</v>
      </c>
      <c r="D279" s="5">
        <v>7.739583333333333E-2</v>
      </c>
      <c r="E279">
        <v>435.88</v>
      </c>
      <c r="F279" t="s">
        <v>44</v>
      </c>
      <c r="G279" t="s">
        <v>2299</v>
      </c>
      <c r="H279" t="s">
        <v>57</v>
      </c>
      <c r="I279" t="s">
        <v>66</v>
      </c>
      <c r="J279" t="s">
        <v>6365</v>
      </c>
      <c r="K279">
        <v>46</v>
      </c>
      <c r="L279" t="s">
        <v>49</v>
      </c>
      <c r="M279" t="s">
        <v>110</v>
      </c>
      <c r="N279" t="s">
        <v>112</v>
      </c>
      <c r="O279" t="s">
        <v>28</v>
      </c>
      <c r="P279" t="s">
        <v>31</v>
      </c>
      <c r="Q279">
        <v>0</v>
      </c>
      <c r="R279" t="s">
        <v>12883</v>
      </c>
      <c r="S279" t="s">
        <v>12886</v>
      </c>
    </row>
    <row r="280" spans="1:19" x14ac:dyDescent="0.25">
      <c r="A280" t="s">
        <v>6639</v>
      </c>
      <c r="B280" s="1">
        <v>45853</v>
      </c>
      <c r="C280" t="s">
        <v>12885</v>
      </c>
      <c r="D280" s="5">
        <v>0.40673611111111113</v>
      </c>
      <c r="E280">
        <v>435.16</v>
      </c>
      <c r="F280" t="s">
        <v>44</v>
      </c>
      <c r="G280" t="s">
        <v>63</v>
      </c>
      <c r="H280" t="s">
        <v>71</v>
      </c>
      <c r="I280" t="s">
        <v>23</v>
      </c>
      <c r="J280" t="s">
        <v>6640</v>
      </c>
      <c r="K280">
        <v>31</v>
      </c>
      <c r="L280" t="s">
        <v>49</v>
      </c>
      <c r="M280" t="s">
        <v>26</v>
      </c>
      <c r="N280" t="s">
        <v>39</v>
      </c>
      <c r="O280" t="s">
        <v>28</v>
      </c>
      <c r="P280" t="s">
        <v>31</v>
      </c>
      <c r="Q280">
        <v>0</v>
      </c>
      <c r="R280" t="s">
        <v>12883</v>
      </c>
      <c r="S280" t="s">
        <v>12889</v>
      </c>
    </row>
    <row r="281" spans="1:19" x14ac:dyDescent="0.25">
      <c r="A281" t="s">
        <v>4131</v>
      </c>
      <c r="B281" s="1">
        <v>45821</v>
      </c>
      <c r="C281" t="s">
        <v>12888</v>
      </c>
      <c r="D281" s="5">
        <v>0.62971064814814814</v>
      </c>
      <c r="E281">
        <v>428.12</v>
      </c>
      <c r="F281" t="s">
        <v>44</v>
      </c>
      <c r="G281" t="s">
        <v>3469</v>
      </c>
      <c r="H281" t="s">
        <v>57</v>
      </c>
      <c r="I281" t="s">
        <v>91</v>
      </c>
      <c r="J281" t="s">
        <v>4132</v>
      </c>
      <c r="K281">
        <v>24</v>
      </c>
      <c r="L281" t="s">
        <v>49</v>
      </c>
      <c r="M281" t="s">
        <v>146</v>
      </c>
      <c r="N281" t="s">
        <v>112</v>
      </c>
      <c r="O281" t="s">
        <v>28</v>
      </c>
      <c r="P281" t="s">
        <v>31</v>
      </c>
      <c r="Q281">
        <v>0</v>
      </c>
      <c r="R281" t="s">
        <v>12883</v>
      </c>
      <c r="S281" t="s">
        <v>12892</v>
      </c>
    </row>
    <row r="282" spans="1:19" x14ac:dyDescent="0.25">
      <c r="A282" t="s">
        <v>11371</v>
      </c>
      <c r="B282" s="1">
        <v>45930</v>
      </c>
      <c r="C282" t="s">
        <v>12882</v>
      </c>
      <c r="D282" s="5">
        <v>0.60157407407407404</v>
      </c>
      <c r="E282">
        <v>427.59</v>
      </c>
      <c r="F282" t="s">
        <v>44</v>
      </c>
      <c r="G282" t="s">
        <v>2947</v>
      </c>
      <c r="H282" t="s">
        <v>71</v>
      </c>
      <c r="I282" t="s">
        <v>35</v>
      </c>
      <c r="J282" t="s">
        <v>11372</v>
      </c>
      <c r="K282">
        <v>66</v>
      </c>
      <c r="L282" t="s">
        <v>49</v>
      </c>
      <c r="M282" t="s">
        <v>130</v>
      </c>
      <c r="N282" t="s">
        <v>39</v>
      </c>
      <c r="O282" t="s">
        <v>28</v>
      </c>
      <c r="P282" t="s">
        <v>31</v>
      </c>
      <c r="Q282">
        <v>0</v>
      </c>
      <c r="R282" t="s">
        <v>12883</v>
      </c>
      <c r="S282" t="s">
        <v>12884</v>
      </c>
    </row>
    <row r="283" spans="1:19" x14ac:dyDescent="0.25">
      <c r="A283" t="s">
        <v>9373</v>
      </c>
      <c r="B283" s="1">
        <v>45956</v>
      </c>
      <c r="C283" t="s">
        <v>12890</v>
      </c>
      <c r="D283" s="5">
        <v>9.8900462962962968E-2</v>
      </c>
      <c r="E283">
        <v>422.33</v>
      </c>
      <c r="F283" t="s">
        <v>44</v>
      </c>
      <c r="G283" t="s">
        <v>9374</v>
      </c>
      <c r="H283" t="s">
        <v>89</v>
      </c>
      <c r="I283" t="s">
        <v>26</v>
      </c>
      <c r="J283" t="s">
        <v>9375</v>
      </c>
      <c r="K283">
        <v>44</v>
      </c>
      <c r="L283" t="s">
        <v>49</v>
      </c>
      <c r="M283" t="s">
        <v>35</v>
      </c>
      <c r="N283" t="s">
        <v>112</v>
      </c>
      <c r="O283" t="s">
        <v>28</v>
      </c>
      <c r="P283" t="s">
        <v>31</v>
      </c>
      <c r="Q283">
        <v>1</v>
      </c>
      <c r="R283" t="s">
        <v>12891</v>
      </c>
      <c r="S283" t="s">
        <v>12886</v>
      </c>
    </row>
    <row r="284" spans="1:19" x14ac:dyDescent="0.25">
      <c r="A284" t="s">
        <v>9806</v>
      </c>
      <c r="B284" s="1">
        <v>45904</v>
      </c>
      <c r="C284" t="s">
        <v>12882</v>
      </c>
      <c r="D284" s="5">
        <v>0.39135416666666667</v>
      </c>
      <c r="E284">
        <v>414.2</v>
      </c>
      <c r="F284" t="s">
        <v>44</v>
      </c>
      <c r="G284" t="s">
        <v>898</v>
      </c>
      <c r="H284" t="s">
        <v>46</v>
      </c>
      <c r="I284" t="s">
        <v>130</v>
      </c>
      <c r="J284" t="s">
        <v>9807</v>
      </c>
      <c r="K284">
        <v>74</v>
      </c>
      <c r="L284" t="s">
        <v>37</v>
      </c>
      <c r="M284" t="s">
        <v>35</v>
      </c>
      <c r="N284" t="s">
        <v>27</v>
      </c>
      <c r="O284" t="s">
        <v>28</v>
      </c>
      <c r="P284" t="s">
        <v>31</v>
      </c>
      <c r="Q284">
        <v>1</v>
      </c>
      <c r="R284" t="s">
        <v>12891</v>
      </c>
      <c r="S284" t="s">
        <v>12884</v>
      </c>
    </row>
    <row r="285" spans="1:19" x14ac:dyDescent="0.25">
      <c r="A285" t="s">
        <v>2658</v>
      </c>
      <c r="B285" s="1">
        <v>45901</v>
      </c>
      <c r="C285" t="s">
        <v>12882</v>
      </c>
      <c r="D285" s="5">
        <v>0.9506134259259259</v>
      </c>
      <c r="E285">
        <v>409.19</v>
      </c>
      <c r="F285" t="s">
        <v>44</v>
      </c>
      <c r="G285" t="s">
        <v>2659</v>
      </c>
      <c r="H285" t="s">
        <v>22</v>
      </c>
      <c r="I285" t="s">
        <v>47</v>
      </c>
      <c r="J285" t="s">
        <v>2660</v>
      </c>
      <c r="K285">
        <v>18</v>
      </c>
      <c r="L285" t="s">
        <v>37</v>
      </c>
      <c r="M285" t="s">
        <v>58</v>
      </c>
      <c r="N285" t="s">
        <v>84</v>
      </c>
      <c r="O285" t="s">
        <v>28</v>
      </c>
      <c r="P285" t="s">
        <v>31</v>
      </c>
      <c r="Q285">
        <v>0</v>
      </c>
      <c r="R285" t="s">
        <v>12883</v>
      </c>
      <c r="S285" t="s">
        <v>12892</v>
      </c>
    </row>
    <row r="286" spans="1:19" x14ac:dyDescent="0.25">
      <c r="A286" t="s">
        <v>4442</v>
      </c>
      <c r="B286" s="1">
        <v>45815</v>
      </c>
      <c r="C286" t="s">
        <v>12888</v>
      </c>
      <c r="D286" s="5">
        <v>0.83915509259259258</v>
      </c>
      <c r="E286">
        <v>408.79</v>
      </c>
      <c r="F286" t="s">
        <v>44</v>
      </c>
      <c r="G286" t="s">
        <v>4443</v>
      </c>
      <c r="H286" t="s">
        <v>64</v>
      </c>
      <c r="I286" t="s">
        <v>38</v>
      </c>
      <c r="J286" t="s">
        <v>4444</v>
      </c>
      <c r="K286">
        <v>27</v>
      </c>
      <c r="L286" t="s">
        <v>49</v>
      </c>
      <c r="M286" t="s">
        <v>38</v>
      </c>
      <c r="N286" t="s">
        <v>39</v>
      </c>
      <c r="O286" t="s">
        <v>113</v>
      </c>
      <c r="P286" t="s">
        <v>31</v>
      </c>
      <c r="Q286">
        <v>0</v>
      </c>
      <c r="R286" t="s">
        <v>12883</v>
      </c>
      <c r="S286" t="s">
        <v>12889</v>
      </c>
    </row>
    <row r="287" spans="1:19" x14ac:dyDescent="0.25">
      <c r="A287" t="s">
        <v>4589</v>
      </c>
      <c r="B287" s="1">
        <v>45829</v>
      </c>
      <c r="C287" t="s">
        <v>12888</v>
      </c>
      <c r="D287" s="5">
        <v>9.3611111111111117E-2</v>
      </c>
      <c r="E287">
        <v>406.25</v>
      </c>
      <c r="F287" t="s">
        <v>44</v>
      </c>
      <c r="G287" t="s">
        <v>4590</v>
      </c>
      <c r="H287" t="s">
        <v>77</v>
      </c>
      <c r="I287" t="s">
        <v>38</v>
      </c>
      <c r="J287" t="s">
        <v>4591</v>
      </c>
      <c r="K287">
        <v>75</v>
      </c>
      <c r="L287" t="s">
        <v>49</v>
      </c>
      <c r="M287" t="s">
        <v>47</v>
      </c>
      <c r="N287" t="s">
        <v>27</v>
      </c>
      <c r="O287" t="s">
        <v>28</v>
      </c>
      <c r="P287" t="s">
        <v>31</v>
      </c>
      <c r="Q287">
        <v>0</v>
      </c>
      <c r="R287" t="s">
        <v>12883</v>
      </c>
      <c r="S287" t="s">
        <v>12884</v>
      </c>
    </row>
    <row r="288" spans="1:19" x14ac:dyDescent="0.25">
      <c r="A288" t="s">
        <v>2339</v>
      </c>
      <c r="B288" s="1">
        <v>45863</v>
      </c>
      <c r="C288" t="s">
        <v>12885</v>
      </c>
      <c r="D288" s="5">
        <v>0.27289351851851851</v>
      </c>
      <c r="E288">
        <v>405.34</v>
      </c>
      <c r="F288" t="s">
        <v>44</v>
      </c>
      <c r="G288" t="s">
        <v>2340</v>
      </c>
      <c r="H288" t="s">
        <v>89</v>
      </c>
      <c r="I288" t="s">
        <v>26</v>
      </c>
      <c r="J288" t="s">
        <v>2341</v>
      </c>
      <c r="K288">
        <v>45</v>
      </c>
      <c r="L288" t="s">
        <v>25</v>
      </c>
      <c r="M288" t="s">
        <v>23</v>
      </c>
      <c r="N288" t="s">
        <v>39</v>
      </c>
      <c r="O288" t="s">
        <v>28</v>
      </c>
      <c r="P288" t="s">
        <v>31</v>
      </c>
      <c r="Q288">
        <v>0</v>
      </c>
      <c r="R288" t="s">
        <v>12883</v>
      </c>
      <c r="S288" t="s">
        <v>12886</v>
      </c>
    </row>
    <row r="289" spans="1:19" x14ac:dyDescent="0.25">
      <c r="A289" t="s">
        <v>4881</v>
      </c>
      <c r="B289" s="1">
        <v>45841</v>
      </c>
      <c r="C289" t="s">
        <v>12885</v>
      </c>
      <c r="D289" s="5">
        <v>0.42537037037037034</v>
      </c>
      <c r="E289">
        <v>398.33</v>
      </c>
      <c r="F289" t="s">
        <v>44</v>
      </c>
      <c r="G289" t="s">
        <v>4882</v>
      </c>
      <c r="H289" t="s">
        <v>57</v>
      </c>
      <c r="I289" t="s">
        <v>26</v>
      </c>
      <c r="J289" t="s">
        <v>4883</v>
      </c>
      <c r="K289">
        <v>57</v>
      </c>
      <c r="L289" t="s">
        <v>49</v>
      </c>
      <c r="M289" t="s">
        <v>35</v>
      </c>
      <c r="N289" t="s">
        <v>39</v>
      </c>
      <c r="O289" t="s">
        <v>28</v>
      </c>
      <c r="P289" t="s">
        <v>31</v>
      </c>
      <c r="Q289">
        <v>0</v>
      </c>
      <c r="R289" t="s">
        <v>12883</v>
      </c>
      <c r="S289" t="s">
        <v>12886</v>
      </c>
    </row>
    <row r="290" spans="1:19" x14ac:dyDescent="0.25">
      <c r="A290" t="s">
        <v>6808</v>
      </c>
      <c r="B290" s="1">
        <v>45878</v>
      </c>
      <c r="C290" t="s">
        <v>12893</v>
      </c>
      <c r="D290" s="5">
        <v>0.5475578703703704</v>
      </c>
      <c r="E290">
        <v>397.74</v>
      </c>
      <c r="F290" t="s">
        <v>44</v>
      </c>
      <c r="G290" t="s">
        <v>1823</v>
      </c>
      <c r="H290" t="s">
        <v>34</v>
      </c>
      <c r="I290" t="s">
        <v>58</v>
      </c>
      <c r="J290" t="s">
        <v>6809</v>
      </c>
      <c r="K290">
        <v>25</v>
      </c>
      <c r="L290" t="s">
        <v>37</v>
      </c>
      <c r="M290" t="s">
        <v>248</v>
      </c>
      <c r="N290" t="s">
        <v>27</v>
      </c>
      <c r="O290" t="s">
        <v>28</v>
      </c>
      <c r="P290" t="s">
        <v>31</v>
      </c>
      <c r="Q290">
        <v>0</v>
      </c>
      <c r="R290" t="s">
        <v>12883</v>
      </c>
      <c r="S290" t="s">
        <v>12889</v>
      </c>
    </row>
    <row r="291" spans="1:19" x14ac:dyDescent="0.25">
      <c r="A291" t="s">
        <v>9276</v>
      </c>
      <c r="B291" s="1">
        <v>45825</v>
      </c>
      <c r="C291" t="s">
        <v>12888</v>
      </c>
      <c r="D291" s="5">
        <v>0.96821759259259255</v>
      </c>
      <c r="E291">
        <v>397.19</v>
      </c>
      <c r="F291" t="s">
        <v>44</v>
      </c>
      <c r="G291" t="s">
        <v>212</v>
      </c>
      <c r="H291" t="s">
        <v>71</v>
      </c>
      <c r="I291" t="s">
        <v>119</v>
      </c>
      <c r="J291" t="s">
        <v>2383</v>
      </c>
      <c r="K291">
        <v>26</v>
      </c>
      <c r="L291" t="s">
        <v>37</v>
      </c>
      <c r="M291" t="s">
        <v>110</v>
      </c>
      <c r="N291" t="s">
        <v>105</v>
      </c>
      <c r="O291" t="s">
        <v>28</v>
      </c>
      <c r="P291" t="s">
        <v>31</v>
      </c>
      <c r="Q291">
        <v>0</v>
      </c>
      <c r="R291" t="s">
        <v>12883</v>
      </c>
      <c r="S291" t="s">
        <v>12889</v>
      </c>
    </row>
    <row r="292" spans="1:19" x14ac:dyDescent="0.25">
      <c r="A292" t="s">
        <v>5740</v>
      </c>
      <c r="B292" s="1">
        <v>45895</v>
      </c>
      <c r="C292" t="s">
        <v>12893</v>
      </c>
      <c r="D292" s="5">
        <v>0.46353009259259259</v>
      </c>
      <c r="E292">
        <v>394.91</v>
      </c>
      <c r="F292" t="s">
        <v>44</v>
      </c>
      <c r="G292" t="s">
        <v>3026</v>
      </c>
      <c r="H292" t="s">
        <v>71</v>
      </c>
      <c r="I292" t="s">
        <v>23</v>
      </c>
      <c r="J292" t="s">
        <v>5741</v>
      </c>
      <c r="K292">
        <v>31</v>
      </c>
      <c r="L292" t="s">
        <v>25</v>
      </c>
      <c r="M292" t="s">
        <v>50</v>
      </c>
      <c r="N292" t="s">
        <v>84</v>
      </c>
      <c r="O292" t="s">
        <v>28</v>
      </c>
      <c r="P292" t="s">
        <v>31</v>
      </c>
      <c r="Q292">
        <v>0</v>
      </c>
      <c r="R292" t="s">
        <v>12883</v>
      </c>
      <c r="S292" t="s">
        <v>12889</v>
      </c>
    </row>
    <row r="293" spans="1:19" x14ac:dyDescent="0.25">
      <c r="A293" t="s">
        <v>2294</v>
      </c>
      <c r="B293" s="1">
        <v>45928</v>
      </c>
      <c r="C293" t="s">
        <v>12882</v>
      </c>
      <c r="D293" s="5">
        <v>0.20376157407407408</v>
      </c>
      <c r="E293">
        <v>392.61</v>
      </c>
      <c r="F293" t="s">
        <v>44</v>
      </c>
      <c r="G293" t="s">
        <v>2099</v>
      </c>
      <c r="H293" t="s">
        <v>77</v>
      </c>
      <c r="I293" t="s">
        <v>35</v>
      </c>
      <c r="J293" t="s">
        <v>2295</v>
      </c>
      <c r="K293">
        <v>52</v>
      </c>
      <c r="L293" t="s">
        <v>37</v>
      </c>
      <c r="M293" t="s">
        <v>146</v>
      </c>
      <c r="N293" t="s">
        <v>51</v>
      </c>
      <c r="O293" t="s">
        <v>28</v>
      </c>
      <c r="P293" t="s">
        <v>31</v>
      </c>
      <c r="Q293">
        <v>0</v>
      </c>
      <c r="R293" t="s">
        <v>12883</v>
      </c>
      <c r="S293" t="s">
        <v>12886</v>
      </c>
    </row>
    <row r="294" spans="1:19" x14ac:dyDescent="0.25">
      <c r="A294" t="s">
        <v>10115</v>
      </c>
      <c r="B294" s="1">
        <v>45806</v>
      </c>
      <c r="C294" t="s">
        <v>12887</v>
      </c>
      <c r="D294" s="5">
        <v>0.87958333333333338</v>
      </c>
      <c r="E294">
        <v>388.08</v>
      </c>
      <c r="F294" t="s">
        <v>44</v>
      </c>
      <c r="G294" t="s">
        <v>10116</v>
      </c>
      <c r="H294" t="s">
        <v>124</v>
      </c>
      <c r="I294" t="s">
        <v>66</v>
      </c>
      <c r="J294" t="s">
        <v>5331</v>
      </c>
      <c r="K294">
        <v>37</v>
      </c>
      <c r="L294" t="s">
        <v>25</v>
      </c>
      <c r="M294" t="s">
        <v>66</v>
      </c>
      <c r="N294" t="s">
        <v>112</v>
      </c>
      <c r="O294" t="s">
        <v>113</v>
      </c>
      <c r="P294" t="s">
        <v>31</v>
      </c>
      <c r="Q294">
        <v>0</v>
      </c>
      <c r="R294" t="s">
        <v>12883</v>
      </c>
      <c r="S294" t="s">
        <v>12889</v>
      </c>
    </row>
    <row r="295" spans="1:19" x14ac:dyDescent="0.25">
      <c r="A295" t="s">
        <v>10891</v>
      </c>
      <c r="B295" s="1">
        <v>45871</v>
      </c>
      <c r="C295" t="s">
        <v>12893</v>
      </c>
      <c r="D295" s="5">
        <v>0.41563657407407406</v>
      </c>
      <c r="E295">
        <v>386.07</v>
      </c>
      <c r="F295" t="s">
        <v>44</v>
      </c>
      <c r="G295" t="s">
        <v>4811</v>
      </c>
      <c r="H295" t="s">
        <v>57</v>
      </c>
      <c r="I295" t="s">
        <v>119</v>
      </c>
      <c r="J295" t="s">
        <v>10892</v>
      </c>
      <c r="K295">
        <v>70</v>
      </c>
      <c r="L295" t="s">
        <v>49</v>
      </c>
      <c r="M295" t="s">
        <v>248</v>
      </c>
      <c r="N295" t="s">
        <v>112</v>
      </c>
      <c r="O295" t="s">
        <v>28</v>
      </c>
      <c r="P295" t="s">
        <v>31</v>
      </c>
      <c r="Q295">
        <v>0</v>
      </c>
      <c r="R295" t="s">
        <v>12883</v>
      </c>
      <c r="S295" t="s">
        <v>12884</v>
      </c>
    </row>
    <row r="296" spans="1:19" x14ac:dyDescent="0.25">
      <c r="A296" t="s">
        <v>3136</v>
      </c>
      <c r="B296" s="1">
        <v>45944</v>
      </c>
      <c r="C296" t="s">
        <v>12890</v>
      </c>
      <c r="D296" s="5">
        <v>0.75664351851851852</v>
      </c>
      <c r="E296">
        <v>385.84</v>
      </c>
      <c r="F296" t="s">
        <v>44</v>
      </c>
      <c r="G296" t="s">
        <v>258</v>
      </c>
      <c r="H296" t="s">
        <v>64</v>
      </c>
      <c r="I296" t="s">
        <v>91</v>
      </c>
      <c r="J296" t="s">
        <v>1225</v>
      </c>
      <c r="K296">
        <v>42</v>
      </c>
      <c r="L296" t="s">
        <v>37</v>
      </c>
      <c r="M296" t="s">
        <v>66</v>
      </c>
      <c r="N296" t="s">
        <v>51</v>
      </c>
      <c r="O296" t="s">
        <v>28</v>
      </c>
      <c r="P296" t="s">
        <v>31</v>
      </c>
      <c r="Q296">
        <v>0</v>
      </c>
      <c r="R296" t="s">
        <v>12883</v>
      </c>
      <c r="S296" t="s">
        <v>12886</v>
      </c>
    </row>
    <row r="297" spans="1:19" x14ac:dyDescent="0.25">
      <c r="A297" t="s">
        <v>7745</v>
      </c>
      <c r="B297" s="1">
        <v>45898</v>
      </c>
      <c r="C297" t="s">
        <v>12893</v>
      </c>
      <c r="D297" s="5">
        <v>3.5682870370370372E-2</v>
      </c>
      <c r="E297">
        <v>381.32</v>
      </c>
      <c r="F297" t="s">
        <v>44</v>
      </c>
      <c r="G297" t="s">
        <v>1509</v>
      </c>
      <c r="H297" t="s">
        <v>77</v>
      </c>
      <c r="I297" t="s">
        <v>66</v>
      </c>
      <c r="J297" t="s">
        <v>7746</v>
      </c>
      <c r="K297">
        <v>23</v>
      </c>
      <c r="L297" t="s">
        <v>37</v>
      </c>
      <c r="M297" t="s">
        <v>248</v>
      </c>
      <c r="N297" t="s">
        <v>105</v>
      </c>
      <c r="O297" t="s">
        <v>28</v>
      </c>
      <c r="P297" t="s">
        <v>31</v>
      </c>
      <c r="Q297">
        <v>1</v>
      </c>
      <c r="R297" t="s">
        <v>12891</v>
      </c>
      <c r="S297" t="s">
        <v>12892</v>
      </c>
    </row>
    <row r="298" spans="1:19" x14ac:dyDescent="0.25">
      <c r="A298" t="s">
        <v>12840</v>
      </c>
      <c r="B298" s="1">
        <v>45869</v>
      </c>
      <c r="C298" t="s">
        <v>12885</v>
      </c>
      <c r="D298" s="5">
        <v>0.4019212962962963</v>
      </c>
      <c r="E298">
        <v>379.16</v>
      </c>
      <c r="F298" t="s">
        <v>44</v>
      </c>
      <c r="G298" t="s">
        <v>1514</v>
      </c>
      <c r="H298" t="s">
        <v>77</v>
      </c>
      <c r="I298" t="s">
        <v>66</v>
      </c>
      <c r="J298" t="s">
        <v>12841</v>
      </c>
      <c r="K298">
        <v>34</v>
      </c>
      <c r="L298" t="s">
        <v>49</v>
      </c>
      <c r="M298" t="s">
        <v>58</v>
      </c>
      <c r="N298" t="s">
        <v>84</v>
      </c>
      <c r="O298" t="s">
        <v>28</v>
      </c>
      <c r="P298" t="s">
        <v>31</v>
      </c>
      <c r="Q298">
        <v>1</v>
      </c>
      <c r="R298" t="s">
        <v>12891</v>
      </c>
      <c r="S298" t="s">
        <v>12889</v>
      </c>
    </row>
    <row r="299" spans="1:19" x14ac:dyDescent="0.25">
      <c r="A299" t="s">
        <v>11586</v>
      </c>
      <c r="B299" s="1">
        <v>45781</v>
      </c>
      <c r="C299" t="s">
        <v>12887</v>
      </c>
      <c r="D299" s="5">
        <v>0.92568287037037034</v>
      </c>
      <c r="E299">
        <v>374.32</v>
      </c>
      <c r="F299" t="s">
        <v>44</v>
      </c>
      <c r="G299" t="s">
        <v>4833</v>
      </c>
      <c r="H299" t="s">
        <v>96</v>
      </c>
      <c r="I299" t="s">
        <v>119</v>
      </c>
      <c r="J299" t="s">
        <v>11587</v>
      </c>
      <c r="K299">
        <v>48</v>
      </c>
      <c r="L299" t="s">
        <v>25</v>
      </c>
      <c r="M299" t="s">
        <v>248</v>
      </c>
      <c r="N299" t="s">
        <v>39</v>
      </c>
      <c r="O299" t="s">
        <v>28</v>
      </c>
      <c r="P299" t="s">
        <v>31</v>
      </c>
      <c r="Q299">
        <v>0</v>
      </c>
      <c r="R299" t="s">
        <v>12883</v>
      </c>
      <c r="S299" t="s">
        <v>12886</v>
      </c>
    </row>
    <row r="300" spans="1:19" x14ac:dyDescent="0.25">
      <c r="A300" t="s">
        <v>5035</v>
      </c>
      <c r="B300" s="1">
        <v>45913</v>
      </c>
      <c r="C300" t="s">
        <v>12882</v>
      </c>
      <c r="D300" s="5">
        <v>0.90378472222222217</v>
      </c>
      <c r="E300">
        <v>374.07</v>
      </c>
      <c r="F300" t="s">
        <v>44</v>
      </c>
      <c r="G300" t="s">
        <v>5036</v>
      </c>
      <c r="H300" t="s">
        <v>22</v>
      </c>
      <c r="I300" t="s">
        <v>47</v>
      </c>
      <c r="J300" t="s">
        <v>5037</v>
      </c>
      <c r="K300">
        <v>58</v>
      </c>
      <c r="L300" t="s">
        <v>25</v>
      </c>
      <c r="M300" t="s">
        <v>91</v>
      </c>
      <c r="N300" t="s">
        <v>39</v>
      </c>
      <c r="O300" t="s">
        <v>28</v>
      </c>
      <c r="P300" t="s">
        <v>31</v>
      </c>
      <c r="Q300">
        <v>0</v>
      </c>
      <c r="R300" t="s">
        <v>12883</v>
      </c>
      <c r="S300" t="s">
        <v>12886</v>
      </c>
    </row>
    <row r="301" spans="1:19" x14ac:dyDescent="0.25">
      <c r="A301" t="s">
        <v>12118</v>
      </c>
      <c r="B301" s="1">
        <v>45901</v>
      </c>
      <c r="C301" t="s">
        <v>12882</v>
      </c>
      <c r="D301" s="5">
        <v>0.14651620370370369</v>
      </c>
      <c r="E301">
        <v>372.26</v>
      </c>
      <c r="F301" t="s">
        <v>44</v>
      </c>
      <c r="G301" t="s">
        <v>5782</v>
      </c>
      <c r="H301" t="s">
        <v>89</v>
      </c>
      <c r="I301" t="s">
        <v>38</v>
      </c>
      <c r="J301" t="s">
        <v>12119</v>
      </c>
      <c r="K301">
        <v>18</v>
      </c>
      <c r="L301" t="s">
        <v>25</v>
      </c>
      <c r="M301" t="s">
        <v>35</v>
      </c>
      <c r="N301" t="s">
        <v>112</v>
      </c>
      <c r="O301" t="s">
        <v>28</v>
      </c>
      <c r="P301" t="s">
        <v>31</v>
      </c>
      <c r="Q301">
        <v>0</v>
      </c>
      <c r="R301" t="s">
        <v>12883</v>
      </c>
      <c r="S301" t="s">
        <v>12892</v>
      </c>
    </row>
    <row r="302" spans="1:19" x14ac:dyDescent="0.25">
      <c r="A302" t="s">
        <v>5471</v>
      </c>
      <c r="B302" s="1">
        <v>45791</v>
      </c>
      <c r="C302" t="s">
        <v>12887</v>
      </c>
      <c r="D302" s="5">
        <v>0.43689814814814815</v>
      </c>
      <c r="E302">
        <v>367.21</v>
      </c>
      <c r="F302" t="s">
        <v>44</v>
      </c>
      <c r="G302" t="s">
        <v>5472</v>
      </c>
      <c r="H302" t="s">
        <v>22</v>
      </c>
      <c r="I302" t="s">
        <v>110</v>
      </c>
      <c r="J302" t="s">
        <v>5473</v>
      </c>
      <c r="K302">
        <v>60</v>
      </c>
      <c r="L302" t="s">
        <v>25</v>
      </c>
      <c r="M302" t="s">
        <v>50</v>
      </c>
      <c r="N302" t="s">
        <v>105</v>
      </c>
      <c r="O302" t="s">
        <v>28</v>
      </c>
      <c r="P302" t="s">
        <v>31</v>
      </c>
      <c r="Q302">
        <v>0</v>
      </c>
      <c r="R302" t="s">
        <v>12883</v>
      </c>
      <c r="S302" t="s">
        <v>12884</v>
      </c>
    </row>
    <row r="303" spans="1:19" x14ac:dyDescent="0.25">
      <c r="A303" t="s">
        <v>10942</v>
      </c>
      <c r="B303" s="1">
        <v>45926</v>
      </c>
      <c r="C303" t="s">
        <v>12882</v>
      </c>
      <c r="D303" s="5">
        <v>0.52695601851851848</v>
      </c>
      <c r="E303">
        <v>367.09</v>
      </c>
      <c r="F303" t="s">
        <v>44</v>
      </c>
      <c r="G303" t="s">
        <v>263</v>
      </c>
      <c r="H303" t="s">
        <v>96</v>
      </c>
      <c r="I303" t="s">
        <v>119</v>
      </c>
      <c r="J303" t="s">
        <v>10943</v>
      </c>
      <c r="K303">
        <v>29</v>
      </c>
      <c r="L303" t="s">
        <v>25</v>
      </c>
      <c r="M303" t="s">
        <v>110</v>
      </c>
      <c r="N303" t="s">
        <v>39</v>
      </c>
      <c r="O303" t="s">
        <v>28</v>
      </c>
      <c r="P303" t="s">
        <v>31</v>
      </c>
      <c r="Q303">
        <v>0</v>
      </c>
      <c r="R303" t="s">
        <v>12883</v>
      </c>
      <c r="S303" t="s">
        <v>12889</v>
      </c>
    </row>
    <row r="304" spans="1:19" x14ac:dyDescent="0.25">
      <c r="A304" t="s">
        <v>5524</v>
      </c>
      <c r="B304" s="1">
        <v>45813</v>
      </c>
      <c r="C304" t="s">
        <v>12888</v>
      </c>
      <c r="D304" s="5">
        <v>0.48016203703703703</v>
      </c>
      <c r="E304">
        <v>354.53</v>
      </c>
      <c r="F304" t="s">
        <v>44</v>
      </c>
      <c r="G304" t="s">
        <v>688</v>
      </c>
      <c r="H304" t="s">
        <v>96</v>
      </c>
      <c r="I304" t="s">
        <v>23</v>
      </c>
      <c r="J304" t="s">
        <v>5525</v>
      </c>
      <c r="K304">
        <v>25</v>
      </c>
      <c r="L304" t="s">
        <v>37</v>
      </c>
      <c r="M304" t="s">
        <v>110</v>
      </c>
      <c r="N304" t="s">
        <v>51</v>
      </c>
      <c r="O304" t="s">
        <v>28</v>
      </c>
      <c r="P304" t="s">
        <v>31</v>
      </c>
      <c r="Q304">
        <v>0</v>
      </c>
      <c r="R304" t="s">
        <v>12883</v>
      </c>
      <c r="S304" t="s">
        <v>12889</v>
      </c>
    </row>
    <row r="305" spans="1:19" x14ac:dyDescent="0.25">
      <c r="A305" t="s">
        <v>9534</v>
      </c>
      <c r="B305" s="1">
        <v>45808</v>
      </c>
      <c r="C305" t="s">
        <v>12887</v>
      </c>
      <c r="D305" s="5">
        <v>0.88931712962962961</v>
      </c>
      <c r="E305">
        <v>354.11</v>
      </c>
      <c r="F305" t="s">
        <v>44</v>
      </c>
      <c r="G305" t="s">
        <v>4950</v>
      </c>
      <c r="H305" t="s">
        <v>46</v>
      </c>
      <c r="I305" t="s">
        <v>58</v>
      </c>
      <c r="J305" t="s">
        <v>9535</v>
      </c>
      <c r="K305">
        <v>34</v>
      </c>
      <c r="L305" t="s">
        <v>37</v>
      </c>
      <c r="M305" t="s">
        <v>110</v>
      </c>
      <c r="N305" t="s">
        <v>27</v>
      </c>
      <c r="O305" t="s">
        <v>28</v>
      </c>
      <c r="P305" t="s">
        <v>31</v>
      </c>
      <c r="Q305">
        <v>0</v>
      </c>
      <c r="R305" t="s">
        <v>12883</v>
      </c>
      <c r="S305" t="s">
        <v>12889</v>
      </c>
    </row>
    <row r="306" spans="1:19" x14ac:dyDescent="0.25">
      <c r="A306" t="s">
        <v>6536</v>
      </c>
      <c r="B306" s="1">
        <v>45907</v>
      </c>
      <c r="C306" t="s">
        <v>12882</v>
      </c>
      <c r="D306" s="5">
        <v>0.92254629629629625</v>
      </c>
      <c r="E306">
        <v>352.55</v>
      </c>
      <c r="F306" t="s">
        <v>44</v>
      </c>
      <c r="G306" t="s">
        <v>6537</v>
      </c>
      <c r="H306" t="s">
        <v>77</v>
      </c>
      <c r="I306" t="s">
        <v>38</v>
      </c>
      <c r="J306" t="s">
        <v>6538</v>
      </c>
      <c r="K306">
        <v>59</v>
      </c>
      <c r="L306" t="s">
        <v>37</v>
      </c>
      <c r="M306" t="s">
        <v>35</v>
      </c>
      <c r="N306" t="s">
        <v>39</v>
      </c>
      <c r="O306" t="s">
        <v>28</v>
      </c>
      <c r="P306" t="s">
        <v>31</v>
      </c>
      <c r="Q306">
        <v>0</v>
      </c>
      <c r="R306" t="s">
        <v>12883</v>
      </c>
      <c r="S306" t="s">
        <v>12886</v>
      </c>
    </row>
    <row r="307" spans="1:19" x14ac:dyDescent="0.25">
      <c r="A307" t="s">
        <v>6824</v>
      </c>
      <c r="B307" s="1">
        <v>45810</v>
      </c>
      <c r="C307" t="s">
        <v>12888</v>
      </c>
      <c r="D307" s="5">
        <v>0.7143518518518519</v>
      </c>
      <c r="E307">
        <v>352.01</v>
      </c>
      <c r="F307" t="s">
        <v>44</v>
      </c>
      <c r="G307" t="s">
        <v>4329</v>
      </c>
      <c r="H307" t="s">
        <v>57</v>
      </c>
      <c r="I307" t="s">
        <v>110</v>
      </c>
      <c r="J307" t="s">
        <v>6825</v>
      </c>
      <c r="K307">
        <v>55</v>
      </c>
      <c r="L307" t="s">
        <v>49</v>
      </c>
      <c r="M307" t="s">
        <v>23</v>
      </c>
      <c r="N307" t="s">
        <v>51</v>
      </c>
      <c r="O307" t="s">
        <v>28</v>
      </c>
      <c r="P307" t="s">
        <v>31</v>
      </c>
      <c r="Q307">
        <v>0</v>
      </c>
      <c r="R307" t="s">
        <v>12883</v>
      </c>
      <c r="S307" t="s">
        <v>12886</v>
      </c>
    </row>
    <row r="308" spans="1:19" x14ac:dyDescent="0.25">
      <c r="A308" t="s">
        <v>7191</v>
      </c>
      <c r="B308" s="1">
        <v>45925</v>
      </c>
      <c r="C308" t="s">
        <v>12882</v>
      </c>
      <c r="D308" s="5">
        <v>0.58505787037037038</v>
      </c>
      <c r="E308">
        <v>345.72</v>
      </c>
      <c r="F308" t="s">
        <v>44</v>
      </c>
      <c r="G308" t="s">
        <v>7192</v>
      </c>
      <c r="H308" t="s">
        <v>22</v>
      </c>
      <c r="I308" t="s">
        <v>66</v>
      </c>
      <c r="J308" t="s">
        <v>7193</v>
      </c>
      <c r="K308">
        <v>57</v>
      </c>
      <c r="L308" t="s">
        <v>37</v>
      </c>
      <c r="M308" t="s">
        <v>50</v>
      </c>
      <c r="N308" t="s">
        <v>105</v>
      </c>
      <c r="O308" t="s">
        <v>28</v>
      </c>
      <c r="P308" t="s">
        <v>31</v>
      </c>
      <c r="Q308">
        <v>0</v>
      </c>
      <c r="R308" t="s">
        <v>12883</v>
      </c>
      <c r="S308" t="s">
        <v>12886</v>
      </c>
    </row>
    <row r="309" spans="1:19" x14ac:dyDescent="0.25">
      <c r="A309" t="s">
        <v>3224</v>
      </c>
      <c r="B309" s="1">
        <v>45874</v>
      </c>
      <c r="C309" t="s">
        <v>12893</v>
      </c>
      <c r="D309" s="5">
        <v>0.65105324074074078</v>
      </c>
      <c r="E309">
        <v>344.52</v>
      </c>
      <c r="F309" t="s">
        <v>44</v>
      </c>
      <c r="G309" t="s">
        <v>3225</v>
      </c>
      <c r="H309" t="s">
        <v>71</v>
      </c>
      <c r="I309" t="s">
        <v>146</v>
      </c>
      <c r="J309" t="s">
        <v>3226</v>
      </c>
      <c r="K309">
        <v>55</v>
      </c>
      <c r="L309" t="s">
        <v>25</v>
      </c>
      <c r="M309" t="s">
        <v>130</v>
      </c>
      <c r="N309" t="s">
        <v>51</v>
      </c>
      <c r="O309" t="s">
        <v>28</v>
      </c>
      <c r="P309" t="s">
        <v>31</v>
      </c>
      <c r="Q309">
        <v>0</v>
      </c>
      <c r="R309" t="s">
        <v>12883</v>
      </c>
      <c r="S309" t="s">
        <v>12886</v>
      </c>
    </row>
    <row r="310" spans="1:19" x14ac:dyDescent="0.25">
      <c r="A310" t="s">
        <v>5989</v>
      </c>
      <c r="B310" s="1">
        <v>45811</v>
      </c>
      <c r="C310" t="s">
        <v>12888</v>
      </c>
      <c r="D310" s="5">
        <v>0.43475694444444446</v>
      </c>
      <c r="E310">
        <v>340.08</v>
      </c>
      <c r="F310" t="s">
        <v>44</v>
      </c>
      <c r="G310" t="s">
        <v>5990</v>
      </c>
      <c r="H310" t="s">
        <v>57</v>
      </c>
      <c r="I310" t="s">
        <v>146</v>
      </c>
      <c r="J310" t="s">
        <v>5991</v>
      </c>
      <c r="K310">
        <v>65</v>
      </c>
      <c r="L310" t="s">
        <v>49</v>
      </c>
      <c r="M310" t="s">
        <v>50</v>
      </c>
      <c r="N310" t="s">
        <v>84</v>
      </c>
      <c r="O310" t="s">
        <v>28</v>
      </c>
      <c r="P310" t="s">
        <v>31</v>
      </c>
      <c r="Q310">
        <v>0</v>
      </c>
      <c r="R310" t="s">
        <v>12883</v>
      </c>
      <c r="S310" t="s">
        <v>12884</v>
      </c>
    </row>
    <row r="311" spans="1:19" x14ac:dyDescent="0.25">
      <c r="A311" t="s">
        <v>12652</v>
      </c>
      <c r="B311" s="1">
        <v>45908</v>
      </c>
      <c r="C311" t="s">
        <v>12882</v>
      </c>
      <c r="D311" s="5">
        <v>0.64026620370370368</v>
      </c>
      <c r="E311">
        <v>335.64</v>
      </c>
      <c r="F311" t="s">
        <v>44</v>
      </c>
      <c r="G311" t="s">
        <v>6000</v>
      </c>
      <c r="H311" t="s">
        <v>22</v>
      </c>
      <c r="I311" t="s">
        <v>91</v>
      </c>
      <c r="J311" t="s">
        <v>12653</v>
      </c>
      <c r="K311">
        <v>31</v>
      </c>
      <c r="L311" t="s">
        <v>25</v>
      </c>
      <c r="M311" t="s">
        <v>119</v>
      </c>
      <c r="N311" t="s">
        <v>39</v>
      </c>
      <c r="O311" t="s">
        <v>28</v>
      </c>
      <c r="P311" t="s">
        <v>31</v>
      </c>
      <c r="Q311">
        <v>0</v>
      </c>
      <c r="R311" t="s">
        <v>12883</v>
      </c>
      <c r="S311" t="s">
        <v>12889</v>
      </c>
    </row>
    <row r="312" spans="1:19" x14ac:dyDescent="0.25">
      <c r="A312" t="s">
        <v>1001</v>
      </c>
      <c r="B312" s="1">
        <v>45826</v>
      </c>
      <c r="C312" t="s">
        <v>12888</v>
      </c>
      <c r="D312" s="5">
        <v>0.49918981481481484</v>
      </c>
      <c r="E312">
        <v>329.5</v>
      </c>
      <c r="F312" t="s">
        <v>44</v>
      </c>
      <c r="G312" t="s">
        <v>1002</v>
      </c>
      <c r="H312" t="s">
        <v>124</v>
      </c>
      <c r="I312" t="s">
        <v>146</v>
      </c>
      <c r="J312" t="s">
        <v>1003</v>
      </c>
      <c r="K312">
        <v>19</v>
      </c>
      <c r="L312" t="s">
        <v>37</v>
      </c>
      <c r="M312" t="s">
        <v>130</v>
      </c>
      <c r="N312" t="s">
        <v>112</v>
      </c>
      <c r="O312" t="s">
        <v>28</v>
      </c>
      <c r="P312" t="s">
        <v>31</v>
      </c>
      <c r="Q312">
        <v>0</v>
      </c>
      <c r="R312" t="s">
        <v>12883</v>
      </c>
      <c r="S312" t="s">
        <v>12892</v>
      </c>
    </row>
    <row r="313" spans="1:19" x14ac:dyDescent="0.25">
      <c r="A313" t="s">
        <v>12376</v>
      </c>
      <c r="B313" s="1">
        <v>45874</v>
      </c>
      <c r="C313" t="s">
        <v>12893</v>
      </c>
      <c r="D313" s="5">
        <v>0.9538078703703704</v>
      </c>
      <c r="E313">
        <v>328.99</v>
      </c>
      <c r="F313" t="s">
        <v>44</v>
      </c>
      <c r="G313" t="s">
        <v>4833</v>
      </c>
      <c r="H313" t="s">
        <v>34</v>
      </c>
      <c r="I313" t="s">
        <v>146</v>
      </c>
      <c r="J313" t="s">
        <v>12377</v>
      </c>
      <c r="K313">
        <v>56</v>
      </c>
      <c r="L313" t="s">
        <v>25</v>
      </c>
      <c r="M313" t="s">
        <v>47</v>
      </c>
      <c r="N313" t="s">
        <v>51</v>
      </c>
      <c r="O313" t="s">
        <v>28</v>
      </c>
      <c r="P313" t="s">
        <v>31</v>
      </c>
      <c r="Q313">
        <v>0</v>
      </c>
      <c r="R313" t="s">
        <v>12883</v>
      </c>
      <c r="S313" t="s">
        <v>12886</v>
      </c>
    </row>
    <row r="314" spans="1:19" x14ac:dyDescent="0.25">
      <c r="A314" t="s">
        <v>4015</v>
      </c>
      <c r="B314" s="1">
        <v>45833</v>
      </c>
      <c r="C314" t="s">
        <v>12888</v>
      </c>
      <c r="D314" s="5">
        <v>0.82815972222222223</v>
      </c>
      <c r="E314">
        <v>328.71</v>
      </c>
      <c r="F314" t="s">
        <v>44</v>
      </c>
      <c r="G314" t="s">
        <v>4016</v>
      </c>
      <c r="H314" t="s">
        <v>64</v>
      </c>
      <c r="I314" t="s">
        <v>66</v>
      </c>
      <c r="J314" t="s">
        <v>4017</v>
      </c>
      <c r="K314">
        <v>62</v>
      </c>
      <c r="L314" t="s">
        <v>37</v>
      </c>
      <c r="M314" t="s">
        <v>97</v>
      </c>
      <c r="N314" t="s">
        <v>27</v>
      </c>
      <c r="O314" t="s">
        <v>28</v>
      </c>
      <c r="P314" t="s">
        <v>31</v>
      </c>
      <c r="Q314">
        <v>0</v>
      </c>
      <c r="R314" t="s">
        <v>12883</v>
      </c>
      <c r="S314" t="s">
        <v>12884</v>
      </c>
    </row>
    <row r="315" spans="1:19" x14ac:dyDescent="0.25">
      <c r="A315" t="s">
        <v>2098</v>
      </c>
      <c r="B315" s="1">
        <v>45926</v>
      </c>
      <c r="C315" t="s">
        <v>12882</v>
      </c>
      <c r="D315" s="5">
        <v>0.70709490740740744</v>
      </c>
      <c r="E315">
        <v>321.95999999999998</v>
      </c>
      <c r="F315" t="s">
        <v>44</v>
      </c>
      <c r="G315" t="s">
        <v>2099</v>
      </c>
      <c r="H315" t="s">
        <v>34</v>
      </c>
      <c r="I315" t="s">
        <v>47</v>
      </c>
      <c r="J315" t="s">
        <v>2100</v>
      </c>
      <c r="K315">
        <v>52</v>
      </c>
      <c r="L315" t="s">
        <v>37</v>
      </c>
      <c r="M315" t="s">
        <v>38</v>
      </c>
      <c r="N315" t="s">
        <v>112</v>
      </c>
      <c r="O315" t="s">
        <v>28</v>
      </c>
      <c r="P315" t="s">
        <v>31</v>
      </c>
      <c r="Q315">
        <v>0</v>
      </c>
      <c r="R315" t="s">
        <v>12883</v>
      </c>
      <c r="S315" t="s">
        <v>12886</v>
      </c>
    </row>
    <row r="316" spans="1:19" x14ac:dyDescent="0.25">
      <c r="A316" t="s">
        <v>2258</v>
      </c>
      <c r="B316" s="1">
        <v>45805</v>
      </c>
      <c r="C316" t="s">
        <v>12887</v>
      </c>
      <c r="D316" s="5">
        <v>0.72842592592592592</v>
      </c>
      <c r="E316">
        <v>312.47000000000003</v>
      </c>
      <c r="F316" t="s">
        <v>44</v>
      </c>
      <c r="G316" t="s">
        <v>2259</v>
      </c>
      <c r="H316" t="s">
        <v>77</v>
      </c>
      <c r="I316" t="s">
        <v>26</v>
      </c>
      <c r="J316" t="s">
        <v>2260</v>
      </c>
      <c r="K316">
        <v>21</v>
      </c>
      <c r="L316" t="s">
        <v>49</v>
      </c>
      <c r="M316" t="s">
        <v>97</v>
      </c>
      <c r="N316" t="s">
        <v>39</v>
      </c>
      <c r="O316" t="s">
        <v>28</v>
      </c>
      <c r="P316" t="s">
        <v>31</v>
      </c>
      <c r="Q316">
        <v>0</v>
      </c>
      <c r="R316" t="s">
        <v>12883</v>
      </c>
      <c r="S316" t="s">
        <v>12892</v>
      </c>
    </row>
    <row r="317" spans="1:19" x14ac:dyDescent="0.25">
      <c r="A317" t="s">
        <v>5326</v>
      </c>
      <c r="B317" s="1">
        <v>45803</v>
      </c>
      <c r="C317" t="s">
        <v>12887</v>
      </c>
      <c r="D317" s="5">
        <v>3.9097222222222221E-2</v>
      </c>
      <c r="E317">
        <v>310.24</v>
      </c>
      <c r="F317" t="s">
        <v>44</v>
      </c>
      <c r="G317" t="s">
        <v>4284</v>
      </c>
      <c r="H317" t="s">
        <v>64</v>
      </c>
      <c r="I317" t="s">
        <v>119</v>
      </c>
      <c r="J317" t="s">
        <v>5327</v>
      </c>
      <c r="K317">
        <v>22</v>
      </c>
      <c r="L317" t="s">
        <v>49</v>
      </c>
      <c r="M317" t="s">
        <v>35</v>
      </c>
      <c r="N317" t="s">
        <v>105</v>
      </c>
      <c r="O317" t="s">
        <v>28</v>
      </c>
      <c r="P317" t="s">
        <v>31</v>
      </c>
      <c r="Q317">
        <v>0</v>
      </c>
      <c r="R317" t="s">
        <v>12883</v>
      </c>
      <c r="S317" t="s">
        <v>12892</v>
      </c>
    </row>
    <row r="318" spans="1:19" x14ac:dyDescent="0.25">
      <c r="A318" t="s">
        <v>1873</v>
      </c>
      <c r="B318" s="1">
        <v>45940</v>
      </c>
      <c r="C318" t="s">
        <v>12890</v>
      </c>
      <c r="D318" s="5">
        <v>0.10759259259259259</v>
      </c>
      <c r="E318">
        <v>310.14</v>
      </c>
      <c r="F318" t="s">
        <v>44</v>
      </c>
      <c r="G318" t="s">
        <v>1874</v>
      </c>
      <c r="H318" t="s">
        <v>22</v>
      </c>
      <c r="I318" t="s">
        <v>35</v>
      </c>
      <c r="J318" t="s">
        <v>1875</v>
      </c>
      <c r="K318">
        <v>51</v>
      </c>
      <c r="L318" t="s">
        <v>37</v>
      </c>
      <c r="M318" t="s">
        <v>50</v>
      </c>
      <c r="N318" t="s">
        <v>27</v>
      </c>
      <c r="O318" t="s">
        <v>28</v>
      </c>
      <c r="P318" t="s">
        <v>31</v>
      </c>
      <c r="Q318">
        <v>0</v>
      </c>
      <c r="R318" t="s">
        <v>12883</v>
      </c>
      <c r="S318" t="s">
        <v>12886</v>
      </c>
    </row>
    <row r="319" spans="1:19" x14ac:dyDescent="0.25">
      <c r="A319" t="s">
        <v>8749</v>
      </c>
      <c r="B319" s="1">
        <v>45958</v>
      </c>
      <c r="C319" t="s">
        <v>12890</v>
      </c>
      <c r="D319" s="5">
        <v>0.87502314814814819</v>
      </c>
      <c r="E319">
        <v>310</v>
      </c>
      <c r="F319" t="s">
        <v>44</v>
      </c>
      <c r="G319" t="s">
        <v>4067</v>
      </c>
      <c r="H319" t="s">
        <v>89</v>
      </c>
      <c r="I319" t="s">
        <v>130</v>
      </c>
      <c r="J319" t="s">
        <v>8750</v>
      </c>
      <c r="K319">
        <v>56</v>
      </c>
      <c r="L319" t="s">
        <v>37</v>
      </c>
      <c r="M319" t="s">
        <v>26</v>
      </c>
      <c r="N319" t="s">
        <v>84</v>
      </c>
      <c r="O319" t="s">
        <v>28</v>
      </c>
      <c r="P319" t="s">
        <v>31</v>
      </c>
      <c r="Q319">
        <v>0</v>
      </c>
      <c r="R319" t="s">
        <v>12883</v>
      </c>
      <c r="S319" t="s">
        <v>12886</v>
      </c>
    </row>
    <row r="320" spans="1:19" x14ac:dyDescent="0.25">
      <c r="A320" t="s">
        <v>6877</v>
      </c>
      <c r="B320" s="1">
        <v>45948</v>
      </c>
      <c r="C320" t="s">
        <v>12890</v>
      </c>
      <c r="D320" s="5">
        <v>0.2590277777777778</v>
      </c>
      <c r="E320">
        <v>303.27</v>
      </c>
      <c r="F320" t="s">
        <v>44</v>
      </c>
      <c r="G320" t="s">
        <v>2249</v>
      </c>
      <c r="H320" t="s">
        <v>96</v>
      </c>
      <c r="I320" t="s">
        <v>58</v>
      </c>
      <c r="J320" t="s">
        <v>6878</v>
      </c>
      <c r="K320">
        <v>23</v>
      </c>
      <c r="L320" t="s">
        <v>37</v>
      </c>
      <c r="M320" t="s">
        <v>23</v>
      </c>
      <c r="N320" t="s">
        <v>39</v>
      </c>
      <c r="O320" t="s">
        <v>28</v>
      </c>
      <c r="P320" t="s">
        <v>31</v>
      </c>
      <c r="Q320">
        <v>0</v>
      </c>
      <c r="R320" t="s">
        <v>12883</v>
      </c>
      <c r="S320" t="s">
        <v>12892</v>
      </c>
    </row>
    <row r="321" spans="1:19" x14ac:dyDescent="0.25">
      <c r="A321" t="s">
        <v>8906</v>
      </c>
      <c r="B321" s="1">
        <v>45866</v>
      </c>
      <c r="C321" t="s">
        <v>12885</v>
      </c>
      <c r="D321" s="5">
        <v>0.73381944444444447</v>
      </c>
      <c r="E321">
        <v>300.01</v>
      </c>
      <c r="F321" t="s">
        <v>44</v>
      </c>
      <c r="G321" t="s">
        <v>1224</v>
      </c>
      <c r="H321" t="s">
        <v>22</v>
      </c>
      <c r="I321" t="s">
        <v>26</v>
      </c>
      <c r="J321" t="s">
        <v>8907</v>
      </c>
      <c r="K321">
        <v>33</v>
      </c>
      <c r="L321" t="s">
        <v>25</v>
      </c>
      <c r="M321" t="s">
        <v>58</v>
      </c>
      <c r="N321" t="s">
        <v>27</v>
      </c>
      <c r="O321" t="s">
        <v>28</v>
      </c>
      <c r="P321" t="s">
        <v>31</v>
      </c>
      <c r="Q321">
        <v>1</v>
      </c>
      <c r="R321" t="s">
        <v>12891</v>
      </c>
      <c r="S321" t="s">
        <v>12889</v>
      </c>
    </row>
    <row r="322" spans="1:19" x14ac:dyDescent="0.25">
      <c r="A322" t="s">
        <v>10807</v>
      </c>
      <c r="B322" s="1">
        <v>45929</v>
      </c>
      <c r="C322" t="s">
        <v>12882</v>
      </c>
      <c r="D322" s="5">
        <v>0.72105324074074073</v>
      </c>
      <c r="E322">
        <v>296.58</v>
      </c>
      <c r="F322" t="s">
        <v>44</v>
      </c>
      <c r="G322" t="s">
        <v>4473</v>
      </c>
      <c r="H322" t="s">
        <v>64</v>
      </c>
      <c r="I322" t="s">
        <v>66</v>
      </c>
      <c r="J322" t="s">
        <v>10808</v>
      </c>
      <c r="K322">
        <v>21</v>
      </c>
      <c r="L322" t="s">
        <v>49</v>
      </c>
      <c r="M322" t="s">
        <v>47</v>
      </c>
      <c r="N322" t="s">
        <v>84</v>
      </c>
      <c r="O322" t="s">
        <v>28</v>
      </c>
      <c r="P322" t="s">
        <v>31</v>
      </c>
      <c r="Q322">
        <v>0</v>
      </c>
      <c r="R322" t="s">
        <v>12883</v>
      </c>
      <c r="S322" t="s">
        <v>12892</v>
      </c>
    </row>
    <row r="323" spans="1:19" x14ac:dyDescent="0.25">
      <c r="A323" t="s">
        <v>11351</v>
      </c>
      <c r="B323" s="1">
        <v>45900</v>
      </c>
      <c r="C323" t="s">
        <v>12893</v>
      </c>
      <c r="D323" s="5">
        <v>7.7164351851851845E-2</v>
      </c>
      <c r="E323">
        <v>296.57</v>
      </c>
      <c r="F323" t="s">
        <v>44</v>
      </c>
      <c r="G323" t="s">
        <v>1799</v>
      </c>
      <c r="H323" t="s">
        <v>89</v>
      </c>
      <c r="I323" t="s">
        <v>248</v>
      </c>
      <c r="J323" t="s">
        <v>11352</v>
      </c>
      <c r="K323">
        <v>31</v>
      </c>
      <c r="L323" t="s">
        <v>37</v>
      </c>
      <c r="M323" t="s">
        <v>110</v>
      </c>
      <c r="N323" t="s">
        <v>112</v>
      </c>
      <c r="O323" t="s">
        <v>28</v>
      </c>
      <c r="P323" t="s">
        <v>31</v>
      </c>
      <c r="Q323">
        <v>1</v>
      </c>
      <c r="R323" t="s">
        <v>12891</v>
      </c>
      <c r="S323" t="s">
        <v>12889</v>
      </c>
    </row>
    <row r="324" spans="1:19" x14ac:dyDescent="0.25">
      <c r="A324" t="s">
        <v>4714</v>
      </c>
      <c r="B324" s="1">
        <v>45798</v>
      </c>
      <c r="C324" t="s">
        <v>12887</v>
      </c>
      <c r="D324" s="5">
        <v>0.88059027777777776</v>
      </c>
      <c r="E324">
        <v>292.14999999999998</v>
      </c>
      <c r="F324" t="s">
        <v>44</v>
      </c>
      <c r="G324" t="s">
        <v>2530</v>
      </c>
      <c r="H324" t="s">
        <v>89</v>
      </c>
      <c r="I324" t="s">
        <v>91</v>
      </c>
      <c r="J324" t="s">
        <v>4715</v>
      </c>
      <c r="K324">
        <v>29</v>
      </c>
      <c r="L324" t="s">
        <v>25</v>
      </c>
      <c r="M324" t="s">
        <v>91</v>
      </c>
      <c r="N324" t="s">
        <v>112</v>
      </c>
      <c r="O324" t="s">
        <v>113</v>
      </c>
      <c r="P324" t="s">
        <v>31</v>
      </c>
      <c r="Q324">
        <v>0</v>
      </c>
      <c r="R324" t="s">
        <v>12883</v>
      </c>
      <c r="S324" t="s">
        <v>12889</v>
      </c>
    </row>
    <row r="325" spans="1:19" x14ac:dyDescent="0.25">
      <c r="A325" t="s">
        <v>2922</v>
      </c>
      <c r="B325" s="1">
        <v>45826</v>
      </c>
      <c r="C325" t="s">
        <v>12888</v>
      </c>
      <c r="D325" s="5">
        <v>0.20142361111111112</v>
      </c>
      <c r="E325">
        <v>290.17</v>
      </c>
      <c r="F325" t="s">
        <v>44</v>
      </c>
      <c r="G325" t="s">
        <v>1998</v>
      </c>
      <c r="H325" t="s">
        <v>64</v>
      </c>
      <c r="I325" t="s">
        <v>130</v>
      </c>
      <c r="J325" t="s">
        <v>2923</v>
      </c>
      <c r="K325">
        <v>60</v>
      </c>
      <c r="L325" t="s">
        <v>37</v>
      </c>
      <c r="M325" t="s">
        <v>91</v>
      </c>
      <c r="N325" t="s">
        <v>105</v>
      </c>
      <c r="O325" t="s">
        <v>28</v>
      </c>
      <c r="P325" t="s">
        <v>31</v>
      </c>
      <c r="Q325">
        <v>0</v>
      </c>
      <c r="R325" t="s">
        <v>12883</v>
      </c>
      <c r="S325" t="s">
        <v>12884</v>
      </c>
    </row>
    <row r="326" spans="1:19" x14ac:dyDescent="0.25">
      <c r="A326" t="s">
        <v>2112</v>
      </c>
      <c r="B326" s="1">
        <v>45807</v>
      </c>
      <c r="C326" t="s">
        <v>12887</v>
      </c>
      <c r="D326" s="5">
        <v>3.664351851851852E-2</v>
      </c>
      <c r="E326">
        <v>287.37</v>
      </c>
      <c r="F326" t="s">
        <v>44</v>
      </c>
      <c r="G326" t="s">
        <v>232</v>
      </c>
      <c r="H326" t="s">
        <v>22</v>
      </c>
      <c r="I326" t="s">
        <v>35</v>
      </c>
      <c r="J326" t="s">
        <v>2113</v>
      </c>
      <c r="K326">
        <v>51</v>
      </c>
      <c r="L326" t="s">
        <v>49</v>
      </c>
      <c r="M326" t="s">
        <v>97</v>
      </c>
      <c r="N326" t="s">
        <v>39</v>
      </c>
      <c r="O326" t="s">
        <v>28</v>
      </c>
      <c r="P326" t="s">
        <v>31</v>
      </c>
      <c r="Q326">
        <v>0</v>
      </c>
      <c r="R326" t="s">
        <v>12883</v>
      </c>
      <c r="S326" t="s">
        <v>12886</v>
      </c>
    </row>
    <row r="327" spans="1:19" x14ac:dyDescent="0.25">
      <c r="A327" t="s">
        <v>11868</v>
      </c>
      <c r="B327" s="1">
        <v>45796</v>
      </c>
      <c r="C327" t="s">
        <v>12887</v>
      </c>
      <c r="D327" s="5">
        <v>0.90445601851851853</v>
      </c>
      <c r="E327">
        <v>286.11</v>
      </c>
      <c r="F327" t="s">
        <v>44</v>
      </c>
      <c r="G327" t="s">
        <v>5430</v>
      </c>
      <c r="H327" t="s">
        <v>89</v>
      </c>
      <c r="I327" t="s">
        <v>35</v>
      </c>
      <c r="J327" t="s">
        <v>11869</v>
      </c>
      <c r="K327">
        <v>19</v>
      </c>
      <c r="L327" t="s">
        <v>25</v>
      </c>
      <c r="M327" t="s">
        <v>119</v>
      </c>
      <c r="N327" t="s">
        <v>27</v>
      </c>
      <c r="O327" t="s">
        <v>28</v>
      </c>
      <c r="P327" t="s">
        <v>31</v>
      </c>
      <c r="Q327">
        <v>0</v>
      </c>
      <c r="R327" t="s">
        <v>12883</v>
      </c>
      <c r="S327" t="s">
        <v>12892</v>
      </c>
    </row>
    <row r="328" spans="1:19" x14ac:dyDescent="0.25">
      <c r="A328" t="s">
        <v>5985</v>
      </c>
      <c r="B328" s="1">
        <v>45816</v>
      </c>
      <c r="C328" t="s">
        <v>12888</v>
      </c>
      <c r="D328" s="5">
        <v>0.80565972222222226</v>
      </c>
      <c r="E328">
        <v>285.81</v>
      </c>
      <c r="F328" t="s">
        <v>44</v>
      </c>
      <c r="G328" t="s">
        <v>4678</v>
      </c>
      <c r="H328" t="s">
        <v>89</v>
      </c>
      <c r="I328" t="s">
        <v>66</v>
      </c>
      <c r="J328" t="s">
        <v>5986</v>
      </c>
      <c r="K328">
        <v>42</v>
      </c>
      <c r="L328" t="s">
        <v>37</v>
      </c>
      <c r="M328" t="s">
        <v>58</v>
      </c>
      <c r="N328" t="s">
        <v>84</v>
      </c>
      <c r="O328" t="s">
        <v>28</v>
      </c>
      <c r="P328" t="s">
        <v>31</v>
      </c>
      <c r="Q328">
        <v>0</v>
      </c>
      <c r="R328" t="s">
        <v>12883</v>
      </c>
      <c r="S328" t="s">
        <v>12886</v>
      </c>
    </row>
    <row r="329" spans="1:19" x14ac:dyDescent="0.25">
      <c r="A329" t="s">
        <v>7732</v>
      </c>
      <c r="B329" s="1">
        <v>45790</v>
      </c>
      <c r="C329" t="s">
        <v>12887</v>
      </c>
      <c r="D329" s="5">
        <v>0.74497685185185181</v>
      </c>
      <c r="E329">
        <v>285.64</v>
      </c>
      <c r="F329" t="s">
        <v>44</v>
      </c>
      <c r="G329" t="s">
        <v>7733</v>
      </c>
      <c r="H329" t="s">
        <v>89</v>
      </c>
      <c r="I329" t="s">
        <v>38</v>
      </c>
      <c r="J329" t="s">
        <v>7734</v>
      </c>
      <c r="K329">
        <v>34</v>
      </c>
      <c r="L329" t="s">
        <v>25</v>
      </c>
      <c r="M329" t="s">
        <v>26</v>
      </c>
      <c r="N329" t="s">
        <v>84</v>
      </c>
      <c r="O329" t="s">
        <v>28</v>
      </c>
      <c r="P329" t="s">
        <v>31</v>
      </c>
      <c r="Q329">
        <v>0</v>
      </c>
      <c r="R329" t="s">
        <v>12883</v>
      </c>
      <c r="S329" t="s">
        <v>12889</v>
      </c>
    </row>
    <row r="330" spans="1:19" x14ac:dyDescent="0.25">
      <c r="A330" t="s">
        <v>5367</v>
      </c>
      <c r="B330" s="1">
        <v>45836</v>
      </c>
      <c r="C330" t="s">
        <v>12888</v>
      </c>
      <c r="D330" s="5">
        <v>0.2741898148148148</v>
      </c>
      <c r="E330">
        <v>284.61</v>
      </c>
      <c r="F330" t="s">
        <v>44</v>
      </c>
      <c r="G330" t="s">
        <v>5368</v>
      </c>
      <c r="H330" t="s">
        <v>77</v>
      </c>
      <c r="I330" t="s">
        <v>58</v>
      </c>
      <c r="J330" t="s">
        <v>5369</v>
      </c>
      <c r="K330">
        <v>66</v>
      </c>
      <c r="L330" t="s">
        <v>37</v>
      </c>
      <c r="M330" t="s">
        <v>248</v>
      </c>
      <c r="N330" t="s">
        <v>27</v>
      </c>
      <c r="O330" t="s">
        <v>28</v>
      </c>
      <c r="P330" t="s">
        <v>31</v>
      </c>
      <c r="Q330">
        <v>0</v>
      </c>
      <c r="R330" t="s">
        <v>12883</v>
      </c>
      <c r="S330" t="s">
        <v>12884</v>
      </c>
    </row>
    <row r="331" spans="1:19" x14ac:dyDescent="0.25">
      <c r="A331" t="s">
        <v>7960</v>
      </c>
      <c r="B331" s="1">
        <v>45898</v>
      </c>
      <c r="C331" t="s">
        <v>12893</v>
      </c>
      <c r="D331" s="5">
        <v>0.18204861111111112</v>
      </c>
      <c r="E331">
        <v>276.87</v>
      </c>
      <c r="F331" t="s">
        <v>44</v>
      </c>
      <c r="G331" t="s">
        <v>693</v>
      </c>
      <c r="H331" t="s">
        <v>46</v>
      </c>
      <c r="I331" t="s">
        <v>97</v>
      </c>
      <c r="J331" t="s">
        <v>7961</v>
      </c>
      <c r="K331">
        <v>66</v>
      </c>
      <c r="L331" t="s">
        <v>37</v>
      </c>
      <c r="M331" t="s">
        <v>119</v>
      </c>
      <c r="N331" t="s">
        <v>84</v>
      </c>
      <c r="O331" t="s">
        <v>28</v>
      </c>
      <c r="P331" t="s">
        <v>31</v>
      </c>
      <c r="Q331">
        <v>0</v>
      </c>
      <c r="R331" t="s">
        <v>12883</v>
      </c>
      <c r="S331" t="s">
        <v>12884</v>
      </c>
    </row>
    <row r="332" spans="1:19" x14ac:dyDescent="0.25">
      <c r="A332" t="s">
        <v>8014</v>
      </c>
      <c r="B332" s="1">
        <v>45855</v>
      </c>
      <c r="C332" t="s">
        <v>12885</v>
      </c>
      <c r="D332" s="5">
        <v>0.24376157407407406</v>
      </c>
      <c r="E332">
        <v>266.25</v>
      </c>
      <c r="F332" t="s">
        <v>44</v>
      </c>
      <c r="G332" t="s">
        <v>2335</v>
      </c>
      <c r="H332" t="s">
        <v>22</v>
      </c>
      <c r="I332" t="s">
        <v>66</v>
      </c>
      <c r="J332" t="s">
        <v>8015</v>
      </c>
      <c r="K332">
        <v>116</v>
      </c>
      <c r="L332" t="s">
        <v>49</v>
      </c>
      <c r="M332" t="s">
        <v>35</v>
      </c>
      <c r="N332" t="s">
        <v>84</v>
      </c>
      <c r="O332" t="s">
        <v>28</v>
      </c>
      <c r="P332" t="s">
        <v>31</v>
      </c>
      <c r="Q332">
        <v>0</v>
      </c>
      <c r="R332" t="s">
        <v>12883</v>
      </c>
      <c r="S332" t="s">
        <v>12884</v>
      </c>
    </row>
    <row r="333" spans="1:19" x14ac:dyDescent="0.25">
      <c r="A333" t="s">
        <v>5359</v>
      </c>
      <c r="B333" s="1">
        <v>45885</v>
      </c>
      <c r="C333" t="s">
        <v>12893</v>
      </c>
      <c r="D333" s="5">
        <v>0.25026620370370373</v>
      </c>
      <c r="E333">
        <v>261.7</v>
      </c>
      <c r="F333" t="s">
        <v>44</v>
      </c>
      <c r="G333" t="s">
        <v>3110</v>
      </c>
      <c r="H333" t="s">
        <v>71</v>
      </c>
      <c r="I333" t="s">
        <v>35</v>
      </c>
      <c r="J333" t="s">
        <v>5360</v>
      </c>
      <c r="K333">
        <v>52</v>
      </c>
      <c r="L333" t="s">
        <v>37</v>
      </c>
      <c r="M333" t="s">
        <v>66</v>
      </c>
      <c r="N333" t="s">
        <v>27</v>
      </c>
      <c r="O333" t="s">
        <v>28</v>
      </c>
      <c r="P333" t="s">
        <v>31</v>
      </c>
      <c r="Q333">
        <v>0</v>
      </c>
      <c r="R333" t="s">
        <v>12883</v>
      </c>
      <c r="S333" t="s">
        <v>12886</v>
      </c>
    </row>
    <row r="334" spans="1:19" x14ac:dyDescent="0.25">
      <c r="A334" t="s">
        <v>2684</v>
      </c>
      <c r="B334" s="1">
        <v>45892</v>
      </c>
      <c r="C334" t="s">
        <v>12893</v>
      </c>
      <c r="D334" s="5">
        <v>0.31733796296296296</v>
      </c>
      <c r="E334">
        <v>258.88</v>
      </c>
      <c r="F334" t="s">
        <v>44</v>
      </c>
      <c r="G334" t="s">
        <v>2685</v>
      </c>
      <c r="H334" t="s">
        <v>96</v>
      </c>
      <c r="I334" t="s">
        <v>50</v>
      </c>
      <c r="J334" t="s">
        <v>2686</v>
      </c>
      <c r="K334">
        <v>69</v>
      </c>
      <c r="L334" t="s">
        <v>49</v>
      </c>
      <c r="M334" t="s">
        <v>47</v>
      </c>
      <c r="N334" t="s">
        <v>112</v>
      </c>
      <c r="O334" t="s">
        <v>28</v>
      </c>
      <c r="P334" t="s">
        <v>31</v>
      </c>
      <c r="Q334">
        <v>0</v>
      </c>
      <c r="R334" t="s">
        <v>12883</v>
      </c>
      <c r="S334" t="s">
        <v>12884</v>
      </c>
    </row>
    <row r="335" spans="1:19" x14ac:dyDescent="0.25">
      <c r="A335" t="s">
        <v>7378</v>
      </c>
      <c r="B335" s="1">
        <v>45934</v>
      </c>
      <c r="C335" t="s">
        <v>12890</v>
      </c>
      <c r="D335" s="5">
        <v>0.21910879629629629</v>
      </c>
      <c r="E335">
        <v>251.37</v>
      </c>
      <c r="F335" t="s">
        <v>44</v>
      </c>
      <c r="G335" t="s">
        <v>663</v>
      </c>
      <c r="H335" t="s">
        <v>124</v>
      </c>
      <c r="I335" t="s">
        <v>248</v>
      </c>
      <c r="J335" t="s">
        <v>7379</v>
      </c>
      <c r="K335">
        <v>36</v>
      </c>
      <c r="L335" t="s">
        <v>37</v>
      </c>
      <c r="M335" t="s">
        <v>50</v>
      </c>
      <c r="N335" t="s">
        <v>51</v>
      </c>
      <c r="O335" t="s">
        <v>28</v>
      </c>
      <c r="P335" t="s">
        <v>31</v>
      </c>
      <c r="Q335">
        <v>0</v>
      </c>
      <c r="R335" t="s">
        <v>12883</v>
      </c>
      <c r="S335" t="s">
        <v>12889</v>
      </c>
    </row>
    <row r="336" spans="1:19" x14ac:dyDescent="0.25">
      <c r="A336" t="s">
        <v>10359</v>
      </c>
      <c r="B336" s="1">
        <v>45826</v>
      </c>
      <c r="C336" t="s">
        <v>12888</v>
      </c>
      <c r="D336" s="5">
        <v>0.67451388888888886</v>
      </c>
      <c r="E336">
        <v>246.06</v>
      </c>
      <c r="F336" t="s">
        <v>44</v>
      </c>
      <c r="G336" t="s">
        <v>2985</v>
      </c>
      <c r="H336" t="s">
        <v>46</v>
      </c>
      <c r="I336" t="s">
        <v>130</v>
      </c>
      <c r="J336" t="s">
        <v>10360</v>
      </c>
      <c r="K336">
        <v>22</v>
      </c>
      <c r="L336" t="s">
        <v>25</v>
      </c>
      <c r="M336" t="s">
        <v>66</v>
      </c>
      <c r="N336" t="s">
        <v>39</v>
      </c>
      <c r="O336" t="s">
        <v>28</v>
      </c>
      <c r="P336" t="s">
        <v>31</v>
      </c>
      <c r="Q336">
        <v>0</v>
      </c>
      <c r="R336" t="s">
        <v>12883</v>
      </c>
      <c r="S336" t="s">
        <v>12892</v>
      </c>
    </row>
    <row r="337" spans="1:19" x14ac:dyDescent="0.25">
      <c r="A337" t="s">
        <v>9643</v>
      </c>
      <c r="B337" s="1">
        <v>45927</v>
      </c>
      <c r="C337" t="s">
        <v>12882</v>
      </c>
      <c r="D337" s="5">
        <v>0.75033564814814813</v>
      </c>
      <c r="E337">
        <v>244.71</v>
      </c>
      <c r="F337" t="s">
        <v>44</v>
      </c>
      <c r="G337" t="s">
        <v>1911</v>
      </c>
      <c r="H337" t="s">
        <v>77</v>
      </c>
      <c r="I337" t="s">
        <v>91</v>
      </c>
      <c r="J337" t="s">
        <v>9644</v>
      </c>
      <c r="K337">
        <v>52</v>
      </c>
      <c r="L337" t="s">
        <v>49</v>
      </c>
      <c r="M337" t="s">
        <v>146</v>
      </c>
      <c r="N337" t="s">
        <v>105</v>
      </c>
      <c r="O337" t="s">
        <v>28</v>
      </c>
      <c r="P337" t="s">
        <v>31</v>
      </c>
      <c r="Q337">
        <v>0</v>
      </c>
      <c r="R337" t="s">
        <v>12883</v>
      </c>
      <c r="S337" t="s">
        <v>12886</v>
      </c>
    </row>
    <row r="338" spans="1:19" x14ac:dyDescent="0.25">
      <c r="A338" t="s">
        <v>12292</v>
      </c>
      <c r="B338" s="1">
        <v>45896</v>
      </c>
      <c r="C338" t="s">
        <v>12893</v>
      </c>
      <c r="D338" s="5">
        <v>0.48359953703703706</v>
      </c>
      <c r="E338">
        <v>240.71</v>
      </c>
      <c r="F338" t="s">
        <v>44</v>
      </c>
      <c r="G338" t="s">
        <v>1456</v>
      </c>
      <c r="H338" t="s">
        <v>96</v>
      </c>
      <c r="I338" t="s">
        <v>110</v>
      </c>
      <c r="J338" t="s">
        <v>12293</v>
      </c>
      <c r="K338">
        <v>33</v>
      </c>
      <c r="L338" t="s">
        <v>37</v>
      </c>
      <c r="M338" t="s">
        <v>146</v>
      </c>
      <c r="N338" t="s">
        <v>105</v>
      </c>
      <c r="O338" t="s">
        <v>28</v>
      </c>
      <c r="P338" t="s">
        <v>31</v>
      </c>
      <c r="Q338">
        <v>0</v>
      </c>
      <c r="R338" t="s">
        <v>12883</v>
      </c>
      <c r="S338" t="s">
        <v>12889</v>
      </c>
    </row>
    <row r="339" spans="1:19" x14ac:dyDescent="0.25">
      <c r="A339" t="s">
        <v>8882</v>
      </c>
      <c r="B339" s="1">
        <v>45879</v>
      </c>
      <c r="C339" t="s">
        <v>12893</v>
      </c>
      <c r="D339" s="5">
        <v>0.65538194444444442</v>
      </c>
      <c r="E339">
        <v>238.56</v>
      </c>
      <c r="F339" t="s">
        <v>44</v>
      </c>
      <c r="G339" t="s">
        <v>282</v>
      </c>
      <c r="H339" t="s">
        <v>77</v>
      </c>
      <c r="I339" t="s">
        <v>35</v>
      </c>
      <c r="J339" t="s">
        <v>8883</v>
      </c>
      <c r="K339">
        <v>51</v>
      </c>
      <c r="L339" t="s">
        <v>49</v>
      </c>
      <c r="M339" t="s">
        <v>58</v>
      </c>
      <c r="N339" t="s">
        <v>84</v>
      </c>
      <c r="O339" t="s">
        <v>28</v>
      </c>
      <c r="P339" t="s">
        <v>31</v>
      </c>
      <c r="Q339">
        <v>0</v>
      </c>
      <c r="R339" t="s">
        <v>12883</v>
      </c>
      <c r="S339" t="s">
        <v>12886</v>
      </c>
    </row>
    <row r="340" spans="1:19" x14ac:dyDescent="0.25">
      <c r="A340" t="s">
        <v>3543</v>
      </c>
      <c r="B340" s="1">
        <v>45895</v>
      </c>
      <c r="C340" t="s">
        <v>12893</v>
      </c>
      <c r="D340" s="5">
        <v>0.83605324074074072</v>
      </c>
      <c r="E340">
        <v>237.06</v>
      </c>
      <c r="F340" t="s">
        <v>44</v>
      </c>
      <c r="G340" t="s">
        <v>1210</v>
      </c>
      <c r="H340" t="s">
        <v>71</v>
      </c>
      <c r="I340" t="s">
        <v>248</v>
      </c>
      <c r="J340" t="s">
        <v>3544</v>
      </c>
      <c r="K340">
        <v>44</v>
      </c>
      <c r="L340" t="s">
        <v>25</v>
      </c>
      <c r="M340" t="s">
        <v>146</v>
      </c>
      <c r="N340" t="s">
        <v>39</v>
      </c>
      <c r="O340" t="s">
        <v>28</v>
      </c>
      <c r="P340" t="s">
        <v>31</v>
      </c>
      <c r="Q340">
        <v>0</v>
      </c>
      <c r="R340" t="s">
        <v>12883</v>
      </c>
      <c r="S340" t="s">
        <v>12886</v>
      </c>
    </row>
    <row r="341" spans="1:19" x14ac:dyDescent="0.25">
      <c r="A341" t="s">
        <v>2538</v>
      </c>
      <c r="B341" s="1">
        <v>45878</v>
      </c>
      <c r="C341" t="s">
        <v>12893</v>
      </c>
      <c r="D341" s="5">
        <v>9.4675925925925934E-3</v>
      </c>
      <c r="E341">
        <v>235.18</v>
      </c>
      <c r="F341" t="s">
        <v>44</v>
      </c>
      <c r="G341" t="s">
        <v>217</v>
      </c>
      <c r="H341" t="s">
        <v>22</v>
      </c>
      <c r="I341" t="s">
        <v>146</v>
      </c>
      <c r="J341" t="s">
        <v>2539</v>
      </c>
      <c r="K341">
        <v>68</v>
      </c>
      <c r="L341" t="s">
        <v>49</v>
      </c>
      <c r="M341" t="s">
        <v>119</v>
      </c>
      <c r="N341" t="s">
        <v>105</v>
      </c>
      <c r="O341" t="s">
        <v>28</v>
      </c>
      <c r="P341" t="s">
        <v>31</v>
      </c>
      <c r="Q341">
        <v>0</v>
      </c>
      <c r="R341" t="s">
        <v>12883</v>
      </c>
      <c r="S341" t="s">
        <v>12884</v>
      </c>
    </row>
    <row r="342" spans="1:19" x14ac:dyDescent="0.25">
      <c r="A342" t="s">
        <v>11009</v>
      </c>
      <c r="B342" s="1">
        <v>45917</v>
      </c>
      <c r="C342" t="s">
        <v>12882</v>
      </c>
      <c r="D342" s="5">
        <v>0.80656249999999996</v>
      </c>
      <c r="E342">
        <v>229.65</v>
      </c>
      <c r="F342" t="s">
        <v>44</v>
      </c>
      <c r="G342" t="s">
        <v>10823</v>
      </c>
      <c r="H342" t="s">
        <v>57</v>
      </c>
      <c r="I342" t="s">
        <v>38</v>
      </c>
      <c r="J342" t="s">
        <v>11010</v>
      </c>
      <c r="K342">
        <v>38</v>
      </c>
      <c r="L342" t="s">
        <v>49</v>
      </c>
      <c r="M342" t="s">
        <v>35</v>
      </c>
      <c r="N342" t="s">
        <v>39</v>
      </c>
      <c r="O342" t="s">
        <v>28</v>
      </c>
      <c r="P342" t="s">
        <v>31</v>
      </c>
      <c r="Q342">
        <v>0</v>
      </c>
      <c r="R342" t="s">
        <v>12883</v>
      </c>
      <c r="S342" t="s">
        <v>12889</v>
      </c>
    </row>
    <row r="343" spans="1:19" x14ac:dyDescent="0.25">
      <c r="A343" t="s">
        <v>3255</v>
      </c>
      <c r="B343" s="1">
        <v>45861</v>
      </c>
      <c r="C343" t="s">
        <v>12885</v>
      </c>
      <c r="D343" s="5">
        <v>0.30653935185185183</v>
      </c>
      <c r="E343">
        <v>219.08</v>
      </c>
      <c r="F343" t="s">
        <v>44</v>
      </c>
      <c r="G343" t="s">
        <v>3256</v>
      </c>
      <c r="H343" t="s">
        <v>64</v>
      </c>
      <c r="I343" t="s">
        <v>66</v>
      </c>
      <c r="J343" t="s">
        <v>3257</v>
      </c>
      <c r="K343">
        <v>60</v>
      </c>
      <c r="L343" t="s">
        <v>37</v>
      </c>
      <c r="M343" t="s">
        <v>66</v>
      </c>
      <c r="N343" t="s">
        <v>51</v>
      </c>
      <c r="O343" t="s">
        <v>113</v>
      </c>
      <c r="P343" t="s">
        <v>31</v>
      </c>
      <c r="Q343">
        <v>0</v>
      </c>
      <c r="R343" t="s">
        <v>12883</v>
      </c>
      <c r="S343" t="s">
        <v>12884</v>
      </c>
    </row>
    <row r="344" spans="1:19" x14ac:dyDescent="0.25">
      <c r="A344" t="s">
        <v>12784</v>
      </c>
      <c r="B344" s="1">
        <v>45808</v>
      </c>
      <c r="C344" t="s">
        <v>12887</v>
      </c>
      <c r="D344" s="5">
        <v>0.27226851851851852</v>
      </c>
      <c r="E344">
        <v>216.02</v>
      </c>
      <c r="F344" t="s">
        <v>44</v>
      </c>
      <c r="G344" t="s">
        <v>76</v>
      </c>
      <c r="H344" t="s">
        <v>71</v>
      </c>
      <c r="I344" t="s">
        <v>66</v>
      </c>
      <c r="J344" t="s">
        <v>12785</v>
      </c>
      <c r="K344">
        <v>62</v>
      </c>
      <c r="L344" t="s">
        <v>25</v>
      </c>
      <c r="M344" t="s">
        <v>66</v>
      </c>
      <c r="N344" t="s">
        <v>112</v>
      </c>
      <c r="O344" t="s">
        <v>113</v>
      </c>
      <c r="P344" t="s">
        <v>31</v>
      </c>
      <c r="Q344">
        <v>0</v>
      </c>
      <c r="R344" t="s">
        <v>12883</v>
      </c>
      <c r="S344" t="s">
        <v>12884</v>
      </c>
    </row>
    <row r="345" spans="1:19" x14ac:dyDescent="0.25">
      <c r="A345" t="s">
        <v>6622</v>
      </c>
      <c r="B345" s="1">
        <v>45862</v>
      </c>
      <c r="C345" t="s">
        <v>12885</v>
      </c>
      <c r="D345" s="5">
        <v>0.38913194444444443</v>
      </c>
      <c r="E345">
        <v>215.09</v>
      </c>
      <c r="F345" t="s">
        <v>44</v>
      </c>
      <c r="G345" t="s">
        <v>927</v>
      </c>
      <c r="H345" t="s">
        <v>22</v>
      </c>
      <c r="I345" t="s">
        <v>58</v>
      </c>
      <c r="J345" t="s">
        <v>6623</v>
      </c>
      <c r="K345">
        <v>45</v>
      </c>
      <c r="L345" t="s">
        <v>37</v>
      </c>
      <c r="M345" t="s">
        <v>110</v>
      </c>
      <c r="N345" t="s">
        <v>112</v>
      </c>
      <c r="O345" t="s">
        <v>28</v>
      </c>
      <c r="P345" t="s">
        <v>31</v>
      </c>
      <c r="Q345">
        <v>0</v>
      </c>
      <c r="R345" t="s">
        <v>12883</v>
      </c>
      <c r="S345" t="s">
        <v>12886</v>
      </c>
    </row>
    <row r="346" spans="1:19" x14ac:dyDescent="0.25">
      <c r="A346" t="s">
        <v>1935</v>
      </c>
      <c r="B346" s="1">
        <v>45909</v>
      </c>
      <c r="C346" t="s">
        <v>12882</v>
      </c>
      <c r="D346" s="5">
        <v>0.39004629629629628</v>
      </c>
      <c r="E346">
        <v>214.78</v>
      </c>
      <c r="F346" t="s">
        <v>44</v>
      </c>
      <c r="G346" t="s">
        <v>1936</v>
      </c>
      <c r="H346" t="s">
        <v>89</v>
      </c>
      <c r="I346" t="s">
        <v>66</v>
      </c>
      <c r="J346" t="s">
        <v>1937</v>
      </c>
      <c r="K346">
        <v>63</v>
      </c>
      <c r="L346" t="s">
        <v>49</v>
      </c>
      <c r="M346" t="s">
        <v>119</v>
      </c>
      <c r="N346" t="s">
        <v>51</v>
      </c>
      <c r="O346" t="s">
        <v>28</v>
      </c>
      <c r="P346" t="s">
        <v>31</v>
      </c>
      <c r="Q346">
        <v>0</v>
      </c>
      <c r="R346" t="s">
        <v>12883</v>
      </c>
      <c r="S346" t="s">
        <v>12884</v>
      </c>
    </row>
    <row r="347" spans="1:19" x14ac:dyDescent="0.25">
      <c r="A347" t="s">
        <v>3215</v>
      </c>
      <c r="B347" s="1">
        <v>45803</v>
      </c>
      <c r="C347" t="s">
        <v>12887</v>
      </c>
      <c r="D347" s="5">
        <v>0.80902777777777779</v>
      </c>
      <c r="E347">
        <v>211.95</v>
      </c>
      <c r="F347" t="s">
        <v>44</v>
      </c>
      <c r="G347" t="s">
        <v>3216</v>
      </c>
      <c r="H347" t="s">
        <v>124</v>
      </c>
      <c r="I347" t="s">
        <v>23</v>
      </c>
      <c r="J347" t="s">
        <v>3217</v>
      </c>
      <c r="K347">
        <v>22</v>
      </c>
      <c r="L347" t="s">
        <v>49</v>
      </c>
      <c r="M347" t="s">
        <v>58</v>
      </c>
      <c r="N347" t="s">
        <v>112</v>
      </c>
      <c r="O347" t="s">
        <v>28</v>
      </c>
      <c r="P347" t="s">
        <v>31</v>
      </c>
      <c r="Q347">
        <v>0</v>
      </c>
      <c r="R347" t="s">
        <v>12883</v>
      </c>
      <c r="S347" t="s">
        <v>12892</v>
      </c>
    </row>
    <row r="348" spans="1:19" x14ac:dyDescent="0.25">
      <c r="A348" t="s">
        <v>5806</v>
      </c>
      <c r="B348" s="1">
        <v>45834</v>
      </c>
      <c r="C348" t="s">
        <v>12888</v>
      </c>
      <c r="D348" s="5">
        <v>0.84950231481481486</v>
      </c>
      <c r="E348">
        <v>211.51</v>
      </c>
      <c r="F348" t="s">
        <v>44</v>
      </c>
      <c r="G348" t="s">
        <v>2259</v>
      </c>
      <c r="H348" t="s">
        <v>77</v>
      </c>
      <c r="I348" t="s">
        <v>248</v>
      </c>
      <c r="J348" t="s">
        <v>5807</v>
      </c>
      <c r="K348">
        <v>68</v>
      </c>
      <c r="L348" t="s">
        <v>25</v>
      </c>
      <c r="M348" t="s">
        <v>50</v>
      </c>
      <c r="N348" t="s">
        <v>39</v>
      </c>
      <c r="O348" t="s">
        <v>28</v>
      </c>
      <c r="P348" t="s">
        <v>31</v>
      </c>
      <c r="Q348">
        <v>0</v>
      </c>
      <c r="R348" t="s">
        <v>12883</v>
      </c>
      <c r="S348" t="s">
        <v>12884</v>
      </c>
    </row>
    <row r="349" spans="1:19" x14ac:dyDescent="0.25">
      <c r="A349" t="s">
        <v>11631</v>
      </c>
      <c r="B349" s="1">
        <v>45905</v>
      </c>
      <c r="C349" t="s">
        <v>12882</v>
      </c>
      <c r="D349" s="5">
        <v>0.17539351851851853</v>
      </c>
      <c r="E349">
        <v>203.57</v>
      </c>
      <c r="F349" t="s">
        <v>44</v>
      </c>
      <c r="G349" t="s">
        <v>5566</v>
      </c>
      <c r="H349" t="s">
        <v>34</v>
      </c>
      <c r="I349" t="s">
        <v>248</v>
      </c>
      <c r="J349" t="s">
        <v>11632</v>
      </c>
      <c r="K349">
        <v>45</v>
      </c>
      <c r="L349" t="s">
        <v>37</v>
      </c>
      <c r="M349" t="s">
        <v>35</v>
      </c>
      <c r="N349" t="s">
        <v>105</v>
      </c>
      <c r="O349" t="s">
        <v>28</v>
      </c>
      <c r="P349" t="s">
        <v>31</v>
      </c>
      <c r="Q349">
        <v>0</v>
      </c>
      <c r="R349" t="s">
        <v>12883</v>
      </c>
      <c r="S349" t="s">
        <v>12886</v>
      </c>
    </row>
    <row r="350" spans="1:19" x14ac:dyDescent="0.25">
      <c r="A350" t="s">
        <v>8209</v>
      </c>
      <c r="B350" s="1">
        <v>45828</v>
      </c>
      <c r="C350" t="s">
        <v>12888</v>
      </c>
      <c r="D350" s="5">
        <v>0.53855324074074074</v>
      </c>
      <c r="E350">
        <v>202.92</v>
      </c>
      <c r="F350" t="s">
        <v>44</v>
      </c>
      <c r="G350" t="s">
        <v>8210</v>
      </c>
      <c r="H350" t="s">
        <v>46</v>
      </c>
      <c r="I350" t="s">
        <v>91</v>
      </c>
      <c r="J350" t="s">
        <v>8211</v>
      </c>
      <c r="K350">
        <v>45</v>
      </c>
      <c r="L350" t="s">
        <v>49</v>
      </c>
      <c r="M350" t="s">
        <v>26</v>
      </c>
      <c r="N350" t="s">
        <v>27</v>
      </c>
      <c r="O350" t="s">
        <v>28</v>
      </c>
      <c r="P350" t="s">
        <v>31</v>
      </c>
      <c r="Q350">
        <v>0</v>
      </c>
      <c r="R350" t="s">
        <v>12883</v>
      </c>
      <c r="S350" t="s">
        <v>12886</v>
      </c>
    </row>
    <row r="351" spans="1:19" x14ac:dyDescent="0.25">
      <c r="A351" t="s">
        <v>620</v>
      </c>
      <c r="B351" s="1">
        <v>45949</v>
      </c>
      <c r="C351" t="s">
        <v>12890</v>
      </c>
      <c r="D351" s="5">
        <v>0.4074652777777778</v>
      </c>
      <c r="E351">
        <v>199.95</v>
      </c>
      <c r="F351" t="s">
        <v>44</v>
      </c>
      <c r="G351" t="s">
        <v>621</v>
      </c>
      <c r="H351" t="s">
        <v>77</v>
      </c>
      <c r="I351" t="s">
        <v>97</v>
      </c>
      <c r="J351" t="s">
        <v>622</v>
      </c>
      <c r="K351">
        <v>38</v>
      </c>
      <c r="L351" t="s">
        <v>25</v>
      </c>
      <c r="M351" t="s">
        <v>66</v>
      </c>
      <c r="N351" t="s">
        <v>84</v>
      </c>
      <c r="O351" t="s">
        <v>28</v>
      </c>
      <c r="P351" t="s">
        <v>31</v>
      </c>
      <c r="Q351">
        <v>0</v>
      </c>
      <c r="R351" t="s">
        <v>12883</v>
      </c>
      <c r="S351" t="s">
        <v>12889</v>
      </c>
    </row>
    <row r="352" spans="1:19" x14ac:dyDescent="0.25">
      <c r="A352" t="s">
        <v>1417</v>
      </c>
      <c r="B352" s="1">
        <v>45892</v>
      </c>
      <c r="C352" t="s">
        <v>12893</v>
      </c>
      <c r="D352" s="5">
        <v>0.89878472222222228</v>
      </c>
      <c r="E352">
        <v>199.88</v>
      </c>
      <c r="F352" t="s">
        <v>44</v>
      </c>
      <c r="G352" t="s">
        <v>1418</v>
      </c>
      <c r="H352" t="s">
        <v>22</v>
      </c>
      <c r="I352" t="s">
        <v>38</v>
      </c>
      <c r="J352" t="s">
        <v>1419</v>
      </c>
      <c r="K352">
        <v>66</v>
      </c>
      <c r="L352" t="s">
        <v>37</v>
      </c>
      <c r="M352" t="s">
        <v>66</v>
      </c>
      <c r="N352" t="s">
        <v>39</v>
      </c>
      <c r="O352" t="s">
        <v>28</v>
      </c>
      <c r="P352" t="s">
        <v>31</v>
      </c>
      <c r="Q352">
        <v>0</v>
      </c>
      <c r="R352" t="s">
        <v>12883</v>
      </c>
      <c r="S352" t="s">
        <v>12884</v>
      </c>
    </row>
    <row r="353" spans="1:19" x14ac:dyDescent="0.25">
      <c r="A353" t="s">
        <v>5222</v>
      </c>
      <c r="B353" s="1">
        <v>45797</v>
      </c>
      <c r="C353" t="s">
        <v>12887</v>
      </c>
      <c r="D353" s="5">
        <v>0.15393518518518517</v>
      </c>
      <c r="E353">
        <v>199.85</v>
      </c>
      <c r="F353" t="s">
        <v>44</v>
      </c>
      <c r="G353" t="s">
        <v>5223</v>
      </c>
      <c r="H353" t="s">
        <v>57</v>
      </c>
      <c r="I353" t="s">
        <v>97</v>
      </c>
      <c r="J353" t="s">
        <v>5224</v>
      </c>
      <c r="K353">
        <v>57</v>
      </c>
      <c r="L353" t="s">
        <v>25</v>
      </c>
      <c r="M353" t="s">
        <v>130</v>
      </c>
      <c r="N353" t="s">
        <v>105</v>
      </c>
      <c r="O353" t="s">
        <v>28</v>
      </c>
      <c r="P353" t="s">
        <v>31</v>
      </c>
      <c r="Q353">
        <v>0</v>
      </c>
      <c r="R353" t="s">
        <v>12883</v>
      </c>
      <c r="S353" t="s">
        <v>12886</v>
      </c>
    </row>
    <row r="354" spans="1:19" x14ac:dyDescent="0.25">
      <c r="A354" t="s">
        <v>7173</v>
      </c>
      <c r="B354" s="1">
        <v>45893</v>
      </c>
      <c r="C354" t="s">
        <v>12893</v>
      </c>
      <c r="D354" s="5">
        <v>0.94633101851851853</v>
      </c>
      <c r="E354">
        <v>199.78</v>
      </c>
      <c r="F354" t="s">
        <v>44</v>
      </c>
      <c r="G354" t="s">
        <v>4806</v>
      </c>
      <c r="H354" t="s">
        <v>34</v>
      </c>
      <c r="I354" t="s">
        <v>66</v>
      </c>
      <c r="J354" t="s">
        <v>7174</v>
      </c>
      <c r="K354">
        <v>30</v>
      </c>
      <c r="L354" t="s">
        <v>49</v>
      </c>
      <c r="M354" t="s">
        <v>38</v>
      </c>
      <c r="N354" t="s">
        <v>51</v>
      </c>
      <c r="O354" t="s">
        <v>28</v>
      </c>
      <c r="P354" t="s">
        <v>31</v>
      </c>
      <c r="Q354">
        <v>0</v>
      </c>
      <c r="R354" t="s">
        <v>12883</v>
      </c>
      <c r="S354" t="s">
        <v>12889</v>
      </c>
    </row>
    <row r="355" spans="1:19" x14ac:dyDescent="0.25">
      <c r="A355" t="s">
        <v>12013</v>
      </c>
      <c r="B355" s="1">
        <v>45917</v>
      </c>
      <c r="C355" t="s">
        <v>12882</v>
      </c>
      <c r="D355" s="5">
        <v>3.6006944444444446E-2</v>
      </c>
      <c r="E355">
        <v>199.73</v>
      </c>
      <c r="F355" t="s">
        <v>44</v>
      </c>
      <c r="G355" t="s">
        <v>9980</v>
      </c>
      <c r="H355" t="s">
        <v>57</v>
      </c>
      <c r="I355" t="s">
        <v>248</v>
      </c>
      <c r="J355" t="s">
        <v>12014</v>
      </c>
      <c r="K355">
        <v>68</v>
      </c>
      <c r="L355" t="s">
        <v>25</v>
      </c>
      <c r="M355" t="s">
        <v>119</v>
      </c>
      <c r="N355" t="s">
        <v>84</v>
      </c>
      <c r="O355" t="s">
        <v>28</v>
      </c>
      <c r="P355" t="s">
        <v>31</v>
      </c>
      <c r="Q355">
        <v>0</v>
      </c>
      <c r="R355" t="s">
        <v>12883</v>
      </c>
      <c r="S355" t="s">
        <v>12884</v>
      </c>
    </row>
    <row r="356" spans="1:19" x14ac:dyDescent="0.25">
      <c r="A356" t="s">
        <v>6234</v>
      </c>
      <c r="B356" s="1">
        <v>45799</v>
      </c>
      <c r="C356" t="s">
        <v>12887</v>
      </c>
      <c r="D356" s="5">
        <v>0.40217592592592594</v>
      </c>
      <c r="E356">
        <v>199.6</v>
      </c>
      <c r="F356" t="s">
        <v>44</v>
      </c>
      <c r="G356" t="s">
        <v>6235</v>
      </c>
      <c r="H356" t="s">
        <v>77</v>
      </c>
      <c r="I356" t="s">
        <v>91</v>
      </c>
      <c r="J356" t="s">
        <v>6236</v>
      </c>
      <c r="K356">
        <v>45</v>
      </c>
      <c r="L356" t="s">
        <v>49</v>
      </c>
      <c r="M356" t="s">
        <v>248</v>
      </c>
      <c r="N356" t="s">
        <v>112</v>
      </c>
      <c r="O356" t="s">
        <v>28</v>
      </c>
      <c r="P356" t="s">
        <v>31</v>
      </c>
      <c r="Q356">
        <v>1</v>
      </c>
      <c r="R356" t="s">
        <v>12891</v>
      </c>
      <c r="S356" t="s">
        <v>12886</v>
      </c>
    </row>
    <row r="357" spans="1:19" x14ac:dyDescent="0.25">
      <c r="A357" t="s">
        <v>1901</v>
      </c>
      <c r="B357" s="1">
        <v>45868</v>
      </c>
      <c r="C357" t="s">
        <v>12885</v>
      </c>
      <c r="D357" s="5">
        <v>0.59011574074074069</v>
      </c>
      <c r="E357">
        <v>199.59</v>
      </c>
      <c r="F357" t="s">
        <v>44</v>
      </c>
      <c r="G357" t="s">
        <v>258</v>
      </c>
      <c r="H357" t="s">
        <v>124</v>
      </c>
      <c r="I357" t="s">
        <v>50</v>
      </c>
      <c r="J357" t="s">
        <v>1902</v>
      </c>
      <c r="K357">
        <v>70</v>
      </c>
      <c r="L357" t="s">
        <v>37</v>
      </c>
      <c r="M357" t="s">
        <v>248</v>
      </c>
      <c r="N357" t="s">
        <v>51</v>
      </c>
      <c r="O357" t="s">
        <v>28</v>
      </c>
      <c r="P357" t="s">
        <v>31</v>
      </c>
      <c r="Q357">
        <v>0</v>
      </c>
      <c r="R357" t="s">
        <v>12883</v>
      </c>
      <c r="S357" t="s">
        <v>12884</v>
      </c>
    </row>
    <row r="358" spans="1:19" x14ac:dyDescent="0.25">
      <c r="A358" t="s">
        <v>9758</v>
      </c>
      <c r="B358" s="1">
        <v>45907</v>
      </c>
      <c r="C358" t="s">
        <v>12882</v>
      </c>
      <c r="D358" s="5">
        <v>0.92318287037037039</v>
      </c>
      <c r="E358">
        <v>199.49</v>
      </c>
      <c r="F358" t="s">
        <v>44</v>
      </c>
      <c r="G358" t="s">
        <v>978</v>
      </c>
      <c r="H358" t="s">
        <v>77</v>
      </c>
      <c r="I358" t="s">
        <v>248</v>
      </c>
      <c r="J358" t="s">
        <v>9759</v>
      </c>
      <c r="K358">
        <v>75</v>
      </c>
      <c r="L358" t="s">
        <v>37</v>
      </c>
      <c r="M358" t="s">
        <v>146</v>
      </c>
      <c r="N358" t="s">
        <v>105</v>
      </c>
      <c r="O358" t="s">
        <v>28</v>
      </c>
      <c r="P358" t="s">
        <v>31</v>
      </c>
      <c r="Q358">
        <v>0</v>
      </c>
      <c r="R358" t="s">
        <v>12883</v>
      </c>
      <c r="S358" t="s">
        <v>12884</v>
      </c>
    </row>
    <row r="359" spans="1:19" x14ac:dyDescent="0.25">
      <c r="A359" t="s">
        <v>5434</v>
      </c>
      <c r="B359" s="1">
        <v>45791</v>
      </c>
      <c r="C359" t="s">
        <v>12887</v>
      </c>
      <c r="D359" s="5">
        <v>4.8356481481481479E-2</v>
      </c>
      <c r="E359">
        <v>199.37</v>
      </c>
      <c r="F359" t="s">
        <v>44</v>
      </c>
      <c r="G359" t="s">
        <v>3128</v>
      </c>
      <c r="H359" t="s">
        <v>46</v>
      </c>
      <c r="I359" t="s">
        <v>35</v>
      </c>
      <c r="J359" t="s">
        <v>5435</v>
      </c>
      <c r="K359">
        <v>42</v>
      </c>
      <c r="L359" t="s">
        <v>37</v>
      </c>
      <c r="M359" t="s">
        <v>91</v>
      </c>
      <c r="N359" t="s">
        <v>27</v>
      </c>
      <c r="O359" t="s">
        <v>28</v>
      </c>
      <c r="P359" t="s">
        <v>31</v>
      </c>
      <c r="Q359">
        <v>1</v>
      </c>
      <c r="R359" t="s">
        <v>12891</v>
      </c>
      <c r="S359" t="s">
        <v>12886</v>
      </c>
    </row>
    <row r="360" spans="1:19" x14ac:dyDescent="0.25">
      <c r="A360" t="s">
        <v>5455</v>
      </c>
      <c r="B360" s="1">
        <v>45877</v>
      </c>
      <c r="C360" t="s">
        <v>12893</v>
      </c>
      <c r="D360" s="5">
        <v>0.13881944444444444</v>
      </c>
      <c r="E360">
        <v>199.34</v>
      </c>
      <c r="F360" t="s">
        <v>44</v>
      </c>
      <c r="G360" t="s">
        <v>3763</v>
      </c>
      <c r="H360" t="s">
        <v>46</v>
      </c>
      <c r="I360" t="s">
        <v>146</v>
      </c>
      <c r="J360" t="s">
        <v>5456</v>
      </c>
      <c r="K360">
        <v>40</v>
      </c>
      <c r="L360" t="s">
        <v>49</v>
      </c>
      <c r="M360" t="s">
        <v>47</v>
      </c>
      <c r="N360" t="s">
        <v>51</v>
      </c>
      <c r="O360" t="s">
        <v>28</v>
      </c>
      <c r="P360" t="s">
        <v>31</v>
      </c>
      <c r="Q360">
        <v>1</v>
      </c>
      <c r="R360" t="s">
        <v>12891</v>
      </c>
      <c r="S360" t="s">
        <v>12886</v>
      </c>
    </row>
    <row r="361" spans="1:19" x14ac:dyDescent="0.25">
      <c r="A361" t="s">
        <v>9175</v>
      </c>
      <c r="B361" s="1">
        <v>45910</v>
      </c>
      <c r="C361" t="s">
        <v>12882</v>
      </c>
      <c r="D361" s="5">
        <v>0.57724537037037038</v>
      </c>
      <c r="E361">
        <v>199.32</v>
      </c>
      <c r="F361" t="s">
        <v>44</v>
      </c>
      <c r="G361" t="s">
        <v>500</v>
      </c>
      <c r="H361" t="s">
        <v>89</v>
      </c>
      <c r="I361" t="s">
        <v>47</v>
      </c>
      <c r="J361" t="s">
        <v>9176</v>
      </c>
      <c r="K361">
        <v>34</v>
      </c>
      <c r="L361" t="s">
        <v>49</v>
      </c>
      <c r="M361" t="s">
        <v>248</v>
      </c>
      <c r="N361" t="s">
        <v>84</v>
      </c>
      <c r="O361" t="s">
        <v>28</v>
      </c>
      <c r="P361" t="s">
        <v>31</v>
      </c>
      <c r="Q361">
        <v>0</v>
      </c>
      <c r="R361" t="s">
        <v>12883</v>
      </c>
      <c r="S361" t="s">
        <v>12889</v>
      </c>
    </row>
    <row r="362" spans="1:19" x14ac:dyDescent="0.25">
      <c r="A362" t="s">
        <v>11419</v>
      </c>
      <c r="B362" s="1">
        <v>45836</v>
      </c>
      <c r="C362" t="s">
        <v>12888</v>
      </c>
      <c r="D362" s="5">
        <v>0.73442129629629627</v>
      </c>
      <c r="E362">
        <v>199.15</v>
      </c>
      <c r="F362" t="s">
        <v>44</v>
      </c>
      <c r="G362" t="s">
        <v>4811</v>
      </c>
      <c r="H362" t="s">
        <v>124</v>
      </c>
      <c r="I362" t="s">
        <v>97</v>
      </c>
      <c r="J362" t="s">
        <v>11420</v>
      </c>
      <c r="K362">
        <v>53</v>
      </c>
      <c r="L362" t="s">
        <v>37</v>
      </c>
      <c r="M362" t="s">
        <v>26</v>
      </c>
      <c r="N362" t="s">
        <v>51</v>
      </c>
      <c r="O362" t="s">
        <v>28</v>
      </c>
      <c r="P362" t="s">
        <v>31</v>
      </c>
      <c r="Q362">
        <v>0</v>
      </c>
      <c r="R362" t="s">
        <v>12883</v>
      </c>
      <c r="S362" t="s">
        <v>12886</v>
      </c>
    </row>
    <row r="363" spans="1:19" x14ac:dyDescent="0.25">
      <c r="A363" t="s">
        <v>5857</v>
      </c>
      <c r="B363" s="1">
        <v>45942</v>
      </c>
      <c r="C363" t="s">
        <v>12890</v>
      </c>
      <c r="D363" s="5">
        <v>0.41649305555555555</v>
      </c>
      <c r="E363">
        <v>199.06</v>
      </c>
      <c r="F363" t="s">
        <v>44</v>
      </c>
      <c r="G363" t="s">
        <v>5858</v>
      </c>
      <c r="H363" t="s">
        <v>124</v>
      </c>
      <c r="I363" t="s">
        <v>248</v>
      </c>
      <c r="J363" t="s">
        <v>5859</v>
      </c>
      <c r="K363">
        <v>37</v>
      </c>
      <c r="L363" t="s">
        <v>37</v>
      </c>
      <c r="M363" t="s">
        <v>91</v>
      </c>
      <c r="N363" t="s">
        <v>51</v>
      </c>
      <c r="O363" t="s">
        <v>28</v>
      </c>
      <c r="P363" t="s">
        <v>31</v>
      </c>
      <c r="Q363">
        <v>0</v>
      </c>
      <c r="R363" t="s">
        <v>12883</v>
      </c>
      <c r="S363" t="s">
        <v>12889</v>
      </c>
    </row>
    <row r="364" spans="1:19" x14ac:dyDescent="0.25">
      <c r="A364" t="s">
        <v>8685</v>
      </c>
      <c r="B364" s="1">
        <v>45871</v>
      </c>
      <c r="C364" t="s">
        <v>12893</v>
      </c>
      <c r="D364" s="5">
        <v>0.77731481481481479</v>
      </c>
      <c r="E364">
        <v>199.03</v>
      </c>
      <c r="F364" t="s">
        <v>44</v>
      </c>
      <c r="G364" t="s">
        <v>8686</v>
      </c>
      <c r="H364" t="s">
        <v>89</v>
      </c>
      <c r="I364" t="s">
        <v>119</v>
      </c>
      <c r="J364" t="s">
        <v>8687</v>
      </c>
      <c r="K364">
        <v>53</v>
      </c>
      <c r="L364" t="s">
        <v>25</v>
      </c>
      <c r="M364" t="s">
        <v>66</v>
      </c>
      <c r="N364" t="s">
        <v>39</v>
      </c>
      <c r="O364" t="s">
        <v>28</v>
      </c>
      <c r="P364" t="s">
        <v>31</v>
      </c>
      <c r="Q364">
        <v>0</v>
      </c>
      <c r="R364" t="s">
        <v>12883</v>
      </c>
      <c r="S364" t="s">
        <v>12886</v>
      </c>
    </row>
    <row r="365" spans="1:19" x14ac:dyDescent="0.25">
      <c r="A365" t="s">
        <v>7711</v>
      </c>
      <c r="B365" s="1">
        <v>45958</v>
      </c>
      <c r="C365" t="s">
        <v>12890</v>
      </c>
      <c r="D365" s="5">
        <v>2.0057870370370372E-2</v>
      </c>
      <c r="E365">
        <v>198.72</v>
      </c>
      <c r="F365" t="s">
        <v>44</v>
      </c>
      <c r="G365" t="s">
        <v>5718</v>
      </c>
      <c r="H365" t="s">
        <v>64</v>
      </c>
      <c r="I365" t="s">
        <v>248</v>
      </c>
      <c r="J365" t="s">
        <v>7712</v>
      </c>
      <c r="K365">
        <v>17</v>
      </c>
      <c r="L365" t="s">
        <v>37</v>
      </c>
      <c r="M365" t="s">
        <v>119</v>
      </c>
      <c r="N365" t="s">
        <v>105</v>
      </c>
      <c r="O365" t="s">
        <v>28</v>
      </c>
      <c r="P365" t="s">
        <v>31</v>
      </c>
      <c r="Q365">
        <v>0</v>
      </c>
      <c r="R365" t="s">
        <v>12883</v>
      </c>
      <c r="S365" t="s">
        <v>12892</v>
      </c>
    </row>
    <row r="366" spans="1:19" x14ac:dyDescent="0.25">
      <c r="A366" t="s">
        <v>926</v>
      </c>
      <c r="B366" s="1">
        <v>45862</v>
      </c>
      <c r="C366" t="s">
        <v>12885</v>
      </c>
      <c r="D366" s="5">
        <v>0.78017361111111116</v>
      </c>
      <c r="E366">
        <v>198.71</v>
      </c>
      <c r="F366" t="s">
        <v>44</v>
      </c>
      <c r="G366" t="s">
        <v>927</v>
      </c>
      <c r="H366" t="s">
        <v>64</v>
      </c>
      <c r="I366" t="s">
        <v>91</v>
      </c>
      <c r="J366" t="s">
        <v>928</v>
      </c>
      <c r="K366">
        <v>50</v>
      </c>
      <c r="L366" t="s">
        <v>25</v>
      </c>
      <c r="M366" t="s">
        <v>91</v>
      </c>
      <c r="N366" t="s">
        <v>105</v>
      </c>
      <c r="O366" t="s">
        <v>113</v>
      </c>
      <c r="P366" t="s">
        <v>31</v>
      </c>
      <c r="Q366">
        <v>0</v>
      </c>
      <c r="R366" t="s">
        <v>12883</v>
      </c>
      <c r="S366" t="s">
        <v>12886</v>
      </c>
    </row>
    <row r="367" spans="1:19" x14ac:dyDescent="0.25">
      <c r="A367" t="s">
        <v>10166</v>
      </c>
      <c r="B367" s="1">
        <v>45825</v>
      </c>
      <c r="C367" t="s">
        <v>12888</v>
      </c>
      <c r="D367" s="5">
        <v>0.47758101851851853</v>
      </c>
      <c r="E367">
        <v>198.25</v>
      </c>
      <c r="F367" t="s">
        <v>44</v>
      </c>
      <c r="G367" t="s">
        <v>8023</v>
      </c>
      <c r="H367" t="s">
        <v>96</v>
      </c>
      <c r="I367" t="s">
        <v>130</v>
      </c>
      <c r="J367" t="s">
        <v>10167</v>
      </c>
      <c r="K367">
        <v>45</v>
      </c>
      <c r="L367" t="s">
        <v>49</v>
      </c>
      <c r="M367" t="s">
        <v>23</v>
      </c>
      <c r="N367" t="s">
        <v>51</v>
      </c>
      <c r="O367" t="s">
        <v>28</v>
      </c>
      <c r="P367" t="s">
        <v>31</v>
      </c>
      <c r="Q367">
        <v>0</v>
      </c>
      <c r="R367" t="s">
        <v>12883</v>
      </c>
      <c r="S367" t="s">
        <v>12886</v>
      </c>
    </row>
    <row r="368" spans="1:19" x14ac:dyDescent="0.25">
      <c r="A368" t="s">
        <v>12051</v>
      </c>
      <c r="B368" s="1">
        <v>45887</v>
      </c>
      <c r="C368" t="s">
        <v>12893</v>
      </c>
      <c r="D368" s="5">
        <v>0.29062500000000002</v>
      </c>
      <c r="E368">
        <v>198.13</v>
      </c>
      <c r="F368" t="s">
        <v>44</v>
      </c>
      <c r="G368" t="s">
        <v>6450</v>
      </c>
      <c r="H368" t="s">
        <v>71</v>
      </c>
      <c r="I368" t="s">
        <v>130</v>
      </c>
      <c r="J368" t="s">
        <v>12052</v>
      </c>
      <c r="K368">
        <v>44</v>
      </c>
      <c r="L368" t="s">
        <v>49</v>
      </c>
      <c r="M368" t="s">
        <v>97</v>
      </c>
      <c r="N368" t="s">
        <v>27</v>
      </c>
      <c r="O368" t="s">
        <v>28</v>
      </c>
      <c r="P368" t="s">
        <v>31</v>
      </c>
      <c r="Q368">
        <v>0</v>
      </c>
      <c r="R368" t="s">
        <v>12883</v>
      </c>
      <c r="S368" t="s">
        <v>12886</v>
      </c>
    </row>
    <row r="369" spans="1:19" x14ac:dyDescent="0.25">
      <c r="A369" t="s">
        <v>2607</v>
      </c>
      <c r="B369" s="1">
        <v>45846</v>
      </c>
      <c r="C369" t="s">
        <v>12885</v>
      </c>
      <c r="D369" s="5">
        <v>0.52658564814814812</v>
      </c>
      <c r="E369">
        <v>198.09</v>
      </c>
      <c r="F369" t="s">
        <v>44</v>
      </c>
      <c r="G369" t="s">
        <v>1869</v>
      </c>
      <c r="H369" t="s">
        <v>96</v>
      </c>
      <c r="I369" t="s">
        <v>38</v>
      </c>
      <c r="J369" t="s">
        <v>2608</v>
      </c>
      <c r="K369">
        <v>74</v>
      </c>
      <c r="L369" t="s">
        <v>25</v>
      </c>
      <c r="M369" t="s">
        <v>35</v>
      </c>
      <c r="N369" t="s">
        <v>84</v>
      </c>
      <c r="O369" t="s">
        <v>28</v>
      </c>
      <c r="P369" t="s">
        <v>31</v>
      </c>
      <c r="Q369">
        <v>0</v>
      </c>
      <c r="R369" t="s">
        <v>12883</v>
      </c>
      <c r="S369" t="s">
        <v>12884</v>
      </c>
    </row>
    <row r="370" spans="1:19" x14ac:dyDescent="0.25">
      <c r="A370" t="s">
        <v>5114</v>
      </c>
      <c r="B370" s="1">
        <v>45844</v>
      </c>
      <c r="C370" t="s">
        <v>12885</v>
      </c>
      <c r="D370" s="5">
        <v>0.98274305555555552</v>
      </c>
      <c r="E370">
        <v>198</v>
      </c>
      <c r="F370" t="s">
        <v>44</v>
      </c>
      <c r="G370" t="s">
        <v>5115</v>
      </c>
      <c r="H370" t="s">
        <v>57</v>
      </c>
      <c r="I370" t="s">
        <v>26</v>
      </c>
      <c r="J370" t="s">
        <v>5116</v>
      </c>
      <c r="K370">
        <v>20</v>
      </c>
      <c r="L370" t="s">
        <v>25</v>
      </c>
      <c r="M370" t="s">
        <v>146</v>
      </c>
      <c r="N370" t="s">
        <v>84</v>
      </c>
      <c r="O370" t="s">
        <v>28</v>
      </c>
      <c r="P370" t="s">
        <v>31</v>
      </c>
      <c r="Q370">
        <v>0</v>
      </c>
      <c r="R370" t="s">
        <v>12883</v>
      </c>
      <c r="S370" t="s">
        <v>12892</v>
      </c>
    </row>
    <row r="371" spans="1:19" x14ac:dyDescent="0.25">
      <c r="A371" t="s">
        <v>3919</v>
      </c>
      <c r="B371" s="1">
        <v>45942</v>
      </c>
      <c r="C371" t="s">
        <v>12890</v>
      </c>
      <c r="D371" s="5">
        <v>0.42273148148148149</v>
      </c>
      <c r="E371">
        <v>197.92</v>
      </c>
      <c r="F371" t="s">
        <v>44</v>
      </c>
      <c r="G371" t="s">
        <v>292</v>
      </c>
      <c r="H371" t="s">
        <v>64</v>
      </c>
      <c r="I371" t="s">
        <v>47</v>
      </c>
      <c r="J371" t="s">
        <v>3920</v>
      </c>
      <c r="K371">
        <v>53</v>
      </c>
      <c r="L371" t="s">
        <v>25</v>
      </c>
      <c r="M371" t="s">
        <v>110</v>
      </c>
      <c r="N371" t="s">
        <v>51</v>
      </c>
      <c r="O371" t="s">
        <v>28</v>
      </c>
      <c r="P371" t="s">
        <v>31</v>
      </c>
      <c r="Q371">
        <v>0</v>
      </c>
      <c r="R371" t="s">
        <v>12883</v>
      </c>
      <c r="S371" t="s">
        <v>12886</v>
      </c>
    </row>
    <row r="372" spans="1:19" x14ac:dyDescent="0.25">
      <c r="A372" t="s">
        <v>2639</v>
      </c>
      <c r="B372" s="1">
        <v>45913</v>
      </c>
      <c r="C372" t="s">
        <v>12882</v>
      </c>
      <c r="D372" s="5">
        <v>0.62364583333333334</v>
      </c>
      <c r="E372">
        <v>197.75</v>
      </c>
      <c r="F372" t="s">
        <v>44</v>
      </c>
      <c r="G372" t="s">
        <v>2640</v>
      </c>
      <c r="H372" t="s">
        <v>46</v>
      </c>
      <c r="I372" t="s">
        <v>97</v>
      </c>
      <c r="J372" t="s">
        <v>2641</v>
      </c>
      <c r="K372">
        <v>32</v>
      </c>
      <c r="L372" t="s">
        <v>25</v>
      </c>
      <c r="M372" t="s">
        <v>58</v>
      </c>
      <c r="N372" t="s">
        <v>39</v>
      </c>
      <c r="O372" t="s">
        <v>28</v>
      </c>
      <c r="P372" t="s">
        <v>31</v>
      </c>
      <c r="Q372">
        <v>0</v>
      </c>
      <c r="R372" t="s">
        <v>12883</v>
      </c>
      <c r="S372" t="s">
        <v>12889</v>
      </c>
    </row>
    <row r="373" spans="1:19" x14ac:dyDescent="0.25">
      <c r="A373" t="s">
        <v>4613</v>
      </c>
      <c r="B373" s="1">
        <v>45902</v>
      </c>
      <c r="C373" t="s">
        <v>12882</v>
      </c>
      <c r="D373" s="5">
        <v>0.2416898148148148</v>
      </c>
      <c r="E373">
        <v>197.68</v>
      </c>
      <c r="F373" t="s">
        <v>44</v>
      </c>
      <c r="G373" t="s">
        <v>1529</v>
      </c>
      <c r="H373" t="s">
        <v>34</v>
      </c>
      <c r="I373" t="s">
        <v>110</v>
      </c>
      <c r="J373" t="s">
        <v>4614</v>
      </c>
      <c r="K373">
        <v>37</v>
      </c>
      <c r="L373" t="s">
        <v>25</v>
      </c>
      <c r="M373" t="s">
        <v>130</v>
      </c>
      <c r="N373" t="s">
        <v>27</v>
      </c>
      <c r="O373" t="s">
        <v>28</v>
      </c>
      <c r="P373" t="s">
        <v>31</v>
      </c>
      <c r="Q373">
        <v>0</v>
      </c>
      <c r="R373" t="s">
        <v>12883</v>
      </c>
      <c r="S373" t="s">
        <v>12889</v>
      </c>
    </row>
    <row r="374" spans="1:19" x14ac:dyDescent="0.25">
      <c r="A374" t="s">
        <v>8973</v>
      </c>
      <c r="B374" s="1">
        <v>45906</v>
      </c>
      <c r="C374" t="s">
        <v>12882</v>
      </c>
      <c r="D374" s="5">
        <v>0.14497685185185186</v>
      </c>
      <c r="E374">
        <v>197.52</v>
      </c>
      <c r="F374" t="s">
        <v>44</v>
      </c>
      <c r="G374" t="s">
        <v>6005</v>
      </c>
      <c r="H374" t="s">
        <v>64</v>
      </c>
      <c r="I374" t="s">
        <v>38</v>
      </c>
      <c r="J374" t="s">
        <v>8974</v>
      </c>
      <c r="K374">
        <v>18</v>
      </c>
      <c r="L374" t="s">
        <v>37</v>
      </c>
      <c r="M374" t="s">
        <v>47</v>
      </c>
      <c r="N374" t="s">
        <v>51</v>
      </c>
      <c r="O374" t="s">
        <v>28</v>
      </c>
      <c r="P374" t="s">
        <v>31</v>
      </c>
      <c r="Q374">
        <v>0</v>
      </c>
      <c r="R374" t="s">
        <v>12883</v>
      </c>
      <c r="S374" t="s">
        <v>12892</v>
      </c>
    </row>
    <row r="375" spans="1:19" x14ac:dyDescent="0.25">
      <c r="A375" t="s">
        <v>2093</v>
      </c>
      <c r="B375" s="1">
        <v>45916</v>
      </c>
      <c r="C375" t="s">
        <v>12882</v>
      </c>
      <c r="D375" s="5">
        <v>0.70407407407407407</v>
      </c>
      <c r="E375">
        <v>196.92</v>
      </c>
      <c r="F375" t="s">
        <v>44</v>
      </c>
      <c r="G375" t="s">
        <v>2094</v>
      </c>
      <c r="H375" t="s">
        <v>71</v>
      </c>
      <c r="I375" t="s">
        <v>23</v>
      </c>
      <c r="J375" t="s">
        <v>2095</v>
      </c>
      <c r="K375">
        <v>74</v>
      </c>
      <c r="L375" t="s">
        <v>25</v>
      </c>
      <c r="M375" t="s">
        <v>35</v>
      </c>
      <c r="N375" t="s">
        <v>112</v>
      </c>
      <c r="O375" t="s">
        <v>28</v>
      </c>
      <c r="P375" t="s">
        <v>31</v>
      </c>
      <c r="Q375">
        <v>0</v>
      </c>
      <c r="R375" t="s">
        <v>12883</v>
      </c>
      <c r="S375" t="s">
        <v>12884</v>
      </c>
    </row>
    <row r="376" spans="1:19" x14ac:dyDescent="0.25">
      <c r="A376" t="s">
        <v>134</v>
      </c>
      <c r="B376" s="1">
        <v>45818</v>
      </c>
      <c r="C376" t="s">
        <v>12888</v>
      </c>
      <c r="D376" s="5">
        <v>0.20356481481481481</v>
      </c>
      <c r="E376">
        <v>196.79</v>
      </c>
      <c r="F376" t="s">
        <v>44</v>
      </c>
      <c r="G376" t="s">
        <v>135</v>
      </c>
      <c r="H376" t="s">
        <v>22</v>
      </c>
      <c r="I376" t="s">
        <v>91</v>
      </c>
      <c r="J376" t="s">
        <v>136</v>
      </c>
      <c r="K376">
        <v>35</v>
      </c>
      <c r="L376" t="s">
        <v>37</v>
      </c>
      <c r="M376" t="s">
        <v>58</v>
      </c>
      <c r="N376" t="s">
        <v>39</v>
      </c>
      <c r="O376" t="s">
        <v>28</v>
      </c>
      <c r="P376" t="s">
        <v>31</v>
      </c>
      <c r="Q376">
        <v>0</v>
      </c>
      <c r="R376" t="s">
        <v>12883</v>
      </c>
      <c r="S376" t="s">
        <v>12889</v>
      </c>
    </row>
    <row r="377" spans="1:19" x14ac:dyDescent="0.25">
      <c r="A377" t="s">
        <v>11521</v>
      </c>
      <c r="B377" s="1">
        <v>45793</v>
      </c>
      <c r="C377" t="s">
        <v>12887</v>
      </c>
      <c r="D377" s="5">
        <v>0.58478009259259256</v>
      </c>
      <c r="E377">
        <v>196.73</v>
      </c>
      <c r="F377" t="s">
        <v>44</v>
      </c>
      <c r="G377" t="s">
        <v>698</v>
      </c>
      <c r="H377" t="s">
        <v>77</v>
      </c>
      <c r="I377" t="s">
        <v>130</v>
      </c>
      <c r="J377" t="s">
        <v>11522</v>
      </c>
      <c r="K377">
        <v>65</v>
      </c>
      <c r="L377" t="s">
        <v>37</v>
      </c>
      <c r="M377" t="s">
        <v>38</v>
      </c>
      <c r="N377" t="s">
        <v>51</v>
      </c>
      <c r="O377" t="s">
        <v>28</v>
      </c>
      <c r="P377" t="s">
        <v>31</v>
      </c>
      <c r="Q377">
        <v>1</v>
      </c>
      <c r="R377" t="s">
        <v>12891</v>
      </c>
      <c r="S377" t="s">
        <v>12884</v>
      </c>
    </row>
    <row r="378" spans="1:19" x14ac:dyDescent="0.25">
      <c r="A378" t="s">
        <v>9766</v>
      </c>
      <c r="B378" s="1">
        <v>45809</v>
      </c>
      <c r="C378" t="s">
        <v>12888</v>
      </c>
      <c r="D378" s="5">
        <v>0.20788194444444444</v>
      </c>
      <c r="E378">
        <v>196.7</v>
      </c>
      <c r="F378" t="s">
        <v>44</v>
      </c>
      <c r="G378" t="s">
        <v>968</v>
      </c>
      <c r="H378" t="s">
        <v>64</v>
      </c>
      <c r="I378" t="s">
        <v>26</v>
      </c>
      <c r="J378" t="s">
        <v>9767</v>
      </c>
      <c r="K378">
        <v>75</v>
      </c>
      <c r="L378" t="s">
        <v>37</v>
      </c>
      <c r="M378" t="s">
        <v>119</v>
      </c>
      <c r="N378" t="s">
        <v>112</v>
      </c>
      <c r="O378" t="s">
        <v>28</v>
      </c>
      <c r="P378" t="s">
        <v>31</v>
      </c>
      <c r="Q378">
        <v>0</v>
      </c>
      <c r="R378" t="s">
        <v>12883</v>
      </c>
      <c r="S378" t="s">
        <v>12884</v>
      </c>
    </row>
    <row r="379" spans="1:19" x14ac:dyDescent="0.25">
      <c r="A379" t="s">
        <v>10872</v>
      </c>
      <c r="B379" s="1">
        <v>45913</v>
      </c>
      <c r="C379" t="s">
        <v>12882</v>
      </c>
      <c r="D379" s="5">
        <v>0.75627314814814817</v>
      </c>
      <c r="E379">
        <v>196.7</v>
      </c>
      <c r="F379" t="s">
        <v>44</v>
      </c>
      <c r="G379" t="s">
        <v>1612</v>
      </c>
      <c r="H379" t="s">
        <v>96</v>
      </c>
      <c r="I379" t="s">
        <v>38</v>
      </c>
      <c r="J379" t="s">
        <v>10873</v>
      </c>
      <c r="K379">
        <v>65</v>
      </c>
      <c r="L379" t="s">
        <v>49</v>
      </c>
      <c r="M379" t="s">
        <v>47</v>
      </c>
      <c r="N379" t="s">
        <v>27</v>
      </c>
      <c r="O379" t="s">
        <v>28</v>
      </c>
      <c r="P379" t="s">
        <v>31</v>
      </c>
      <c r="Q379">
        <v>0</v>
      </c>
      <c r="R379" t="s">
        <v>12883</v>
      </c>
      <c r="S379" t="s">
        <v>12884</v>
      </c>
    </row>
    <row r="380" spans="1:19" x14ac:dyDescent="0.25">
      <c r="A380" t="s">
        <v>4815</v>
      </c>
      <c r="B380" s="1">
        <v>45922</v>
      </c>
      <c r="C380" t="s">
        <v>12882</v>
      </c>
      <c r="D380" s="5">
        <v>0.73952546296296295</v>
      </c>
      <c r="E380">
        <v>196.68</v>
      </c>
      <c r="F380" t="s">
        <v>44</v>
      </c>
      <c r="G380" t="s">
        <v>4816</v>
      </c>
      <c r="H380" t="s">
        <v>89</v>
      </c>
      <c r="I380" t="s">
        <v>23</v>
      </c>
      <c r="J380" t="s">
        <v>4817</v>
      </c>
      <c r="K380">
        <v>75</v>
      </c>
      <c r="L380" t="s">
        <v>37</v>
      </c>
      <c r="M380" t="s">
        <v>47</v>
      </c>
      <c r="N380" t="s">
        <v>84</v>
      </c>
      <c r="O380" t="s">
        <v>28</v>
      </c>
      <c r="P380" t="s">
        <v>31</v>
      </c>
      <c r="Q380">
        <v>0</v>
      </c>
      <c r="R380" t="s">
        <v>12883</v>
      </c>
      <c r="S380" t="s">
        <v>12884</v>
      </c>
    </row>
    <row r="381" spans="1:19" x14ac:dyDescent="0.25">
      <c r="A381" t="s">
        <v>10339</v>
      </c>
      <c r="B381" s="1">
        <v>45837</v>
      </c>
      <c r="C381" t="s">
        <v>12888</v>
      </c>
      <c r="D381" s="5">
        <v>8.6307870370370368E-2</v>
      </c>
      <c r="E381">
        <v>196.62</v>
      </c>
      <c r="F381" t="s">
        <v>44</v>
      </c>
      <c r="G381" t="s">
        <v>495</v>
      </c>
      <c r="H381" t="s">
        <v>57</v>
      </c>
      <c r="I381" t="s">
        <v>248</v>
      </c>
      <c r="J381" t="s">
        <v>10340</v>
      </c>
      <c r="K381">
        <v>44</v>
      </c>
      <c r="L381" t="s">
        <v>37</v>
      </c>
      <c r="M381" t="s">
        <v>97</v>
      </c>
      <c r="N381" t="s">
        <v>84</v>
      </c>
      <c r="O381" t="s">
        <v>28</v>
      </c>
      <c r="P381" t="s">
        <v>31</v>
      </c>
      <c r="Q381">
        <v>0</v>
      </c>
      <c r="R381" t="s">
        <v>12883</v>
      </c>
      <c r="S381" t="s">
        <v>12886</v>
      </c>
    </row>
    <row r="382" spans="1:19" x14ac:dyDescent="0.25">
      <c r="A382" t="s">
        <v>6727</v>
      </c>
      <c r="B382" s="1">
        <v>45896</v>
      </c>
      <c r="C382" t="s">
        <v>12893</v>
      </c>
      <c r="D382" s="5">
        <v>0.40458333333333335</v>
      </c>
      <c r="E382">
        <v>196.53</v>
      </c>
      <c r="F382" t="s">
        <v>44</v>
      </c>
      <c r="G382" t="s">
        <v>6728</v>
      </c>
      <c r="H382" t="s">
        <v>77</v>
      </c>
      <c r="I382" t="s">
        <v>35</v>
      </c>
      <c r="J382" t="s">
        <v>6729</v>
      </c>
      <c r="K382">
        <v>21</v>
      </c>
      <c r="L382" t="s">
        <v>25</v>
      </c>
      <c r="M382" t="s">
        <v>146</v>
      </c>
      <c r="N382" t="s">
        <v>112</v>
      </c>
      <c r="O382" t="s">
        <v>28</v>
      </c>
      <c r="P382" t="s">
        <v>31</v>
      </c>
      <c r="Q382">
        <v>0</v>
      </c>
      <c r="R382" t="s">
        <v>12883</v>
      </c>
      <c r="S382" t="s">
        <v>12892</v>
      </c>
    </row>
    <row r="383" spans="1:19" x14ac:dyDescent="0.25">
      <c r="A383" t="s">
        <v>9662</v>
      </c>
      <c r="B383" s="1">
        <v>45911</v>
      </c>
      <c r="C383" t="s">
        <v>12882</v>
      </c>
      <c r="D383" s="5">
        <v>8.4988425925925926E-2</v>
      </c>
      <c r="E383">
        <v>196.33</v>
      </c>
      <c r="F383" t="s">
        <v>44</v>
      </c>
      <c r="G383" t="s">
        <v>5833</v>
      </c>
      <c r="H383" t="s">
        <v>89</v>
      </c>
      <c r="I383" t="s">
        <v>119</v>
      </c>
      <c r="J383" t="s">
        <v>9663</v>
      </c>
      <c r="K383">
        <v>75</v>
      </c>
      <c r="L383" t="s">
        <v>37</v>
      </c>
      <c r="M383" t="s">
        <v>91</v>
      </c>
      <c r="N383" t="s">
        <v>39</v>
      </c>
      <c r="O383" t="s">
        <v>28</v>
      </c>
      <c r="P383" t="s">
        <v>31</v>
      </c>
      <c r="Q383">
        <v>0</v>
      </c>
      <c r="R383" t="s">
        <v>12883</v>
      </c>
      <c r="S383" t="s">
        <v>12884</v>
      </c>
    </row>
    <row r="384" spans="1:19" x14ac:dyDescent="0.25">
      <c r="A384" t="s">
        <v>2138</v>
      </c>
      <c r="B384" s="1">
        <v>45917</v>
      </c>
      <c r="C384" t="s">
        <v>12882</v>
      </c>
      <c r="D384" s="5">
        <v>1.0254629629629629E-2</v>
      </c>
      <c r="E384">
        <v>196.26</v>
      </c>
      <c r="F384" t="s">
        <v>44</v>
      </c>
      <c r="G384" t="s">
        <v>2139</v>
      </c>
      <c r="H384" t="s">
        <v>124</v>
      </c>
      <c r="I384" t="s">
        <v>47</v>
      </c>
      <c r="J384" t="s">
        <v>2140</v>
      </c>
      <c r="K384">
        <v>57</v>
      </c>
      <c r="L384" t="s">
        <v>49</v>
      </c>
      <c r="M384" t="s">
        <v>26</v>
      </c>
      <c r="N384" t="s">
        <v>112</v>
      </c>
      <c r="O384" t="s">
        <v>28</v>
      </c>
      <c r="P384" t="s">
        <v>31</v>
      </c>
      <c r="Q384">
        <v>0</v>
      </c>
      <c r="R384" t="s">
        <v>12883</v>
      </c>
      <c r="S384" t="s">
        <v>12886</v>
      </c>
    </row>
    <row r="385" spans="1:19" x14ac:dyDescent="0.25">
      <c r="A385" t="s">
        <v>12671</v>
      </c>
      <c r="B385" s="1">
        <v>45903</v>
      </c>
      <c r="C385" t="s">
        <v>12882</v>
      </c>
      <c r="D385" s="5">
        <v>0.69518518518518524</v>
      </c>
      <c r="E385">
        <v>196.24</v>
      </c>
      <c r="F385" t="s">
        <v>44</v>
      </c>
      <c r="G385" t="s">
        <v>3385</v>
      </c>
      <c r="H385" t="s">
        <v>96</v>
      </c>
      <c r="I385" t="s">
        <v>130</v>
      </c>
      <c r="J385" t="s">
        <v>1423</v>
      </c>
      <c r="K385">
        <v>74</v>
      </c>
      <c r="L385" t="s">
        <v>25</v>
      </c>
      <c r="M385" t="s">
        <v>35</v>
      </c>
      <c r="N385" t="s">
        <v>39</v>
      </c>
      <c r="O385" t="s">
        <v>28</v>
      </c>
      <c r="P385" t="s">
        <v>31</v>
      </c>
      <c r="Q385">
        <v>0</v>
      </c>
      <c r="R385" t="s">
        <v>12883</v>
      </c>
      <c r="S385" t="s">
        <v>12884</v>
      </c>
    </row>
    <row r="386" spans="1:19" x14ac:dyDescent="0.25">
      <c r="A386" t="s">
        <v>3152</v>
      </c>
      <c r="B386" s="1">
        <v>45829</v>
      </c>
      <c r="C386" t="s">
        <v>12888</v>
      </c>
      <c r="D386" s="5">
        <v>0.14598379629629629</v>
      </c>
      <c r="E386">
        <v>195.82</v>
      </c>
      <c r="F386" t="s">
        <v>44</v>
      </c>
      <c r="G386" t="s">
        <v>227</v>
      </c>
      <c r="H386" t="s">
        <v>34</v>
      </c>
      <c r="I386" t="s">
        <v>58</v>
      </c>
      <c r="J386" t="s">
        <v>3153</v>
      </c>
      <c r="K386">
        <v>37</v>
      </c>
      <c r="L386" t="s">
        <v>37</v>
      </c>
      <c r="M386" t="s">
        <v>110</v>
      </c>
      <c r="N386" t="s">
        <v>84</v>
      </c>
      <c r="O386" t="s">
        <v>28</v>
      </c>
      <c r="P386" t="s">
        <v>31</v>
      </c>
      <c r="Q386">
        <v>0</v>
      </c>
      <c r="R386" t="s">
        <v>12883</v>
      </c>
      <c r="S386" t="s">
        <v>12889</v>
      </c>
    </row>
    <row r="387" spans="1:19" x14ac:dyDescent="0.25">
      <c r="A387" t="s">
        <v>9240</v>
      </c>
      <c r="B387" s="1">
        <v>45818</v>
      </c>
      <c r="C387" t="s">
        <v>12888</v>
      </c>
      <c r="D387" s="5">
        <v>0.64740740740740743</v>
      </c>
      <c r="E387">
        <v>195.76</v>
      </c>
      <c r="F387" t="s">
        <v>44</v>
      </c>
      <c r="G387" t="s">
        <v>4140</v>
      </c>
      <c r="H387" t="s">
        <v>124</v>
      </c>
      <c r="I387" t="s">
        <v>130</v>
      </c>
      <c r="J387" t="s">
        <v>9241</v>
      </c>
      <c r="K387">
        <v>28</v>
      </c>
      <c r="L387" t="s">
        <v>25</v>
      </c>
      <c r="M387" t="s">
        <v>91</v>
      </c>
      <c r="N387" t="s">
        <v>84</v>
      </c>
      <c r="O387" t="s">
        <v>28</v>
      </c>
      <c r="P387" t="s">
        <v>31</v>
      </c>
      <c r="Q387">
        <v>0</v>
      </c>
      <c r="R387" t="s">
        <v>12883</v>
      </c>
      <c r="S387" t="s">
        <v>12889</v>
      </c>
    </row>
    <row r="388" spans="1:19" x14ac:dyDescent="0.25">
      <c r="A388" t="s">
        <v>9113</v>
      </c>
      <c r="B388" s="1">
        <v>45924</v>
      </c>
      <c r="C388" t="s">
        <v>12882</v>
      </c>
      <c r="D388" s="5">
        <v>1.3587962962962963E-2</v>
      </c>
      <c r="E388">
        <v>195.67</v>
      </c>
      <c r="F388" t="s">
        <v>44</v>
      </c>
      <c r="G388" t="s">
        <v>1262</v>
      </c>
      <c r="H388" t="s">
        <v>64</v>
      </c>
      <c r="I388" t="s">
        <v>47</v>
      </c>
      <c r="J388" t="s">
        <v>9114</v>
      </c>
      <c r="K388">
        <v>29</v>
      </c>
      <c r="L388" t="s">
        <v>37</v>
      </c>
      <c r="M388" t="s">
        <v>23</v>
      </c>
      <c r="N388" t="s">
        <v>112</v>
      </c>
      <c r="O388" t="s">
        <v>28</v>
      </c>
      <c r="P388" t="s">
        <v>31</v>
      </c>
      <c r="Q388">
        <v>0</v>
      </c>
      <c r="R388" t="s">
        <v>12883</v>
      </c>
      <c r="S388" t="s">
        <v>12889</v>
      </c>
    </row>
    <row r="389" spans="1:19" x14ac:dyDescent="0.25">
      <c r="A389" t="s">
        <v>8075</v>
      </c>
      <c r="B389" s="1">
        <v>45939</v>
      </c>
      <c r="C389" t="s">
        <v>12890</v>
      </c>
      <c r="D389" s="5">
        <v>0.11739583333333334</v>
      </c>
      <c r="E389">
        <v>195.59</v>
      </c>
      <c r="F389" t="s">
        <v>44</v>
      </c>
      <c r="G389" t="s">
        <v>2089</v>
      </c>
      <c r="H389" t="s">
        <v>77</v>
      </c>
      <c r="I389" t="s">
        <v>26</v>
      </c>
      <c r="J389" t="s">
        <v>8076</v>
      </c>
      <c r="K389">
        <v>72</v>
      </c>
      <c r="L389" t="s">
        <v>25</v>
      </c>
      <c r="M389" t="s">
        <v>35</v>
      </c>
      <c r="N389" t="s">
        <v>51</v>
      </c>
      <c r="O389" t="s">
        <v>28</v>
      </c>
      <c r="P389" t="s">
        <v>31</v>
      </c>
      <c r="Q389">
        <v>1</v>
      </c>
      <c r="R389" t="s">
        <v>12891</v>
      </c>
      <c r="S389" t="s">
        <v>12884</v>
      </c>
    </row>
    <row r="390" spans="1:19" x14ac:dyDescent="0.25">
      <c r="A390" t="s">
        <v>8823</v>
      </c>
      <c r="B390" s="1">
        <v>45861</v>
      </c>
      <c r="C390" t="s">
        <v>12885</v>
      </c>
      <c r="D390" s="5">
        <v>0.99202546296296301</v>
      </c>
      <c r="E390">
        <v>195.37</v>
      </c>
      <c r="F390" t="s">
        <v>44</v>
      </c>
      <c r="G390" t="s">
        <v>2104</v>
      </c>
      <c r="H390" t="s">
        <v>124</v>
      </c>
      <c r="I390" t="s">
        <v>58</v>
      </c>
      <c r="J390" t="s">
        <v>8824</v>
      </c>
      <c r="K390">
        <v>61</v>
      </c>
      <c r="L390" t="s">
        <v>25</v>
      </c>
      <c r="M390" t="s">
        <v>130</v>
      </c>
      <c r="N390" t="s">
        <v>51</v>
      </c>
      <c r="O390" t="s">
        <v>28</v>
      </c>
      <c r="P390" t="s">
        <v>31</v>
      </c>
      <c r="Q390">
        <v>0</v>
      </c>
      <c r="R390" t="s">
        <v>12883</v>
      </c>
      <c r="S390" t="s">
        <v>12884</v>
      </c>
    </row>
    <row r="391" spans="1:19" x14ac:dyDescent="0.25">
      <c r="A391" t="s">
        <v>5392</v>
      </c>
      <c r="B391" s="1">
        <v>45865</v>
      </c>
      <c r="C391" t="s">
        <v>12885</v>
      </c>
      <c r="D391" s="5">
        <v>0.85660879629629627</v>
      </c>
      <c r="E391">
        <v>195.33</v>
      </c>
      <c r="F391" t="s">
        <v>44</v>
      </c>
      <c r="G391" t="s">
        <v>5393</v>
      </c>
      <c r="H391" t="s">
        <v>89</v>
      </c>
      <c r="I391" t="s">
        <v>58</v>
      </c>
      <c r="J391" t="s">
        <v>5394</v>
      </c>
      <c r="K391">
        <v>73</v>
      </c>
      <c r="L391" t="s">
        <v>49</v>
      </c>
      <c r="M391" t="s">
        <v>66</v>
      </c>
      <c r="N391" t="s">
        <v>51</v>
      </c>
      <c r="O391" t="s">
        <v>28</v>
      </c>
      <c r="P391" t="s">
        <v>31</v>
      </c>
      <c r="Q391">
        <v>0</v>
      </c>
      <c r="R391" t="s">
        <v>12883</v>
      </c>
      <c r="S391" t="s">
        <v>12884</v>
      </c>
    </row>
    <row r="392" spans="1:19" x14ac:dyDescent="0.25">
      <c r="A392" t="s">
        <v>1920</v>
      </c>
      <c r="B392" s="1">
        <v>45880</v>
      </c>
      <c r="C392" t="s">
        <v>12893</v>
      </c>
      <c r="D392" s="5">
        <v>0.21256944444444445</v>
      </c>
      <c r="E392">
        <v>195.3</v>
      </c>
      <c r="F392" t="s">
        <v>44</v>
      </c>
      <c r="G392" t="s">
        <v>1921</v>
      </c>
      <c r="H392" t="s">
        <v>77</v>
      </c>
      <c r="I392" t="s">
        <v>23</v>
      </c>
      <c r="J392" t="s">
        <v>1922</v>
      </c>
      <c r="K392">
        <v>75</v>
      </c>
      <c r="L392" t="s">
        <v>25</v>
      </c>
      <c r="M392" t="s">
        <v>35</v>
      </c>
      <c r="N392" t="s">
        <v>112</v>
      </c>
      <c r="O392" t="s">
        <v>28</v>
      </c>
      <c r="P392" t="s">
        <v>31</v>
      </c>
      <c r="Q392">
        <v>1</v>
      </c>
      <c r="R392" t="s">
        <v>12891</v>
      </c>
      <c r="S392" t="s">
        <v>12884</v>
      </c>
    </row>
    <row r="393" spans="1:19" x14ac:dyDescent="0.25">
      <c r="A393" t="s">
        <v>9647</v>
      </c>
      <c r="B393" s="1">
        <v>45795</v>
      </c>
      <c r="C393" t="s">
        <v>12887</v>
      </c>
      <c r="D393" s="5">
        <v>0.36076388888888888</v>
      </c>
      <c r="E393">
        <v>195.26</v>
      </c>
      <c r="F393" t="s">
        <v>44</v>
      </c>
      <c r="G393" t="s">
        <v>2481</v>
      </c>
      <c r="H393" t="s">
        <v>46</v>
      </c>
      <c r="I393" t="s">
        <v>47</v>
      </c>
      <c r="J393" t="s">
        <v>9648</v>
      </c>
      <c r="K393">
        <v>41</v>
      </c>
      <c r="L393" t="s">
        <v>25</v>
      </c>
      <c r="M393" t="s">
        <v>66</v>
      </c>
      <c r="N393" t="s">
        <v>27</v>
      </c>
      <c r="O393" t="s">
        <v>28</v>
      </c>
      <c r="P393" t="s">
        <v>31</v>
      </c>
      <c r="Q393">
        <v>0</v>
      </c>
      <c r="R393" t="s">
        <v>12883</v>
      </c>
      <c r="S393" t="s">
        <v>12886</v>
      </c>
    </row>
    <row r="394" spans="1:19" x14ac:dyDescent="0.25">
      <c r="A394" t="s">
        <v>2989</v>
      </c>
      <c r="B394" s="1">
        <v>45956</v>
      </c>
      <c r="C394" t="s">
        <v>12890</v>
      </c>
      <c r="D394" s="5">
        <v>5.4872685185185184E-2</v>
      </c>
      <c r="E394">
        <v>195.19</v>
      </c>
      <c r="F394" t="s">
        <v>44</v>
      </c>
      <c r="G394" t="s">
        <v>2990</v>
      </c>
      <c r="H394" t="s">
        <v>46</v>
      </c>
      <c r="I394" t="s">
        <v>97</v>
      </c>
      <c r="J394" t="s">
        <v>2991</v>
      </c>
      <c r="K394">
        <v>67</v>
      </c>
      <c r="L394" t="s">
        <v>37</v>
      </c>
      <c r="M394" t="s">
        <v>97</v>
      </c>
      <c r="N394" t="s">
        <v>39</v>
      </c>
      <c r="O394" t="s">
        <v>113</v>
      </c>
      <c r="P394" t="s">
        <v>31</v>
      </c>
      <c r="Q394">
        <v>0</v>
      </c>
      <c r="R394" t="s">
        <v>12883</v>
      </c>
      <c r="S394" t="s">
        <v>12884</v>
      </c>
    </row>
    <row r="395" spans="1:19" x14ac:dyDescent="0.25">
      <c r="A395" t="s">
        <v>9002</v>
      </c>
      <c r="B395" s="1">
        <v>45841</v>
      </c>
      <c r="C395" t="s">
        <v>12885</v>
      </c>
      <c r="D395" s="5">
        <v>0.53781250000000003</v>
      </c>
      <c r="E395">
        <v>195.02</v>
      </c>
      <c r="F395" t="s">
        <v>44</v>
      </c>
      <c r="G395" t="s">
        <v>3035</v>
      </c>
      <c r="H395" t="s">
        <v>34</v>
      </c>
      <c r="I395" t="s">
        <v>38</v>
      </c>
      <c r="J395" t="s">
        <v>9003</v>
      </c>
      <c r="K395">
        <v>40</v>
      </c>
      <c r="L395" t="s">
        <v>49</v>
      </c>
      <c r="M395" t="s">
        <v>47</v>
      </c>
      <c r="N395" t="s">
        <v>112</v>
      </c>
      <c r="O395" t="s">
        <v>28</v>
      </c>
      <c r="P395" t="s">
        <v>31</v>
      </c>
      <c r="Q395">
        <v>0</v>
      </c>
      <c r="R395" t="s">
        <v>12883</v>
      </c>
      <c r="S395" t="s">
        <v>12886</v>
      </c>
    </row>
    <row r="396" spans="1:19" x14ac:dyDescent="0.25">
      <c r="A396" t="s">
        <v>10649</v>
      </c>
      <c r="B396" s="1">
        <v>45942</v>
      </c>
      <c r="C396" t="s">
        <v>12890</v>
      </c>
      <c r="D396" s="5">
        <v>0.81177083333333333</v>
      </c>
      <c r="E396">
        <v>194.96</v>
      </c>
      <c r="F396" t="s">
        <v>44</v>
      </c>
      <c r="G396" t="s">
        <v>3526</v>
      </c>
      <c r="H396" t="s">
        <v>64</v>
      </c>
      <c r="I396" t="s">
        <v>47</v>
      </c>
      <c r="J396" t="s">
        <v>10650</v>
      </c>
      <c r="K396">
        <v>18</v>
      </c>
      <c r="L396" t="s">
        <v>25</v>
      </c>
      <c r="M396" t="s">
        <v>58</v>
      </c>
      <c r="N396" t="s">
        <v>51</v>
      </c>
      <c r="O396" t="s">
        <v>28</v>
      </c>
      <c r="P396" t="s">
        <v>31</v>
      </c>
      <c r="Q396">
        <v>0</v>
      </c>
      <c r="R396" t="s">
        <v>12883</v>
      </c>
      <c r="S396" t="s">
        <v>12892</v>
      </c>
    </row>
    <row r="397" spans="1:19" x14ac:dyDescent="0.25">
      <c r="A397" t="s">
        <v>4984</v>
      </c>
      <c r="B397" s="1">
        <v>45875</v>
      </c>
      <c r="C397" t="s">
        <v>12893</v>
      </c>
      <c r="D397" s="5">
        <v>0.40177083333333335</v>
      </c>
      <c r="E397">
        <v>194.92</v>
      </c>
      <c r="F397" t="s">
        <v>44</v>
      </c>
      <c r="G397" t="s">
        <v>1205</v>
      </c>
      <c r="H397" t="s">
        <v>64</v>
      </c>
      <c r="I397" t="s">
        <v>47</v>
      </c>
      <c r="J397" t="s">
        <v>4985</v>
      </c>
      <c r="K397">
        <v>69</v>
      </c>
      <c r="L397" t="s">
        <v>49</v>
      </c>
      <c r="M397" t="s">
        <v>110</v>
      </c>
      <c r="N397" t="s">
        <v>112</v>
      </c>
      <c r="O397" t="s">
        <v>28</v>
      </c>
      <c r="P397" t="s">
        <v>31</v>
      </c>
      <c r="Q397">
        <v>0</v>
      </c>
      <c r="R397" t="s">
        <v>12883</v>
      </c>
      <c r="S397" t="s">
        <v>12884</v>
      </c>
    </row>
    <row r="398" spans="1:19" x14ac:dyDescent="0.25">
      <c r="A398" t="s">
        <v>6388</v>
      </c>
      <c r="B398" s="1">
        <v>45905</v>
      </c>
      <c r="C398" t="s">
        <v>12882</v>
      </c>
      <c r="D398" s="5">
        <v>0.38598379629629631</v>
      </c>
      <c r="E398">
        <v>194.86</v>
      </c>
      <c r="F398" t="s">
        <v>44</v>
      </c>
      <c r="G398" t="s">
        <v>6235</v>
      </c>
      <c r="H398" t="s">
        <v>64</v>
      </c>
      <c r="I398" t="s">
        <v>130</v>
      </c>
      <c r="J398" t="s">
        <v>6389</v>
      </c>
      <c r="K398">
        <v>63</v>
      </c>
      <c r="L398" t="s">
        <v>37</v>
      </c>
      <c r="M398" t="s">
        <v>66</v>
      </c>
      <c r="N398" t="s">
        <v>27</v>
      </c>
      <c r="O398" t="s">
        <v>28</v>
      </c>
      <c r="P398" t="s">
        <v>31</v>
      </c>
      <c r="Q398">
        <v>0</v>
      </c>
      <c r="R398" t="s">
        <v>12883</v>
      </c>
      <c r="S398" t="s">
        <v>12884</v>
      </c>
    </row>
    <row r="399" spans="1:19" x14ac:dyDescent="0.25">
      <c r="A399" t="s">
        <v>3884</v>
      </c>
      <c r="B399" s="1">
        <v>45890</v>
      </c>
      <c r="C399" t="s">
        <v>12893</v>
      </c>
      <c r="D399" s="5">
        <v>0.14278935185185185</v>
      </c>
      <c r="E399">
        <v>194.78</v>
      </c>
      <c r="F399" t="s">
        <v>44</v>
      </c>
      <c r="G399" t="s">
        <v>3743</v>
      </c>
      <c r="H399" t="s">
        <v>34</v>
      </c>
      <c r="I399" t="s">
        <v>35</v>
      </c>
      <c r="J399" t="s">
        <v>3885</v>
      </c>
      <c r="K399">
        <v>67</v>
      </c>
      <c r="L399" t="s">
        <v>25</v>
      </c>
      <c r="M399" t="s">
        <v>110</v>
      </c>
      <c r="N399" t="s">
        <v>51</v>
      </c>
      <c r="O399" t="s">
        <v>28</v>
      </c>
      <c r="P399" t="s">
        <v>31</v>
      </c>
      <c r="Q399">
        <v>0</v>
      </c>
      <c r="R399" t="s">
        <v>12883</v>
      </c>
      <c r="S399" t="s">
        <v>12884</v>
      </c>
    </row>
    <row r="400" spans="1:19" x14ac:dyDescent="0.25">
      <c r="A400" t="s">
        <v>648</v>
      </c>
      <c r="B400" s="1">
        <v>45910</v>
      </c>
      <c r="C400" t="s">
        <v>12882</v>
      </c>
      <c r="D400" s="5">
        <v>0.52537037037037038</v>
      </c>
      <c r="E400">
        <v>194.76</v>
      </c>
      <c r="F400" t="s">
        <v>44</v>
      </c>
      <c r="G400" t="s">
        <v>649</v>
      </c>
      <c r="H400" t="s">
        <v>46</v>
      </c>
      <c r="I400" t="s">
        <v>38</v>
      </c>
      <c r="J400" t="s">
        <v>650</v>
      </c>
      <c r="K400">
        <v>24</v>
      </c>
      <c r="L400" t="s">
        <v>49</v>
      </c>
      <c r="M400" t="s">
        <v>35</v>
      </c>
      <c r="N400" t="s">
        <v>39</v>
      </c>
      <c r="O400" t="s">
        <v>28</v>
      </c>
      <c r="P400" t="s">
        <v>31</v>
      </c>
      <c r="Q400">
        <v>0</v>
      </c>
      <c r="R400" t="s">
        <v>12883</v>
      </c>
      <c r="S400" t="s">
        <v>12892</v>
      </c>
    </row>
    <row r="401" spans="1:19" x14ac:dyDescent="0.25">
      <c r="A401" t="s">
        <v>5507</v>
      </c>
      <c r="B401" s="1">
        <v>45836</v>
      </c>
      <c r="C401" t="s">
        <v>12888</v>
      </c>
      <c r="D401" s="5">
        <v>0.91211805555555558</v>
      </c>
      <c r="E401">
        <v>194.74</v>
      </c>
      <c r="F401" t="s">
        <v>44</v>
      </c>
      <c r="G401" t="s">
        <v>3447</v>
      </c>
      <c r="H401" t="s">
        <v>64</v>
      </c>
      <c r="I401" t="s">
        <v>91</v>
      </c>
      <c r="J401" t="s">
        <v>5508</v>
      </c>
      <c r="K401">
        <v>44</v>
      </c>
      <c r="L401" t="s">
        <v>25</v>
      </c>
      <c r="M401" t="s">
        <v>35</v>
      </c>
      <c r="N401" t="s">
        <v>27</v>
      </c>
      <c r="O401" t="s">
        <v>28</v>
      </c>
      <c r="P401" t="s">
        <v>31</v>
      </c>
      <c r="Q401">
        <v>0</v>
      </c>
      <c r="R401" t="s">
        <v>12883</v>
      </c>
      <c r="S401" t="s">
        <v>12886</v>
      </c>
    </row>
    <row r="402" spans="1:19" x14ac:dyDescent="0.25">
      <c r="A402" t="s">
        <v>4093</v>
      </c>
      <c r="B402" s="1">
        <v>45868</v>
      </c>
      <c r="C402" t="s">
        <v>12885</v>
      </c>
      <c r="D402" s="5">
        <v>0.63795138888888892</v>
      </c>
      <c r="E402">
        <v>194.71</v>
      </c>
      <c r="F402" t="s">
        <v>44</v>
      </c>
      <c r="G402" t="s">
        <v>3452</v>
      </c>
      <c r="H402" t="s">
        <v>77</v>
      </c>
      <c r="I402" t="s">
        <v>146</v>
      </c>
      <c r="J402" t="s">
        <v>4094</v>
      </c>
      <c r="K402">
        <v>39</v>
      </c>
      <c r="L402" t="s">
        <v>49</v>
      </c>
      <c r="M402" t="s">
        <v>110</v>
      </c>
      <c r="N402" t="s">
        <v>39</v>
      </c>
      <c r="O402" t="s">
        <v>28</v>
      </c>
      <c r="P402" t="s">
        <v>31</v>
      </c>
      <c r="Q402">
        <v>0</v>
      </c>
      <c r="R402" t="s">
        <v>12883</v>
      </c>
      <c r="S402" t="s">
        <v>12889</v>
      </c>
    </row>
    <row r="403" spans="1:19" x14ac:dyDescent="0.25">
      <c r="A403" t="s">
        <v>10549</v>
      </c>
      <c r="B403" s="1">
        <v>45955</v>
      </c>
      <c r="C403" t="s">
        <v>12890</v>
      </c>
      <c r="D403" s="5">
        <v>0.68055555555555558</v>
      </c>
      <c r="E403">
        <v>194.67</v>
      </c>
      <c r="F403" t="s">
        <v>44</v>
      </c>
      <c r="G403" t="s">
        <v>4350</v>
      </c>
      <c r="H403" t="s">
        <v>96</v>
      </c>
      <c r="I403" t="s">
        <v>130</v>
      </c>
      <c r="J403" t="s">
        <v>587</v>
      </c>
      <c r="K403">
        <v>45</v>
      </c>
      <c r="L403" t="s">
        <v>49</v>
      </c>
      <c r="M403" t="s">
        <v>26</v>
      </c>
      <c r="N403" t="s">
        <v>27</v>
      </c>
      <c r="O403" t="s">
        <v>28</v>
      </c>
      <c r="P403" t="s">
        <v>31</v>
      </c>
      <c r="Q403">
        <v>0</v>
      </c>
      <c r="R403" t="s">
        <v>12883</v>
      </c>
      <c r="S403" t="s">
        <v>12886</v>
      </c>
    </row>
    <row r="404" spans="1:19" x14ac:dyDescent="0.25">
      <c r="A404" t="s">
        <v>10074</v>
      </c>
      <c r="B404" s="1">
        <v>45944</v>
      </c>
      <c r="C404" t="s">
        <v>12890</v>
      </c>
      <c r="D404" s="5">
        <v>0.67109953703703706</v>
      </c>
      <c r="E404">
        <v>194.51</v>
      </c>
      <c r="F404" t="s">
        <v>44</v>
      </c>
      <c r="G404" t="s">
        <v>6596</v>
      </c>
      <c r="H404" t="s">
        <v>96</v>
      </c>
      <c r="I404" t="s">
        <v>110</v>
      </c>
      <c r="J404" t="s">
        <v>10075</v>
      </c>
      <c r="K404">
        <v>40</v>
      </c>
      <c r="L404" t="s">
        <v>49</v>
      </c>
      <c r="M404" t="s">
        <v>35</v>
      </c>
      <c r="N404" t="s">
        <v>51</v>
      </c>
      <c r="O404" t="s">
        <v>28</v>
      </c>
      <c r="P404" t="s">
        <v>31</v>
      </c>
      <c r="Q404">
        <v>0</v>
      </c>
      <c r="R404" t="s">
        <v>12883</v>
      </c>
      <c r="S404" t="s">
        <v>12886</v>
      </c>
    </row>
    <row r="405" spans="1:19" x14ac:dyDescent="0.25">
      <c r="A405" t="s">
        <v>12408</v>
      </c>
      <c r="B405" s="1">
        <v>45810</v>
      </c>
      <c r="C405" t="s">
        <v>12888</v>
      </c>
      <c r="D405" s="5">
        <v>0.57497685185185188</v>
      </c>
      <c r="E405">
        <v>194.51</v>
      </c>
      <c r="F405" t="s">
        <v>44</v>
      </c>
      <c r="G405" t="s">
        <v>12409</v>
      </c>
      <c r="H405" t="s">
        <v>96</v>
      </c>
      <c r="I405" t="s">
        <v>110</v>
      </c>
      <c r="J405" t="s">
        <v>12410</v>
      </c>
      <c r="K405">
        <v>73</v>
      </c>
      <c r="L405" t="s">
        <v>37</v>
      </c>
      <c r="M405" t="s">
        <v>23</v>
      </c>
      <c r="N405" t="s">
        <v>84</v>
      </c>
      <c r="O405" t="s">
        <v>28</v>
      </c>
      <c r="P405" t="s">
        <v>31</v>
      </c>
      <c r="Q405">
        <v>0</v>
      </c>
      <c r="R405" t="s">
        <v>12883</v>
      </c>
      <c r="S405" t="s">
        <v>12884</v>
      </c>
    </row>
    <row r="406" spans="1:19" x14ac:dyDescent="0.25">
      <c r="A406" t="s">
        <v>697</v>
      </c>
      <c r="B406" s="1">
        <v>45832</v>
      </c>
      <c r="C406" t="s">
        <v>12888</v>
      </c>
      <c r="D406" s="5">
        <v>0.64659722222222227</v>
      </c>
      <c r="E406">
        <v>194.48</v>
      </c>
      <c r="F406" t="s">
        <v>44</v>
      </c>
      <c r="G406" t="s">
        <v>698</v>
      </c>
      <c r="H406" t="s">
        <v>22</v>
      </c>
      <c r="I406" t="s">
        <v>47</v>
      </c>
      <c r="J406" t="s">
        <v>699</v>
      </c>
      <c r="K406">
        <v>32</v>
      </c>
      <c r="L406" t="s">
        <v>37</v>
      </c>
      <c r="M406" t="s">
        <v>146</v>
      </c>
      <c r="N406" t="s">
        <v>112</v>
      </c>
      <c r="O406" t="s">
        <v>28</v>
      </c>
      <c r="P406" t="s">
        <v>31</v>
      </c>
      <c r="Q406">
        <v>0</v>
      </c>
      <c r="R406" t="s">
        <v>12883</v>
      </c>
      <c r="S406" t="s">
        <v>12889</v>
      </c>
    </row>
    <row r="407" spans="1:19" x14ac:dyDescent="0.25">
      <c r="A407" t="s">
        <v>11558</v>
      </c>
      <c r="B407" s="1">
        <v>45948</v>
      </c>
      <c r="C407" t="s">
        <v>12890</v>
      </c>
      <c r="D407" s="5">
        <v>0.88034722222222217</v>
      </c>
      <c r="E407">
        <v>194.48</v>
      </c>
      <c r="F407" t="s">
        <v>44</v>
      </c>
      <c r="G407" t="s">
        <v>4176</v>
      </c>
      <c r="H407" t="s">
        <v>124</v>
      </c>
      <c r="I407" t="s">
        <v>91</v>
      </c>
      <c r="J407" t="s">
        <v>11559</v>
      </c>
      <c r="K407">
        <v>35</v>
      </c>
      <c r="L407" t="s">
        <v>25</v>
      </c>
      <c r="M407" t="s">
        <v>97</v>
      </c>
      <c r="N407" t="s">
        <v>84</v>
      </c>
      <c r="O407" t="s">
        <v>28</v>
      </c>
      <c r="P407" t="s">
        <v>31</v>
      </c>
      <c r="Q407">
        <v>0</v>
      </c>
      <c r="R407" t="s">
        <v>12883</v>
      </c>
      <c r="S407" t="s">
        <v>12889</v>
      </c>
    </row>
    <row r="408" spans="1:19" x14ac:dyDescent="0.25">
      <c r="A408" t="s">
        <v>10818</v>
      </c>
      <c r="B408" s="1">
        <v>45906</v>
      </c>
      <c r="C408" t="s">
        <v>12882</v>
      </c>
      <c r="D408" s="5">
        <v>0.96626157407407409</v>
      </c>
      <c r="E408">
        <v>194.45</v>
      </c>
      <c r="F408" t="s">
        <v>44</v>
      </c>
      <c r="G408" t="s">
        <v>6270</v>
      </c>
      <c r="H408" t="s">
        <v>57</v>
      </c>
      <c r="I408" t="s">
        <v>23</v>
      </c>
      <c r="J408" t="s">
        <v>10819</v>
      </c>
      <c r="K408">
        <v>67</v>
      </c>
      <c r="L408" t="s">
        <v>49</v>
      </c>
      <c r="M408" t="s">
        <v>23</v>
      </c>
      <c r="N408" t="s">
        <v>112</v>
      </c>
      <c r="O408" t="s">
        <v>113</v>
      </c>
      <c r="P408" t="s">
        <v>31</v>
      </c>
      <c r="Q408">
        <v>0</v>
      </c>
      <c r="R408" t="s">
        <v>12883</v>
      </c>
      <c r="S408" t="s">
        <v>12884</v>
      </c>
    </row>
    <row r="409" spans="1:19" x14ac:dyDescent="0.25">
      <c r="A409" t="s">
        <v>10047</v>
      </c>
      <c r="B409" s="1">
        <v>45861</v>
      </c>
      <c r="C409" t="s">
        <v>12885</v>
      </c>
      <c r="D409" s="5">
        <v>0.89521990740740742</v>
      </c>
      <c r="E409">
        <v>194.43</v>
      </c>
      <c r="F409" t="s">
        <v>44</v>
      </c>
      <c r="G409" t="s">
        <v>1529</v>
      </c>
      <c r="H409" t="s">
        <v>34</v>
      </c>
      <c r="I409" t="s">
        <v>47</v>
      </c>
      <c r="J409" t="s">
        <v>10048</v>
      </c>
      <c r="K409">
        <v>19</v>
      </c>
      <c r="L409" t="s">
        <v>49</v>
      </c>
      <c r="M409" t="s">
        <v>110</v>
      </c>
      <c r="N409" t="s">
        <v>39</v>
      </c>
      <c r="O409" t="s">
        <v>28</v>
      </c>
      <c r="P409" t="s">
        <v>31</v>
      </c>
      <c r="Q409">
        <v>0</v>
      </c>
      <c r="R409" t="s">
        <v>12883</v>
      </c>
      <c r="S409" t="s">
        <v>12892</v>
      </c>
    </row>
    <row r="410" spans="1:19" x14ac:dyDescent="0.25">
      <c r="A410" t="s">
        <v>75</v>
      </c>
      <c r="B410" s="1">
        <v>45866</v>
      </c>
      <c r="C410" t="s">
        <v>12885</v>
      </c>
      <c r="D410" s="5">
        <v>0.12872685185185184</v>
      </c>
      <c r="E410">
        <v>194.3</v>
      </c>
      <c r="F410" t="s">
        <v>44</v>
      </c>
      <c r="G410" t="s">
        <v>76</v>
      </c>
      <c r="H410" t="s">
        <v>77</v>
      </c>
      <c r="I410" t="s">
        <v>47</v>
      </c>
      <c r="J410" t="s">
        <v>78</v>
      </c>
      <c r="K410">
        <v>67</v>
      </c>
      <c r="L410" t="s">
        <v>25</v>
      </c>
      <c r="M410" t="s">
        <v>23</v>
      </c>
      <c r="N410" t="s">
        <v>39</v>
      </c>
      <c r="O410" t="s">
        <v>28</v>
      </c>
      <c r="P410" t="s">
        <v>31</v>
      </c>
      <c r="Q410">
        <v>0</v>
      </c>
      <c r="R410" t="s">
        <v>12883</v>
      </c>
      <c r="S410" t="s">
        <v>12884</v>
      </c>
    </row>
    <row r="411" spans="1:19" x14ac:dyDescent="0.25">
      <c r="A411" t="s">
        <v>5553</v>
      </c>
      <c r="B411" s="1">
        <v>45918</v>
      </c>
      <c r="C411" t="s">
        <v>12882</v>
      </c>
      <c r="D411" s="5">
        <v>0.97031250000000002</v>
      </c>
      <c r="E411">
        <v>194.21</v>
      </c>
      <c r="F411" t="s">
        <v>44</v>
      </c>
      <c r="G411" t="s">
        <v>4972</v>
      </c>
      <c r="H411" t="s">
        <v>57</v>
      </c>
      <c r="I411" t="s">
        <v>248</v>
      </c>
      <c r="J411" t="s">
        <v>5554</v>
      </c>
      <c r="K411">
        <v>31</v>
      </c>
      <c r="L411" t="s">
        <v>25</v>
      </c>
      <c r="M411" t="s">
        <v>26</v>
      </c>
      <c r="N411" t="s">
        <v>84</v>
      </c>
      <c r="O411" t="s">
        <v>28</v>
      </c>
      <c r="P411" t="s">
        <v>31</v>
      </c>
      <c r="Q411">
        <v>0</v>
      </c>
      <c r="R411" t="s">
        <v>12883</v>
      </c>
      <c r="S411" t="s">
        <v>12889</v>
      </c>
    </row>
    <row r="412" spans="1:19" x14ac:dyDescent="0.25">
      <c r="A412" t="s">
        <v>9307</v>
      </c>
      <c r="B412" s="1">
        <v>45952</v>
      </c>
      <c r="C412" t="s">
        <v>12890</v>
      </c>
      <c r="D412" s="5">
        <v>0.21128472222222222</v>
      </c>
      <c r="E412">
        <v>194.13</v>
      </c>
      <c r="F412" t="s">
        <v>44</v>
      </c>
      <c r="G412" t="s">
        <v>292</v>
      </c>
      <c r="H412" t="s">
        <v>96</v>
      </c>
      <c r="I412" t="s">
        <v>66</v>
      </c>
      <c r="J412" t="s">
        <v>9308</v>
      </c>
      <c r="K412">
        <v>62</v>
      </c>
      <c r="L412" t="s">
        <v>37</v>
      </c>
      <c r="M412" t="s">
        <v>119</v>
      </c>
      <c r="N412" t="s">
        <v>39</v>
      </c>
      <c r="O412" t="s">
        <v>28</v>
      </c>
      <c r="P412" t="s">
        <v>31</v>
      </c>
      <c r="Q412">
        <v>0</v>
      </c>
      <c r="R412" t="s">
        <v>12883</v>
      </c>
      <c r="S412" t="s">
        <v>12884</v>
      </c>
    </row>
    <row r="413" spans="1:19" x14ac:dyDescent="0.25">
      <c r="A413" t="s">
        <v>12705</v>
      </c>
      <c r="B413" s="1">
        <v>45904</v>
      </c>
      <c r="C413" t="s">
        <v>12882</v>
      </c>
      <c r="D413" s="5">
        <v>0.99179398148148146</v>
      </c>
      <c r="E413">
        <v>194.11</v>
      </c>
      <c r="F413" t="s">
        <v>44</v>
      </c>
      <c r="G413" t="s">
        <v>5232</v>
      </c>
      <c r="H413" t="s">
        <v>89</v>
      </c>
      <c r="I413" t="s">
        <v>146</v>
      </c>
      <c r="J413" t="s">
        <v>12706</v>
      </c>
      <c r="K413">
        <v>58</v>
      </c>
      <c r="L413" t="s">
        <v>49</v>
      </c>
      <c r="M413" t="s">
        <v>50</v>
      </c>
      <c r="N413" t="s">
        <v>27</v>
      </c>
      <c r="O413" t="s">
        <v>28</v>
      </c>
      <c r="P413" t="s">
        <v>31</v>
      </c>
      <c r="Q413">
        <v>0</v>
      </c>
      <c r="R413" t="s">
        <v>12883</v>
      </c>
      <c r="S413" t="s">
        <v>12886</v>
      </c>
    </row>
    <row r="414" spans="1:19" x14ac:dyDescent="0.25">
      <c r="A414" t="s">
        <v>7812</v>
      </c>
      <c r="B414" s="1">
        <v>45866</v>
      </c>
      <c r="C414" t="s">
        <v>12885</v>
      </c>
      <c r="D414" s="5">
        <v>0.57336805555555559</v>
      </c>
      <c r="E414">
        <v>194.04</v>
      </c>
      <c r="F414" t="s">
        <v>44</v>
      </c>
      <c r="G414" t="s">
        <v>4518</v>
      </c>
      <c r="H414" t="s">
        <v>71</v>
      </c>
      <c r="I414" t="s">
        <v>248</v>
      </c>
      <c r="J414" t="s">
        <v>7746</v>
      </c>
      <c r="K414">
        <v>18</v>
      </c>
      <c r="L414" t="s">
        <v>25</v>
      </c>
      <c r="M414" t="s">
        <v>23</v>
      </c>
      <c r="N414" t="s">
        <v>105</v>
      </c>
      <c r="O414" t="s">
        <v>28</v>
      </c>
      <c r="P414" t="s">
        <v>31</v>
      </c>
      <c r="Q414">
        <v>0</v>
      </c>
      <c r="R414" t="s">
        <v>12883</v>
      </c>
      <c r="S414" t="s">
        <v>12892</v>
      </c>
    </row>
    <row r="415" spans="1:19" x14ac:dyDescent="0.25">
      <c r="A415" t="s">
        <v>3590</v>
      </c>
      <c r="B415" s="1">
        <v>45801</v>
      </c>
      <c r="C415" t="s">
        <v>12887</v>
      </c>
      <c r="D415" s="5">
        <v>0.49346064814814816</v>
      </c>
      <c r="E415">
        <v>193.98</v>
      </c>
      <c r="F415" t="s">
        <v>44</v>
      </c>
      <c r="G415" t="s">
        <v>2335</v>
      </c>
      <c r="H415" t="s">
        <v>124</v>
      </c>
      <c r="I415" t="s">
        <v>47</v>
      </c>
      <c r="J415" t="s">
        <v>3591</v>
      </c>
      <c r="K415">
        <v>59</v>
      </c>
      <c r="L415" t="s">
        <v>37</v>
      </c>
      <c r="M415" t="s">
        <v>50</v>
      </c>
      <c r="N415" t="s">
        <v>27</v>
      </c>
      <c r="O415" t="s">
        <v>28</v>
      </c>
      <c r="P415" t="s">
        <v>31</v>
      </c>
      <c r="Q415">
        <v>0</v>
      </c>
      <c r="R415" t="s">
        <v>12883</v>
      </c>
      <c r="S415" t="s">
        <v>12886</v>
      </c>
    </row>
    <row r="416" spans="1:19" x14ac:dyDescent="0.25">
      <c r="A416" t="s">
        <v>2951</v>
      </c>
      <c r="B416" s="1">
        <v>45858</v>
      </c>
      <c r="C416" t="s">
        <v>12885</v>
      </c>
      <c r="D416" s="5">
        <v>0.66776620370370365</v>
      </c>
      <c r="E416">
        <v>193.94</v>
      </c>
      <c r="F416" t="s">
        <v>44</v>
      </c>
      <c r="G416" t="s">
        <v>824</v>
      </c>
      <c r="H416" t="s">
        <v>89</v>
      </c>
      <c r="I416" t="s">
        <v>38</v>
      </c>
      <c r="J416" t="s">
        <v>2952</v>
      </c>
      <c r="K416">
        <v>55</v>
      </c>
      <c r="L416" t="s">
        <v>25</v>
      </c>
      <c r="M416" t="s">
        <v>26</v>
      </c>
      <c r="N416" t="s">
        <v>105</v>
      </c>
      <c r="O416" t="s">
        <v>28</v>
      </c>
      <c r="P416" t="s">
        <v>31</v>
      </c>
      <c r="Q416">
        <v>0</v>
      </c>
      <c r="R416" t="s">
        <v>12883</v>
      </c>
      <c r="S416" t="s">
        <v>12886</v>
      </c>
    </row>
    <row r="417" spans="1:19" x14ac:dyDescent="0.25">
      <c r="A417" t="s">
        <v>2208</v>
      </c>
      <c r="B417" s="1">
        <v>45783</v>
      </c>
      <c r="C417" t="s">
        <v>12887</v>
      </c>
      <c r="D417" s="5">
        <v>0.2320949074074074</v>
      </c>
      <c r="E417">
        <v>193.82</v>
      </c>
      <c r="F417" t="s">
        <v>44</v>
      </c>
      <c r="G417" t="s">
        <v>2209</v>
      </c>
      <c r="H417" t="s">
        <v>22</v>
      </c>
      <c r="I417" t="s">
        <v>146</v>
      </c>
      <c r="J417" t="s">
        <v>2210</v>
      </c>
      <c r="K417">
        <v>45</v>
      </c>
      <c r="L417" t="s">
        <v>25</v>
      </c>
      <c r="M417" t="s">
        <v>38</v>
      </c>
      <c r="N417" t="s">
        <v>105</v>
      </c>
      <c r="O417" t="s">
        <v>28</v>
      </c>
      <c r="P417" t="s">
        <v>31</v>
      </c>
      <c r="Q417">
        <v>0</v>
      </c>
      <c r="R417" t="s">
        <v>12883</v>
      </c>
      <c r="S417" t="s">
        <v>12886</v>
      </c>
    </row>
    <row r="418" spans="1:19" x14ac:dyDescent="0.25">
      <c r="A418" t="s">
        <v>12261</v>
      </c>
      <c r="B418" s="1">
        <v>45933</v>
      </c>
      <c r="C418" t="s">
        <v>12890</v>
      </c>
      <c r="D418" s="5">
        <v>0.78202546296296294</v>
      </c>
      <c r="E418">
        <v>193.81</v>
      </c>
      <c r="F418" t="s">
        <v>44</v>
      </c>
      <c r="G418" t="s">
        <v>1485</v>
      </c>
      <c r="H418" t="s">
        <v>96</v>
      </c>
      <c r="I418" t="s">
        <v>130</v>
      </c>
      <c r="J418" t="s">
        <v>12262</v>
      </c>
      <c r="K418">
        <v>62</v>
      </c>
      <c r="L418" t="s">
        <v>25</v>
      </c>
      <c r="M418" t="s">
        <v>248</v>
      </c>
      <c r="N418" t="s">
        <v>51</v>
      </c>
      <c r="O418" t="s">
        <v>28</v>
      </c>
      <c r="P418" t="s">
        <v>31</v>
      </c>
      <c r="Q418">
        <v>0</v>
      </c>
      <c r="R418" t="s">
        <v>12883</v>
      </c>
      <c r="S418" t="s">
        <v>12884</v>
      </c>
    </row>
    <row r="419" spans="1:19" x14ac:dyDescent="0.25">
      <c r="A419" t="s">
        <v>6009</v>
      </c>
      <c r="B419" s="1">
        <v>45794</v>
      </c>
      <c r="C419" t="s">
        <v>12887</v>
      </c>
      <c r="D419" s="5">
        <v>0.1169212962962963</v>
      </c>
      <c r="E419">
        <v>193.75</v>
      </c>
      <c r="F419" t="s">
        <v>44</v>
      </c>
      <c r="G419" t="s">
        <v>6010</v>
      </c>
      <c r="H419" t="s">
        <v>64</v>
      </c>
      <c r="I419" t="s">
        <v>66</v>
      </c>
      <c r="J419" t="s">
        <v>6011</v>
      </c>
      <c r="K419">
        <v>57</v>
      </c>
      <c r="L419" t="s">
        <v>49</v>
      </c>
      <c r="M419" t="s">
        <v>66</v>
      </c>
      <c r="N419" t="s">
        <v>51</v>
      </c>
      <c r="O419" t="s">
        <v>113</v>
      </c>
      <c r="P419" t="s">
        <v>31</v>
      </c>
      <c r="Q419">
        <v>0</v>
      </c>
      <c r="R419" t="s">
        <v>12883</v>
      </c>
      <c r="S419" t="s">
        <v>12886</v>
      </c>
    </row>
    <row r="420" spans="1:19" x14ac:dyDescent="0.25">
      <c r="A420" t="s">
        <v>8815</v>
      </c>
      <c r="B420" s="1">
        <v>45955</v>
      </c>
      <c r="C420" t="s">
        <v>12890</v>
      </c>
      <c r="D420" s="5">
        <v>0.95296296296296301</v>
      </c>
      <c r="E420">
        <v>193.71</v>
      </c>
      <c r="F420" t="s">
        <v>44</v>
      </c>
      <c r="G420" t="s">
        <v>6949</v>
      </c>
      <c r="H420" t="s">
        <v>64</v>
      </c>
      <c r="I420" t="s">
        <v>23</v>
      </c>
      <c r="J420" t="s">
        <v>8816</v>
      </c>
      <c r="K420">
        <v>60</v>
      </c>
      <c r="L420" t="s">
        <v>37</v>
      </c>
      <c r="M420" t="s">
        <v>91</v>
      </c>
      <c r="N420" t="s">
        <v>112</v>
      </c>
      <c r="O420" t="s">
        <v>28</v>
      </c>
      <c r="P420" t="s">
        <v>31</v>
      </c>
      <c r="Q420">
        <v>0</v>
      </c>
      <c r="R420" t="s">
        <v>12883</v>
      </c>
      <c r="S420" t="s">
        <v>12884</v>
      </c>
    </row>
    <row r="421" spans="1:19" x14ac:dyDescent="0.25">
      <c r="A421" t="s">
        <v>7989</v>
      </c>
      <c r="B421" s="1">
        <v>45864</v>
      </c>
      <c r="C421" t="s">
        <v>12885</v>
      </c>
      <c r="D421" s="5">
        <v>0.71125000000000005</v>
      </c>
      <c r="E421">
        <v>193.59</v>
      </c>
      <c r="F421" t="s">
        <v>44</v>
      </c>
      <c r="G421" t="s">
        <v>3318</v>
      </c>
      <c r="H421" t="s">
        <v>57</v>
      </c>
      <c r="I421" t="s">
        <v>119</v>
      </c>
      <c r="J421" t="s">
        <v>7990</v>
      </c>
      <c r="K421">
        <v>21</v>
      </c>
      <c r="L421" t="s">
        <v>25</v>
      </c>
      <c r="M421" t="s">
        <v>35</v>
      </c>
      <c r="N421" t="s">
        <v>39</v>
      </c>
      <c r="O421" t="s">
        <v>28</v>
      </c>
      <c r="P421" t="s">
        <v>31</v>
      </c>
      <c r="Q421">
        <v>0</v>
      </c>
      <c r="R421" t="s">
        <v>12883</v>
      </c>
      <c r="S421" t="s">
        <v>12892</v>
      </c>
    </row>
    <row r="422" spans="1:19" x14ac:dyDescent="0.25">
      <c r="A422" t="s">
        <v>5731</v>
      </c>
      <c r="B422" s="1">
        <v>45951</v>
      </c>
      <c r="C422" t="s">
        <v>12890</v>
      </c>
      <c r="D422" s="5">
        <v>0.57280092592592591</v>
      </c>
      <c r="E422">
        <v>193.16</v>
      </c>
      <c r="F422" t="s">
        <v>44</v>
      </c>
      <c r="G422" t="s">
        <v>5732</v>
      </c>
      <c r="H422" t="s">
        <v>96</v>
      </c>
      <c r="I422" t="s">
        <v>23</v>
      </c>
      <c r="J422" t="s">
        <v>5733</v>
      </c>
      <c r="K422">
        <v>40</v>
      </c>
      <c r="L422" t="s">
        <v>25</v>
      </c>
      <c r="M422" t="s">
        <v>38</v>
      </c>
      <c r="N422" t="s">
        <v>84</v>
      </c>
      <c r="O422" t="s">
        <v>28</v>
      </c>
      <c r="P422" t="s">
        <v>31</v>
      </c>
      <c r="Q422">
        <v>0</v>
      </c>
      <c r="R422" t="s">
        <v>12883</v>
      </c>
      <c r="S422" t="s">
        <v>12886</v>
      </c>
    </row>
    <row r="423" spans="1:19" x14ac:dyDescent="0.25">
      <c r="A423" t="s">
        <v>3562</v>
      </c>
      <c r="B423" s="1">
        <v>45901</v>
      </c>
      <c r="C423" t="s">
        <v>12882</v>
      </c>
      <c r="D423" s="5">
        <v>0.46717592592592594</v>
      </c>
      <c r="E423">
        <v>193.05</v>
      </c>
      <c r="F423" t="s">
        <v>44</v>
      </c>
      <c r="G423" t="s">
        <v>1143</v>
      </c>
      <c r="H423" t="s">
        <v>96</v>
      </c>
      <c r="I423" t="s">
        <v>35</v>
      </c>
      <c r="J423" t="s">
        <v>3563</v>
      </c>
      <c r="K423">
        <v>36</v>
      </c>
      <c r="L423" t="s">
        <v>49</v>
      </c>
      <c r="M423" t="s">
        <v>35</v>
      </c>
      <c r="N423" t="s">
        <v>27</v>
      </c>
      <c r="O423" t="s">
        <v>113</v>
      </c>
      <c r="P423" t="s">
        <v>31</v>
      </c>
      <c r="Q423">
        <v>0</v>
      </c>
      <c r="R423" t="s">
        <v>12883</v>
      </c>
      <c r="S423" t="s">
        <v>12889</v>
      </c>
    </row>
    <row r="424" spans="1:19" x14ac:dyDescent="0.25">
      <c r="A424" t="s">
        <v>8794</v>
      </c>
      <c r="B424" s="1">
        <v>45837</v>
      </c>
      <c r="C424" t="s">
        <v>12888</v>
      </c>
      <c r="D424" s="5">
        <v>0.84013888888888888</v>
      </c>
      <c r="E424">
        <v>192.84</v>
      </c>
      <c r="F424" t="s">
        <v>44</v>
      </c>
      <c r="G424" t="s">
        <v>8795</v>
      </c>
      <c r="H424" t="s">
        <v>124</v>
      </c>
      <c r="I424" t="s">
        <v>50</v>
      </c>
      <c r="J424" t="s">
        <v>8796</v>
      </c>
      <c r="K424">
        <v>66</v>
      </c>
      <c r="L424" t="s">
        <v>49</v>
      </c>
      <c r="M424" t="s">
        <v>110</v>
      </c>
      <c r="N424" t="s">
        <v>112</v>
      </c>
      <c r="O424" t="s">
        <v>28</v>
      </c>
      <c r="P424" t="s">
        <v>31</v>
      </c>
      <c r="Q424">
        <v>0</v>
      </c>
      <c r="R424" t="s">
        <v>12883</v>
      </c>
      <c r="S424" t="s">
        <v>12884</v>
      </c>
    </row>
    <row r="425" spans="1:19" x14ac:dyDescent="0.25">
      <c r="A425" t="s">
        <v>6800</v>
      </c>
      <c r="B425" s="1">
        <v>45929</v>
      </c>
      <c r="C425" t="s">
        <v>12882</v>
      </c>
      <c r="D425" s="5">
        <v>0.53385416666666663</v>
      </c>
      <c r="E425">
        <v>192.79</v>
      </c>
      <c r="F425" t="s">
        <v>44</v>
      </c>
      <c r="G425" t="s">
        <v>272</v>
      </c>
      <c r="H425" t="s">
        <v>124</v>
      </c>
      <c r="I425" t="s">
        <v>26</v>
      </c>
      <c r="J425" t="s">
        <v>6801</v>
      </c>
      <c r="K425">
        <v>49</v>
      </c>
      <c r="L425" t="s">
        <v>25</v>
      </c>
      <c r="M425" t="s">
        <v>130</v>
      </c>
      <c r="N425" t="s">
        <v>27</v>
      </c>
      <c r="O425" t="s">
        <v>28</v>
      </c>
      <c r="P425" t="s">
        <v>31</v>
      </c>
      <c r="Q425">
        <v>0</v>
      </c>
      <c r="R425" t="s">
        <v>12883</v>
      </c>
      <c r="S425" t="s">
        <v>12886</v>
      </c>
    </row>
    <row r="426" spans="1:19" x14ac:dyDescent="0.25">
      <c r="A426" t="s">
        <v>466</v>
      </c>
      <c r="B426" s="1">
        <v>45840</v>
      </c>
      <c r="C426" t="s">
        <v>12885</v>
      </c>
      <c r="D426" s="5">
        <v>0.26164351851851853</v>
      </c>
      <c r="E426">
        <v>192.64</v>
      </c>
      <c r="F426" t="s">
        <v>44</v>
      </c>
      <c r="G426" t="s">
        <v>467</v>
      </c>
      <c r="H426" t="s">
        <v>46</v>
      </c>
      <c r="I426" t="s">
        <v>35</v>
      </c>
      <c r="J426" t="s">
        <v>468</v>
      </c>
      <c r="K426">
        <v>43</v>
      </c>
      <c r="L426" t="s">
        <v>37</v>
      </c>
      <c r="M426" t="s">
        <v>91</v>
      </c>
      <c r="N426" t="s">
        <v>51</v>
      </c>
      <c r="O426" t="s">
        <v>28</v>
      </c>
      <c r="P426" t="s">
        <v>31</v>
      </c>
      <c r="Q426">
        <v>0</v>
      </c>
      <c r="R426" t="s">
        <v>12883</v>
      </c>
      <c r="S426" t="s">
        <v>12886</v>
      </c>
    </row>
    <row r="427" spans="1:19" x14ac:dyDescent="0.25">
      <c r="A427" t="s">
        <v>5044</v>
      </c>
      <c r="B427" s="1">
        <v>45805</v>
      </c>
      <c r="C427" t="s">
        <v>12887</v>
      </c>
      <c r="D427" s="5">
        <v>0.9765625</v>
      </c>
      <c r="E427">
        <v>192.55</v>
      </c>
      <c r="F427" t="s">
        <v>44</v>
      </c>
      <c r="G427" t="s">
        <v>5045</v>
      </c>
      <c r="H427" t="s">
        <v>77</v>
      </c>
      <c r="I427" t="s">
        <v>146</v>
      </c>
      <c r="J427" t="s">
        <v>5046</v>
      </c>
      <c r="K427">
        <v>55</v>
      </c>
      <c r="L427" t="s">
        <v>49</v>
      </c>
      <c r="M427" t="s">
        <v>58</v>
      </c>
      <c r="N427" t="s">
        <v>105</v>
      </c>
      <c r="O427" t="s">
        <v>28</v>
      </c>
      <c r="P427" t="s">
        <v>31</v>
      </c>
      <c r="Q427">
        <v>0</v>
      </c>
      <c r="R427" t="s">
        <v>12883</v>
      </c>
      <c r="S427" t="s">
        <v>12886</v>
      </c>
    </row>
    <row r="428" spans="1:19" x14ac:dyDescent="0.25">
      <c r="A428" t="s">
        <v>11327</v>
      </c>
      <c r="B428" s="1">
        <v>45921</v>
      </c>
      <c r="C428" t="s">
        <v>12882</v>
      </c>
      <c r="D428" s="5">
        <v>0.1582986111111111</v>
      </c>
      <c r="E428">
        <v>192.42</v>
      </c>
      <c r="F428" t="s">
        <v>44</v>
      </c>
      <c r="G428" t="s">
        <v>1115</v>
      </c>
      <c r="H428" t="s">
        <v>89</v>
      </c>
      <c r="I428" t="s">
        <v>66</v>
      </c>
      <c r="J428" t="s">
        <v>11328</v>
      </c>
      <c r="K428">
        <v>32</v>
      </c>
      <c r="L428" t="s">
        <v>37</v>
      </c>
      <c r="M428" t="s">
        <v>119</v>
      </c>
      <c r="N428" t="s">
        <v>105</v>
      </c>
      <c r="O428" t="s">
        <v>28</v>
      </c>
      <c r="P428" t="s">
        <v>31</v>
      </c>
      <c r="Q428">
        <v>0</v>
      </c>
      <c r="R428" t="s">
        <v>12883</v>
      </c>
      <c r="S428" t="s">
        <v>12889</v>
      </c>
    </row>
    <row r="429" spans="1:19" x14ac:dyDescent="0.25">
      <c r="A429" t="s">
        <v>7333</v>
      </c>
      <c r="B429" s="1">
        <v>45926</v>
      </c>
      <c r="C429" t="s">
        <v>12882</v>
      </c>
      <c r="D429" s="5">
        <v>0.98692129629629632</v>
      </c>
      <c r="E429">
        <v>192.35</v>
      </c>
      <c r="F429" t="s">
        <v>44</v>
      </c>
      <c r="G429" t="s">
        <v>1361</v>
      </c>
      <c r="H429" t="s">
        <v>77</v>
      </c>
      <c r="I429" t="s">
        <v>119</v>
      </c>
      <c r="J429" t="s">
        <v>7334</v>
      </c>
      <c r="K429">
        <v>75</v>
      </c>
      <c r="L429" t="s">
        <v>37</v>
      </c>
      <c r="M429" t="s">
        <v>38</v>
      </c>
      <c r="N429" t="s">
        <v>39</v>
      </c>
      <c r="O429" t="s">
        <v>28</v>
      </c>
      <c r="P429" t="s">
        <v>31</v>
      </c>
      <c r="Q429">
        <v>1</v>
      </c>
      <c r="R429" t="s">
        <v>12891</v>
      </c>
      <c r="S429" t="s">
        <v>12884</v>
      </c>
    </row>
    <row r="430" spans="1:19" x14ac:dyDescent="0.25">
      <c r="A430" t="s">
        <v>8006</v>
      </c>
      <c r="B430" s="1">
        <v>45811</v>
      </c>
      <c r="C430" t="s">
        <v>12888</v>
      </c>
      <c r="D430" s="5">
        <v>0.4425115740740741</v>
      </c>
      <c r="E430">
        <v>192.35</v>
      </c>
      <c r="F430" t="s">
        <v>44</v>
      </c>
      <c r="G430" t="s">
        <v>810</v>
      </c>
      <c r="H430" t="s">
        <v>22</v>
      </c>
      <c r="I430" t="s">
        <v>35</v>
      </c>
      <c r="J430" t="s">
        <v>8007</v>
      </c>
      <c r="K430">
        <v>62</v>
      </c>
      <c r="L430" t="s">
        <v>25</v>
      </c>
      <c r="M430" t="s">
        <v>38</v>
      </c>
      <c r="N430" t="s">
        <v>27</v>
      </c>
      <c r="O430" t="s">
        <v>28</v>
      </c>
      <c r="P430" t="s">
        <v>31</v>
      </c>
      <c r="Q430">
        <v>0</v>
      </c>
      <c r="R430" t="s">
        <v>12883</v>
      </c>
      <c r="S430" t="s">
        <v>12884</v>
      </c>
    </row>
    <row r="431" spans="1:19" x14ac:dyDescent="0.25">
      <c r="A431" t="s">
        <v>10111</v>
      </c>
      <c r="B431" s="1">
        <v>45909</v>
      </c>
      <c r="C431" t="s">
        <v>12882</v>
      </c>
      <c r="D431" s="5">
        <v>0.72567129629629634</v>
      </c>
      <c r="E431">
        <v>192.32</v>
      </c>
      <c r="F431" t="s">
        <v>44</v>
      </c>
      <c r="G431" t="s">
        <v>9288</v>
      </c>
      <c r="H431" t="s">
        <v>124</v>
      </c>
      <c r="I431" t="s">
        <v>97</v>
      </c>
      <c r="J431" t="s">
        <v>10112</v>
      </c>
      <c r="K431">
        <v>34</v>
      </c>
      <c r="L431" t="s">
        <v>49</v>
      </c>
      <c r="M431" t="s">
        <v>248</v>
      </c>
      <c r="N431" t="s">
        <v>51</v>
      </c>
      <c r="O431" t="s">
        <v>28</v>
      </c>
      <c r="P431" t="s">
        <v>31</v>
      </c>
      <c r="Q431">
        <v>0</v>
      </c>
      <c r="R431" t="s">
        <v>12883</v>
      </c>
      <c r="S431" t="s">
        <v>12889</v>
      </c>
    </row>
    <row r="432" spans="1:19" x14ac:dyDescent="0.25">
      <c r="A432" t="s">
        <v>10814</v>
      </c>
      <c r="B432" s="1">
        <v>45817</v>
      </c>
      <c r="C432" t="s">
        <v>12888</v>
      </c>
      <c r="D432" s="5">
        <v>0.3865277777777778</v>
      </c>
      <c r="E432">
        <v>192.32</v>
      </c>
      <c r="F432" t="s">
        <v>44</v>
      </c>
      <c r="G432" t="s">
        <v>6668</v>
      </c>
      <c r="H432" t="s">
        <v>57</v>
      </c>
      <c r="I432" t="s">
        <v>26</v>
      </c>
      <c r="J432" t="s">
        <v>10815</v>
      </c>
      <c r="K432">
        <v>61</v>
      </c>
      <c r="L432" t="s">
        <v>25</v>
      </c>
      <c r="M432" t="s">
        <v>91</v>
      </c>
      <c r="N432" t="s">
        <v>51</v>
      </c>
      <c r="O432" t="s">
        <v>28</v>
      </c>
      <c r="P432" t="s">
        <v>31</v>
      </c>
      <c r="Q432">
        <v>0</v>
      </c>
      <c r="R432" t="s">
        <v>12883</v>
      </c>
      <c r="S432" t="s">
        <v>12884</v>
      </c>
    </row>
    <row r="433" spans="1:19" x14ac:dyDescent="0.25">
      <c r="A433" t="s">
        <v>10673</v>
      </c>
      <c r="B433" s="1">
        <v>45945</v>
      </c>
      <c r="C433" t="s">
        <v>12890</v>
      </c>
      <c r="D433" s="5">
        <v>9.644675925925926E-2</v>
      </c>
      <c r="E433">
        <v>192.2</v>
      </c>
      <c r="F433" t="s">
        <v>44</v>
      </c>
      <c r="G433" t="s">
        <v>1509</v>
      </c>
      <c r="H433" t="s">
        <v>64</v>
      </c>
      <c r="I433" t="s">
        <v>47</v>
      </c>
      <c r="J433" t="s">
        <v>10674</v>
      </c>
      <c r="K433">
        <v>49</v>
      </c>
      <c r="L433" t="s">
        <v>25</v>
      </c>
      <c r="M433" t="s">
        <v>47</v>
      </c>
      <c r="N433" t="s">
        <v>105</v>
      </c>
      <c r="O433" t="s">
        <v>113</v>
      </c>
      <c r="P433" t="s">
        <v>31</v>
      </c>
      <c r="Q433">
        <v>0</v>
      </c>
      <c r="R433" t="s">
        <v>12883</v>
      </c>
      <c r="S433" t="s">
        <v>12886</v>
      </c>
    </row>
    <row r="434" spans="1:19" x14ac:dyDescent="0.25">
      <c r="A434" t="s">
        <v>882</v>
      </c>
      <c r="B434" s="1">
        <v>45786</v>
      </c>
      <c r="C434" t="s">
        <v>12887</v>
      </c>
      <c r="D434" s="5">
        <v>2.8356481481481483E-3</v>
      </c>
      <c r="E434">
        <v>192.15</v>
      </c>
      <c r="F434" t="s">
        <v>44</v>
      </c>
      <c r="G434" t="s">
        <v>883</v>
      </c>
      <c r="H434" t="s">
        <v>89</v>
      </c>
      <c r="I434" t="s">
        <v>130</v>
      </c>
      <c r="J434" t="s">
        <v>884</v>
      </c>
      <c r="K434">
        <v>45</v>
      </c>
      <c r="L434" t="s">
        <v>37</v>
      </c>
      <c r="M434" t="s">
        <v>23</v>
      </c>
      <c r="N434" t="s">
        <v>27</v>
      </c>
      <c r="O434" t="s">
        <v>28</v>
      </c>
      <c r="P434" t="s">
        <v>31</v>
      </c>
      <c r="Q434">
        <v>0</v>
      </c>
      <c r="R434" t="s">
        <v>12883</v>
      </c>
      <c r="S434" t="s">
        <v>12886</v>
      </c>
    </row>
    <row r="435" spans="1:19" x14ac:dyDescent="0.25">
      <c r="A435" t="s">
        <v>757</v>
      </c>
      <c r="B435" s="1">
        <v>45926</v>
      </c>
      <c r="C435" t="s">
        <v>12882</v>
      </c>
      <c r="D435" s="5">
        <v>0.62923611111111111</v>
      </c>
      <c r="E435">
        <v>192.09</v>
      </c>
      <c r="F435" t="s">
        <v>44</v>
      </c>
      <c r="G435" t="s">
        <v>758</v>
      </c>
      <c r="H435" t="s">
        <v>57</v>
      </c>
      <c r="I435" t="s">
        <v>23</v>
      </c>
      <c r="J435" t="s">
        <v>759</v>
      </c>
      <c r="K435">
        <v>45</v>
      </c>
      <c r="L435" t="s">
        <v>37</v>
      </c>
      <c r="M435" t="s">
        <v>97</v>
      </c>
      <c r="N435" t="s">
        <v>84</v>
      </c>
      <c r="O435" t="s">
        <v>28</v>
      </c>
      <c r="P435" t="s">
        <v>31</v>
      </c>
      <c r="Q435">
        <v>0</v>
      </c>
      <c r="R435" t="s">
        <v>12883</v>
      </c>
      <c r="S435" t="s">
        <v>12886</v>
      </c>
    </row>
    <row r="436" spans="1:19" x14ac:dyDescent="0.25">
      <c r="A436" t="s">
        <v>9139</v>
      </c>
      <c r="B436" s="1">
        <v>45892</v>
      </c>
      <c r="C436" t="s">
        <v>12893</v>
      </c>
      <c r="D436" s="5">
        <v>0.57575231481481481</v>
      </c>
      <c r="E436">
        <v>191.89</v>
      </c>
      <c r="F436" t="s">
        <v>44</v>
      </c>
      <c r="G436" t="s">
        <v>6579</v>
      </c>
      <c r="H436" t="s">
        <v>22</v>
      </c>
      <c r="I436" t="s">
        <v>47</v>
      </c>
      <c r="J436" t="s">
        <v>9140</v>
      </c>
      <c r="K436">
        <v>63</v>
      </c>
      <c r="L436" t="s">
        <v>25</v>
      </c>
      <c r="M436" t="s">
        <v>35</v>
      </c>
      <c r="N436" t="s">
        <v>51</v>
      </c>
      <c r="O436" t="s">
        <v>28</v>
      </c>
      <c r="P436" t="s">
        <v>31</v>
      </c>
      <c r="Q436">
        <v>0</v>
      </c>
      <c r="R436" t="s">
        <v>12883</v>
      </c>
      <c r="S436" t="s">
        <v>12884</v>
      </c>
    </row>
    <row r="437" spans="1:19" x14ac:dyDescent="0.25">
      <c r="A437" t="s">
        <v>805</v>
      </c>
      <c r="B437" s="1">
        <v>45843</v>
      </c>
      <c r="C437" t="s">
        <v>12885</v>
      </c>
      <c r="D437" s="5">
        <v>0.59307870370370375</v>
      </c>
      <c r="E437">
        <v>191.71</v>
      </c>
      <c r="F437" t="s">
        <v>44</v>
      </c>
      <c r="G437" t="s">
        <v>328</v>
      </c>
      <c r="H437" t="s">
        <v>22</v>
      </c>
      <c r="I437" t="s">
        <v>146</v>
      </c>
      <c r="J437" t="s">
        <v>806</v>
      </c>
      <c r="K437">
        <v>21</v>
      </c>
      <c r="L437" t="s">
        <v>25</v>
      </c>
      <c r="M437" t="s">
        <v>66</v>
      </c>
      <c r="N437" t="s">
        <v>27</v>
      </c>
      <c r="O437" t="s">
        <v>28</v>
      </c>
      <c r="P437" t="s">
        <v>31</v>
      </c>
      <c r="Q437">
        <v>0</v>
      </c>
      <c r="R437" t="s">
        <v>12883</v>
      </c>
      <c r="S437" t="s">
        <v>12892</v>
      </c>
    </row>
    <row r="438" spans="1:19" x14ac:dyDescent="0.25">
      <c r="A438" t="s">
        <v>11235</v>
      </c>
      <c r="B438" s="1">
        <v>45789</v>
      </c>
      <c r="C438" t="s">
        <v>12887</v>
      </c>
      <c r="D438" s="5">
        <v>3.5694444444444445E-2</v>
      </c>
      <c r="E438">
        <v>191.69</v>
      </c>
      <c r="F438" t="s">
        <v>44</v>
      </c>
      <c r="G438" t="s">
        <v>3474</v>
      </c>
      <c r="H438" t="s">
        <v>22</v>
      </c>
      <c r="I438" t="s">
        <v>130</v>
      </c>
      <c r="J438" t="s">
        <v>11236</v>
      </c>
      <c r="K438">
        <v>28</v>
      </c>
      <c r="L438" t="s">
        <v>25</v>
      </c>
      <c r="M438" t="s">
        <v>35</v>
      </c>
      <c r="N438" t="s">
        <v>39</v>
      </c>
      <c r="O438" t="s">
        <v>28</v>
      </c>
      <c r="P438" t="s">
        <v>31</v>
      </c>
      <c r="Q438">
        <v>0</v>
      </c>
      <c r="R438" t="s">
        <v>12883</v>
      </c>
      <c r="S438" t="s">
        <v>12889</v>
      </c>
    </row>
    <row r="439" spans="1:19" x14ac:dyDescent="0.25">
      <c r="A439" t="s">
        <v>1636</v>
      </c>
      <c r="B439" s="1">
        <v>45922</v>
      </c>
      <c r="C439" t="s">
        <v>12882</v>
      </c>
      <c r="D439" s="5">
        <v>0.22921296296296295</v>
      </c>
      <c r="E439">
        <v>191.49</v>
      </c>
      <c r="F439" t="s">
        <v>44</v>
      </c>
      <c r="G439" t="s">
        <v>1637</v>
      </c>
      <c r="H439" t="s">
        <v>22</v>
      </c>
      <c r="I439" t="s">
        <v>23</v>
      </c>
      <c r="J439" t="s">
        <v>1638</v>
      </c>
      <c r="K439">
        <v>69</v>
      </c>
      <c r="L439" t="s">
        <v>37</v>
      </c>
      <c r="M439" t="s">
        <v>110</v>
      </c>
      <c r="N439" t="s">
        <v>51</v>
      </c>
      <c r="O439" t="s">
        <v>28</v>
      </c>
      <c r="P439" t="s">
        <v>31</v>
      </c>
      <c r="Q439">
        <v>0</v>
      </c>
      <c r="R439" t="s">
        <v>12883</v>
      </c>
      <c r="S439" t="s">
        <v>12884</v>
      </c>
    </row>
    <row r="440" spans="1:19" x14ac:dyDescent="0.25">
      <c r="A440" t="s">
        <v>2574</v>
      </c>
      <c r="B440" s="1">
        <v>45862</v>
      </c>
      <c r="C440" t="s">
        <v>12885</v>
      </c>
      <c r="D440" s="5">
        <v>0.27179398148148148</v>
      </c>
      <c r="E440">
        <v>191.38</v>
      </c>
      <c r="F440" t="s">
        <v>44</v>
      </c>
      <c r="G440" t="s">
        <v>2575</v>
      </c>
      <c r="H440" t="s">
        <v>124</v>
      </c>
      <c r="I440" t="s">
        <v>35</v>
      </c>
      <c r="J440" t="s">
        <v>2576</v>
      </c>
      <c r="K440">
        <v>75</v>
      </c>
      <c r="L440" t="s">
        <v>49</v>
      </c>
      <c r="M440" t="s">
        <v>58</v>
      </c>
      <c r="N440" t="s">
        <v>39</v>
      </c>
      <c r="O440" t="s">
        <v>28</v>
      </c>
      <c r="P440" t="s">
        <v>31</v>
      </c>
      <c r="Q440">
        <v>1</v>
      </c>
      <c r="R440" t="s">
        <v>12891</v>
      </c>
      <c r="S440" t="s">
        <v>12884</v>
      </c>
    </row>
    <row r="441" spans="1:19" x14ac:dyDescent="0.25">
      <c r="A441" t="s">
        <v>10653</v>
      </c>
      <c r="B441" s="1">
        <v>45905</v>
      </c>
      <c r="C441" t="s">
        <v>12882</v>
      </c>
      <c r="D441" s="5">
        <v>0.32915509259259257</v>
      </c>
      <c r="E441">
        <v>191.37</v>
      </c>
      <c r="F441" t="s">
        <v>44</v>
      </c>
      <c r="G441" t="s">
        <v>1823</v>
      </c>
      <c r="H441" t="s">
        <v>64</v>
      </c>
      <c r="I441" t="s">
        <v>146</v>
      </c>
      <c r="J441" t="s">
        <v>10654</v>
      </c>
      <c r="K441">
        <v>70</v>
      </c>
      <c r="L441" t="s">
        <v>37</v>
      </c>
      <c r="M441" t="s">
        <v>38</v>
      </c>
      <c r="N441" t="s">
        <v>51</v>
      </c>
      <c r="O441" t="s">
        <v>28</v>
      </c>
      <c r="P441" t="s">
        <v>31</v>
      </c>
      <c r="Q441">
        <v>0</v>
      </c>
      <c r="R441" t="s">
        <v>12883</v>
      </c>
      <c r="S441" t="s">
        <v>12884</v>
      </c>
    </row>
    <row r="442" spans="1:19" x14ac:dyDescent="0.25">
      <c r="A442" t="s">
        <v>3566</v>
      </c>
      <c r="B442" s="1">
        <v>45793</v>
      </c>
      <c r="C442" t="s">
        <v>12887</v>
      </c>
      <c r="D442" s="5">
        <v>0.78923611111111114</v>
      </c>
      <c r="E442">
        <v>191.28</v>
      </c>
      <c r="F442" t="s">
        <v>44</v>
      </c>
      <c r="G442" t="s">
        <v>3284</v>
      </c>
      <c r="H442" t="s">
        <v>22</v>
      </c>
      <c r="I442" t="s">
        <v>26</v>
      </c>
      <c r="J442" t="s">
        <v>3567</v>
      </c>
      <c r="K442">
        <v>43</v>
      </c>
      <c r="L442" t="s">
        <v>49</v>
      </c>
      <c r="M442" t="s">
        <v>146</v>
      </c>
      <c r="N442" t="s">
        <v>27</v>
      </c>
      <c r="O442" t="s">
        <v>28</v>
      </c>
      <c r="P442" t="s">
        <v>31</v>
      </c>
      <c r="Q442">
        <v>0</v>
      </c>
      <c r="R442" t="s">
        <v>12883</v>
      </c>
      <c r="S442" t="s">
        <v>12886</v>
      </c>
    </row>
    <row r="443" spans="1:19" x14ac:dyDescent="0.25">
      <c r="A443" t="s">
        <v>3680</v>
      </c>
      <c r="B443" s="1">
        <v>45917</v>
      </c>
      <c r="C443" t="s">
        <v>12882</v>
      </c>
      <c r="D443" s="5">
        <v>0.16876157407407408</v>
      </c>
      <c r="E443">
        <v>191.25</v>
      </c>
      <c r="F443" t="s">
        <v>44</v>
      </c>
      <c r="G443" t="s">
        <v>3681</v>
      </c>
      <c r="H443" t="s">
        <v>77</v>
      </c>
      <c r="I443" t="s">
        <v>26</v>
      </c>
      <c r="J443" t="s">
        <v>3682</v>
      </c>
      <c r="K443">
        <v>61</v>
      </c>
      <c r="L443" t="s">
        <v>37</v>
      </c>
      <c r="M443" t="s">
        <v>91</v>
      </c>
      <c r="N443" t="s">
        <v>84</v>
      </c>
      <c r="O443" t="s">
        <v>28</v>
      </c>
      <c r="P443" t="s">
        <v>31</v>
      </c>
      <c r="Q443">
        <v>0</v>
      </c>
      <c r="R443" t="s">
        <v>12883</v>
      </c>
      <c r="S443" t="s">
        <v>12884</v>
      </c>
    </row>
    <row r="444" spans="1:19" x14ac:dyDescent="0.25">
      <c r="A444" t="s">
        <v>5844</v>
      </c>
      <c r="B444" s="1">
        <v>45878</v>
      </c>
      <c r="C444" t="s">
        <v>12893</v>
      </c>
      <c r="D444" s="5">
        <v>0.67005787037037035</v>
      </c>
      <c r="E444">
        <v>191.09</v>
      </c>
      <c r="F444" t="s">
        <v>44</v>
      </c>
      <c r="G444" t="s">
        <v>3643</v>
      </c>
      <c r="H444" t="s">
        <v>34</v>
      </c>
      <c r="I444" t="s">
        <v>38</v>
      </c>
      <c r="J444" t="s">
        <v>5845</v>
      </c>
      <c r="K444">
        <v>40</v>
      </c>
      <c r="L444" t="s">
        <v>37</v>
      </c>
      <c r="M444" t="s">
        <v>91</v>
      </c>
      <c r="N444" t="s">
        <v>27</v>
      </c>
      <c r="O444" t="s">
        <v>28</v>
      </c>
      <c r="P444" t="s">
        <v>31</v>
      </c>
      <c r="Q444">
        <v>0</v>
      </c>
      <c r="R444" t="s">
        <v>12883</v>
      </c>
      <c r="S444" t="s">
        <v>12886</v>
      </c>
    </row>
    <row r="445" spans="1:19" x14ac:dyDescent="0.25">
      <c r="A445" t="s">
        <v>10642</v>
      </c>
      <c r="B445" s="1">
        <v>45871</v>
      </c>
      <c r="C445" t="s">
        <v>12893</v>
      </c>
      <c r="D445" s="5">
        <v>0.58480324074074075</v>
      </c>
      <c r="E445">
        <v>191.07</v>
      </c>
      <c r="F445" t="s">
        <v>44</v>
      </c>
      <c r="G445" t="s">
        <v>4067</v>
      </c>
      <c r="H445" t="s">
        <v>77</v>
      </c>
      <c r="I445" t="s">
        <v>130</v>
      </c>
      <c r="J445" t="s">
        <v>10643</v>
      </c>
      <c r="K445">
        <v>54</v>
      </c>
      <c r="L445" t="s">
        <v>25</v>
      </c>
      <c r="M445" t="s">
        <v>47</v>
      </c>
      <c r="N445" t="s">
        <v>27</v>
      </c>
      <c r="O445" t="s">
        <v>28</v>
      </c>
      <c r="P445" t="s">
        <v>31</v>
      </c>
      <c r="Q445">
        <v>0</v>
      </c>
      <c r="R445" t="s">
        <v>12883</v>
      </c>
      <c r="S445" t="s">
        <v>12886</v>
      </c>
    </row>
    <row r="446" spans="1:19" x14ac:dyDescent="0.25">
      <c r="A446" t="s">
        <v>8726</v>
      </c>
      <c r="B446" s="1">
        <v>45837</v>
      </c>
      <c r="C446" t="s">
        <v>12888</v>
      </c>
      <c r="D446" s="5">
        <v>0.93694444444444447</v>
      </c>
      <c r="E446">
        <v>191.04</v>
      </c>
      <c r="F446" t="s">
        <v>44</v>
      </c>
      <c r="G446" t="s">
        <v>8727</v>
      </c>
      <c r="H446" t="s">
        <v>57</v>
      </c>
      <c r="I446" t="s">
        <v>248</v>
      </c>
      <c r="J446" t="s">
        <v>8728</v>
      </c>
      <c r="K446">
        <v>73</v>
      </c>
      <c r="L446" t="s">
        <v>25</v>
      </c>
      <c r="M446" t="s">
        <v>58</v>
      </c>
      <c r="N446" t="s">
        <v>84</v>
      </c>
      <c r="O446" t="s">
        <v>28</v>
      </c>
      <c r="P446" t="s">
        <v>31</v>
      </c>
      <c r="Q446">
        <v>0</v>
      </c>
      <c r="R446" t="s">
        <v>12883</v>
      </c>
      <c r="S446" t="s">
        <v>12884</v>
      </c>
    </row>
    <row r="447" spans="1:19" x14ac:dyDescent="0.25">
      <c r="A447" t="s">
        <v>12561</v>
      </c>
      <c r="B447" s="1">
        <v>45807</v>
      </c>
      <c r="C447" t="s">
        <v>12887</v>
      </c>
      <c r="D447" s="5">
        <v>0.99202546296296301</v>
      </c>
      <c r="E447">
        <v>190.91</v>
      </c>
      <c r="F447" t="s">
        <v>44</v>
      </c>
      <c r="G447" t="s">
        <v>2467</v>
      </c>
      <c r="H447" t="s">
        <v>22</v>
      </c>
      <c r="I447" t="s">
        <v>38</v>
      </c>
      <c r="J447" t="s">
        <v>12562</v>
      </c>
      <c r="K447">
        <v>52</v>
      </c>
      <c r="L447" t="s">
        <v>49</v>
      </c>
      <c r="M447" t="s">
        <v>248</v>
      </c>
      <c r="N447" t="s">
        <v>51</v>
      </c>
      <c r="O447" t="s">
        <v>28</v>
      </c>
      <c r="P447" t="s">
        <v>31</v>
      </c>
      <c r="Q447">
        <v>0</v>
      </c>
      <c r="R447" t="s">
        <v>12883</v>
      </c>
      <c r="S447" t="s">
        <v>12886</v>
      </c>
    </row>
    <row r="448" spans="1:19" x14ac:dyDescent="0.25">
      <c r="A448" t="s">
        <v>3242</v>
      </c>
      <c r="B448" s="1">
        <v>45928</v>
      </c>
      <c r="C448" t="s">
        <v>12882</v>
      </c>
      <c r="D448" s="5">
        <v>0.14709490740740741</v>
      </c>
      <c r="E448">
        <v>190.76</v>
      </c>
      <c r="F448" t="s">
        <v>44</v>
      </c>
      <c r="G448" t="s">
        <v>3243</v>
      </c>
      <c r="H448" t="s">
        <v>71</v>
      </c>
      <c r="I448" t="s">
        <v>91</v>
      </c>
      <c r="J448" t="s">
        <v>3244</v>
      </c>
      <c r="K448">
        <v>61</v>
      </c>
      <c r="L448" t="s">
        <v>37</v>
      </c>
      <c r="M448" t="s">
        <v>119</v>
      </c>
      <c r="N448" t="s">
        <v>112</v>
      </c>
      <c r="O448" t="s">
        <v>28</v>
      </c>
      <c r="P448" t="s">
        <v>31</v>
      </c>
      <c r="Q448">
        <v>0</v>
      </c>
      <c r="R448" t="s">
        <v>12883</v>
      </c>
      <c r="S448" t="s">
        <v>12884</v>
      </c>
    </row>
    <row r="449" spans="1:19" x14ac:dyDescent="0.25">
      <c r="A449" t="s">
        <v>7427</v>
      </c>
      <c r="B449" s="1">
        <v>45920</v>
      </c>
      <c r="C449" t="s">
        <v>12882</v>
      </c>
      <c r="D449" s="5">
        <v>0.50258101851851855</v>
      </c>
      <c r="E449">
        <v>190.76</v>
      </c>
      <c r="F449" t="s">
        <v>44</v>
      </c>
      <c r="G449" t="s">
        <v>1499</v>
      </c>
      <c r="H449" t="s">
        <v>124</v>
      </c>
      <c r="I449" t="s">
        <v>50</v>
      </c>
      <c r="J449" t="s">
        <v>7428</v>
      </c>
      <c r="K449">
        <v>45</v>
      </c>
      <c r="L449" t="s">
        <v>37</v>
      </c>
      <c r="M449" t="s">
        <v>130</v>
      </c>
      <c r="N449" t="s">
        <v>39</v>
      </c>
      <c r="O449" t="s">
        <v>28</v>
      </c>
      <c r="P449" t="s">
        <v>31</v>
      </c>
      <c r="Q449">
        <v>0</v>
      </c>
      <c r="R449" t="s">
        <v>12883</v>
      </c>
      <c r="S449" t="s">
        <v>12886</v>
      </c>
    </row>
    <row r="450" spans="1:19" x14ac:dyDescent="0.25">
      <c r="A450" t="s">
        <v>3855</v>
      </c>
      <c r="B450" s="1">
        <v>45834</v>
      </c>
      <c r="C450" t="s">
        <v>12888</v>
      </c>
      <c r="D450" s="5">
        <v>0.17128472222222221</v>
      </c>
      <c r="E450">
        <v>190.53</v>
      </c>
      <c r="F450" t="s">
        <v>44</v>
      </c>
      <c r="G450" t="s">
        <v>1311</v>
      </c>
      <c r="H450" t="s">
        <v>89</v>
      </c>
      <c r="I450" t="s">
        <v>248</v>
      </c>
      <c r="J450" t="s">
        <v>3856</v>
      </c>
      <c r="K450">
        <v>65</v>
      </c>
      <c r="L450" t="s">
        <v>49</v>
      </c>
      <c r="M450" t="s">
        <v>91</v>
      </c>
      <c r="N450" t="s">
        <v>84</v>
      </c>
      <c r="O450" t="s">
        <v>28</v>
      </c>
      <c r="P450" t="s">
        <v>31</v>
      </c>
      <c r="Q450">
        <v>0</v>
      </c>
      <c r="R450" t="s">
        <v>12883</v>
      </c>
      <c r="S450" t="s">
        <v>12884</v>
      </c>
    </row>
    <row r="451" spans="1:19" x14ac:dyDescent="0.25">
      <c r="A451" t="s">
        <v>9794</v>
      </c>
      <c r="B451" s="1">
        <v>45858</v>
      </c>
      <c r="C451" t="s">
        <v>12885</v>
      </c>
      <c r="D451" s="5">
        <v>0.42783564814814817</v>
      </c>
      <c r="E451">
        <v>190.52</v>
      </c>
      <c r="F451" t="s">
        <v>44</v>
      </c>
      <c r="G451" t="s">
        <v>1427</v>
      </c>
      <c r="H451" t="s">
        <v>77</v>
      </c>
      <c r="I451" t="s">
        <v>47</v>
      </c>
      <c r="J451" t="s">
        <v>9795</v>
      </c>
      <c r="K451">
        <v>68</v>
      </c>
      <c r="L451" t="s">
        <v>25</v>
      </c>
      <c r="M451" t="s">
        <v>35</v>
      </c>
      <c r="N451" t="s">
        <v>112</v>
      </c>
      <c r="O451" t="s">
        <v>28</v>
      </c>
      <c r="P451" t="s">
        <v>31</v>
      </c>
      <c r="Q451">
        <v>0</v>
      </c>
      <c r="R451" t="s">
        <v>12883</v>
      </c>
      <c r="S451" t="s">
        <v>12884</v>
      </c>
    </row>
    <row r="452" spans="1:19" x14ac:dyDescent="0.25">
      <c r="A452" t="s">
        <v>7833</v>
      </c>
      <c r="B452" s="1">
        <v>45917</v>
      </c>
      <c r="C452" t="s">
        <v>12882</v>
      </c>
      <c r="D452" s="5">
        <v>0.87506944444444446</v>
      </c>
      <c r="E452">
        <v>190.48</v>
      </c>
      <c r="F452" t="s">
        <v>44</v>
      </c>
      <c r="G452" t="s">
        <v>1568</v>
      </c>
      <c r="H452" t="s">
        <v>96</v>
      </c>
      <c r="I452" t="s">
        <v>47</v>
      </c>
      <c r="J452" t="s">
        <v>7834</v>
      </c>
      <c r="K452">
        <v>28</v>
      </c>
      <c r="L452" t="s">
        <v>25</v>
      </c>
      <c r="M452" t="s">
        <v>23</v>
      </c>
      <c r="N452" t="s">
        <v>84</v>
      </c>
      <c r="O452" t="s">
        <v>28</v>
      </c>
      <c r="P452" t="s">
        <v>31</v>
      </c>
      <c r="Q452">
        <v>0</v>
      </c>
      <c r="R452" t="s">
        <v>12883</v>
      </c>
      <c r="S452" t="s">
        <v>12889</v>
      </c>
    </row>
    <row r="453" spans="1:19" x14ac:dyDescent="0.25">
      <c r="A453" t="s">
        <v>6200</v>
      </c>
      <c r="B453" s="1">
        <v>45838</v>
      </c>
      <c r="C453" t="s">
        <v>12888</v>
      </c>
      <c r="D453" s="5">
        <v>0.5141782407407407</v>
      </c>
      <c r="E453">
        <v>190.36</v>
      </c>
      <c r="F453" t="s">
        <v>44</v>
      </c>
      <c r="G453" t="s">
        <v>6201</v>
      </c>
      <c r="H453" t="s">
        <v>96</v>
      </c>
      <c r="I453" t="s">
        <v>50</v>
      </c>
      <c r="J453" t="s">
        <v>6202</v>
      </c>
      <c r="K453">
        <v>47</v>
      </c>
      <c r="L453" t="s">
        <v>49</v>
      </c>
      <c r="M453" t="s">
        <v>119</v>
      </c>
      <c r="N453" t="s">
        <v>112</v>
      </c>
      <c r="O453" t="s">
        <v>28</v>
      </c>
      <c r="P453" t="s">
        <v>31</v>
      </c>
      <c r="Q453">
        <v>0</v>
      </c>
      <c r="R453" t="s">
        <v>12883</v>
      </c>
      <c r="S453" t="s">
        <v>12886</v>
      </c>
    </row>
    <row r="454" spans="1:19" x14ac:dyDescent="0.25">
      <c r="A454" t="s">
        <v>6707</v>
      </c>
      <c r="B454" s="1">
        <v>45899</v>
      </c>
      <c r="C454" t="s">
        <v>12893</v>
      </c>
      <c r="D454" s="5">
        <v>4.4016203703703703E-2</v>
      </c>
      <c r="E454">
        <v>190.3</v>
      </c>
      <c r="F454" t="s">
        <v>44</v>
      </c>
      <c r="G454" t="s">
        <v>82</v>
      </c>
      <c r="H454" t="s">
        <v>46</v>
      </c>
      <c r="I454" t="s">
        <v>119</v>
      </c>
      <c r="J454" t="s">
        <v>6708</v>
      </c>
      <c r="K454">
        <v>64</v>
      </c>
      <c r="L454" t="s">
        <v>49</v>
      </c>
      <c r="M454" t="s">
        <v>66</v>
      </c>
      <c r="N454" t="s">
        <v>27</v>
      </c>
      <c r="O454" t="s">
        <v>28</v>
      </c>
      <c r="P454" t="s">
        <v>31</v>
      </c>
      <c r="Q454">
        <v>0</v>
      </c>
      <c r="R454" t="s">
        <v>12883</v>
      </c>
      <c r="S454" t="s">
        <v>12884</v>
      </c>
    </row>
    <row r="455" spans="1:19" x14ac:dyDescent="0.25">
      <c r="A455" t="s">
        <v>525</v>
      </c>
      <c r="B455" s="1">
        <v>45858</v>
      </c>
      <c r="C455" t="s">
        <v>12885</v>
      </c>
      <c r="D455" s="5">
        <v>0.28900462962962964</v>
      </c>
      <c r="E455">
        <v>190.29</v>
      </c>
      <c r="F455" t="s">
        <v>44</v>
      </c>
      <c r="G455" t="s">
        <v>526</v>
      </c>
      <c r="H455" t="s">
        <v>77</v>
      </c>
      <c r="I455" t="s">
        <v>50</v>
      </c>
      <c r="J455" t="s">
        <v>527</v>
      </c>
      <c r="K455">
        <v>26</v>
      </c>
      <c r="L455" t="s">
        <v>25</v>
      </c>
      <c r="M455" t="s">
        <v>130</v>
      </c>
      <c r="N455" t="s">
        <v>84</v>
      </c>
      <c r="O455" t="s">
        <v>28</v>
      </c>
      <c r="P455" t="s">
        <v>31</v>
      </c>
      <c r="Q455">
        <v>0</v>
      </c>
      <c r="R455" t="s">
        <v>12883</v>
      </c>
      <c r="S455" t="s">
        <v>12889</v>
      </c>
    </row>
    <row r="456" spans="1:19" x14ac:dyDescent="0.25">
      <c r="A456" t="s">
        <v>12457</v>
      </c>
      <c r="B456" s="1">
        <v>45804</v>
      </c>
      <c r="C456" t="s">
        <v>12887</v>
      </c>
      <c r="D456" s="5">
        <v>0.26431712962962961</v>
      </c>
      <c r="E456">
        <v>190.16</v>
      </c>
      <c r="F456" t="s">
        <v>44</v>
      </c>
      <c r="G456" t="s">
        <v>7808</v>
      </c>
      <c r="H456" t="s">
        <v>46</v>
      </c>
      <c r="I456" t="s">
        <v>91</v>
      </c>
      <c r="J456" t="s">
        <v>6011</v>
      </c>
      <c r="K456">
        <v>101</v>
      </c>
      <c r="L456" t="s">
        <v>25</v>
      </c>
      <c r="M456" t="s">
        <v>110</v>
      </c>
      <c r="N456" t="s">
        <v>112</v>
      </c>
      <c r="O456" t="s">
        <v>28</v>
      </c>
      <c r="P456" t="s">
        <v>31</v>
      </c>
      <c r="Q456">
        <v>1</v>
      </c>
      <c r="R456" t="s">
        <v>12891</v>
      </c>
      <c r="S456" t="s">
        <v>12884</v>
      </c>
    </row>
    <row r="457" spans="1:19" x14ac:dyDescent="0.25">
      <c r="A457" t="s">
        <v>12327</v>
      </c>
      <c r="B457" s="1">
        <v>45794</v>
      </c>
      <c r="C457" t="s">
        <v>12887</v>
      </c>
      <c r="D457" s="5">
        <v>8.5127314814814808E-2</v>
      </c>
      <c r="E457">
        <v>190.11</v>
      </c>
      <c r="F457" t="s">
        <v>44</v>
      </c>
      <c r="G457" t="s">
        <v>7144</v>
      </c>
      <c r="H457" t="s">
        <v>46</v>
      </c>
      <c r="I457" t="s">
        <v>66</v>
      </c>
      <c r="J457" t="s">
        <v>12328</v>
      </c>
      <c r="K457">
        <v>24</v>
      </c>
      <c r="L457" t="s">
        <v>37</v>
      </c>
      <c r="M457" t="s">
        <v>26</v>
      </c>
      <c r="N457" t="s">
        <v>105</v>
      </c>
      <c r="O457" t="s">
        <v>28</v>
      </c>
      <c r="P457" t="s">
        <v>31</v>
      </c>
      <c r="Q457">
        <v>0</v>
      </c>
      <c r="R457" t="s">
        <v>12883</v>
      </c>
      <c r="S457" t="s">
        <v>12892</v>
      </c>
    </row>
    <row r="458" spans="1:19" x14ac:dyDescent="0.25">
      <c r="A458" t="s">
        <v>8338</v>
      </c>
      <c r="B458" s="1">
        <v>45888</v>
      </c>
      <c r="C458" t="s">
        <v>12893</v>
      </c>
      <c r="D458" s="5">
        <v>0.45327546296296295</v>
      </c>
      <c r="E458">
        <v>190.02</v>
      </c>
      <c r="F458" t="s">
        <v>44</v>
      </c>
      <c r="G458" t="s">
        <v>2457</v>
      </c>
      <c r="H458" t="s">
        <v>124</v>
      </c>
      <c r="I458" t="s">
        <v>58</v>
      </c>
      <c r="J458" t="s">
        <v>8339</v>
      </c>
      <c r="K458">
        <v>31</v>
      </c>
      <c r="L458" t="s">
        <v>49</v>
      </c>
      <c r="M458" t="s">
        <v>47</v>
      </c>
      <c r="N458" t="s">
        <v>84</v>
      </c>
      <c r="O458" t="s">
        <v>28</v>
      </c>
      <c r="P458" t="s">
        <v>31</v>
      </c>
      <c r="Q458">
        <v>0</v>
      </c>
      <c r="R458" t="s">
        <v>12883</v>
      </c>
      <c r="S458" t="s">
        <v>12889</v>
      </c>
    </row>
    <row r="459" spans="1:19" x14ac:dyDescent="0.25">
      <c r="A459" t="s">
        <v>5549</v>
      </c>
      <c r="B459" s="1">
        <v>45799</v>
      </c>
      <c r="C459" t="s">
        <v>12887</v>
      </c>
      <c r="D459" s="5">
        <v>0.64511574074074074</v>
      </c>
      <c r="E459">
        <v>189.79</v>
      </c>
      <c r="F459" t="s">
        <v>44</v>
      </c>
      <c r="G459" t="s">
        <v>3960</v>
      </c>
      <c r="H459" t="s">
        <v>34</v>
      </c>
      <c r="I459" t="s">
        <v>23</v>
      </c>
      <c r="J459" t="s">
        <v>5550</v>
      </c>
      <c r="K459">
        <v>37</v>
      </c>
      <c r="L459" t="s">
        <v>25</v>
      </c>
      <c r="M459" t="s">
        <v>97</v>
      </c>
      <c r="N459" t="s">
        <v>51</v>
      </c>
      <c r="O459" t="s">
        <v>28</v>
      </c>
      <c r="P459" t="s">
        <v>31</v>
      </c>
      <c r="Q459">
        <v>0</v>
      </c>
      <c r="R459" t="s">
        <v>12883</v>
      </c>
      <c r="S459" t="s">
        <v>12889</v>
      </c>
    </row>
    <row r="460" spans="1:19" x14ac:dyDescent="0.25">
      <c r="A460" t="s">
        <v>6846</v>
      </c>
      <c r="B460" s="1">
        <v>45926</v>
      </c>
      <c r="C460" t="s">
        <v>12882</v>
      </c>
      <c r="D460" s="5">
        <v>0.35219907407407408</v>
      </c>
      <c r="E460">
        <v>189.76</v>
      </c>
      <c r="F460" t="s">
        <v>44</v>
      </c>
      <c r="G460" t="s">
        <v>33</v>
      </c>
      <c r="H460" t="s">
        <v>46</v>
      </c>
      <c r="I460" t="s">
        <v>91</v>
      </c>
      <c r="J460" t="s">
        <v>6847</v>
      </c>
      <c r="K460">
        <v>29</v>
      </c>
      <c r="L460" t="s">
        <v>49</v>
      </c>
      <c r="M460" t="s">
        <v>248</v>
      </c>
      <c r="N460" t="s">
        <v>27</v>
      </c>
      <c r="O460" t="s">
        <v>28</v>
      </c>
      <c r="P460" t="s">
        <v>31</v>
      </c>
      <c r="Q460">
        <v>0</v>
      </c>
      <c r="R460" t="s">
        <v>12883</v>
      </c>
      <c r="S460" t="s">
        <v>12889</v>
      </c>
    </row>
    <row r="461" spans="1:19" x14ac:dyDescent="0.25">
      <c r="A461" t="s">
        <v>8998</v>
      </c>
      <c r="B461" s="1">
        <v>45802</v>
      </c>
      <c r="C461" t="s">
        <v>12887</v>
      </c>
      <c r="D461" s="5">
        <v>0.25190972222222224</v>
      </c>
      <c r="E461">
        <v>189.73</v>
      </c>
      <c r="F461" t="s">
        <v>44</v>
      </c>
      <c r="G461" t="s">
        <v>5138</v>
      </c>
      <c r="H461" t="s">
        <v>46</v>
      </c>
      <c r="I461" t="s">
        <v>23</v>
      </c>
      <c r="J461" t="s">
        <v>8999</v>
      </c>
      <c r="K461">
        <v>66</v>
      </c>
      <c r="L461" t="s">
        <v>49</v>
      </c>
      <c r="M461" t="s">
        <v>110</v>
      </c>
      <c r="N461" t="s">
        <v>27</v>
      </c>
      <c r="O461" t="s">
        <v>28</v>
      </c>
      <c r="P461" t="s">
        <v>31</v>
      </c>
      <c r="Q461">
        <v>0</v>
      </c>
      <c r="R461" t="s">
        <v>12883</v>
      </c>
      <c r="S461" t="s">
        <v>12884</v>
      </c>
    </row>
    <row r="462" spans="1:19" x14ac:dyDescent="0.25">
      <c r="A462" t="s">
        <v>9905</v>
      </c>
      <c r="B462" s="1">
        <v>45894</v>
      </c>
      <c r="C462" t="s">
        <v>12893</v>
      </c>
      <c r="D462" s="5">
        <v>0.57953703703703707</v>
      </c>
      <c r="E462">
        <v>189.72</v>
      </c>
      <c r="F462" t="s">
        <v>44</v>
      </c>
      <c r="G462" t="s">
        <v>9906</v>
      </c>
      <c r="H462" t="s">
        <v>22</v>
      </c>
      <c r="I462" t="s">
        <v>38</v>
      </c>
      <c r="J462" t="s">
        <v>9907</v>
      </c>
      <c r="K462">
        <v>50</v>
      </c>
      <c r="L462" t="s">
        <v>25</v>
      </c>
      <c r="M462" t="s">
        <v>35</v>
      </c>
      <c r="N462" t="s">
        <v>51</v>
      </c>
      <c r="O462" t="s">
        <v>28</v>
      </c>
      <c r="P462" t="s">
        <v>31</v>
      </c>
      <c r="Q462">
        <v>0</v>
      </c>
      <c r="R462" t="s">
        <v>12883</v>
      </c>
      <c r="S462" t="s">
        <v>12886</v>
      </c>
    </row>
    <row r="463" spans="1:19" x14ac:dyDescent="0.25">
      <c r="A463" t="s">
        <v>1181</v>
      </c>
      <c r="B463" s="1">
        <v>45787</v>
      </c>
      <c r="C463" t="s">
        <v>12887</v>
      </c>
      <c r="D463" s="5">
        <v>0.50026620370370367</v>
      </c>
      <c r="E463">
        <v>189.67</v>
      </c>
      <c r="F463" t="s">
        <v>44</v>
      </c>
      <c r="G463" t="s">
        <v>1182</v>
      </c>
      <c r="H463" t="s">
        <v>34</v>
      </c>
      <c r="I463" t="s">
        <v>119</v>
      </c>
      <c r="J463" t="s">
        <v>1183</v>
      </c>
      <c r="K463">
        <v>25</v>
      </c>
      <c r="L463" t="s">
        <v>49</v>
      </c>
      <c r="M463" t="s">
        <v>119</v>
      </c>
      <c r="N463" t="s">
        <v>27</v>
      </c>
      <c r="O463" t="s">
        <v>113</v>
      </c>
      <c r="P463" t="s">
        <v>31</v>
      </c>
      <c r="Q463">
        <v>0</v>
      </c>
      <c r="R463" t="s">
        <v>12883</v>
      </c>
      <c r="S463" t="s">
        <v>12889</v>
      </c>
    </row>
    <row r="464" spans="1:19" x14ac:dyDescent="0.25">
      <c r="A464" t="s">
        <v>5259</v>
      </c>
      <c r="B464" s="1">
        <v>45785</v>
      </c>
      <c r="C464" t="s">
        <v>12887</v>
      </c>
      <c r="D464" s="5">
        <v>0.79204861111111113</v>
      </c>
      <c r="E464">
        <v>189.61</v>
      </c>
      <c r="F464" t="s">
        <v>44</v>
      </c>
      <c r="G464" t="s">
        <v>5260</v>
      </c>
      <c r="H464" t="s">
        <v>96</v>
      </c>
      <c r="I464" t="s">
        <v>91</v>
      </c>
      <c r="J464" t="s">
        <v>5261</v>
      </c>
      <c r="K464">
        <v>62</v>
      </c>
      <c r="L464" t="s">
        <v>49</v>
      </c>
      <c r="M464" t="s">
        <v>91</v>
      </c>
      <c r="N464" t="s">
        <v>105</v>
      </c>
      <c r="O464" t="s">
        <v>113</v>
      </c>
      <c r="P464" t="s">
        <v>31</v>
      </c>
      <c r="Q464">
        <v>0</v>
      </c>
      <c r="R464" t="s">
        <v>12883</v>
      </c>
      <c r="S464" t="s">
        <v>12884</v>
      </c>
    </row>
    <row r="465" spans="1:19" x14ac:dyDescent="0.25">
      <c r="A465" t="s">
        <v>8201</v>
      </c>
      <c r="B465" s="1">
        <v>45790</v>
      </c>
      <c r="C465" t="s">
        <v>12887</v>
      </c>
      <c r="D465" s="5">
        <v>0.93921296296296297</v>
      </c>
      <c r="E465">
        <v>189.55</v>
      </c>
      <c r="F465" t="s">
        <v>44</v>
      </c>
      <c r="G465" t="s">
        <v>6076</v>
      </c>
      <c r="H465" t="s">
        <v>124</v>
      </c>
      <c r="I465" t="s">
        <v>146</v>
      </c>
      <c r="J465" t="s">
        <v>8202</v>
      </c>
      <c r="K465">
        <v>45</v>
      </c>
      <c r="L465" t="s">
        <v>25</v>
      </c>
      <c r="M465" t="s">
        <v>97</v>
      </c>
      <c r="N465" t="s">
        <v>84</v>
      </c>
      <c r="O465" t="s">
        <v>28</v>
      </c>
      <c r="P465" t="s">
        <v>31</v>
      </c>
      <c r="Q465">
        <v>0</v>
      </c>
      <c r="R465" t="s">
        <v>12883</v>
      </c>
      <c r="S465" t="s">
        <v>12886</v>
      </c>
    </row>
    <row r="466" spans="1:19" x14ac:dyDescent="0.25">
      <c r="A466" t="s">
        <v>5009</v>
      </c>
      <c r="B466" s="1">
        <v>45893</v>
      </c>
      <c r="C466" t="s">
        <v>12893</v>
      </c>
      <c r="D466" s="5">
        <v>0.86728009259259264</v>
      </c>
      <c r="E466">
        <v>189.5</v>
      </c>
      <c r="F466" t="s">
        <v>44</v>
      </c>
      <c r="G466" t="s">
        <v>2335</v>
      </c>
      <c r="H466" t="s">
        <v>71</v>
      </c>
      <c r="I466" t="s">
        <v>146</v>
      </c>
      <c r="J466" t="s">
        <v>5010</v>
      </c>
      <c r="K466">
        <v>21</v>
      </c>
      <c r="L466" t="s">
        <v>37</v>
      </c>
      <c r="M466" t="s">
        <v>91</v>
      </c>
      <c r="N466" t="s">
        <v>27</v>
      </c>
      <c r="O466" t="s">
        <v>28</v>
      </c>
      <c r="P466" t="s">
        <v>31</v>
      </c>
      <c r="Q466">
        <v>0</v>
      </c>
      <c r="R466" t="s">
        <v>12883</v>
      </c>
      <c r="S466" t="s">
        <v>12892</v>
      </c>
    </row>
    <row r="467" spans="1:19" x14ac:dyDescent="0.25">
      <c r="A467" t="s">
        <v>4594</v>
      </c>
      <c r="B467" s="1">
        <v>45941</v>
      </c>
      <c r="C467" t="s">
        <v>12890</v>
      </c>
      <c r="D467" s="5">
        <v>0.80989583333333337</v>
      </c>
      <c r="E467">
        <v>189.32</v>
      </c>
      <c r="F467" t="s">
        <v>44</v>
      </c>
      <c r="G467" t="s">
        <v>3238</v>
      </c>
      <c r="H467" t="s">
        <v>77</v>
      </c>
      <c r="I467" t="s">
        <v>47</v>
      </c>
      <c r="J467" t="s">
        <v>4595</v>
      </c>
      <c r="K467">
        <v>13</v>
      </c>
      <c r="L467" t="s">
        <v>49</v>
      </c>
      <c r="M467" t="s">
        <v>130</v>
      </c>
      <c r="N467" t="s">
        <v>39</v>
      </c>
      <c r="O467" t="s">
        <v>28</v>
      </c>
      <c r="P467" t="s">
        <v>31</v>
      </c>
      <c r="Q467">
        <v>0</v>
      </c>
      <c r="R467" t="s">
        <v>12883</v>
      </c>
      <c r="S467" t="s">
        <v>12892</v>
      </c>
    </row>
    <row r="468" spans="1:19" x14ac:dyDescent="0.25">
      <c r="A468" t="s">
        <v>8027</v>
      </c>
      <c r="B468" s="1">
        <v>45826</v>
      </c>
      <c r="C468" t="s">
        <v>12888</v>
      </c>
      <c r="D468" s="5">
        <v>0.49896990740740743</v>
      </c>
      <c r="E468">
        <v>189.21</v>
      </c>
      <c r="F468" t="s">
        <v>44</v>
      </c>
      <c r="G468" t="s">
        <v>2685</v>
      </c>
      <c r="H468" t="s">
        <v>124</v>
      </c>
      <c r="I468" t="s">
        <v>97</v>
      </c>
      <c r="J468" t="s">
        <v>8028</v>
      </c>
      <c r="K468">
        <v>10</v>
      </c>
      <c r="L468" t="s">
        <v>37</v>
      </c>
      <c r="M468" t="s">
        <v>66</v>
      </c>
      <c r="N468" t="s">
        <v>51</v>
      </c>
      <c r="O468" t="s">
        <v>28</v>
      </c>
      <c r="P468" t="s">
        <v>31</v>
      </c>
      <c r="Q468">
        <v>0</v>
      </c>
      <c r="R468" t="s">
        <v>12883</v>
      </c>
      <c r="S468" t="s">
        <v>12892</v>
      </c>
    </row>
    <row r="469" spans="1:19" x14ac:dyDescent="0.25">
      <c r="A469" t="s">
        <v>1896</v>
      </c>
      <c r="B469" s="1">
        <v>45929</v>
      </c>
      <c r="C469" t="s">
        <v>12882</v>
      </c>
      <c r="D469" s="5">
        <v>0.54997685185185186</v>
      </c>
      <c r="E469">
        <v>189.2</v>
      </c>
      <c r="F469" t="s">
        <v>44</v>
      </c>
      <c r="G469" t="s">
        <v>1897</v>
      </c>
      <c r="H469" t="s">
        <v>77</v>
      </c>
      <c r="I469" t="s">
        <v>47</v>
      </c>
      <c r="J469" t="s">
        <v>1898</v>
      </c>
      <c r="K469">
        <v>30</v>
      </c>
      <c r="L469" t="s">
        <v>49</v>
      </c>
      <c r="M469" t="s">
        <v>110</v>
      </c>
      <c r="N469" t="s">
        <v>27</v>
      </c>
      <c r="O469" t="s">
        <v>28</v>
      </c>
      <c r="P469" t="s">
        <v>31</v>
      </c>
      <c r="Q469">
        <v>0</v>
      </c>
      <c r="R469" t="s">
        <v>12883</v>
      </c>
      <c r="S469" t="s">
        <v>12889</v>
      </c>
    </row>
    <row r="470" spans="1:19" x14ac:dyDescent="0.25">
      <c r="A470" t="s">
        <v>11005</v>
      </c>
      <c r="B470" s="1">
        <v>45810</v>
      </c>
      <c r="C470" t="s">
        <v>12888</v>
      </c>
      <c r="D470" s="5">
        <v>0.42758101851851854</v>
      </c>
      <c r="E470">
        <v>189.15</v>
      </c>
      <c r="F470" t="s">
        <v>44</v>
      </c>
      <c r="G470" t="s">
        <v>3934</v>
      </c>
      <c r="H470" t="s">
        <v>57</v>
      </c>
      <c r="I470" t="s">
        <v>58</v>
      </c>
      <c r="J470" t="s">
        <v>11006</v>
      </c>
      <c r="K470">
        <v>65</v>
      </c>
      <c r="L470" t="s">
        <v>37</v>
      </c>
      <c r="M470" t="s">
        <v>91</v>
      </c>
      <c r="N470" t="s">
        <v>27</v>
      </c>
      <c r="O470" t="s">
        <v>28</v>
      </c>
      <c r="P470" t="s">
        <v>31</v>
      </c>
      <c r="Q470">
        <v>0</v>
      </c>
      <c r="R470" t="s">
        <v>12883</v>
      </c>
      <c r="S470" t="s">
        <v>12884</v>
      </c>
    </row>
    <row r="471" spans="1:19" x14ac:dyDescent="0.25">
      <c r="A471" t="s">
        <v>1214</v>
      </c>
      <c r="B471" s="1">
        <v>45861</v>
      </c>
      <c r="C471" t="s">
        <v>12885</v>
      </c>
      <c r="D471" s="5">
        <v>9.194444444444444E-2</v>
      </c>
      <c r="E471">
        <v>189.02</v>
      </c>
      <c r="F471" t="s">
        <v>44</v>
      </c>
      <c r="G471" t="s">
        <v>1215</v>
      </c>
      <c r="H471" t="s">
        <v>46</v>
      </c>
      <c r="I471" t="s">
        <v>23</v>
      </c>
      <c r="J471" t="s">
        <v>1216</v>
      </c>
      <c r="K471">
        <v>37</v>
      </c>
      <c r="L471" t="s">
        <v>37</v>
      </c>
      <c r="M471" t="s">
        <v>58</v>
      </c>
      <c r="N471" t="s">
        <v>27</v>
      </c>
      <c r="O471" t="s">
        <v>28</v>
      </c>
      <c r="P471" t="s">
        <v>31</v>
      </c>
      <c r="Q471">
        <v>0</v>
      </c>
      <c r="R471" t="s">
        <v>12883</v>
      </c>
      <c r="S471" t="s">
        <v>12889</v>
      </c>
    </row>
    <row r="472" spans="1:19" x14ac:dyDescent="0.25">
      <c r="A472" t="s">
        <v>11551</v>
      </c>
      <c r="B472" s="1">
        <v>45947</v>
      </c>
      <c r="C472" t="s">
        <v>12890</v>
      </c>
      <c r="D472" s="5">
        <v>0.55209490740740741</v>
      </c>
      <c r="E472">
        <v>189.02</v>
      </c>
      <c r="F472" t="s">
        <v>44</v>
      </c>
      <c r="G472" t="s">
        <v>10137</v>
      </c>
      <c r="H472" t="s">
        <v>89</v>
      </c>
      <c r="I472" t="s">
        <v>91</v>
      </c>
      <c r="J472" t="s">
        <v>11552</v>
      </c>
      <c r="K472">
        <v>43</v>
      </c>
      <c r="L472" t="s">
        <v>49</v>
      </c>
      <c r="M472" t="s">
        <v>146</v>
      </c>
      <c r="N472" t="s">
        <v>84</v>
      </c>
      <c r="O472" t="s">
        <v>28</v>
      </c>
      <c r="P472" t="s">
        <v>31</v>
      </c>
      <c r="Q472">
        <v>0</v>
      </c>
      <c r="R472" t="s">
        <v>12883</v>
      </c>
      <c r="S472" t="s">
        <v>12886</v>
      </c>
    </row>
    <row r="473" spans="1:19" x14ac:dyDescent="0.25">
      <c r="A473" t="s">
        <v>4508</v>
      </c>
      <c r="B473" s="1">
        <v>45850</v>
      </c>
      <c r="C473" t="s">
        <v>12885</v>
      </c>
      <c r="D473" s="5">
        <v>0.78940972222222228</v>
      </c>
      <c r="E473">
        <v>189</v>
      </c>
      <c r="F473" t="s">
        <v>44</v>
      </c>
      <c r="G473" t="s">
        <v>4509</v>
      </c>
      <c r="H473" t="s">
        <v>71</v>
      </c>
      <c r="I473" t="s">
        <v>47</v>
      </c>
      <c r="J473" t="s">
        <v>4510</v>
      </c>
      <c r="K473">
        <v>33</v>
      </c>
      <c r="L473" t="s">
        <v>25</v>
      </c>
      <c r="M473" t="s">
        <v>66</v>
      </c>
      <c r="N473" t="s">
        <v>27</v>
      </c>
      <c r="O473" t="s">
        <v>28</v>
      </c>
      <c r="P473" t="s">
        <v>31</v>
      </c>
      <c r="Q473">
        <v>0</v>
      </c>
      <c r="R473" t="s">
        <v>12883</v>
      </c>
      <c r="S473" t="s">
        <v>12889</v>
      </c>
    </row>
    <row r="474" spans="1:19" x14ac:dyDescent="0.25">
      <c r="A474" t="s">
        <v>6491</v>
      </c>
      <c r="B474" s="1">
        <v>45952</v>
      </c>
      <c r="C474" t="s">
        <v>12890</v>
      </c>
      <c r="D474" s="5">
        <v>5.7395833333333333E-2</v>
      </c>
      <c r="E474">
        <v>188.87</v>
      </c>
      <c r="F474" t="s">
        <v>44</v>
      </c>
      <c r="G474" t="s">
        <v>6265</v>
      </c>
      <c r="H474" t="s">
        <v>22</v>
      </c>
      <c r="I474" t="s">
        <v>47</v>
      </c>
      <c r="J474" t="s">
        <v>6492</v>
      </c>
      <c r="K474">
        <v>68</v>
      </c>
      <c r="L474" t="s">
        <v>37</v>
      </c>
      <c r="M474" t="s">
        <v>38</v>
      </c>
      <c r="N474" t="s">
        <v>84</v>
      </c>
      <c r="O474" t="s">
        <v>28</v>
      </c>
      <c r="P474" t="s">
        <v>31</v>
      </c>
      <c r="Q474">
        <v>0</v>
      </c>
      <c r="R474" t="s">
        <v>12883</v>
      </c>
      <c r="S474" t="s">
        <v>12884</v>
      </c>
    </row>
    <row r="475" spans="1:19" x14ac:dyDescent="0.25">
      <c r="A475" t="s">
        <v>7080</v>
      </c>
      <c r="B475" s="1">
        <v>45950</v>
      </c>
      <c r="C475" t="s">
        <v>12890</v>
      </c>
      <c r="D475" s="5">
        <v>0.38172453703703701</v>
      </c>
      <c r="E475">
        <v>188.85</v>
      </c>
      <c r="F475" t="s">
        <v>44</v>
      </c>
      <c r="G475" t="s">
        <v>1897</v>
      </c>
      <c r="H475" t="s">
        <v>57</v>
      </c>
      <c r="I475" t="s">
        <v>23</v>
      </c>
      <c r="J475" t="s">
        <v>7081</v>
      </c>
      <c r="K475">
        <v>55</v>
      </c>
      <c r="L475" t="s">
        <v>25</v>
      </c>
      <c r="M475" t="s">
        <v>66</v>
      </c>
      <c r="N475" t="s">
        <v>112</v>
      </c>
      <c r="O475" t="s">
        <v>28</v>
      </c>
      <c r="P475" t="s">
        <v>31</v>
      </c>
      <c r="Q475">
        <v>0</v>
      </c>
      <c r="R475" t="s">
        <v>12883</v>
      </c>
      <c r="S475" t="s">
        <v>12886</v>
      </c>
    </row>
    <row r="476" spans="1:19" x14ac:dyDescent="0.25">
      <c r="A476" t="s">
        <v>7653</v>
      </c>
      <c r="B476" s="1">
        <v>45911</v>
      </c>
      <c r="C476" t="s">
        <v>12882</v>
      </c>
      <c r="D476" s="5">
        <v>0.93136574074074074</v>
      </c>
      <c r="E476">
        <v>188.54</v>
      </c>
      <c r="F476" t="s">
        <v>44</v>
      </c>
      <c r="G476" t="s">
        <v>3256</v>
      </c>
      <c r="H476" t="s">
        <v>22</v>
      </c>
      <c r="I476" t="s">
        <v>58</v>
      </c>
      <c r="J476" t="s">
        <v>7654</v>
      </c>
      <c r="K476">
        <v>55</v>
      </c>
      <c r="L476" t="s">
        <v>37</v>
      </c>
      <c r="M476" t="s">
        <v>110</v>
      </c>
      <c r="N476" t="s">
        <v>39</v>
      </c>
      <c r="O476" t="s">
        <v>28</v>
      </c>
      <c r="P476" t="s">
        <v>31</v>
      </c>
      <c r="Q476">
        <v>0</v>
      </c>
      <c r="R476" t="s">
        <v>12883</v>
      </c>
      <c r="S476" t="s">
        <v>12886</v>
      </c>
    </row>
    <row r="477" spans="1:19" x14ac:dyDescent="0.25">
      <c r="A477" t="s">
        <v>11814</v>
      </c>
      <c r="B477" s="1">
        <v>45882</v>
      </c>
      <c r="C477" t="s">
        <v>12893</v>
      </c>
      <c r="D477" s="5">
        <v>0.68503472222222217</v>
      </c>
      <c r="E477">
        <v>188.38</v>
      </c>
      <c r="F477" t="s">
        <v>44</v>
      </c>
      <c r="G477" t="s">
        <v>678</v>
      </c>
      <c r="H477" t="s">
        <v>96</v>
      </c>
      <c r="I477" t="s">
        <v>97</v>
      </c>
      <c r="J477" t="s">
        <v>11815</v>
      </c>
      <c r="K477">
        <v>45</v>
      </c>
      <c r="L477" t="s">
        <v>37</v>
      </c>
      <c r="M477" t="s">
        <v>97</v>
      </c>
      <c r="N477" t="s">
        <v>51</v>
      </c>
      <c r="O477" t="s">
        <v>113</v>
      </c>
      <c r="P477" t="s">
        <v>31</v>
      </c>
      <c r="Q477">
        <v>0</v>
      </c>
      <c r="R477" t="s">
        <v>12883</v>
      </c>
      <c r="S477" t="s">
        <v>12886</v>
      </c>
    </row>
    <row r="478" spans="1:19" x14ac:dyDescent="0.25">
      <c r="A478" t="s">
        <v>10044</v>
      </c>
      <c r="B478" s="1">
        <v>45908</v>
      </c>
      <c r="C478" t="s">
        <v>12882</v>
      </c>
      <c r="D478" s="5">
        <v>0.91836805555555556</v>
      </c>
      <c r="E478">
        <v>188.36</v>
      </c>
      <c r="F478" t="s">
        <v>44</v>
      </c>
      <c r="G478" t="s">
        <v>9455</v>
      </c>
      <c r="H478" t="s">
        <v>89</v>
      </c>
      <c r="I478" t="s">
        <v>97</v>
      </c>
      <c r="J478" t="s">
        <v>7004</v>
      </c>
      <c r="K478">
        <v>51</v>
      </c>
      <c r="L478" t="s">
        <v>49</v>
      </c>
      <c r="M478" t="s">
        <v>35</v>
      </c>
      <c r="N478" t="s">
        <v>112</v>
      </c>
      <c r="O478" t="s">
        <v>28</v>
      </c>
      <c r="P478" t="s">
        <v>31</v>
      </c>
      <c r="Q478">
        <v>0</v>
      </c>
      <c r="R478" t="s">
        <v>12883</v>
      </c>
      <c r="S478" t="s">
        <v>12886</v>
      </c>
    </row>
    <row r="479" spans="1:19" x14ac:dyDescent="0.25">
      <c r="A479" t="s">
        <v>11343</v>
      </c>
      <c r="B479" s="1">
        <v>45784</v>
      </c>
      <c r="C479" t="s">
        <v>12887</v>
      </c>
      <c r="D479" s="5">
        <v>0.78960648148148149</v>
      </c>
      <c r="E479">
        <v>188.31</v>
      </c>
      <c r="F479" t="s">
        <v>44</v>
      </c>
      <c r="G479" t="s">
        <v>389</v>
      </c>
      <c r="H479" t="s">
        <v>22</v>
      </c>
      <c r="I479" t="s">
        <v>47</v>
      </c>
      <c r="J479" t="s">
        <v>11344</v>
      </c>
      <c r="K479">
        <v>59</v>
      </c>
      <c r="L479" t="s">
        <v>25</v>
      </c>
      <c r="M479" t="s">
        <v>146</v>
      </c>
      <c r="N479" t="s">
        <v>84</v>
      </c>
      <c r="O479" t="s">
        <v>28</v>
      </c>
      <c r="P479" t="s">
        <v>31</v>
      </c>
      <c r="Q479">
        <v>0</v>
      </c>
      <c r="R479" t="s">
        <v>12883</v>
      </c>
      <c r="S479" t="s">
        <v>12886</v>
      </c>
    </row>
    <row r="480" spans="1:19" x14ac:dyDescent="0.25">
      <c r="A480" t="s">
        <v>9190</v>
      </c>
      <c r="B480" s="1">
        <v>45853</v>
      </c>
      <c r="C480" t="s">
        <v>12885</v>
      </c>
      <c r="D480" s="5">
        <v>0.68109953703703707</v>
      </c>
      <c r="E480">
        <v>188.25</v>
      </c>
      <c r="F480" t="s">
        <v>44</v>
      </c>
      <c r="G480" t="s">
        <v>2603</v>
      </c>
      <c r="H480" t="s">
        <v>89</v>
      </c>
      <c r="I480" t="s">
        <v>26</v>
      </c>
      <c r="J480" t="s">
        <v>9191</v>
      </c>
      <c r="K480">
        <v>70</v>
      </c>
      <c r="L480" t="s">
        <v>25</v>
      </c>
      <c r="M480" t="s">
        <v>146</v>
      </c>
      <c r="N480" t="s">
        <v>84</v>
      </c>
      <c r="O480" t="s">
        <v>28</v>
      </c>
      <c r="P480" t="s">
        <v>31</v>
      </c>
      <c r="Q480">
        <v>1</v>
      </c>
      <c r="R480" t="s">
        <v>12891</v>
      </c>
      <c r="S480" t="s">
        <v>12884</v>
      </c>
    </row>
    <row r="481" spans="1:19" x14ac:dyDescent="0.25">
      <c r="A481" t="s">
        <v>6004</v>
      </c>
      <c r="B481" s="1">
        <v>45846</v>
      </c>
      <c r="C481" t="s">
        <v>12885</v>
      </c>
      <c r="D481" s="5">
        <v>0.34334490740740742</v>
      </c>
      <c r="E481">
        <v>187.9</v>
      </c>
      <c r="F481" t="s">
        <v>44</v>
      </c>
      <c r="G481" t="s">
        <v>6005</v>
      </c>
      <c r="H481" t="s">
        <v>46</v>
      </c>
      <c r="I481" t="s">
        <v>66</v>
      </c>
      <c r="J481" t="s">
        <v>6006</v>
      </c>
      <c r="K481">
        <v>74</v>
      </c>
      <c r="L481" t="s">
        <v>25</v>
      </c>
      <c r="M481" t="s">
        <v>146</v>
      </c>
      <c r="N481" t="s">
        <v>39</v>
      </c>
      <c r="O481" t="s">
        <v>28</v>
      </c>
      <c r="P481" t="s">
        <v>31</v>
      </c>
      <c r="Q481">
        <v>0</v>
      </c>
      <c r="R481" t="s">
        <v>12883</v>
      </c>
      <c r="S481" t="s">
        <v>12884</v>
      </c>
    </row>
    <row r="482" spans="1:19" x14ac:dyDescent="0.25">
      <c r="A482" t="s">
        <v>4598</v>
      </c>
      <c r="B482" s="1">
        <v>45903</v>
      </c>
      <c r="C482" t="s">
        <v>12882</v>
      </c>
      <c r="D482" s="5">
        <v>0.82990740740740743</v>
      </c>
      <c r="E482">
        <v>187.77</v>
      </c>
      <c r="F482" t="s">
        <v>44</v>
      </c>
      <c r="G482" t="s">
        <v>1509</v>
      </c>
      <c r="H482" t="s">
        <v>34</v>
      </c>
      <c r="I482" t="s">
        <v>50</v>
      </c>
      <c r="J482" t="s">
        <v>4599</v>
      </c>
      <c r="K482">
        <v>62</v>
      </c>
      <c r="L482" t="s">
        <v>25</v>
      </c>
      <c r="M482" t="s">
        <v>38</v>
      </c>
      <c r="N482" t="s">
        <v>27</v>
      </c>
      <c r="O482" t="s">
        <v>28</v>
      </c>
      <c r="P482" t="s">
        <v>31</v>
      </c>
      <c r="Q482">
        <v>0</v>
      </c>
      <c r="R482" t="s">
        <v>12883</v>
      </c>
      <c r="S482" t="s">
        <v>12884</v>
      </c>
    </row>
    <row r="483" spans="1:19" x14ac:dyDescent="0.25">
      <c r="A483" t="s">
        <v>11818</v>
      </c>
      <c r="B483" s="1">
        <v>45904</v>
      </c>
      <c r="C483" t="s">
        <v>12882</v>
      </c>
      <c r="D483" s="5">
        <v>0.39814814814814814</v>
      </c>
      <c r="E483">
        <v>187.64</v>
      </c>
      <c r="F483" t="s">
        <v>44</v>
      </c>
      <c r="G483" t="s">
        <v>11819</v>
      </c>
      <c r="H483" t="s">
        <v>57</v>
      </c>
      <c r="I483" t="s">
        <v>38</v>
      </c>
      <c r="J483" t="s">
        <v>11820</v>
      </c>
      <c r="K483">
        <v>45</v>
      </c>
      <c r="L483" t="s">
        <v>49</v>
      </c>
      <c r="M483" t="s">
        <v>119</v>
      </c>
      <c r="N483" t="s">
        <v>112</v>
      </c>
      <c r="O483" t="s">
        <v>28</v>
      </c>
      <c r="P483" t="s">
        <v>31</v>
      </c>
      <c r="Q483">
        <v>0</v>
      </c>
      <c r="R483" t="s">
        <v>12883</v>
      </c>
      <c r="S483" t="s">
        <v>12886</v>
      </c>
    </row>
    <row r="484" spans="1:19" x14ac:dyDescent="0.25">
      <c r="A484" t="s">
        <v>12602</v>
      </c>
      <c r="B484" s="1">
        <v>45824</v>
      </c>
      <c r="C484" t="s">
        <v>12888</v>
      </c>
      <c r="D484" s="5">
        <v>0.51965277777777774</v>
      </c>
      <c r="E484">
        <v>187.47</v>
      </c>
      <c r="F484" t="s">
        <v>44</v>
      </c>
      <c r="G484" t="s">
        <v>3600</v>
      </c>
      <c r="H484" t="s">
        <v>124</v>
      </c>
      <c r="I484" t="s">
        <v>110</v>
      </c>
      <c r="J484" t="s">
        <v>12603</v>
      </c>
      <c r="K484">
        <v>26</v>
      </c>
      <c r="L484" t="s">
        <v>49</v>
      </c>
      <c r="M484" t="s">
        <v>58</v>
      </c>
      <c r="N484" t="s">
        <v>39</v>
      </c>
      <c r="O484" t="s">
        <v>28</v>
      </c>
      <c r="P484" t="s">
        <v>31</v>
      </c>
      <c r="Q484">
        <v>0</v>
      </c>
      <c r="R484" t="s">
        <v>12883</v>
      </c>
      <c r="S484" t="s">
        <v>12889</v>
      </c>
    </row>
    <row r="485" spans="1:19" x14ac:dyDescent="0.25">
      <c r="A485" t="s">
        <v>4407</v>
      </c>
      <c r="B485" s="1">
        <v>45892</v>
      </c>
      <c r="C485" t="s">
        <v>12893</v>
      </c>
      <c r="D485" s="5">
        <v>0.3135648148148148</v>
      </c>
      <c r="E485">
        <v>187.44</v>
      </c>
      <c r="F485" t="s">
        <v>44</v>
      </c>
      <c r="G485" t="s">
        <v>4379</v>
      </c>
      <c r="H485" t="s">
        <v>124</v>
      </c>
      <c r="I485" t="s">
        <v>248</v>
      </c>
      <c r="J485" t="s">
        <v>4408</v>
      </c>
      <c r="K485">
        <v>18</v>
      </c>
      <c r="L485" t="s">
        <v>25</v>
      </c>
      <c r="M485" t="s">
        <v>23</v>
      </c>
      <c r="N485" t="s">
        <v>51</v>
      </c>
      <c r="O485" t="s">
        <v>28</v>
      </c>
      <c r="P485" t="s">
        <v>31</v>
      </c>
      <c r="Q485">
        <v>0</v>
      </c>
      <c r="R485" t="s">
        <v>12883</v>
      </c>
      <c r="S485" t="s">
        <v>12892</v>
      </c>
    </row>
    <row r="486" spans="1:19" x14ac:dyDescent="0.25">
      <c r="A486" t="s">
        <v>3872</v>
      </c>
      <c r="B486" s="1">
        <v>45914</v>
      </c>
      <c r="C486" t="s">
        <v>12882</v>
      </c>
      <c r="D486" s="5">
        <v>6.2731481481481484E-3</v>
      </c>
      <c r="E486">
        <v>187.42</v>
      </c>
      <c r="F486" t="s">
        <v>44</v>
      </c>
      <c r="G486" t="s">
        <v>2507</v>
      </c>
      <c r="H486" t="s">
        <v>96</v>
      </c>
      <c r="I486" t="s">
        <v>248</v>
      </c>
      <c r="J486" t="s">
        <v>3873</v>
      </c>
      <c r="K486">
        <v>27</v>
      </c>
      <c r="L486" t="s">
        <v>37</v>
      </c>
      <c r="M486" t="s">
        <v>38</v>
      </c>
      <c r="N486" t="s">
        <v>84</v>
      </c>
      <c r="O486" t="s">
        <v>28</v>
      </c>
      <c r="P486" t="s">
        <v>31</v>
      </c>
      <c r="Q486">
        <v>0</v>
      </c>
      <c r="R486" t="s">
        <v>12883</v>
      </c>
      <c r="S486" t="s">
        <v>12889</v>
      </c>
    </row>
    <row r="487" spans="1:19" x14ac:dyDescent="0.25">
      <c r="A487" t="s">
        <v>9639</v>
      </c>
      <c r="B487" s="1">
        <v>45851</v>
      </c>
      <c r="C487" t="s">
        <v>12885</v>
      </c>
      <c r="D487" s="5">
        <v>0.85872685185185182</v>
      </c>
      <c r="E487">
        <v>187.01</v>
      </c>
      <c r="F487" t="s">
        <v>44</v>
      </c>
      <c r="G487" t="s">
        <v>1504</v>
      </c>
      <c r="H487" t="s">
        <v>46</v>
      </c>
      <c r="I487" t="s">
        <v>26</v>
      </c>
      <c r="J487" t="s">
        <v>9640</v>
      </c>
      <c r="K487">
        <v>45</v>
      </c>
      <c r="L487" t="s">
        <v>49</v>
      </c>
      <c r="M487" t="s">
        <v>130</v>
      </c>
      <c r="N487" t="s">
        <v>84</v>
      </c>
      <c r="O487" t="s">
        <v>28</v>
      </c>
      <c r="P487" t="s">
        <v>31</v>
      </c>
      <c r="Q487">
        <v>0</v>
      </c>
      <c r="R487" t="s">
        <v>12883</v>
      </c>
      <c r="S487" t="s">
        <v>12886</v>
      </c>
    </row>
    <row r="488" spans="1:19" x14ac:dyDescent="0.25">
      <c r="A488" t="s">
        <v>7420</v>
      </c>
      <c r="B488" s="1">
        <v>45898</v>
      </c>
      <c r="C488" t="s">
        <v>12893</v>
      </c>
      <c r="D488" s="5">
        <v>0.50831018518518523</v>
      </c>
      <c r="E488">
        <v>186.66</v>
      </c>
      <c r="F488" t="s">
        <v>44</v>
      </c>
      <c r="G488" t="s">
        <v>5913</v>
      </c>
      <c r="H488" t="s">
        <v>22</v>
      </c>
      <c r="I488" t="s">
        <v>35</v>
      </c>
      <c r="J488" t="s">
        <v>1337</v>
      </c>
      <c r="K488">
        <v>62</v>
      </c>
      <c r="L488" t="s">
        <v>37</v>
      </c>
      <c r="M488" t="s">
        <v>35</v>
      </c>
      <c r="N488" t="s">
        <v>51</v>
      </c>
      <c r="O488" t="s">
        <v>113</v>
      </c>
      <c r="P488" t="s">
        <v>31</v>
      </c>
      <c r="Q488">
        <v>0</v>
      </c>
      <c r="R488" t="s">
        <v>12883</v>
      </c>
      <c r="S488" t="s">
        <v>12884</v>
      </c>
    </row>
    <row r="489" spans="1:19" x14ac:dyDescent="0.25">
      <c r="A489" t="s">
        <v>1261</v>
      </c>
      <c r="B489" s="1">
        <v>45891</v>
      </c>
      <c r="C489" t="s">
        <v>12893</v>
      </c>
      <c r="D489" s="5">
        <v>0.97391203703703699</v>
      </c>
      <c r="E489">
        <v>186.62</v>
      </c>
      <c r="F489" t="s">
        <v>44</v>
      </c>
      <c r="G489" t="s">
        <v>1262</v>
      </c>
      <c r="H489" t="s">
        <v>34</v>
      </c>
      <c r="I489" t="s">
        <v>50</v>
      </c>
      <c r="J489" t="s">
        <v>1263</v>
      </c>
      <c r="K489">
        <v>61</v>
      </c>
      <c r="L489" t="s">
        <v>25</v>
      </c>
      <c r="M489" t="s">
        <v>130</v>
      </c>
      <c r="N489" t="s">
        <v>112</v>
      </c>
      <c r="O489" t="s">
        <v>28</v>
      </c>
      <c r="P489" t="s">
        <v>31</v>
      </c>
      <c r="Q489">
        <v>0</v>
      </c>
      <c r="R489" t="s">
        <v>12883</v>
      </c>
      <c r="S489" t="s">
        <v>12884</v>
      </c>
    </row>
    <row r="490" spans="1:19" x14ac:dyDescent="0.25">
      <c r="A490" t="s">
        <v>5611</v>
      </c>
      <c r="B490" s="1">
        <v>45811</v>
      </c>
      <c r="C490" t="s">
        <v>12888</v>
      </c>
      <c r="D490" s="5">
        <v>0.16075231481481481</v>
      </c>
      <c r="E490">
        <v>186.6</v>
      </c>
      <c r="F490" t="s">
        <v>44</v>
      </c>
      <c r="G490" t="s">
        <v>1418</v>
      </c>
      <c r="H490" t="s">
        <v>46</v>
      </c>
      <c r="I490" t="s">
        <v>50</v>
      </c>
      <c r="J490" t="s">
        <v>5612</v>
      </c>
      <c r="K490">
        <v>21</v>
      </c>
      <c r="L490" t="s">
        <v>37</v>
      </c>
      <c r="M490" t="s">
        <v>26</v>
      </c>
      <c r="N490" t="s">
        <v>51</v>
      </c>
      <c r="O490" t="s">
        <v>28</v>
      </c>
      <c r="P490" t="s">
        <v>31</v>
      </c>
      <c r="Q490">
        <v>0</v>
      </c>
      <c r="R490" t="s">
        <v>12883</v>
      </c>
      <c r="S490" t="s">
        <v>12892</v>
      </c>
    </row>
    <row r="491" spans="1:19" x14ac:dyDescent="0.25">
      <c r="A491" t="s">
        <v>3811</v>
      </c>
      <c r="B491" s="1">
        <v>45887</v>
      </c>
      <c r="C491" t="s">
        <v>12893</v>
      </c>
      <c r="D491" s="5">
        <v>0.95473379629629629</v>
      </c>
      <c r="E491">
        <v>186.55</v>
      </c>
      <c r="F491" t="s">
        <v>44</v>
      </c>
      <c r="G491" t="s">
        <v>1823</v>
      </c>
      <c r="H491" t="s">
        <v>46</v>
      </c>
      <c r="I491" t="s">
        <v>130</v>
      </c>
      <c r="J491" t="s">
        <v>3812</v>
      </c>
      <c r="K491">
        <v>30</v>
      </c>
      <c r="L491" t="s">
        <v>37</v>
      </c>
      <c r="M491" t="s">
        <v>47</v>
      </c>
      <c r="N491" t="s">
        <v>112</v>
      </c>
      <c r="O491" t="s">
        <v>28</v>
      </c>
      <c r="P491" t="s">
        <v>31</v>
      </c>
      <c r="Q491">
        <v>0</v>
      </c>
      <c r="R491" t="s">
        <v>12883</v>
      </c>
      <c r="S491" t="s">
        <v>12889</v>
      </c>
    </row>
    <row r="492" spans="1:19" x14ac:dyDescent="0.25">
      <c r="A492" t="s">
        <v>7737</v>
      </c>
      <c r="B492" s="1">
        <v>45887</v>
      </c>
      <c r="C492" t="s">
        <v>12893</v>
      </c>
      <c r="D492" s="5">
        <v>0.8190856481481481</v>
      </c>
      <c r="E492">
        <v>186.48</v>
      </c>
      <c r="F492" t="s">
        <v>44</v>
      </c>
      <c r="G492" t="s">
        <v>2299</v>
      </c>
      <c r="H492" t="s">
        <v>57</v>
      </c>
      <c r="I492" t="s">
        <v>146</v>
      </c>
      <c r="J492" t="s">
        <v>7738</v>
      </c>
      <c r="K492">
        <v>35</v>
      </c>
      <c r="L492" t="s">
        <v>37</v>
      </c>
      <c r="M492" t="s">
        <v>110</v>
      </c>
      <c r="N492" t="s">
        <v>39</v>
      </c>
      <c r="O492" t="s">
        <v>28</v>
      </c>
      <c r="P492" t="s">
        <v>31</v>
      </c>
      <c r="Q492">
        <v>0</v>
      </c>
      <c r="R492" t="s">
        <v>12883</v>
      </c>
      <c r="S492" t="s">
        <v>12889</v>
      </c>
    </row>
    <row r="493" spans="1:19" x14ac:dyDescent="0.25">
      <c r="A493" t="s">
        <v>7229</v>
      </c>
      <c r="B493" s="1">
        <v>45848</v>
      </c>
      <c r="C493" t="s">
        <v>12885</v>
      </c>
      <c r="D493" s="5">
        <v>0.8122800925925926</v>
      </c>
      <c r="E493">
        <v>186.35</v>
      </c>
      <c r="F493" t="s">
        <v>44</v>
      </c>
      <c r="G493" t="s">
        <v>349</v>
      </c>
      <c r="H493" t="s">
        <v>71</v>
      </c>
      <c r="I493" t="s">
        <v>110</v>
      </c>
      <c r="J493" t="s">
        <v>7230</v>
      </c>
      <c r="K493">
        <v>27</v>
      </c>
      <c r="L493" t="s">
        <v>49</v>
      </c>
      <c r="M493" t="s">
        <v>146</v>
      </c>
      <c r="N493" t="s">
        <v>27</v>
      </c>
      <c r="O493" t="s">
        <v>28</v>
      </c>
      <c r="P493" t="s">
        <v>31</v>
      </c>
      <c r="Q493">
        <v>0</v>
      </c>
      <c r="R493" t="s">
        <v>12883</v>
      </c>
      <c r="S493" t="s">
        <v>12889</v>
      </c>
    </row>
    <row r="494" spans="1:19" x14ac:dyDescent="0.25">
      <c r="A494" t="s">
        <v>10930</v>
      </c>
      <c r="B494" s="1">
        <v>45827</v>
      </c>
      <c r="C494" t="s">
        <v>12888</v>
      </c>
      <c r="D494" s="5">
        <v>0.29386574074074073</v>
      </c>
      <c r="E494">
        <v>186.34</v>
      </c>
      <c r="F494" t="s">
        <v>44</v>
      </c>
      <c r="G494" t="s">
        <v>5072</v>
      </c>
      <c r="H494" t="s">
        <v>57</v>
      </c>
      <c r="I494" t="s">
        <v>119</v>
      </c>
      <c r="J494" t="s">
        <v>10931</v>
      </c>
      <c r="K494">
        <v>20</v>
      </c>
      <c r="L494" t="s">
        <v>37</v>
      </c>
      <c r="M494" t="s">
        <v>110</v>
      </c>
      <c r="N494" t="s">
        <v>27</v>
      </c>
      <c r="O494" t="s">
        <v>28</v>
      </c>
      <c r="P494" t="s">
        <v>31</v>
      </c>
      <c r="Q494">
        <v>0</v>
      </c>
      <c r="R494" t="s">
        <v>12883</v>
      </c>
      <c r="S494" t="s">
        <v>12892</v>
      </c>
    </row>
    <row r="495" spans="1:19" x14ac:dyDescent="0.25">
      <c r="A495" t="s">
        <v>7007</v>
      </c>
      <c r="B495" s="1">
        <v>45917</v>
      </c>
      <c r="C495" t="s">
        <v>12882</v>
      </c>
      <c r="D495" s="5">
        <v>0.53089120370370368</v>
      </c>
      <c r="E495">
        <v>186.31</v>
      </c>
      <c r="F495" t="s">
        <v>44</v>
      </c>
      <c r="G495" t="s">
        <v>3789</v>
      </c>
      <c r="H495" t="s">
        <v>22</v>
      </c>
      <c r="I495" t="s">
        <v>248</v>
      </c>
      <c r="J495" t="s">
        <v>7008</v>
      </c>
      <c r="K495">
        <v>25</v>
      </c>
      <c r="L495" t="s">
        <v>37</v>
      </c>
      <c r="M495" t="s">
        <v>35</v>
      </c>
      <c r="N495" t="s">
        <v>84</v>
      </c>
      <c r="O495" t="s">
        <v>28</v>
      </c>
      <c r="P495" t="s">
        <v>31</v>
      </c>
      <c r="Q495">
        <v>0</v>
      </c>
      <c r="R495" t="s">
        <v>12883</v>
      </c>
      <c r="S495" t="s">
        <v>12889</v>
      </c>
    </row>
    <row r="496" spans="1:19" x14ac:dyDescent="0.25">
      <c r="A496" t="s">
        <v>3069</v>
      </c>
      <c r="B496" s="1">
        <v>45938</v>
      </c>
      <c r="C496" t="s">
        <v>12890</v>
      </c>
      <c r="D496" s="5">
        <v>3.7523148148148146E-2</v>
      </c>
      <c r="E496">
        <v>186.28</v>
      </c>
      <c r="F496" t="s">
        <v>44</v>
      </c>
      <c r="G496" t="s">
        <v>959</v>
      </c>
      <c r="H496" t="s">
        <v>57</v>
      </c>
      <c r="I496" t="s">
        <v>119</v>
      </c>
      <c r="J496" t="s">
        <v>3070</v>
      </c>
      <c r="K496">
        <v>38</v>
      </c>
      <c r="L496" t="s">
        <v>25</v>
      </c>
      <c r="M496" t="s">
        <v>248</v>
      </c>
      <c r="N496" t="s">
        <v>39</v>
      </c>
      <c r="O496" t="s">
        <v>28</v>
      </c>
      <c r="P496" t="s">
        <v>31</v>
      </c>
      <c r="Q496">
        <v>0</v>
      </c>
      <c r="R496" t="s">
        <v>12883</v>
      </c>
      <c r="S496" t="s">
        <v>12889</v>
      </c>
    </row>
    <row r="497" spans="1:19" x14ac:dyDescent="0.25">
      <c r="A497" t="s">
        <v>5485</v>
      </c>
      <c r="B497" s="1">
        <v>45866</v>
      </c>
      <c r="C497" t="s">
        <v>12885</v>
      </c>
      <c r="D497" s="5">
        <v>0.88072916666666667</v>
      </c>
      <c r="E497">
        <v>186.21</v>
      </c>
      <c r="F497" t="s">
        <v>44</v>
      </c>
      <c r="G497" t="s">
        <v>5486</v>
      </c>
      <c r="H497" t="s">
        <v>46</v>
      </c>
      <c r="I497" t="s">
        <v>47</v>
      </c>
      <c r="J497" t="s">
        <v>5487</v>
      </c>
      <c r="K497">
        <v>40</v>
      </c>
      <c r="L497" t="s">
        <v>37</v>
      </c>
      <c r="M497" t="s">
        <v>50</v>
      </c>
      <c r="N497" t="s">
        <v>84</v>
      </c>
      <c r="O497" t="s">
        <v>28</v>
      </c>
      <c r="P497" t="s">
        <v>31</v>
      </c>
      <c r="Q497">
        <v>0</v>
      </c>
      <c r="R497" t="s">
        <v>12883</v>
      </c>
      <c r="S497" t="s">
        <v>12886</v>
      </c>
    </row>
    <row r="498" spans="1:19" x14ac:dyDescent="0.25">
      <c r="A498" t="s">
        <v>4540</v>
      </c>
      <c r="B498" s="1">
        <v>45846</v>
      </c>
      <c r="C498" t="s">
        <v>12885</v>
      </c>
      <c r="D498" s="5">
        <v>0.78988425925925931</v>
      </c>
      <c r="E498">
        <v>186.04</v>
      </c>
      <c r="F498" t="s">
        <v>44</v>
      </c>
      <c r="G498" t="s">
        <v>1776</v>
      </c>
      <c r="H498" t="s">
        <v>77</v>
      </c>
      <c r="I498" t="s">
        <v>50</v>
      </c>
      <c r="J498" t="s">
        <v>4541</v>
      </c>
      <c r="K498">
        <v>20</v>
      </c>
      <c r="L498" t="s">
        <v>25</v>
      </c>
      <c r="M498" t="s">
        <v>130</v>
      </c>
      <c r="N498" t="s">
        <v>27</v>
      </c>
      <c r="O498" t="s">
        <v>28</v>
      </c>
      <c r="P498" t="s">
        <v>31</v>
      </c>
      <c r="Q498">
        <v>0</v>
      </c>
      <c r="R498" t="s">
        <v>12883</v>
      </c>
      <c r="S498" t="s">
        <v>12892</v>
      </c>
    </row>
    <row r="499" spans="1:19" x14ac:dyDescent="0.25">
      <c r="A499" t="s">
        <v>3530</v>
      </c>
      <c r="B499" s="1">
        <v>45799</v>
      </c>
      <c r="C499" t="s">
        <v>12887</v>
      </c>
      <c r="D499" s="5">
        <v>0.94379629629629624</v>
      </c>
      <c r="E499">
        <v>185.84</v>
      </c>
      <c r="F499" t="s">
        <v>44</v>
      </c>
      <c r="G499" t="s">
        <v>3531</v>
      </c>
      <c r="H499" t="s">
        <v>64</v>
      </c>
      <c r="I499" t="s">
        <v>50</v>
      </c>
      <c r="J499" t="s">
        <v>3532</v>
      </c>
      <c r="K499">
        <v>60</v>
      </c>
      <c r="L499" t="s">
        <v>25</v>
      </c>
      <c r="M499" t="s">
        <v>47</v>
      </c>
      <c r="N499" t="s">
        <v>51</v>
      </c>
      <c r="O499" t="s">
        <v>28</v>
      </c>
      <c r="P499" t="s">
        <v>31</v>
      </c>
      <c r="Q499">
        <v>0</v>
      </c>
      <c r="R499" t="s">
        <v>12883</v>
      </c>
      <c r="S499" t="s">
        <v>12884</v>
      </c>
    </row>
    <row r="500" spans="1:19" x14ac:dyDescent="0.25">
      <c r="A500" t="s">
        <v>1808</v>
      </c>
      <c r="B500" s="1">
        <v>45826</v>
      </c>
      <c r="C500" t="s">
        <v>12888</v>
      </c>
      <c r="D500" s="5">
        <v>0.12299768518518518</v>
      </c>
      <c r="E500">
        <v>185.78</v>
      </c>
      <c r="F500" t="s">
        <v>44</v>
      </c>
      <c r="G500" t="s">
        <v>1563</v>
      </c>
      <c r="H500" t="s">
        <v>57</v>
      </c>
      <c r="I500" t="s">
        <v>38</v>
      </c>
      <c r="J500" t="s">
        <v>1809</v>
      </c>
      <c r="K500">
        <v>65</v>
      </c>
      <c r="L500" t="s">
        <v>49</v>
      </c>
      <c r="M500" t="s">
        <v>38</v>
      </c>
      <c r="N500" t="s">
        <v>51</v>
      </c>
      <c r="O500" t="s">
        <v>113</v>
      </c>
      <c r="P500" t="s">
        <v>31</v>
      </c>
      <c r="Q500">
        <v>0</v>
      </c>
      <c r="R500" t="s">
        <v>12883</v>
      </c>
      <c r="S500" t="s">
        <v>12884</v>
      </c>
    </row>
    <row r="501" spans="1:19" x14ac:dyDescent="0.25">
      <c r="A501" t="s">
        <v>7707</v>
      </c>
      <c r="B501" s="1">
        <v>45946</v>
      </c>
      <c r="C501" t="s">
        <v>12890</v>
      </c>
      <c r="D501" s="5">
        <v>0.13179398148148147</v>
      </c>
      <c r="E501">
        <v>185.68</v>
      </c>
      <c r="F501" t="s">
        <v>44</v>
      </c>
      <c r="G501" t="s">
        <v>4448</v>
      </c>
      <c r="H501" t="s">
        <v>57</v>
      </c>
      <c r="I501" t="s">
        <v>23</v>
      </c>
      <c r="J501" t="s">
        <v>7708</v>
      </c>
      <c r="K501">
        <v>69</v>
      </c>
      <c r="L501" t="s">
        <v>49</v>
      </c>
      <c r="M501" t="s">
        <v>23</v>
      </c>
      <c r="N501" t="s">
        <v>105</v>
      </c>
      <c r="O501" t="s">
        <v>113</v>
      </c>
      <c r="P501" t="s">
        <v>31</v>
      </c>
      <c r="Q501">
        <v>0</v>
      </c>
      <c r="R501" t="s">
        <v>12883</v>
      </c>
      <c r="S501" t="s">
        <v>12884</v>
      </c>
    </row>
    <row r="502" spans="1:19" x14ac:dyDescent="0.25">
      <c r="A502" t="s">
        <v>10023</v>
      </c>
      <c r="B502" s="1">
        <v>45796</v>
      </c>
      <c r="C502" t="s">
        <v>12887</v>
      </c>
      <c r="D502" s="5">
        <v>0.12504629629629629</v>
      </c>
      <c r="E502">
        <v>185.37</v>
      </c>
      <c r="F502" t="s">
        <v>44</v>
      </c>
      <c r="G502" t="s">
        <v>2163</v>
      </c>
      <c r="H502" t="s">
        <v>124</v>
      </c>
      <c r="I502" t="s">
        <v>35</v>
      </c>
      <c r="J502" t="s">
        <v>10024</v>
      </c>
      <c r="K502">
        <v>56</v>
      </c>
      <c r="L502" t="s">
        <v>37</v>
      </c>
      <c r="M502" t="s">
        <v>35</v>
      </c>
      <c r="N502" t="s">
        <v>105</v>
      </c>
      <c r="O502" t="s">
        <v>113</v>
      </c>
      <c r="P502" t="s">
        <v>31</v>
      </c>
      <c r="Q502">
        <v>0</v>
      </c>
      <c r="R502" t="s">
        <v>12883</v>
      </c>
      <c r="S502" t="s">
        <v>12886</v>
      </c>
    </row>
    <row r="503" spans="1:19" x14ac:dyDescent="0.25">
      <c r="A503" t="s">
        <v>8736</v>
      </c>
      <c r="B503" s="1">
        <v>45873</v>
      </c>
      <c r="C503" t="s">
        <v>12893</v>
      </c>
      <c r="D503" s="5">
        <v>0.48643518518518519</v>
      </c>
      <c r="E503">
        <v>185.31</v>
      </c>
      <c r="F503" t="s">
        <v>44</v>
      </c>
      <c r="G503" t="s">
        <v>1148</v>
      </c>
      <c r="H503" t="s">
        <v>64</v>
      </c>
      <c r="I503" t="s">
        <v>50</v>
      </c>
      <c r="J503" t="s">
        <v>8737</v>
      </c>
      <c r="K503">
        <v>72</v>
      </c>
      <c r="L503" t="s">
        <v>25</v>
      </c>
      <c r="M503" t="s">
        <v>66</v>
      </c>
      <c r="N503" t="s">
        <v>39</v>
      </c>
      <c r="O503" t="s">
        <v>28</v>
      </c>
      <c r="P503" t="s">
        <v>31</v>
      </c>
      <c r="Q503">
        <v>0</v>
      </c>
      <c r="R503" t="s">
        <v>12883</v>
      </c>
      <c r="S503" t="s">
        <v>12884</v>
      </c>
    </row>
    <row r="504" spans="1:19" x14ac:dyDescent="0.25">
      <c r="A504" t="s">
        <v>11682</v>
      </c>
      <c r="B504" s="1">
        <v>45854</v>
      </c>
      <c r="C504" t="s">
        <v>12885</v>
      </c>
      <c r="D504" s="5">
        <v>0.51717592592592587</v>
      </c>
      <c r="E504">
        <v>185.09</v>
      </c>
      <c r="F504" t="s">
        <v>44</v>
      </c>
      <c r="G504" t="s">
        <v>1598</v>
      </c>
      <c r="H504" t="s">
        <v>71</v>
      </c>
      <c r="I504" t="s">
        <v>26</v>
      </c>
      <c r="J504" t="s">
        <v>11683</v>
      </c>
      <c r="K504">
        <v>57</v>
      </c>
      <c r="L504" t="s">
        <v>37</v>
      </c>
      <c r="M504" t="s">
        <v>146</v>
      </c>
      <c r="N504" t="s">
        <v>39</v>
      </c>
      <c r="O504" t="s">
        <v>28</v>
      </c>
      <c r="P504" t="s">
        <v>31</v>
      </c>
      <c r="Q504">
        <v>0</v>
      </c>
      <c r="R504" t="s">
        <v>12883</v>
      </c>
      <c r="S504" t="s">
        <v>12886</v>
      </c>
    </row>
    <row r="505" spans="1:19" x14ac:dyDescent="0.25">
      <c r="A505" t="s">
        <v>12102</v>
      </c>
      <c r="B505" s="1">
        <v>45892</v>
      </c>
      <c r="C505" t="s">
        <v>12893</v>
      </c>
      <c r="D505" s="5">
        <v>0.41856481481481483</v>
      </c>
      <c r="E505">
        <v>184.98</v>
      </c>
      <c r="F505" t="s">
        <v>44</v>
      </c>
      <c r="G505" t="s">
        <v>8937</v>
      </c>
      <c r="H505" t="s">
        <v>77</v>
      </c>
      <c r="I505" t="s">
        <v>35</v>
      </c>
      <c r="J505" t="s">
        <v>12103</v>
      </c>
      <c r="K505">
        <v>25</v>
      </c>
      <c r="L505" t="s">
        <v>25</v>
      </c>
      <c r="M505" t="s">
        <v>130</v>
      </c>
      <c r="N505" t="s">
        <v>112</v>
      </c>
      <c r="O505" t="s">
        <v>28</v>
      </c>
      <c r="P505" t="s">
        <v>31</v>
      </c>
      <c r="Q505">
        <v>0</v>
      </c>
      <c r="R505" t="s">
        <v>12883</v>
      </c>
      <c r="S505" t="s">
        <v>12889</v>
      </c>
    </row>
    <row r="506" spans="1:19" x14ac:dyDescent="0.25">
      <c r="A506" t="s">
        <v>1958</v>
      </c>
      <c r="B506" s="1">
        <v>45932</v>
      </c>
      <c r="C506" t="s">
        <v>12890</v>
      </c>
      <c r="D506" s="5">
        <v>0.28651620370370373</v>
      </c>
      <c r="E506">
        <v>184.97</v>
      </c>
      <c r="F506" t="s">
        <v>44</v>
      </c>
      <c r="G506" t="s">
        <v>810</v>
      </c>
      <c r="H506" t="s">
        <v>71</v>
      </c>
      <c r="I506" t="s">
        <v>58</v>
      </c>
      <c r="J506" t="s">
        <v>1959</v>
      </c>
      <c r="K506">
        <v>68</v>
      </c>
      <c r="L506" t="s">
        <v>37</v>
      </c>
      <c r="M506" t="s">
        <v>119</v>
      </c>
      <c r="N506" t="s">
        <v>27</v>
      </c>
      <c r="O506" t="s">
        <v>28</v>
      </c>
      <c r="P506" t="s">
        <v>31</v>
      </c>
      <c r="Q506">
        <v>0</v>
      </c>
      <c r="R506" t="s">
        <v>12883</v>
      </c>
      <c r="S506" t="s">
        <v>12884</v>
      </c>
    </row>
    <row r="507" spans="1:19" x14ac:dyDescent="0.25">
      <c r="A507" t="s">
        <v>6916</v>
      </c>
      <c r="B507" s="1">
        <v>45942</v>
      </c>
      <c r="C507" t="s">
        <v>12890</v>
      </c>
      <c r="D507" s="5">
        <v>0.86981481481481482</v>
      </c>
      <c r="E507">
        <v>184.92</v>
      </c>
      <c r="F507" t="s">
        <v>44</v>
      </c>
      <c r="G507" t="s">
        <v>1627</v>
      </c>
      <c r="H507" t="s">
        <v>71</v>
      </c>
      <c r="I507" t="s">
        <v>38</v>
      </c>
      <c r="J507" t="s">
        <v>6917</v>
      </c>
      <c r="K507">
        <v>72</v>
      </c>
      <c r="L507" t="s">
        <v>25</v>
      </c>
      <c r="M507" t="s">
        <v>23</v>
      </c>
      <c r="N507" t="s">
        <v>84</v>
      </c>
      <c r="O507" t="s">
        <v>28</v>
      </c>
      <c r="P507" t="s">
        <v>31</v>
      </c>
      <c r="Q507">
        <v>0</v>
      </c>
      <c r="R507" t="s">
        <v>12883</v>
      </c>
      <c r="S507" t="s">
        <v>12884</v>
      </c>
    </row>
    <row r="508" spans="1:19" x14ac:dyDescent="0.25">
      <c r="A508" t="s">
        <v>5810</v>
      </c>
      <c r="B508" s="1">
        <v>45887</v>
      </c>
      <c r="C508" t="s">
        <v>12893</v>
      </c>
      <c r="D508" s="5">
        <v>9.618055555555555E-3</v>
      </c>
      <c r="E508">
        <v>184.86</v>
      </c>
      <c r="F508" t="s">
        <v>44</v>
      </c>
      <c r="G508" t="s">
        <v>1296</v>
      </c>
      <c r="H508" t="s">
        <v>71</v>
      </c>
      <c r="I508" t="s">
        <v>58</v>
      </c>
      <c r="J508" t="s">
        <v>5811</v>
      </c>
      <c r="K508">
        <v>69</v>
      </c>
      <c r="L508" t="s">
        <v>37</v>
      </c>
      <c r="M508" t="s">
        <v>91</v>
      </c>
      <c r="N508" t="s">
        <v>105</v>
      </c>
      <c r="O508" t="s">
        <v>28</v>
      </c>
      <c r="P508" t="s">
        <v>31</v>
      </c>
      <c r="Q508">
        <v>0</v>
      </c>
      <c r="R508" t="s">
        <v>12883</v>
      </c>
      <c r="S508" t="s">
        <v>12884</v>
      </c>
    </row>
    <row r="509" spans="1:19" x14ac:dyDescent="0.25">
      <c r="A509" t="s">
        <v>1402</v>
      </c>
      <c r="B509" s="1">
        <v>45839</v>
      </c>
      <c r="C509" t="s">
        <v>12885</v>
      </c>
      <c r="D509" s="5">
        <v>0.63109953703703703</v>
      </c>
      <c r="E509">
        <v>184.77</v>
      </c>
      <c r="F509" t="s">
        <v>44</v>
      </c>
      <c r="G509" t="s">
        <v>1403</v>
      </c>
      <c r="H509" t="s">
        <v>71</v>
      </c>
      <c r="I509" t="s">
        <v>50</v>
      </c>
      <c r="J509" t="s">
        <v>1404</v>
      </c>
      <c r="K509">
        <v>40</v>
      </c>
      <c r="L509" t="s">
        <v>25</v>
      </c>
      <c r="M509" t="s">
        <v>66</v>
      </c>
      <c r="N509" t="s">
        <v>105</v>
      </c>
      <c r="O509" t="s">
        <v>28</v>
      </c>
      <c r="P509" t="s">
        <v>31</v>
      </c>
      <c r="Q509">
        <v>0</v>
      </c>
      <c r="R509" t="s">
        <v>12883</v>
      </c>
      <c r="S509" t="s">
        <v>12886</v>
      </c>
    </row>
    <row r="510" spans="1:19" x14ac:dyDescent="0.25">
      <c r="A510" t="s">
        <v>7945</v>
      </c>
      <c r="B510" s="1">
        <v>45817</v>
      </c>
      <c r="C510" t="s">
        <v>12888</v>
      </c>
      <c r="D510" s="5">
        <v>0.92552083333333335</v>
      </c>
      <c r="E510">
        <v>184.77</v>
      </c>
      <c r="F510" t="s">
        <v>44</v>
      </c>
      <c r="G510" t="s">
        <v>3807</v>
      </c>
      <c r="H510" t="s">
        <v>57</v>
      </c>
      <c r="I510" t="s">
        <v>23</v>
      </c>
      <c r="J510" t="s">
        <v>7946</v>
      </c>
      <c r="K510">
        <v>51</v>
      </c>
      <c r="L510" t="s">
        <v>37</v>
      </c>
      <c r="M510" t="s">
        <v>38</v>
      </c>
      <c r="N510" t="s">
        <v>51</v>
      </c>
      <c r="O510" t="s">
        <v>28</v>
      </c>
      <c r="P510" t="s">
        <v>31</v>
      </c>
      <c r="Q510">
        <v>0</v>
      </c>
      <c r="R510" t="s">
        <v>12883</v>
      </c>
      <c r="S510" t="s">
        <v>12886</v>
      </c>
    </row>
    <row r="511" spans="1:19" x14ac:dyDescent="0.25">
      <c r="A511" t="s">
        <v>5442</v>
      </c>
      <c r="B511" s="1">
        <v>45908</v>
      </c>
      <c r="C511" t="s">
        <v>12882</v>
      </c>
      <c r="D511" s="5">
        <v>0.89401620370370372</v>
      </c>
      <c r="E511">
        <v>184.63</v>
      </c>
      <c r="F511" t="s">
        <v>44</v>
      </c>
      <c r="G511" t="s">
        <v>5443</v>
      </c>
      <c r="H511" t="s">
        <v>34</v>
      </c>
      <c r="I511" t="s">
        <v>146</v>
      </c>
      <c r="J511" t="s">
        <v>5444</v>
      </c>
      <c r="K511">
        <v>67</v>
      </c>
      <c r="L511" t="s">
        <v>37</v>
      </c>
      <c r="M511" t="s">
        <v>35</v>
      </c>
      <c r="N511" t="s">
        <v>112</v>
      </c>
      <c r="O511" t="s">
        <v>28</v>
      </c>
      <c r="P511" t="s">
        <v>31</v>
      </c>
      <c r="Q511">
        <v>0</v>
      </c>
      <c r="R511" t="s">
        <v>12883</v>
      </c>
      <c r="S511" t="s">
        <v>12884</v>
      </c>
    </row>
    <row r="512" spans="1:19" x14ac:dyDescent="0.25">
      <c r="A512" t="s">
        <v>702</v>
      </c>
      <c r="B512" s="1">
        <v>45921</v>
      </c>
      <c r="C512" t="s">
        <v>12882</v>
      </c>
      <c r="D512" s="5">
        <v>0.71454861111111112</v>
      </c>
      <c r="E512">
        <v>184.6</v>
      </c>
      <c r="F512" t="s">
        <v>44</v>
      </c>
      <c r="G512" t="s">
        <v>703</v>
      </c>
      <c r="H512" t="s">
        <v>64</v>
      </c>
      <c r="I512" t="s">
        <v>35</v>
      </c>
      <c r="J512" t="s">
        <v>704</v>
      </c>
      <c r="K512">
        <v>31</v>
      </c>
      <c r="L512" t="s">
        <v>49</v>
      </c>
      <c r="M512" t="s">
        <v>119</v>
      </c>
      <c r="N512" t="s">
        <v>112</v>
      </c>
      <c r="O512" t="s">
        <v>28</v>
      </c>
      <c r="P512" t="s">
        <v>31</v>
      </c>
      <c r="Q512">
        <v>0</v>
      </c>
      <c r="R512" t="s">
        <v>12883</v>
      </c>
      <c r="S512" t="s">
        <v>12889</v>
      </c>
    </row>
    <row r="513" spans="1:19" x14ac:dyDescent="0.25">
      <c r="A513" t="s">
        <v>2625</v>
      </c>
      <c r="B513" s="1">
        <v>45953</v>
      </c>
      <c r="C513" t="s">
        <v>12890</v>
      </c>
      <c r="D513" s="5">
        <v>0.60880787037037032</v>
      </c>
      <c r="E513">
        <v>184.58</v>
      </c>
      <c r="F513" t="s">
        <v>44</v>
      </c>
      <c r="G513" t="s">
        <v>21</v>
      </c>
      <c r="H513" t="s">
        <v>34</v>
      </c>
      <c r="I513" t="s">
        <v>66</v>
      </c>
      <c r="J513" t="s">
        <v>2626</v>
      </c>
      <c r="K513">
        <v>54</v>
      </c>
      <c r="L513" t="s">
        <v>49</v>
      </c>
      <c r="M513" t="s">
        <v>38</v>
      </c>
      <c r="N513" t="s">
        <v>27</v>
      </c>
      <c r="O513" t="s">
        <v>28</v>
      </c>
      <c r="P513" t="s">
        <v>31</v>
      </c>
      <c r="Q513">
        <v>0</v>
      </c>
      <c r="R513" t="s">
        <v>12883</v>
      </c>
      <c r="S513" t="s">
        <v>12886</v>
      </c>
    </row>
    <row r="514" spans="1:19" x14ac:dyDescent="0.25">
      <c r="A514" t="s">
        <v>4755</v>
      </c>
      <c r="B514" s="1">
        <v>45794</v>
      </c>
      <c r="C514" t="s">
        <v>12887</v>
      </c>
      <c r="D514" s="5">
        <v>0.90884259259259259</v>
      </c>
      <c r="E514">
        <v>184.54</v>
      </c>
      <c r="F514" t="s">
        <v>44</v>
      </c>
      <c r="G514" t="s">
        <v>4756</v>
      </c>
      <c r="H514" t="s">
        <v>71</v>
      </c>
      <c r="I514" t="s">
        <v>91</v>
      </c>
      <c r="J514" t="s">
        <v>4757</v>
      </c>
      <c r="K514">
        <v>43</v>
      </c>
      <c r="L514" t="s">
        <v>37</v>
      </c>
      <c r="M514" t="s">
        <v>35</v>
      </c>
      <c r="N514" t="s">
        <v>84</v>
      </c>
      <c r="O514" t="s">
        <v>28</v>
      </c>
      <c r="P514" t="s">
        <v>31</v>
      </c>
      <c r="Q514">
        <v>0</v>
      </c>
      <c r="R514" t="s">
        <v>12883</v>
      </c>
      <c r="S514" t="s">
        <v>12886</v>
      </c>
    </row>
    <row r="515" spans="1:19" x14ac:dyDescent="0.25">
      <c r="A515" t="s">
        <v>456</v>
      </c>
      <c r="B515" s="1">
        <v>45920</v>
      </c>
      <c r="C515" t="s">
        <v>12882</v>
      </c>
      <c r="D515" s="5">
        <v>0.81403935185185183</v>
      </c>
      <c r="E515">
        <v>184.51</v>
      </c>
      <c r="F515" t="s">
        <v>44</v>
      </c>
      <c r="G515" t="s">
        <v>457</v>
      </c>
      <c r="H515" t="s">
        <v>124</v>
      </c>
      <c r="I515" t="s">
        <v>66</v>
      </c>
      <c r="J515" t="s">
        <v>458</v>
      </c>
      <c r="K515">
        <v>57</v>
      </c>
      <c r="L515" t="s">
        <v>37</v>
      </c>
      <c r="M515" t="s">
        <v>119</v>
      </c>
      <c r="N515" t="s">
        <v>105</v>
      </c>
      <c r="O515" t="s">
        <v>28</v>
      </c>
      <c r="P515" t="s">
        <v>31</v>
      </c>
      <c r="Q515">
        <v>0</v>
      </c>
      <c r="R515" t="s">
        <v>12883</v>
      </c>
      <c r="S515" t="s">
        <v>12886</v>
      </c>
    </row>
    <row r="516" spans="1:19" x14ac:dyDescent="0.25">
      <c r="A516" t="s">
        <v>3161</v>
      </c>
      <c r="B516" s="1">
        <v>45848</v>
      </c>
      <c r="C516" t="s">
        <v>12885</v>
      </c>
      <c r="D516" s="5">
        <v>0.98958333333333337</v>
      </c>
      <c r="E516">
        <v>184.39</v>
      </c>
      <c r="F516" t="s">
        <v>44</v>
      </c>
      <c r="G516" t="s">
        <v>308</v>
      </c>
      <c r="H516" t="s">
        <v>89</v>
      </c>
      <c r="I516" t="s">
        <v>66</v>
      </c>
      <c r="J516" t="s">
        <v>3162</v>
      </c>
      <c r="K516">
        <v>70</v>
      </c>
      <c r="L516" t="s">
        <v>25</v>
      </c>
      <c r="M516" t="s">
        <v>119</v>
      </c>
      <c r="N516" t="s">
        <v>112</v>
      </c>
      <c r="O516" t="s">
        <v>28</v>
      </c>
      <c r="P516" t="s">
        <v>31</v>
      </c>
      <c r="Q516">
        <v>0</v>
      </c>
      <c r="R516" t="s">
        <v>12883</v>
      </c>
      <c r="S516" t="s">
        <v>12884</v>
      </c>
    </row>
    <row r="517" spans="1:19" x14ac:dyDescent="0.25">
      <c r="A517" t="s">
        <v>6600</v>
      </c>
      <c r="B517" s="1">
        <v>45910</v>
      </c>
      <c r="C517" t="s">
        <v>12882</v>
      </c>
      <c r="D517" s="5">
        <v>0.16009259259259259</v>
      </c>
      <c r="E517">
        <v>184.24</v>
      </c>
      <c r="F517" t="s">
        <v>44</v>
      </c>
      <c r="G517" t="s">
        <v>3934</v>
      </c>
      <c r="H517" t="s">
        <v>77</v>
      </c>
      <c r="I517" t="s">
        <v>23</v>
      </c>
      <c r="J517" t="s">
        <v>6601</v>
      </c>
      <c r="K517">
        <v>97</v>
      </c>
      <c r="L517" t="s">
        <v>49</v>
      </c>
      <c r="M517" t="s">
        <v>23</v>
      </c>
      <c r="N517" t="s">
        <v>51</v>
      </c>
      <c r="O517" t="s">
        <v>113</v>
      </c>
      <c r="P517" t="s">
        <v>31</v>
      </c>
      <c r="Q517">
        <v>0</v>
      </c>
      <c r="R517" t="s">
        <v>12883</v>
      </c>
      <c r="S517" t="s">
        <v>12884</v>
      </c>
    </row>
    <row r="518" spans="1:19" x14ac:dyDescent="0.25">
      <c r="A518" t="s">
        <v>6392</v>
      </c>
      <c r="B518" s="1">
        <v>45878</v>
      </c>
      <c r="C518" t="s">
        <v>12893</v>
      </c>
      <c r="D518" s="5">
        <v>0.18415509259259261</v>
      </c>
      <c r="E518">
        <v>184.2</v>
      </c>
      <c r="F518" t="s">
        <v>44</v>
      </c>
      <c r="G518" t="s">
        <v>2860</v>
      </c>
      <c r="H518" t="s">
        <v>46</v>
      </c>
      <c r="I518" t="s">
        <v>91</v>
      </c>
      <c r="J518" t="s">
        <v>6393</v>
      </c>
      <c r="K518">
        <v>73</v>
      </c>
      <c r="L518" t="s">
        <v>49</v>
      </c>
      <c r="M518" t="s">
        <v>23</v>
      </c>
      <c r="N518" t="s">
        <v>39</v>
      </c>
      <c r="O518" t="s">
        <v>28</v>
      </c>
      <c r="P518" t="s">
        <v>31</v>
      </c>
      <c r="Q518">
        <v>0</v>
      </c>
      <c r="R518" t="s">
        <v>12883</v>
      </c>
      <c r="S518" t="s">
        <v>12884</v>
      </c>
    </row>
    <row r="519" spans="1:19" x14ac:dyDescent="0.25">
      <c r="A519" t="s">
        <v>10286</v>
      </c>
      <c r="B519" s="1">
        <v>45890</v>
      </c>
      <c r="C519" t="s">
        <v>12893</v>
      </c>
      <c r="D519" s="5">
        <v>0.66480324074074071</v>
      </c>
      <c r="E519">
        <v>184.14</v>
      </c>
      <c r="F519" t="s">
        <v>44</v>
      </c>
      <c r="G519" t="s">
        <v>7641</v>
      </c>
      <c r="H519" t="s">
        <v>46</v>
      </c>
      <c r="I519" t="s">
        <v>47</v>
      </c>
      <c r="J519" t="s">
        <v>951</v>
      </c>
      <c r="K519">
        <v>28</v>
      </c>
      <c r="L519" t="s">
        <v>49</v>
      </c>
      <c r="M519" t="s">
        <v>26</v>
      </c>
      <c r="N519" t="s">
        <v>112</v>
      </c>
      <c r="O519" t="s">
        <v>28</v>
      </c>
      <c r="P519" t="s">
        <v>31</v>
      </c>
      <c r="Q519">
        <v>0</v>
      </c>
      <c r="R519" t="s">
        <v>12883</v>
      </c>
      <c r="S519" t="s">
        <v>12889</v>
      </c>
    </row>
    <row r="520" spans="1:19" x14ac:dyDescent="0.25">
      <c r="A520" t="s">
        <v>2027</v>
      </c>
      <c r="B520" s="1">
        <v>45830</v>
      </c>
      <c r="C520" t="s">
        <v>12888</v>
      </c>
      <c r="D520" s="5">
        <v>0.85936342592592596</v>
      </c>
      <c r="E520">
        <v>184.01</v>
      </c>
      <c r="F520" t="s">
        <v>44</v>
      </c>
      <c r="G520" t="s">
        <v>668</v>
      </c>
      <c r="H520" t="s">
        <v>96</v>
      </c>
      <c r="I520" t="s">
        <v>248</v>
      </c>
      <c r="J520" t="s">
        <v>2028</v>
      </c>
      <c r="K520">
        <v>58</v>
      </c>
      <c r="L520" t="s">
        <v>25</v>
      </c>
      <c r="M520" t="s">
        <v>110</v>
      </c>
      <c r="N520" t="s">
        <v>27</v>
      </c>
      <c r="O520" t="s">
        <v>28</v>
      </c>
      <c r="P520" t="s">
        <v>31</v>
      </c>
      <c r="Q520">
        <v>0</v>
      </c>
      <c r="R520" t="s">
        <v>12883</v>
      </c>
      <c r="S520" t="s">
        <v>12886</v>
      </c>
    </row>
    <row r="521" spans="1:19" x14ac:dyDescent="0.25">
      <c r="A521" t="s">
        <v>12335</v>
      </c>
      <c r="B521" s="1">
        <v>45949</v>
      </c>
      <c r="C521" t="s">
        <v>12890</v>
      </c>
      <c r="D521" s="5">
        <v>0.99472222222222217</v>
      </c>
      <c r="E521">
        <v>183.85</v>
      </c>
      <c r="F521" t="s">
        <v>44</v>
      </c>
      <c r="G521" t="s">
        <v>6851</v>
      </c>
      <c r="H521" t="s">
        <v>34</v>
      </c>
      <c r="I521" t="s">
        <v>50</v>
      </c>
      <c r="J521" t="s">
        <v>12336</v>
      </c>
      <c r="K521">
        <v>27</v>
      </c>
      <c r="L521" t="s">
        <v>25</v>
      </c>
      <c r="M521" t="s">
        <v>130</v>
      </c>
      <c r="N521" t="s">
        <v>51</v>
      </c>
      <c r="O521" t="s">
        <v>28</v>
      </c>
      <c r="P521" t="s">
        <v>31</v>
      </c>
      <c r="Q521">
        <v>0</v>
      </c>
      <c r="R521" t="s">
        <v>12883</v>
      </c>
      <c r="S521" t="s">
        <v>12889</v>
      </c>
    </row>
    <row r="522" spans="1:19" x14ac:dyDescent="0.25">
      <c r="A522" t="s">
        <v>8059</v>
      </c>
      <c r="B522" s="1">
        <v>45860</v>
      </c>
      <c r="C522" t="s">
        <v>12885</v>
      </c>
      <c r="D522" s="5">
        <v>0.29396990740740742</v>
      </c>
      <c r="E522">
        <v>183.76</v>
      </c>
      <c r="F522" t="s">
        <v>44</v>
      </c>
      <c r="G522" t="s">
        <v>3553</v>
      </c>
      <c r="H522" t="s">
        <v>46</v>
      </c>
      <c r="I522" t="s">
        <v>38</v>
      </c>
      <c r="J522" t="s">
        <v>8060</v>
      </c>
      <c r="K522">
        <v>42</v>
      </c>
      <c r="L522" t="s">
        <v>25</v>
      </c>
      <c r="M522" t="s">
        <v>50</v>
      </c>
      <c r="N522" t="s">
        <v>84</v>
      </c>
      <c r="O522" t="s">
        <v>28</v>
      </c>
      <c r="P522" t="s">
        <v>31</v>
      </c>
      <c r="Q522">
        <v>0</v>
      </c>
      <c r="R522" t="s">
        <v>12883</v>
      </c>
      <c r="S522" t="s">
        <v>12886</v>
      </c>
    </row>
    <row r="523" spans="1:19" x14ac:dyDescent="0.25">
      <c r="A523" t="s">
        <v>9287</v>
      </c>
      <c r="B523" s="1">
        <v>45917</v>
      </c>
      <c r="C523" t="s">
        <v>12882</v>
      </c>
      <c r="D523" s="5">
        <v>0.23994212962962963</v>
      </c>
      <c r="E523">
        <v>183.73</v>
      </c>
      <c r="F523" t="s">
        <v>44</v>
      </c>
      <c r="G523" t="s">
        <v>9288</v>
      </c>
      <c r="H523" t="s">
        <v>96</v>
      </c>
      <c r="I523" t="s">
        <v>47</v>
      </c>
      <c r="J523" t="s">
        <v>9114</v>
      </c>
      <c r="K523">
        <v>63</v>
      </c>
      <c r="L523" t="s">
        <v>25</v>
      </c>
      <c r="M523" t="s">
        <v>146</v>
      </c>
      <c r="N523" t="s">
        <v>105</v>
      </c>
      <c r="O523" t="s">
        <v>28</v>
      </c>
      <c r="P523" t="s">
        <v>31</v>
      </c>
      <c r="Q523">
        <v>0</v>
      </c>
      <c r="R523" t="s">
        <v>12883</v>
      </c>
      <c r="S523" t="s">
        <v>12884</v>
      </c>
    </row>
    <row r="524" spans="1:19" x14ac:dyDescent="0.25">
      <c r="A524" t="s">
        <v>10343</v>
      </c>
      <c r="B524" s="1">
        <v>45903</v>
      </c>
      <c r="C524" t="s">
        <v>12882</v>
      </c>
      <c r="D524" s="5">
        <v>0.46065972222222223</v>
      </c>
      <c r="E524">
        <v>183.67</v>
      </c>
      <c r="F524" t="s">
        <v>44</v>
      </c>
      <c r="G524" t="s">
        <v>3553</v>
      </c>
      <c r="H524" t="s">
        <v>77</v>
      </c>
      <c r="I524" t="s">
        <v>47</v>
      </c>
      <c r="J524" t="s">
        <v>10344</v>
      </c>
      <c r="K524">
        <v>57</v>
      </c>
      <c r="L524" t="s">
        <v>49</v>
      </c>
      <c r="M524" t="s">
        <v>66</v>
      </c>
      <c r="N524" t="s">
        <v>84</v>
      </c>
      <c r="O524" t="s">
        <v>28</v>
      </c>
      <c r="P524" t="s">
        <v>31</v>
      </c>
      <c r="Q524">
        <v>0</v>
      </c>
      <c r="R524" t="s">
        <v>12883</v>
      </c>
      <c r="S524" t="s">
        <v>12886</v>
      </c>
    </row>
    <row r="525" spans="1:19" x14ac:dyDescent="0.25">
      <c r="A525" t="s">
        <v>4992</v>
      </c>
      <c r="B525" s="1">
        <v>45938</v>
      </c>
      <c r="C525" t="s">
        <v>12890</v>
      </c>
      <c r="D525" s="5">
        <v>0.78792824074074075</v>
      </c>
      <c r="E525">
        <v>183.63</v>
      </c>
      <c r="F525" t="s">
        <v>44</v>
      </c>
      <c r="G525" t="s">
        <v>433</v>
      </c>
      <c r="H525" t="s">
        <v>46</v>
      </c>
      <c r="I525" t="s">
        <v>110</v>
      </c>
      <c r="J525" t="s">
        <v>4993</v>
      </c>
      <c r="K525">
        <v>75</v>
      </c>
      <c r="L525" t="s">
        <v>25</v>
      </c>
      <c r="M525" t="s">
        <v>110</v>
      </c>
      <c r="N525" t="s">
        <v>112</v>
      </c>
      <c r="O525" t="s">
        <v>113</v>
      </c>
      <c r="P525" t="s">
        <v>31</v>
      </c>
      <c r="Q525">
        <v>0</v>
      </c>
      <c r="R525" t="s">
        <v>12883</v>
      </c>
      <c r="S525" t="s">
        <v>12884</v>
      </c>
    </row>
    <row r="526" spans="1:19" x14ac:dyDescent="0.25">
      <c r="A526" t="s">
        <v>8255</v>
      </c>
      <c r="B526" s="1">
        <v>45807</v>
      </c>
      <c r="C526" t="s">
        <v>12887</v>
      </c>
      <c r="D526" s="5">
        <v>0.64288194444444446</v>
      </c>
      <c r="E526">
        <v>183.62</v>
      </c>
      <c r="F526" t="s">
        <v>44</v>
      </c>
      <c r="G526" t="s">
        <v>4224</v>
      </c>
      <c r="H526" t="s">
        <v>34</v>
      </c>
      <c r="I526" t="s">
        <v>38</v>
      </c>
      <c r="J526" t="s">
        <v>8256</v>
      </c>
      <c r="K526">
        <v>66</v>
      </c>
      <c r="L526" t="s">
        <v>25</v>
      </c>
      <c r="M526" t="s">
        <v>66</v>
      </c>
      <c r="N526" t="s">
        <v>105</v>
      </c>
      <c r="O526" t="s">
        <v>28</v>
      </c>
      <c r="P526" t="s">
        <v>31</v>
      </c>
      <c r="Q526">
        <v>1</v>
      </c>
      <c r="R526" t="s">
        <v>12891</v>
      </c>
      <c r="S526" t="s">
        <v>12884</v>
      </c>
    </row>
    <row r="527" spans="1:19" x14ac:dyDescent="0.25">
      <c r="A527" t="s">
        <v>4687</v>
      </c>
      <c r="B527" s="1">
        <v>45800</v>
      </c>
      <c r="C527" t="s">
        <v>12887</v>
      </c>
      <c r="D527" s="5">
        <v>0.4503125</v>
      </c>
      <c r="E527">
        <v>183.46</v>
      </c>
      <c r="F527" t="s">
        <v>44</v>
      </c>
      <c r="G527" t="s">
        <v>2512</v>
      </c>
      <c r="H527" t="s">
        <v>124</v>
      </c>
      <c r="I527" t="s">
        <v>110</v>
      </c>
      <c r="J527" t="s">
        <v>4688</v>
      </c>
      <c r="K527">
        <v>62</v>
      </c>
      <c r="L527" t="s">
        <v>49</v>
      </c>
      <c r="M527" t="s">
        <v>110</v>
      </c>
      <c r="N527" t="s">
        <v>105</v>
      </c>
      <c r="O527" t="s">
        <v>113</v>
      </c>
      <c r="P527" t="s">
        <v>31</v>
      </c>
      <c r="Q527">
        <v>0</v>
      </c>
      <c r="R527" t="s">
        <v>12883</v>
      </c>
      <c r="S527" t="s">
        <v>12884</v>
      </c>
    </row>
    <row r="528" spans="1:19" x14ac:dyDescent="0.25">
      <c r="A528" t="s">
        <v>12453</v>
      </c>
      <c r="B528" s="1">
        <v>45883</v>
      </c>
      <c r="C528" t="s">
        <v>12893</v>
      </c>
      <c r="D528" s="5">
        <v>0.66381944444444441</v>
      </c>
      <c r="E528">
        <v>183.43</v>
      </c>
      <c r="F528" t="s">
        <v>44</v>
      </c>
      <c r="G528" t="s">
        <v>4696</v>
      </c>
      <c r="H528" t="s">
        <v>34</v>
      </c>
      <c r="I528" t="s">
        <v>130</v>
      </c>
      <c r="J528" t="s">
        <v>12454</v>
      </c>
      <c r="K528">
        <v>45</v>
      </c>
      <c r="L528" t="s">
        <v>25</v>
      </c>
      <c r="M528" t="s">
        <v>23</v>
      </c>
      <c r="N528" t="s">
        <v>27</v>
      </c>
      <c r="O528" t="s">
        <v>28</v>
      </c>
      <c r="P528" t="s">
        <v>31</v>
      </c>
      <c r="Q528">
        <v>0</v>
      </c>
      <c r="R528" t="s">
        <v>12883</v>
      </c>
      <c r="S528" t="s">
        <v>12886</v>
      </c>
    </row>
    <row r="529" spans="1:19" x14ac:dyDescent="0.25">
      <c r="A529" t="s">
        <v>6396</v>
      </c>
      <c r="B529" s="1">
        <v>45915</v>
      </c>
      <c r="C529" t="s">
        <v>12882</v>
      </c>
      <c r="D529" s="5">
        <v>3.9247685185185184E-2</v>
      </c>
      <c r="E529">
        <v>183.4</v>
      </c>
      <c r="F529" t="s">
        <v>44</v>
      </c>
      <c r="G529" t="s">
        <v>6148</v>
      </c>
      <c r="H529" t="s">
        <v>57</v>
      </c>
      <c r="I529" t="s">
        <v>35</v>
      </c>
      <c r="J529" t="s">
        <v>6397</v>
      </c>
      <c r="K529">
        <v>42</v>
      </c>
      <c r="L529" t="s">
        <v>37</v>
      </c>
      <c r="M529" t="s">
        <v>66</v>
      </c>
      <c r="N529" t="s">
        <v>39</v>
      </c>
      <c r="O529" t="s">
        <v>28</v>
      </c>
      <c r="P529" t="s">
        <v>31</v>
      </c>
      <c r="Q529">
        <v>0</v>
      </c>
      <c r="R529" t="s">
        <v>12883</v>
      </c>
      <c r="S529" t="s">
        <v>12886</v>
      </c>
    </row>
    <row r="530" spans="1:19" x14ac:dyDescent="0.25">
      <c r="A530" t="s">
        <v>4002</v>
      </c>
      <c r="B530" s="1">
        <v>45819</v>
      </c>
      <c r="C530" t="s">
        <v>12888</v>
      </c>
      <c r="D530" s="5">
        <v>0.13980324074074074</v>
      </c>
      <c r="E530">
        <v>183.28</v>
      </c>
      <c r="F530" t="s">
        <v>44</v>
      </c>
      <c r="G530" t="s">
        <v>4003</v>
      </c>
      <c r="H530" t="s">
        <v>57</v>
      </c>
      <c r="I530" t="s">
        <v>110</v>
      </c>
      <c r="J530" t="s">
        <v>4004</v>
      </c>
      <c r="K530">
        <v>59</v>
      </c>
      <c r="L530" t="s">
        <v>37</v>
      </c>
      <c r="M530" t="s">
        <v>97</v>
      </c>
      <c r="N530" t="s">
        <v>112</v>
      </c>
      <c r="O530" t="s">
        <v>28</v>
      </c>
      <c r="P530" t="s">
        <v>31</v>
      </c>
      <c r="Q530">
        <v>0</v>
      </c>
      <c r="R530" t="s">
        <v>12883</v>
      </c>
      <c r="S530" t="s">
        <v>12886</v>
      </c>
    </row>
    <row r="531" spans="1:19" x14ac:dyDescent="0.25">
      <c r="A531" t="s">
        <v>5227</v>
      </c>
      <c r="B531" s="1">
        <v>45819</v>
      </c>
      <c r="C531" t="s">
        <v>12888</v>
      </c>
      <c r="D531" s="5">
        <v>0.51983796296296292</v>
      </c>
      <c r="E531">
        <v>183.11</v>
      </c>
      <c r="F531" t="s">
        <v>44</v>
      </c>
      <c r="G531" t="s">
        <v>5036</v>
      </c>
      <c r="H531" t="s">
        <v>71</v>
      </c>
      <c r="I531" t="s">
        <v>130</v>
      </c>
      <c r="J531" t="s">
        <v>5228</v>
      </c>
      <c r="K531">
        <v>64</v>
      </c>
      <c r="L531" t="s">
        <v>49</v>
      </c>
      <c r="M531" t="s">
        <v>35</v>
      </c>
      <c r="N531" t="s">
        <v>39</v>
      </c>
      <c r="O531" t="s">
        <v>28</v>
      </c>
      <c r="P531" t="s">
        <v>31</v>
      </c>
      <c r="Q531">
        <v>0</v>
      </c>
      <c r="R531" t="s">
        <v>12883</v>
      </c>
      <c r="S531" t="s">
        <v>12884</v>
      </c>
    </row>
    <row r="532" spans="1:19" x14ac:dyDescent="0.25">
      <c r="A532" t="s">
        <v>4602</v>
      </c>
      <c r="B532" s="1">
        <v>45829</v>
      </c>
      <c r="C532" t="s">
        <v>12888</v>
      </c>
      <c r="D532" s="5">
        <v>0.19208333333333333</v>
      </c>
      <c r="E532">
        <v>183.09</v>
      </c>
      <c r="F532" t="s">
        <v>44</v>
      </c>
      <c r="G532" t="s">
        <v>3256</v>
      </c>
      <c r="H532" t="s">
        <v>71</v>
      </c>
      <c r="I532" t="s">
        <v>35</v>
      </c>
      <c r="J532" t="s">
        <v>4603</v>
      </c>
      <c r="K532">
        <v>46</v>
      </c>
      <c r="L532" t="s">
        <v>37</v>
      </c>
      <c r="M532" t="s">
        <v>26</v>
      </c>
      <c r="N532" t="s">
        <v>112</v>
      </c>
      <c r="O532" t="s">
        <v>28</v>
      </c>
      <c r="P532" t="s">
        <v>31</v>
      </c>
      <c r="Q532">
        <v>0</v>
      </c>
      <c r="R532" t="s">
        <v>12883</v>
      </c>
      <c r="S532" t="s">
        <v>12886</v>
      </c>
    </row>
    <row r="533" spans="1:19" x14ac:dyDescent="0.25">
      <c r="A533" t="s">
        <v>2218</v>
      </c>
      <c r="B533" s="1">
        <v>45782</v>
      </c>
      <c r="C533" t="s">
        <v>12887</v>
      </c>
      <c r="D533" s="5">
        <v>0.35415509259259259</v>
      </c>
      <c r="E533">
        <v>182.97</v>
      </c>
      <c r="F533" t="s">
        <v>44</v>
      </c>
      <c r="G533" t="s">
        <v>2219</v>
      </c>
      <c r="H533" t="s">
        <v>34</v>
      </c>
      <c r="I533" t="s">
        <v>110</v>
      </c>
      <c r="J533" t="s">
        <v>2220</v>
      </c>
      <c r="K533">
        <v>40</v>
      </c>
      <c r="L533" t="s">
        <v>49</v>
      </c>
      <c r="M533" t="s">
        <v>248</v>
      </c>
      <c r="N533" t="s">
        <v>112</v>
      </c>
      <c r="O533" t="s">
        <v>28</v>
      </c>
      <c r="P533" t="s">
        <v>31</v>
      </c>
      <c r="Q533">
        <v>0</v>
      </c>
      <c r="R533" t="s">
        <v>12883</v>
      </c>
      <c r="S533" t="s">
        <v>12886</v>
      </c>
    </row>
    <row r="534" spans="1:19" x14ac:dyDescent="0.25">
      <c r="A534" t="s">
        <v>9218</v>
      </c>
      <c r="B534" s="1">
        <v>45857</v>
      </c>
      <c r="C534" t="s">
        <v>12885</v>
      </c>
      <c r="D534" s="5">
        <v>4.0497685185185185E-2</v>
      </c>
      <c r="E534">
        <v>182.92</v>
      </c>
      <c r="F534" t="s">
        <v>44</v>
      </c>
      <c r="G534" t="s">
        <v>9072</v>
      </c>
      <c r="H534" t="s">
        <v>46</v>
      </c>
      <c r="I534" t="s">
        <v>35</v>
      </c>
      <c r="J534" t="s">
        <v>9219</v>
      </c>
      <c r="K534">
        <v>50</v>
      </c>
      <c r="L534" t="s">
        <v>25</v>
      </c>
      <c r="M534" t="s">
        <v>35</v>
      </c>
      <c r="N534" t="s">
        <v>112</v>
      </c>
      <c r="O534" t="s">
        <v>113</v>
      </c>
      <c r="P534" t="s">
        <v>31</v>
      </c>
      <c r="Q534">
        <v>0</v>
      </c>
      <c r="R534" t="s">
        <v>12883</v>
      </c>
      <c r="S534" t="s">
        <v>12886</v>
      </c>
    </row>
    <row r="535" spans="1:19" x14ac:dyDescent="0.25">
      <c r="A535" t="s">
        <v>8554</v>
      </c>
      <c r="B535" s="1">
        <v>45917</v>
      </c>
      <c r="C535" t="s">
        <v>12882</v>
      </c>
      <c r="D535" s="5">
        <v>0.14326388888888889</v>
      </c>
      <c r="E535">
        <v>182.84</v>
      </c>
      <c r="F535" t="s">
        <v>44</v>
      </c>
      <c r="G535" t="s">
        <v>4661</v>
      </c>
      <c r="H535" t="s">
        <v>124</v>
      </c>
      <c r="I535" t="s">
        <v>58</v>
      </c>
      <c r="J535" t="s">
        <v>8555</v>
      </c>
      <c r="K535">
        <v>61</v>
      </c>
      <c r="L535" t="s">
        <v>25</v>
      </c>
      <c r="M535" t="s">
        <v>35</v>
      </c>
      <c r="N535" t="s">
        <v>39</v>
      </c>
      <c r="O535" t="s">
        <v>28</v>
      </c>
      <c r="P535" t="s">
        <v>31</v>
      </c>
      <c r="Q535">
        <v>0</v>
      </c>
      <c r="R535" t="s">
        <v>12883</v>
      </c>
      <c r="S535" t="s">
        <v>12884</v>
      </c>
    </row>
    <row r="536" spans="1:19" x14ac:dyDescent="0.25">
      <c r="A536" t="s">
        <v>7152</v>
      </c>
      <c r="B536" s="1">
        <v>45898</v>
      </c>
      <c r="C536" t="s">
        <v>12893</v>
      </c>
      <c r="D536" s="5">
        <v>0.40968749999999998</v>
      </c>
      <c r="E536">
        <v>182.79</v>
      </c>
      <c r="F536" t="s">
        <v>44</v>
      </c>
      <c r="G536" t="s">
        <v>2099</v>
      </c>
      <c r="H536" t="s">
        <v>77</v>
      </c>
      <c r="I536" t="s">
        <v>47</v>
      </c>
      <c r="J536" t="s">
        <v>7153</v>
      </c>
      <c r="K536">
        <v>44</v>
      </c>
      <c r="L536" t="s">
        <v>49</v>
      </c>
      <c r="M536" t="s">
        <v>38</v>
      </c>
      <c r="N536" t="s">
        <v>27</v>
      </c>
      <c r="O536" t="s">
        <v>28</v>
      </c>
      <c r="P536" t="s">
        <v>31</v>
      </c>
      <c r="Q536">
        <v>0</v>
      </c>
      <c r="R536" t="s">
        <v>12883</v>
      </c>
      <c r="S536" t="s">
        <v>12886</v>
      </c>
    </row>
    <row r="537" spans="1:19" x14ac:dyDescent="0.25">
      <c r="A537" t="s">
        <v>6160</v>
      </c>
      <c r="B537" s="1">
        <v>45808</v>
      </c>
      <c r="C537" t="s">
        <v>12887</v>
      </c>
      <c r="D537" s="5">
        <v>0.25437500000000002</v>
      </c>
      <c r="E537">
        <v>182.53</v>
      </c>
      <c r="F537" t="s">
        <v>44</v>
      </c>
      <c r="G537" t="s">
        <v>5246</v>
      </c>
      <c r="H537" t="s">
        <v>64</v>
      </c>
      <c r="I537" t="s">
        <v>110</v>
      </c>
      <c r="J537" t="s">
        <v>6161</v>
      </c>
      <c r="K537">
        <v>52</v>
      </c>
      <c r="L537" t="s">
        <v>49</v>
      </c>
      <c r="M537" t="s">
        <v>35</v>
      </c>
      <c r="N537" t="s">
        <v>27</v>
      </c>
      <c r="O537" t="s">
        <v>28</v>
      </c>
      <c r="P537" t="s">
        <v>31</v>
      </c>
      <c r="Q537">
        <v>0</v>
      </c>
      <c r="R537" t="s">
        <v>12883</v>
      </c>
      <c r="S537" t="s">
        <v>12886</v>
      </c>
    </row>
    <row r="538" spans="1:19" x14ac:dyDescent="0.25">
      <c r="A538" t="s">
        <v>12364</v>
      </c>
      <c r="B538" s="1">
        <v>45869</v>
      </c>
      <c r="C538" t="s">
        <v>12885</v>
      </c>
      <c r="D538" s="5">
        <v>0.62954861111111116</v>
      </c>
      <c r="E538">
        <v>182.32</v>
      </c>
      <c r="F538" t="s">
        <v>44</v>
      </c>
      <c r="G538" t="s">
        <v>1210</v>
      </c>
      <c r="H538" t="s">
        <v>96</v>
      </c>
      <c r="I538" t="s">
        <v>26</v>
      </c>
      <c r="J538" t="s">
        <v>12365</v>
      </c>
      <c r="K538">
        <v>49</v>
      </c>
      <c r="L538" t="s">
        <v>49</v>
      </c>
      <c r="M538" t="s">
        <v>66</v>
      </c>
      <c r="N538" t="s">
        <v>51</v>
      </c>
      <c r="O538" t="s">
        <v>28</v>
      </c>
      <c r="P538" t="s">
        <v>31</v>
      </c>
      <c r="Q538">
        <v>0</v>
      </c>
      <c r="R538" t="s">
        <v>12883</v>
      </c>
      <c r="S538" t="s">
        <v>12886</v>
      </c>
    </row>
    <row r="539" spans="1:19" x14ac:dyDescent="0.25">
      <c r="A539" t="s">
        <v>11001</v>
      </c>
      <c r="B539" s="1">
        <v>45835</v>
      </c>
      <c r="C539" t="s">
        <v>12888</v>
      </c>
      <c r="D539" s="5">
        <v>0.53037037037037038</v>
      </c>
      <c r="E539">
        <v>182.29</v>
      </c>
      <c r="F539" t="s">
        <v>44</v>
      </c>
      <c r="G539" t="s">
        <v>7850</v>
      </c>
      <c r="H539" t="s">
        <v>57</v>
      </c>
      <c r="I539" t="s">
        <v>110</v>
      </c>
      <c r="J539" t="s">
        <v>11002</v>
      </c>
      <c r="K539">
        <v>18</v>
      </c>
      <c r="L539" t="s">
        <v>49</v>
      </c>
      <c r="M539" t="s">
        <v>91</v>
      </c>
      <c r="N539" t="s">
        <v>84</v>
      </c>
      <c r="O539" t="s">
        <v>28</v>
      </c>
      <c r="P539" t="s">
        <v>31</v>
      </c>
      <c r="Q539">
        <v>0</v>
      </c>
      <c r="R539" t="s">
        <v>12883</v>
      </c>
      <c r="S539" t="s">
        <v>12892</v>
      </c>
    </row>
    <row r="540" spans="1:19" x14ac:dyDescent="0.25">
      <c r="A540" t="s">
        <v>10734</v>
      </c>
      <c r="B540" s="1">
        <v>45845</v>
      </c>
      <c r="C540" t="s">
        <v>12885</v>
      </c>
      <c r="D540" s="5">
        <v>9.8067129629629629E-2</v>
      </c>
      <c r="E540">
        <v>182.21</v>
      </c>
      <c r="F540" t="s">
        <v>44</v>
      </c>
      <c r="G540" t="s">
        <v>3681</v>
      </c>
      <c r="H540" t="s">
        <v>22</v>
      </c>
      <c r="I540" t="s">
        <v>23</v>
      </c>
      <c r="J540" t="s">
        <v>10735</v>
      </c>
      <c r="K540">
        <v>41</v>
      </c>
      <c r="L540" t="s">
        <v>49</v>
      </c>
      <c r="M540" t="s">
        <v>50</v>
      </c>
      <c r="N540" t="s">
        <v>27</v>
      </c>
      <c r="O540" t="s">
        <v>28</v>
      </c>
      <c r="P540" t="s">
        <v>31</v>
      </c>
      <c r="Q540">
        <v>0</v>
      </c>
      <c r="R540" t="s">
        <v>12883</v>
      </c>
      <c r="S540" t="s">
        <v>12886</v>
      </c>
    </row>
    <row r="541" spans="1:19" x14ac:dyDescent="0.25">
      <c r="A541" t="s">
        <v>1854</v>
      </c>
      <c r="B541" s="1">
        <v>45814</v>
      </c>
      <c r="C541" t="s">
        <v>12888</v>
      </c>
      <c r="D541" s="5">
        <v>0.64590277777777783</v>
      </c>
      <c r="E541">
        <v>182.14</v>
      </c>
      <c r="F541" t="s">
        <v>44</v>
      </c>
      <c r="G541" t="s">
        <v>428</v>
      </c>
      <c r="H541" t="s">
        <v>71</v>
      </c>
      <c r="I541" t="s">
        <v>119</v>
      </c>
      <c r="J541" t="s">
        <v>1855</v>
      </c>
      <c r="K541">
        <v>60</v>
      </c>
      <c r="L541" t="s">
        <v>25</v>
      </c>
      <c r="M541" t="s">
        <v>91</v>
      </c>
      <c r="N541" t="s">
        <v>39</v>
      </c>
      <c r="O541" t="s">
        <v>28</v>
      </c>
      <c r="P541" t="s">
        <v>31</v>
      </c>
      <c r="Q541">
        <v>0</v>
      </c>
      <c r="R541" t="s">
        <v>12883</v>
      </c>
      <c r="S541" t="s">
        <v>12884</v>
      </c>
    </row>
    <row r="542" spans="1:19" x14ac:dyDescent="0.25">
      <c r="A542" t="s">
        <v>6828</v>
      </c>
      <c r="B542" s="1">
        <v>45827</v>
      </c>
      <c r="C542" t="s">
        <v>12888</v>
      </c>
      <c r="D542" s="5">
        <v>0.24230324074074075</v>
      </c>
      <c r="E542">
        <v>182.09</v>
      </c>
      <c r="F542" t="s">
        <v>44</v>
      </c>
      <c r="G542" t="s">
        <v>6829</v>
      </c>
      <c r="H542" t="s">
        <v>22</v>
      </c>
      <c r="I542" t="s">
        <v>23</v>
      </c>
      <c r="J542" t="s">
        <v>6830</v>
      </c>
      <c r="K542">
        <v>59</v>
      </c>
      <c r="L542" t="s">
        <v>25</v>
      </c>
      <c r="M542" t="s">
        <v>35</v>
      </c>
      <c r="N542" t="s">
        <v>84</v>
      </c>
      <c r="O542" t="s">
        <v>28</v>
      </c>
      <c r="P542" t="s">
        <v>31</v>
      </c>
      <c r="Q542">
        <v>0</v>
      </c>
      <c r="R542" t="s">
        <v>12883</v>
      </c>
      <c r="S542" t="s">
        <v>12886</v>
      </c>
    </row>
    <row r="543" spans="1:19" x14ac:dyDescent="0.25">
      <c r="A543" t="s">
        <v>12733</v>
      </c>
      <c r="B543" s="1">
        <v>45943</v>
      </c>
      <c r="C543" t="s">
        <v>12890</v>
      </c>
      <c r="D543" s="5">
        <v>0.91413194444444446</v>
      </c>
      <c r="E543">
        <v>182.05</v>
      </c>
      <c r="F543" t="s">
        <v>44</v>
      </c>
      <c r="G543" t="s">
        <v>927</v>
      </c>
      <c r="H543" t="s">
        <v>22</v>
      </c>
      <c r="I543" t="s">
        <v>23</v>
      </c>
      <c r="J543" t="s">
        <v>12734</v>
      </c>
      <c r="K543">
        <v>69</v>
      </c>
      <c r="L543" t="s">
        <v>49</v>
      </c>
      <c r="M543" t="s">
        <v>35</v>
      </c>
      <c r="N543" t="s">
        <v>39</v>
      </c>
      <c r="O543" t="s">
        <v>28</v>
      </c>
      <c r="P543" t="s">
        <v>31</v>
      </c>
      <c r="Q543">
        <v>0</v>
      </c>
      <c r="R543" t="s">
        <v>12883</v>
      </c>
      <c r="S543" t="s">
        <v>12884</v>
      </c>
    </row>
    <row r="544" spans="1:19" x14ac:dyDescent="0.25">
      <c r="A544" t="s">
        <v>3638</v>
      </c>
      <c r="B544" s="1">
        <v>45813</v>
      </c>
      <c r="C544" t="s">
        <v>12888</v>
      </c>
      <c r="D544" s="5">
        <v>0.53690972222222222</v>
      </c>
      <c r="E544">
        <v>182.02</v>
      </c>
      <c r="F544" t="s">
        <v>44</v>
      </c>
      <c r="G544" t="s">
        <v>217</v>
      </c>
      <c r="H544" t="s">
        <v>77</v>
      </c>
      <c r="I544" t="s">
        <v>130</v>
      </c>
      <c r="J544" t="s">
        <v>3639</v>
      </c>
      <c r="K544">
        <v>62</v>
      </c>
      <c r="L544" t="s">
        <v>37</v>
      </c>
      <c r="M544" t="s">
        <v>110</v>
      </c>
      <c r="N544" t="s">
        <v>39</v>
      </c>
      <c r="O544" t="s">
        <v>28</v>
      </c>
      <c r="P544" t="s">
        <v>31</v>
      </c>
      <c r="Q544">
        <v>0</v>
      </c>
      <c r="R544" t="s">
        <v>12883</v>
      </c>
      <c r="S544" t="s">
        <v>12884</v>
      </c>
    </row>
    <row r="545" spans="1:19" x14ac:dyDescent="0.25">
      <c r="A545" t="s">
        <v>3876</v>
      </c>
      <c r="B545" s="1">
        <v>45870</v>
      </c>
      <c r="C545" t="s">
        <v>12893</v>
      </c>
      <c r="D545" s="5">
        <v>0.73599537037037033</v>
      </c>
      <c r="E545">
        <v>182</v>
      </c>
      <c r="F545" t="s">
        <v>44</v>
      </c>
      <c r="G545" t="s">
        <v>3816</v>
      </c>
      <c r="H545" t="s">
        <v>22</v>
      </c>
      <c r="I545" t="s">
        <v>119</v>
      </c>
      <c r="J545" t="s">
        <v>3877</v>
      </c>
      <c r="K545">
        <v>70</v>
      </c>
      <c r="L545" t="s">
        <v>49</v>
      </c>
      <c r="M545" t="s">
        <v>58</v>
      </c>
      <c r="N545" t="s">
        <v>39</v>
      </c>
      <c r="O545" t="s">
        <v>28</v>
      </c>
      <c r="P545" t="s">
        <v>31</v>
      </c>
      <c r="Q545">
        <v>0</v>
      </c>
      <c r="R545" t="s">
        <v>12883</v>
      </c>
      <c r="S545" t="s">
        <v>12884</v>
      </c>
    </row>
    <row r="546" spans="1:19" x14ac:dyDescent="0.25">
      <c r="A546" t="s">
        <v>7472</v>
      </c>
      <c r="B546" s="1">
        <v>45891</v>
      </c>
      <c r="C546" t="s">
        <v>12893</v>
      </c>
      <c r="D546" s="5">
        <v>0.62738425925925922</v>
      </c>
      <c r="E546">
        <v>181.91</v>
      </c>
      <c r="F546" t="s">
        <v>44</v>
      </c>
      <c r="G546" t="s">
        <v>7473</v>
      </c>
      <c r="H546" t="s">
        <v>124</v>
      </c>
      <c r="I546" t="s">
        <v>35</v>
      </c>
      <c r="J546" t="s">
        <v>7474</v>
      </c>
      <c r="K546">
        <v>67</v>
      </c>
      <c r="L546" t="s">
        <v>49</v>
      </c>
      <c r="M546" t="s">
        <v>66</v>
      </c>
      <c r="N546" t="s">
        <v>105</v>
      </c>
      <c r="O546" t="s">
        <v>28</v>
      </c>
      <c r="P546" t="s">
        <v>31</v>
      </c>
      <c r="Q546">
        <v>0</v>
      </c>
      <c r="R546" t="s">
        <v>12883</v>
      </c>
      <c r="S546" t="s">
        <v>12884</v>
      </c>
    </row>
    <row r="547" spans="1:19" x14ac:dyDescent="0.25">
      <c r="A547" t="s">
        <v>3586</v>
      </c>
      <c r="B547" s="1">
        <v>45918</v>
      </c>
      <c r="C547" t="s">
        <v>12882</v>
      </c>
      <c r="D547" s="5">
        <v>0.75543981481481481</v>
      </c>
      <c r="E547">
        <v>181.82</v>
      </c>
      <c r="F547" t="s">
        <v>44</v>
      </c>
      <c r="G547" t="s">
        <v>2099</v>
      </c>
      <c r="H547" t="s">
        <v>22</v>
      </c>
      <c r="I547" t="s">
        <v>119</v>
      </c>
      <c r="J547" t="s">
        <v>3587</v>
      </c>
      <c r="K547">
        <v>45</v>
      </c>
      <c r="L547" t="s">
        <v>37</v>
      </c>
      <c r="M547" t="s">
        <v>110</v>
      </c>
      <c r="N547" t="s">
        <v>39</v>
      </c>
      <c r="O547" t="s">
        <v>28</v>
      </c>
      <c r="P547" t="s">
        <v>31</v>
      </c>
      <c r="Q547">
        <v>0</v>
      </c>
      <c r="R547" t="s">
        <v>12883</v>
      </c>
      <c r="S547" t="s">
        <v>12886</v>
      </c>
    </row>
    <row r="548" spans="1:19" x14ac:dyDescent="0.25">
      <c r="A548" t="s">
        <v>12237</v>
      </c>
      <c r="B548" s="1">
        <v>45935</v>
      </c>
      <c r="C548" t="s">
        <v>12890</v>
      </c>
      <c r="D548" s="5">
        <v>0.65260416666666665</v>
      </c>
      <c r="E548">
        <v>181.73</v>
      </c>
      <c r="F548" t="s">
        <v>44</v>
      </c>
      <c r="G548" t="s">
        <v>3323</v>
      </c>
      <c r="H548" t="s">
        <v>22</v>
      </c>
      <c r="I548" t="s">
        <v>146</v>
      </c>
      <c r="J548" t="s">
        <v>12238</v>
      </c>
      <c r="K548">
        <v>23</v>
      </c>
      <c r="L548" t="s">
        <v>49</v>
      </c>
      <c r="M548" t="s">
        <v>47</v>
      </c>
      <c r="N548" t="s">
        <v>39</v>
      </c>
      <c r="O548" t="s">
        <v>28</v>
      </c>
      <c r="P548" t="s">
        <v>31</v>
      </c>
      <c r="Q548">
        <v>0</v>
      </c>
      <c r="R548" t="s">
        <v>12883</v>
      </c>
      <c r="S548" t="s">
        <v>12892</v>
      </c>
    </row>
    <row r="549" spans="1:19" x14ac:dyDescent="0.25">
      <c r="A549" t="s">
        <v>1310</v>
      </c>
      <c r="B549" s="1">
        <v>45945</v>
      </c>
      <c r="C549" t="s">
        <v>12890</v>
      </c>
      <c r="D549" s="5">
        <v>0.20106481481481481</v>
      </c>
      <c r="E549">
        <v>181.7</v>
      </c>
      <c r="F549" t="s">
        <v>44</v>
      </c>
      <c r="G549" t="s">
        <v>1311</v>
      </c>
      <c r="H549" t="s">
        <v>22</v>
      </c>
      <c r="I549" t="s">
        <v>110</v>
      </c>
      <c r="J549" t="s">
        <v>1312</v>
      </c>
      <c r="K549">
        <v>28</v>
      </c>
      <c r="L549" t="s">
        <v>25</v>
      </c>
      <c r="M549" t="s">
        <v>130</v>
      </c>
      <c r="N549" t="s">
        <v>112</v>
      </c>
      <c r="O549" t="s">
        <v>28</v>
      </c>
      <c r="P549" t="s">
        <v>31</v>
      </c>
      <c r="Q549">
        <v>0</v>
      </c>
      <c r="R549" t="s">
        <v>12883</v>
      </c>
      <c r="S549" t="s">
        <v>12889</v>
      </c>
    </row>
    <row r="550" spans="1:19" x14ac:dyDescent="0.25">
      <c r="A550" t="s">
        <v>9080</v>
      </c>
      <c r="B550" s="1">
        <v>45781</v>
      </c>
      <c r="C550" t="s">
        <v>12887</v>
      </c>
      <c r="D550" s="5">
        <v>0.21785879629629629</v>
      </c>
      <c r="E550">
        <v>181.68</v>
      </c>
      <c r="F550" t="s">
        <v>44</v>
      </c>
      <c r="G550" t="s">
        <v>3807</v>
      </c>
      <c r="H550" t="s">
        <v>34</v>
      </c>
      <c r="I550" t="s">
        <v>110</v>
      </c>
      <c r="J550" t="s">
        <v>9081</v>
      </c>
      <c r="K550">
        <v>29</v>
      </c>
      <c r="L550" t="s">
        <v>49</v>
      </c>
      <c r="M550" t="s">
        <v>91</v>
      </c>
      <c r="N550" t="s">
        <v>84</v>
      </c>
      <c r="O550" t="s">
        <v>28</v>
      </c>
      <c r="P550" t="s">
        <v>31</v>
      </c>
      <c r="Q550">
        <v>0</v>
      </c>
      <c r="R550" t="s">
        <v>12883</v>
      </c>
      <c r="S550" t="s">
        <v>12889</v>
      </c>
    </row>
    <row r="551" spans="1:19" x14ac:dyDescent="0.25">
      <c r="A551" t="s">
        <v>9511</v>
      </c>
      <c r="B551" s="1">
        <v>45789</v>
      </c>
      <c r="C551" t="s">
        <v>12887</v>
      </c>
      <c r="D551" s="5">
        <v>4.8263888888888887E-3</v>
      </c>
      <c r="E551">
        <v>181.54</v>
      </c>
      <c r="F551" t="s">
        <v>44</v>
      </c>
      <c r="G551" t="s">
        <v>3216</v>
      </c>
      <c r="H551" t="s">
        <v>96</v>
      </c>
      <c r="I551" t="s">
        <v>23</v>
      </c>
      <c r="J551" t="s">
        <v>1725</v>
      </c>
      <c r="K551">
        <v>12</v>
      </c>
      <c r="L551" t="s">
        <v>49</v>
      </c>
      <c r="M551" t="s">
        <v>97</v>
      </c>
      <c r="N551" t="s">
        <v>84</v>
      </c>
      <c r="O551" t="s">
        <v>28</v>
      </c>
      <c r="P551" t="s">
        <v>31</v>
      </c>
      <c r="Q551">
        <v>0</v>
      </c>
      <c r="R551" t="s">
        <v>12883</v>
      </c>
      <c r="S551" t="s">
        <v>12892</v>
      </c>
    </row>
    <row r="552" spans="1:19" x14ac:dyDescent="0.25">
      <c r="A552" t="s">
        <v>6193</v>
      </c>
      <c r="B552" s="1">
        <v>45941</v>
      </c>
      <c r="C552" t="s">
        <v>12890</v>
      </c>
      <c r="D552" s="5">
        <v>0.8413194444444444</v>
      </c>
      <c r="E552">
        <v>181.16</v>
      </c>
      <c r="F552" t="s">
        <v>44</v>
      </c>
      <c r="G552" t="s">
        <v>1632</v>
      </c>
      <c r="H552" t="s">
        <v>34</v>
      </c>
      <c r="I552" t="s">
        <v>23</v>
      </c>
      <c r="J552" t="s">
        <v>6194</v>
      </c>
      <c r="K552">
        <v>29</v>
      </c>
      <c r="L552" t="s">
        <v>25</v>
      </c>
      <c r="M552" t="s">
        <v>248</v>
      </c>
      <c r="N552" t="s">
        <v>27</v>
      </c>
      <c r="O552" t="s">
        <v>28</v>
      </c>
      <c r="P552" t="s">
        <v>31</v>
      </c>
      <c r="Q552">
        <v>0</v>
      </c>
      <c r="R552" t="s">
        <v>12883</v>
      </c>
      <c r="S552" t="s">
        <v>12889</v>
      </c>
    </row>
    <row r="553" spans="1:19" x14ac:dyDescent="0.25">
      <c r="A553" t="s">
        <v>2890</v>
      </c>
      <c r="B553" s="1">
        <v>45844</v>
      </c>
      <c r="C553" t="s">
        <v>12885</v>
      </c>
      <c r="D553" s="5">
        <v>0.32929398148148148</v>
      </c>
      <c r="E553">
        <v>181.15</v>
      </c>
      <c r="F553" t="s">
        <v>44</v>
      </c>
      <c r="G553" t="s">
        <v>2891</v>
      </c>
      <c r="H553" t="s">
        <v>22</v>
      </c>
      <c r="I553" t="s">
        <v>58</v>
      </c>
      <c r="J553" t="s">
        <v>2892</v>
      </c>
      <c r="K553">
        <v>44</v>
      </c>
      <c r="L553" t="s">
        <v>49</v>
      </c>
      <c r="M553" t="s">
        <v>26</v>
      </c>
      <c r="N553" t="s">
        <v>39</v>
      </c>
      <c r="O553" t="s">
        <v>28</v>
      </c>
      <c r="P553" t="s">
        <v>31</v>
      </c>
      <c r="Q553">
        <v>0</v>
      </c>
      <c r="R553" t="s">
        <v>12883</v>
      </c>
      <c r="S553" t="s">
        <v>12886</v>
      </c>
    </row>
    <row r="554" spans="1:19" x14ac:dyDescent="0.25">
      <c r="A554" t="s">
        <v>12729</v>
      </c>
      <c r="B554" s="1">
        <v>45814</v>
      </c>
      <c r="C554" t="s">
        <v>12888</v>
      </c>
      <c r="D554" s="5">
        <v>0.52829861111111109</v>
      </c>
      <c r="E554">
        <v>181.03</v>
      </c>
      <c r="F554" t="s">
        <v>44</v>
      </c>
      <c r="G554" t="s">
        <v>1229</v>
      </c>
      <c r="H554" t="s">
        <v>64</v>
      </c>
      <c r="I554" t="s">
        <v>47</v>
      </c>
      <c r="J554" t="s">
        <v>12730</v>
      </c>
      <c r="K554">
        <v>51</v>
      </c>
      <c r="L554" t="s">
        <v>49</v>
      </c>
      <c r="M554" t="s">
        <v>97</v>
      </c>
      <c r="N554" t="s">
        <v>39</v>
      </c>
      <c r="O554" t="s">
        <v>28</v>
      </c>
      <c r="P554" t="s">
        <v>31</v>
      </c>
      <c r="Q554">
        <v>0</v>
      </c>
      <c r="R554" t="s">
        <v>12883</v>
      </c>
      <c r="S554" t="s">
        <v>12886</v>
      </c>
    </row>
    <row r="555" spans="1:19" x14ac:dyDescent="0.25">
      <c r="A555" t="s">
        <v>4447</v>
      </c>
      <c r="B555" s="1">
        <v>45877</v>
      </c>
      <c r="C555" t="s">
        <v>12893</v>
      </c>
      <c r="D555" s="5">
        <v>0.58656249999999999</v>
      </c>
      <c r="E555">
        <v>180.95</v>
      </c>
      <c r="F555" t="s">
        <v>44</v>
      </c>
      <c r="G555" t="s">
        <v>4448</v>
      </c>
      <c r="H555" t="s">
        <v>46</v>
      </c>
      <c r="I555" t="s">
        <v>23</v>
      </c>
      <c r="J555" t="s">
        <v>4449</v>
      </c>
      <c r="K555">
        <v>53</v>
      </c>
      <c r="L555" t="s">
        <v>37</v>
      </c>
      <c r="M555" t="s">
        <v>91</v>
      </c>
      <c r="N555" t="s">
        <v>27</v>
      </c>
      <c r="O555" t="s">
        <v>28</v>
      </c>
      <c r="P555" t="s">
        <v>31</v>
      </c>
      <c r="Q555">
        <v>0</v>
      </c>
      <c r="R555" t="s">
        <v>12883</v>
      </c>
      <c r="S555" t="s">
        <v>12886</v>
      </c>
    </row>
    <row r="556" spans="1:19" x14ac:dyDescent="0.25">
      <c r="A556" t="s">
        <v>7241</v>
      </c>
      <c r="B556" s="1">
        <v>45878</v>
      </c>
      <c r="C556" t="s">
        <v>12893</v>
      </c>
      <c r="D556" s="5">
        <v>6.4629629629629634E-2</v>
      </c>
      <c r="E556">
        <v>180.74</v>
      </c>
      <c r="F556" t="s">
        <v>44</v>
      </c>
      <c r="G556" t="s">
        <v>7242</v>
      </c>
      <c r="H556" t="s">
        <v>71</v>
      </c>
      <c r="I556" t="s">
        <v>50</v>
      </c>
      <c r="J556" t="s">
        <v>7243</v>
      </c>
      <c r="K556">
        <v>63</v>
      </c>
      <c r="L556" t="s">
        <v>49</v>
      </c>
      <c r="M556" t="s">
        <v>146</v>
      </c>
      <c r="N556" t="s">
        <v>112</v>
      </c>
      <c r="O556" t="s">
        <v>28</v>
      </c>
      <c r="P556" t="s">
        <v>31</v>
      </c>
      <c r="Q556">
        <v>0</v>
      </c>
      <c r="R556" t="s">
        <v>12883</v>
      </c>
      <c r="S556" t="s">
        <v>12884</v>
      </c>
    </row>
    <row r="557" spans="1:19" x14ac:dyDescent="0.25">
      <c r="A557" t="s">
        <v>7702</v>
      </c>
      <c r="B557" s="1">
        <v>45830</v>
      </c>
      <c r="C557" t="s">
        <v>12888</v>
      </c>
      <c r="D557" s="5">
        <v>0.23346064814814815</v>
      </c>
      <c r="E557">
        <v>180.72</v>
      </c>
      <c r="F557" t="s">
        <v>44</v>
      </c>
      <c r="G557" t="s">
        <v>7703</v>
      </c>
      <c r="H557" t="s">
        <v>34</v>
      </c>
      <c r="I557" t="s">
        <v>97</v>
      </c>
      <c r="J557" t="s">
        <v>7704</v>
      </c>
      <c r="K557">
        <v>23</v>
      </c>
      <c r="L557" t="s">
        <v>49</v>
      </c>
      <c r="M557" t="s">
        <v>38</v>
      </c>
      <c r="N557" t="s">
        <v>27</v>
      </c>
      <c r="O557" t="s">
        <v>28</v>
      </c>
      <c r="P557" t="s">
        <v>31</v>
      </c>
      <c r="Q557">
        <v>1</v>
      </c>
      <c r="R557" t="s">
        <v>12891</v>
      </c>
      <c r="S557" t="s">
        <v>12892</v>
      </c>
    </row>
    <row r="558" spans="1:19" x14ac:dyDescent="0.25">
      <c r="A558" t="s">
        <v>7374</v>
      </c>
      <c r="B558" s="1">
        <v>45914</v>
      </c>
      <c r="C558" t="s">
        <v>12882</v>
      </c>
      <c r="D558" s="5">
        <v>0.71206018518518521</v>
      </c>
      <c r="E558">
        <v>180.67</v>
      </c>
      <c r="F558" t="s">
        <v>44</v>
      </c>
      <c r="G558" t="s">
        <v>1504</v>
      </c>
      <c r="H558" t="s">
        <v>89</v>
      </c>
      <c r="I558" t="s">
        <v>66</v>
      </c>
      <c r="J558" t="s">
        <v>7375</v>
      </c>
      <c r="K558">
        <v>48</v>
      </c>
      <c r="L558" t="s">
        <v>37</v>
      </c>
      <c r="M558" t="s">
        <v>47</v>
      </c>
      <c r="N558" t="s">
        <v>27</v>
      </c>
      <c r="O558" t="s">
        <v>28</v>
      </c>
      <c r="P558" t="s">
        <v>31</v>
      </c>
      <c r="Q558">
        <v>0</v>
      </c>
      <c r="R558" t="s">
        <v>12883</v>
      </c>
      <c r="S558" t="s">
        <v>12886</v>
      </c>
    </row>
    <row r="559" spans="1:19" x14ac:dyDescent="0.25">
      <c r="A559" t="s">
        <v>10321</v>
      </c>
      <c r="B559" s="1">
        <v>45796</v>
      </c>
      <c r="C559" t="s">
        <v>12887</v>
      </c>
      <c r="D559" s="5">
        <v>0.37091435185185184</v>
      </c>
      <c r="E559">
        <v>180.66</v>
      </c>
      <c r="F559" t="s">
        <v>44</v>
      </c>
      <c r="G559" t="s">
        <v>10322</v>
      </c>
      <c r="H559" t="s">
        <v>22</v>
      </c>
      <c r="I559" t="s">
        <v>110</v>
      </c>
      <c r="J559" t="s">
        <v>10323</v>
      </c>
      <c r="K559">
        <v>49</v>
      </c>
      <c r="L559" t="s">
        <v>25</v>
      </c>
      <c r="M559" t="s">
        <v>110</v>
      </c>
      <c r="N559" t="s">
        <v>27</v>
      </c>
      <c r="O559" t="s">
        <v>113</v>
      </c>
      <c r="P559" t="s">
        <v>31</v>
      </c>
      <c r="Q559">
        <v>0</v>
      </c>
      <c r="R559" t="s">
        <v>12883</v>
      </c>
      <c r="S559" t="s">
        <v>12886</v>
      </c>
    </row>
    <row r="560" spans="1:19" x14ac:dyDescent="0.25">
      <c r="A560" t="s">
        <v>3512</v>
      </c>
      <c r="B560" s="1">
        <v>45829</v>
      </c>
      <c r="C560" t="s">
        <v>12888</v>
      </c>
      <c r="D560" s="5">
        <v>0.19625000000000001</v>
      </c>
      <c r="E560">
        <v>180.56</v>
      </c>
      <c r="F560" t="s">
        <v>44</v>
      </c>
      <c r="G560" t="s">
        <v>253</v>
      </c>
      <c r="H560" t="s">
        <v>71</v>
      </c>
      <c r="I560" t="s">
        <v>38</v>
      </c>
      <c r="J560" t="s">
        <v>3513</v>
      </c>
      <c r="K560">
        <v>24</v>
      </c>
      <c r="L560" t="s">
        <v>25</v>
      </c>
      <c r="M560" t="s">
        <v>130</v>
      </c>
      <c r="N560" t="s">
        <v>51</v>
      </c>
      <c r="O560" t="s">
        <v>28</v>
      </c>
      <c r="P560" t="s">
        <v>31</v>
      </c>
      <c r="Q560">
        <v>0</v>
      </c>
      <c r="R560" t="s">
        <v>12883</v>
      </c>
      <c r="S560" t="s">
        <v>12892</v>
      </c>
    </row>
    <row r="561" spans="1:19" x14ac:dyDescent="0.25">
      <c r="A561" t="s">
        <v>12288</v>
      </c>
      <c r="B561" s="1">
        <v>45887</v>
      </c>
      <c r="C561" t="s">
        <v>12893</v>
      </c>
      <c r="D561" s="5">
        <v>9.6574074074074076E-2</v>
      </c>
      <c r="E561">
        <v>180.37</v>
      </c>
      <c r="F561" t="s">
        <v>44</v>
      </c>
      <c r="G561" t="s">
        <v>753</v>
      </c>
      <c r="H561" t="s">
        <v>34</v>
      </c>
      <c r="I561" t="s">
        <v>38</v>
      </c>
      <c r="J561" t="s">
        <v>12289</v>
      </c>
      <c r="K561">
        <v>38</v>
      </c>
      <c r="L561" t="s">
        <v>25</v>
      </c>
      <c r="M561" t="s">
        <v>58</v>
      </c>
      <c r="N561" t="s">
        <v>27</v>
      </c>
      <c r="O561" t="s">
        <v>28</v>
      </c>
      <c r="P561" t="s">
        <v>31</v>
      </c>
      <c r="Q561">
        <v>0</v>
      </c>
      <c r="R561" t="s">
        <v>12883</v>
      </c>
      <c r="S561" t="s">
        <v>12889</v>
      </c>
    </row>
    <row r="562" spans="1:19" x14ac:dyDescent="0.25">
      <c r="A562" t="s">
        <v>11312</v>
      </c>
      <c r="B562" s="1">
        <v>45832</v>
      </c>
      <c r="C562" t="s">
        <v>12888</v>
      </c>
      <c r="D562" s="5">
        <v>0.33789351851851851</v>
      </c>
      <c r="E562">
        <v>180.32</v>
      </c>
      <c r="F562" t="s">
        <v>44</v>
      </c>
      <c r="G562" t="s">
        <v>5815</v>
      </c>
      <c r="H562" t="s">
        <v>22</v>
      </c>
      <c r="I562" t="s">
        <v>146</v>
      </c>
      <c r="J562" t="s">
        <v>11313</v>
      </c>
      <c r="K562">
        <v>54</v>
      </c>
      <c r="L562" t="s">
        <v>37</v>
      </c>
      <c r="M562" t="s">
        <v>58</v>
      </c>
      <c r="N562" t="s">
        <v>84</v>
      </c>
      <c r="O562" t="s">
        <v>28</v>
      </c>
      <c r="P562" t="s">
        <v>31</v>
      </c>
      <c r="Q562">
        <v>0</v>
      </c>
      <c r="R562" t="s">
        <v>12883</v>
      </c>
      <c r="S562" t="s">
        <v>12886</v>
      </c>
    </row>
    <row r="563" spans="1:19" x14ac:dyDescent="0.25">
      <c r="A563" t="s">
        <v>11059</v>
      </c>
      <c r="B563" s="1">
        <v>45950</v>
      </c>
      <c r="C563" t="s">
        <v>12890</v>
      </c>
      <c r="D563" s="5">
        <v>0.72112268518518519</v>
      </c>
      <c r="E563">
        <v>180.24</v>
      </c>
      <c r="F563" t="s">
        <v>44</v>
      </c>
      <c r="G563" t="s">
        <v>4048</v>
      </c>
      <c r="H563" t="s">
        <v>46</v>
      </c>
      <c r="I563" t="s">
        <v>35</v>
      </c>
      <c r="J563" t="s">
        <v>11060</v>
      </c>
      <c r="K563">
        <v>74</v>
      </c>
      <c r="L563" t="s">
        <v>37</v>
      </c>
      <c r="M563" t="s">
        <v>248</v>
      </c>
      <c r="N563" t="s">
        <v>51</v>
      </c>
      <c r="O563" t="s">
        <v>28</v>
      </c>
      <c r="P563" t="s">
        <v>31</v>
      </c>
      <c r="Q563">
        <v>0</v>
      </c>
      <c r="R563" t="s">
        <v>12883</v>
      </c>
      <c r="S563" t="s">
        <v>12884</v>
      </c>
    </row>
    <row r="564" spans="1:19" x14ac:dyDescent="0.25">
      <c r="A564" t="s">
        <v>5532</v>
      </c>
      <c r="B564" s="1">
        <v>45882</v>
      </c>
      <c r="C564" t="s">
        <v>12893</v>
      </c>
      <c r="D564" s="5">
        <v>2.8819444444444444E-3</v>
      </c>
      <c r="E564">
        <v>180.18</v>
      </c>
      <c r="F564" t="s">
        <v>44</v>
      </c>
      <c r="G564" t="s">
        <v>3617</v>
      </c>
      <c r="H564" t="s">
        <v>34</v>
      </c>
      <c r="I564" t="s">
        <v>130</v>
      </c>
      <c r="J564" t="s">
        <v>5533</v>
      </c>
      <c r="K564">
        <v>29</v>
      </c>
      <c r="L564" t="s">
        <v>49</v>
      </c>
      <c r="M564" t="s">
        <v>97</v>
      </c>
      <c r="N564" t="s">
        <v>105</v>
      </c>
      <c r="O564" t="s">
        <v>28</v>
      </c>
      <c r="P564" t="s">
        <v>31</v>
      </c>
      <c r="Q564">
        <v>0</v>
      </c>
      <c r="R564" t="s">
        <v>12883</v>
      </c>
      <c r="S564" t="s">
        <v>12889</v>
      </c>
    </row>
    <row r="565" spans="1:19" x14ac:dyDescent="0.25">
      <c r="A565" t="s">
        <v>10587</v>
      </c>
      <c r="B565" s="1">
        <v>45787</v>
      </c>
      <c r="C565" t="s">
        <v>12887</v>
      </c>
      <c r="D565" s="5">
        <v>0.6404050925925926</v>
      </c>
      <c r="E565">
        <v>179.83</v>
      </c>
      <c r="F565" t="s">
        <v>44</v>
      </c>
      <c r="G565" t="s">
        <v>2956</v>
      </c>
      <c r="H565" t="s">
        <v>124</v>
      </c>
      <c r="I565" t="s">
        <v>146</v>
      </c>
      <c r="J565" t="s">
        <v>10588</v>
      </c>
      <c r="K565">
        <v>71</v>
      </c>
      <c r="L565" t="s">
        <v>37</v>
      </c>
      <c r="M565" t="s">
        <v>47</v>
      </c>
      <c r="N565" t="s">
        <v>112</v>
      </c>
      <c r="O565" t="s">
        <v>28</v>
      </c>
      <c r="P565" t="s">
        <v>31</v>
      </c>
      <c r="Q565">
        <v>0</v>
      </c>
      <c r="R565" t="s">
        <v>12883</v>
      </c>
      <c r="S565" t="s">
        <v>12884</v>
      </c>
    </row>
    <row r="566" spans="1:19" x14ac:dyDescent="0.25">
      <c r="A566" t="s">
        <v>8407</v>
      </c>
      <c r="B566" s="1">
        <v>45828</v>
      </c>
      <c r="C566" t="s">
        <v>12888</v>
      </c>
      <c r="D566" s="5">
        <v>0.6678587962962963</v>
      </c>
      <c r="E566">
        <v>179.64</v>
      </c>
      <c r="F566" t="s">
        <v>44</v>
      </c>
      <c r="G566" t="s">
        <v>6201</v>
      </c>
      <c r="H566" t="s">
        <v>71</v>
      </c>
      <c r="I566" t="s">
        <v>146</v>
      </c>
      <c r="J566" t="s">
        <v>8408</v>
      </c>
      <c r="K566">
        <v>45</v>
      </c>
      <c r="L566" t="s">
        <v>25</v>
      </c>
      <c r="M566" t="s">
        <v>26</v>
      </c>
      <c r="N566" t="s">
        <v>39</v>
      </c>
      <c r="O566" t="s">
        <v>28</v>
      </c>
      <c r="P566" t="s">
        <v>31</v>
      </c>
      <c r="Q566">
        <v>0</v>
      </c>
      <c r="R566" t="s">
        <v>12883</v>
      </c>
      <c r="S566" t="s">
        <v>12886</v>
      </c>
    </row>
    <row r="567" spans="1:19" x14ac:dyDescent="0.25">
      <c r="A567" t="s">
        <v>6804</v>
      </c>
      <c r="B567" s="1">
        <v>45897</v>
      </c>
      <c r="C567" t="s">
        <v>12893</v>
      </c>
      <c r="D567" s="5">
        <v>0.66938657407407409</v>
      </c>
      <c r="E567">
        <v>179.58</v>
      </c>
      <c r="F567" t="s">
        <v>44</v>
      </c>
      <c r="G567" t="s">
        <v>1068</v>
      </c>
      <c r="H567" t="s">
        <v>96</v>
      </c>
      <c r="I567" t="s">
        <v>110</v>
      </c>
      <c r="J567" t="s">
        <v>6805</v>
      </c>
      <c r="K567">
        <v>26</v>
      </c>
      <c r="L567" t="s">
        <v>49</v>
      </c>
      <c r="M567" t="s">
        <v>66</v>
      </c>
      <c r="N567" t="s">
        <v>84</v>
      </c>
      <c r="O567" t="s">
        <v>28</v>
      </c>
      <c r="P567" t="s">
        <v>31</v>
      </c>
      <c r="Q567">
        <v>0</v>
      </c>
      <c r="R567" t="s">
        <v>12883</v>
      </c>
      <c r="S567" t="s">
        <v>12889</v>
      </c>
    </row>
    <row r="568" spans="1:19" x14ac:dyDescent="0.25">
      <c r="A568" t="s">
        <v>9268</v>
      </c>
      <c r="B568" s="1">
        <v>45786</v>
      </c>
      <c r="C568" t="s">
        <v>12887</v>
      </c>
      <c r="D568" s="5">
        <v>0.55478009259259264</v>
      </c>
      <c r="E568">
        <v>179.51</v>
      </c>
      <c r="F568" t="s">
        <v>44</v>
      </c>
      <c r="G568" t="s">
        <v>6148</v>
      </c>
      <c r="H568" t="s">
        <v>22</v>
      </c>
      <c r="I568" t="s">
        <v>248</v>
      </c>
      <c r="J568" t="s">
        <v>9269</v>
      </c>
      <c r="K568">
        <v>73</v>
      </c>
      <c r="L568" t="s">
        <v>25</v>
      </c>
      <c r="M568" t="s">
        <v>97</v>
      </c>
      <c r="N568" t="s">
        <v>112</v>
      </c>
      <c r="O568" t="s">
        <v>28</v>
      </c>
      <c r="P568" t="s">
        <v>31</v>
      </c>
      <c r="Q568">
        <v>0</v>
      </c>
      <c r="R568" t="s">
        <v>12883</v>
      </c>
      <c r="S568" t="s">
        <v>12884</v>
      </c>
    </row>
    <row r="569" spans="1:19" x14ac:dyDescent="0.25">
      <c r="A569" t="s">
        <v>2814</v>
      </c>
      <c r="B569" s="1">
        <v>45793</v>
      </c>
      <c r="C569" t="s">
        <v>12887</v>
      </c>
      <c r="D569" s="5">
        <v>0.85372685185185182</v>
      </c>
      <c r="E569">
        <v>179.41</v>
      </c>
      <c r="F569" t="s">
        <v>44</v>
      </c>
      <c r="G569" t="s">
        <v>109</v>
      </c>
      <c r="H569" t="s">
        <v>64</v>
      </c>
      <c r="I569" t="s">
        <v>91</v>
      </c>
      <c r="J569" t="s">
        <v>2815</v>
      </c>
      <c r="K569">
        <v>75</v>
      </c>
      <c r="L569" t="s">
        <v>49</v>
      </c>
      <c r="M569" t="s">
        <v>58</v>
      </c>
      <c r="N569" t="s">
        <v>51</v>
      </c>
      <c r="O569" t="s">
        <v>28</v>
      </c>
      <c r="P569" t="s">
        <v>31</v>
      </c>
      <c r="Q569">
        <v>0</v>
      </c>
      <c r="R569" t="s">
        <v>12883</v>
      </c>
      <c r="S569" t="s">
        <v>12884</v>
      </c>
    </row>
    <row r="570" spans="1:19" x14ac:dyDescent="0.25">
      <c r="A570" t="s">
        <v>8140</v>
      </c>
      <c r="B570" s="1">
        <v>45842</v>
      </c>
      <c r="C570" t="s">
        <v>12885</v>
      </c>
      <c r="D570" s="5">
        <v>0.96365740740740746</v>
      </c>
      <c r="E570">
        <v>179.26</v>
      </c>
      <c r="F570" t="s">
        <v>44</v>
      </c>
      <c r="G570" t="s">
        <v>3266</v>
      </c>
      <c r="H570" t="s">
        <v>57</v>
      </c>
      <c r="I570" t="s">
        <v>248</v>
      </c>
      <c r="J570" t="s">
        <v>8141</v>
      </c>
      <c r="K570">
        <v>63</v>
      </c>
      <c r="L570" t="s">
        <v>25</v>
      </c>
      <c r="M570" t="s">
        <v>47</v>
      </c>
      <c r="N570" t="s">
        <v>27</v>
      </c>
      <c r="O570" t="s">
        <v>28</v>
      </c>
      <c r="P570" t="s">
        <v>31</v>
      </c>
      <c r="Q570">
        <v>0</v>
      </c>
      <c r="R570" t="s">
        <v>12883</v>
      </c>
      <c r="S570" t="s">
        <v>12884</v>
      </c>
    </row>
    <row r="571" spans="1:19" x14ac:dyDescent="0.25">
      <c r="A571" t="s">
        <v>5545</v>
      </c>
      <c r="B571" s="1">
        <v>45824</v>
      </c>
      <c r="C571" t="s">
        <v>12888</v>
      </c>
      <c r="D571" s="5">
        <v>0.15024305555555556</v>
      </c>
      <c r="E571">
        <v>179.25</v>
      </c>
      <c r="F571" t="s">
        <v>44</v>
      </c>
      <c r="G571" t="s">
        <v>927</v>
      </c>
      <c r="H571" t="s">
        <v>57</v>
      </c>
      <c r="I571" t="s">
        <v>66</v>
      </c>
      <c r="J571" t="s">
        <v>5546</v>
      </c>
      <c r="K571">
        <v>66</v>
      </c>
      <c r="L571" t="s">
        <v>49</v>
      </c>
      <c r="M571" t="s">
        <v>38</v>
      </c>
      <c r="N571" t="s">
        <v>84</v>
      </c>
      <c r="O571" t="s">
        <v>28</v>
      </c>
      <c r="P571" t="s">
        <v>31</v>
      </c>
      <c r="Q571">
        <v>0</v>
      </c>
      <c r="R571" t="s">
        <v>12883</v>
      </c>
      <c r="S571" t="s">
        <v>12884</v>
      </c>
    </row>
    <row r="572" spans="1:19" x14ac:dyDescent="0.25">
      <c r="A572" t="s">
        <v>403</v>
      </c>
      <c r="B572" s="1">
        <v>45951</v>
      </c>
      <c r="C572" t="s">
        <v>12890</v>
      </c>
      <c r="D572" s="5">
        <v>0.53592592592592592</v>
      </c>
      <c r="E572">
        <v>179.18</v>
      </c>
      <c r="F572" t="s">
        <v>44</v>
      </c>
      <c r="G572" t="s">
        <v>359</v>
      </c>
      <c r="H572" t="s">
        <v>124</v>
      </c>
      <c r="I572" t="s">
        <v>119</v>
      </c>
      <c r="J572" t="s">
        <v>404</v>
      </c>
      <c r="K572">
        <v>24</v>
      </c>
      <c r="L572" t="s">
        <v>25</v>
      </c>
      <c r="M572" t="s">
        <v>146</v>
      </c>
      <c r="N572" t="s">
        <v>27</v>
      </c>
      <c r="O572" t="s">
        <v>28</v>
      </c>
      <c r="P572" t="s">
        <v>31</v>
      </c>
      <c r="Q572">
        <v>0</v>
      </c>
      <c r="R572" t="s">
        <v>12883</v>
      </c>
      <c r="S572" t="s">
        <v>12892</v>
      </c>
    </row>
    <row r="573" spans="1:19" x14ac:dyDescent="0.25">
      <c r="A573" t="s">
        <v>4736</v>
      </c>
      <c r="B573" s="1">
        <v>45877</v>
      </c>
      <c r="C573" t="s">
        <v>12893</v>
      </c>
      <c r="D573" s="5">
        <v>0.23876157407407408</v>
      </c>
      <c r="E573">
        <v>179.13</v>
      </c>
      <c r="F573" t="s">
        <v>44</v>
      </c>
      <c r="G573" t="s">
        <v>4737</v>
      </c>
      <c r="H573" t="s">
        <v>46</v>
      </c>
      <c r="I573" t="s">
        <v>110</v>
      </c>
      <c r="J573" t="s">
        <v>4738</v>
      </c>
      <c r="K573">
        <v>45</v>
      </c>
      <c r="L573" t="s">
        <v>37</v>
      </c>
      <c r="M573" t="s">
        <v>66</v>
      </c>
      <c r="N573" t="s">
        <v>39</v>
      </c>
      <c r="O573" t="s">
        <v>28</v>
      </c>
      <c r="P573" t="s">
        <v>31</v>
      </c>
      <c r="Q573">
        <v>0</v>
      </c>
      <c r="R573" t="s">
        <v>12883</v>
      </c>
      <c r="S573" t="s">
        <v>12886</v>
      </c>
    </row>
    <row r="574" spans="1:19" x14ac:dyDescent="0.25">
      <c r="A574" t="s">
        <v>9038</v>
      </c>
      <c r="B574" s="1">
        <v>45932</v>
      </c>
      <c r="C574" t="s">
        <v>12890</v>
      </c>
      <c r="D574" s="5">
        <v>0.83894675925925921</v>
      </c>
      <c r="E574">
        <v>179</v>
      </c>
      <c r="F574" t="s">
        <v>44</v>
      </c>
      <c r="G574" t="s">
        <v>3960</v>
      </c>
      <c r="H574" t="s">
        <v>96</v>
      </c>
      <c r="I574" t="s">
        <v>38</v>
      </c>
      <c r="J574" t="s">
        <v>9039</v>
      </c>
      <c r="K574">
        <v>59</v>
      </c>
      <c r="L574" t="s">
        <v>49</v>
      </c>
      <c r="M574" t="s">
        <v>50</v>
      </c>
      <c r="N574" t="s">
        <v>112</v>
      </c>
      <c r="O574" t="s">
        <v>28</v>
      </c>
      <c r="P574" t="s">
        <v>31</v>
      </c>
      <c r="Q574">
        <v>0</v>
      </c>
      <c r="R574" t="s">
        <v>12883</v>
      </c>
      <c r="S574" t="s">
        <v>12886</v>
      </c>
    </row>
    <row r="575" spans="1:19" x14ac:dyDescent="0.25">
      <c r="A575" t="s">
        <v>6315</v>
      </c>
      <c r="B575" s="1">
        <v>45840</v>
      </c>
      <c r="C575" t="s">
        <v>12885</v>
      </c>
      <c r="D575" s="5">
        <v>0.77870370370370368</v>
      </c>
      <c r="E575">
        <v>178.97</v>
      </c>
      <c r="F575" t="s">
        <v>44</v>
      </c>
      <c r="G575" t="s">
        <v>313</v>
      </c>
      <c r="H575" t="s">
        <v>46</v>
      </c>
      <c r="I575" t="s">
        <v>50</v>
      </c>
      <c r="J575" t="s">
        <v>6316</v>
      </c>
      <c r="K575">
        <v>45</v>
      </c>
      <c r="L575" t="s">
        <v>25</v>
      </c>
      <c r="M575" t="s">
        <v>110</v>
      </c>
      <c r="N575" t="s">
        <v>84</v>
      </c>
      <c r="O575" t="s">
        <v>28</v>
      </c>
      <c r="P575" t="s">
        <v>31</v>
      </c>
      <c r="Q575">
        <v>0</v>
      </c>
      <c r="R575" t="s">
        <v>12883</v>
      </c>
      <c r="S575" t="s">
        <v>12886</v>
      </c>
    </row>
    <row r="576" spans="1:19" x14ac:dyDescent="0.25">
      <c r="A576" t="s">
        <v>9151</v>
      </c>
      <c r="B576" s="1">
        <v>45848</v>
      </c>
      <c r="C576" t="s">
        <v>12885</v>
      </c>
      <c r="D576" s="5">
        <v>0.79300925925925925</v>
      </c>
      <c r="E576">
        <v>178.83</v>
      </c>
      <c r="F576" t="s">
        <v>44</v>
      </c>
      <c r="G576" t="s">
        <v>2712</v>
      </c>
      <c r="H576" t="s">
        <v>34</v>
      </c>
      <c r="I576" t="s">
        <v>35</v>
      </c>
      <c r="J576" t="s">
        <v>9152</v>
      </c>
      <c r="K576">
        <v>50</v>
      </c>
      <c r="L576" t="s">
        <v>37</v>
      </c>
      <c r="M576" t="s">
        <v>47</v>
      </c>
      <c r="N576" t="s">
        <v>39</v>
      </c>
      <c r="O576" t="s">
        <v>28</v>
      </c>
      <c r="P576" t="s">
        <v>31</v>
      </c>
      <c r="Q576">
        <v>1</v>
      </c>
      <c r="R576" t="s">
        <v>12891</v>
      </c>
      <c r="S576" t="s">
        <v>12886</v>
      </c>
    </row>
    <row r="577" spans="1:19" x14ac:dyDescent="0.25">
      <c r="A577" t="s">
        <v>732</v>
      </c>
      <c r="B577" s="1">
        <v>45806</v>
      </c>
      <c r="C577" t="s">
        <v>12887</v>
      </c>
      <c r="D577" s="5">
        <v>0.87270833333333331</v>
      </c>
      <c r="E577">
        <v>178.7</v>
      </c>
      <c r="F577" t="s">
        <v>44</v>
      </c>
      <c r="G577" t="s">
        <v>733</v>
      </c>
      <c r="H577" t="s">
        <v>77</v>
      </c>
      <c r="I577" t="s">
        <v>130</v>
      </c>
      <c r="J577" t="s">
        <v>734</v>
      </c>
      <c r="K577">
        <v>49</v>
      </c>
      <c r="L577" t="s">
        <v>49</v>
      </c>
      <c r="M577" t="s">
        <v>130</v>
      </c>
      <c r="N577" t="s">
        <v>84</v>
      </c>
      <c r="O577" t="s">
        <v>113</v>
      </c>
      <c r="P577" t="s">
        <v>31</v>
      </c>
      <c r="Q577">
        <v>0</v>
      </c>
      <c r="R577" t="s">
        <v>12883</v>
      </c>
      <c r="S577" t="s">
        <v>12886</v>
      </c>
    </row>
    <row r="578" spans="1:19" x14ac:dyDescent="0.25">
      <c r="A578" t="s">
        <v>11247</v>
      </c>
      <c r="B578" s="1">
        <v>45941</v>
      </c>
      <c r="C578" t="s">
        <v>12890</v>
      </c>
      <c r="D578" s="5">
        <v>0.77386574074074077</v>
      </c>
      <c r="E578">
        <v>178.6</v>
      </c>
      <c r="F578" t="s">
        <v>44</v>
      </c>
      <c r="G578" t="s">
        <v>11248</v>
      </c>
      <c r="H578" t="s">
        <v>46</v>
      </c>
      <c r="I578" t="s">
        <v>146</v>
      </c>
      <c r="J578" t="s">
        <v>11249</v>
      </c>
      <c r="K578">
        <v>47</v>
      </c>
      <c r="L578" t="s">
        <v>49</v>
      </c>
      <c r="M578" t="s">
        <v>110</v>
      </c>
      <c r="N578" t="s">
        <v>105</v>
      </c>
      <c r="O578" t="s">
        <v>28</v>
      </c>
      <c r="P578" t="s">
        <v>31</v>
      </c>
      <c r="Q578">
        <v>0</v>
      </c>
      <c r="R578" t="s">
        <v>12883</v>
      </c>
      <c r="S578" t="s">
        <v>12886</v>
      </c>
    </row>
    <row r="579" spans="1:19" x14ac:dyDescent="0.25">
      <c r="A579" t="s">
        <v>4868</v>
      </c>
      <c r="B579" s="1">
        <v>45859</v>
      </c>
      <c r="C579" t="s">
        <v>12885</v>
      </c>
      <c r="D579" s="5">
        <v>0.44002314814814814</v>
      </c>
      <c r="E579">
        <v>178.5</v>
      </c>
      <c r="F579" t="s">
        <v>44</v>
      </c>
      <c r="G579" t="s">
        <v>4869</v>
      </c>
      <c r="H579" t="s">
        <v>71</v>
      </c>
      <c r="I579" t="s">
        <v>47</v>
      </c>
      <c r="J579" t="s">
        <v>4870</v>
      </c>
      <c r="K579">
        <v>31</v>
      </c>
      <c r="L579" t="s">
        <v>25</v>
      </c>
      <c r="M579" t="s">
        <v>97</v>
      </c>
      <c r="N579" t="s">
        <v>84</v>
      </c>
      <c r="O579" t="s">
        <v>28</v>
      </c>
      <c r="P579" t="s">
        <v>31</v>
      </c>
      <c r="Q579">
        <v>0</v>
      </c>
      <c r="R579" t="s">
        <v>12883</v>
      </c>
      <c r="S579" t="s">
        <v>12889</v>
      </c>
    </row>
    <row r="580" spans="1:19" x14ac:dyDescent="0.25">
      <c r="A580" t="s">
        <v>6177</v>
      </c>
      <c r="B580" s="1">
        <v>45844</v>
      </c>
      <c r="C580" t="s">
        <v>12885</v>
      </c>
      <c r="D580" s="5">
        <v>0.78015046296296298</v>
      </c>
      <c r="E580">
        <v>178.36</v>
      </c>
      <c r="F580" t="s">
        <v>44</v>
      </c>
      <c r="G580" t="s">
        <v>2126</v>
      </c>
      <c r="H580" t="s">
        <v>22</v>
      </c>
      <c r="I580" t="s">
        <v>35</v>
      </c>
      <c r="J580" t="s">
        <v>6178</v>
      </c>
      <c r="K580">
        <v>63</v>
      </c>
      <c r="L580" t="s">
        <v>37</v>
      </c>
      <c r="M580" t="s">
        <v>248</v>
      </c>
      <c r="N580" t="s">
        <v>105</v>
      </c>
      <c r="O580" t="s">
        <v>28</v>
      </c>
      <c r="P580" t="s">
        <v>31</v>
      </c>
      <c r="Q580">
        <v>0</v>
      </c>
      <c r="R580" t="s">
        <v>12883</v>
      </c>
      <c r="S580" t="s">
        <v>12884</v>
      </c>
    </row>
    <row r="581" spans="1:19" x14ac:dyDescent="0.25">
      <c r="A581" t="s">
        <v>10247</v>
      </c>
      <c r="B581" s="1">
        <v>45823</v>
      </c>
      <c r="C581" t="s">
        <v>12888</v>
      </c>
      <c r="D581" s="5">
        <v>0.8168171296296296</v>
      </c>
      <c r="E581">
        <v>178.22</v>
      </c>
      <c r="F581" t="s">
        <v>44</v>
      </c>
      <c r="G581" t="s">
        <v>207</v>
      </c>
      <c r="H581" t="s">
        <v>34</v>
      </c>
      <c r="I581" t="s">
        <v>248</v>
      </c>
      <c r="J581" t="s">
        <v>10248</v>
      </c>
      <c r="K581">
        <v>21</v>
      </c>
      <c r="L581" t="s">
        <v>49</v>
      </c>
      <c r="M581" t="s">
        <v>58</v>
      </c>
      <c r="N581" t="s">
        <v>27</v>
      </c>
      <c r="O581" t="s">
        <v>28</v>
      </c>
      <c r="P581" t="s">
        <v>31</v>
      </c>
      <c r="Q581">
        <v>0</v>
      </c>
      <c r="R581" t="s">
        <v>12883</v>
      </c>
      <c r="S581" t="s">
        <v>12892</v>
      </c>
    </row>
    <row r="582" spans="1:19" x14ac:dyDescent="0.25">
      <c r="A582" t="s">
        <v>1021</v>
      </c>
      <c r="B582" s="1">
        <v>45935</v>
      </c>
      <c r="C582" t="s">
        <v>12890</v>
      </c>
      <c r="D582" s="5">
        <v>0.58535879629629628</v>
      </c>
      <c r="E582">
        <v>177.99</v>
      </c>
      <c r="F582" t="s">
        <v>44</v>
      </c>
      <c r="G582" t="s">
        <v>946</v>
      </c>
      <c r="H582" t="s">
        <v>64</v>
      </c>
      <c r="I582" t="s">
        <v>119</v>
      </c>
      <c r="J582" t="s">
        <v>1022</v>
      </c>
      <c r="K582">
        <v>62</v>
      </c>
      <c r="L582" t="s">
        <v>37</v>
      </c>
      <c r="M582" t="s">
        <v>110</v>
      </c>
      <c r="N582" t="s">
        <v>51</v>
      </c>
      <c r="O582" t="s">
        <v>28</v>
      </c>
      <c r="P582" t="s">
        <v>31</v>
      </c>
      <c r="Q582">
        <v>0</v>
      </c>
      <c r="R582" t="s">
        <v>12883</v>
      </c>
      <c r="S582" t="s">
        <v>12884</v>
      </c>
    </row>
    <row r="583" spans="1:19" x14ac:dyDescent="0.25">
      <c r="A583" t="s">
        <v>6436</v>
      </c>
      <c r="B583" s="1">
        <v>45925</v>
      </c>
      <c r="C583" t="s">
        <v>12882</v>
      </c>
      <c r="D583" s="5">
        <v>0.80268518518518517</v>
      </c>
      <c r="E583">
        <v>177.91</v>
      </c>
      <c r="F583" t="s">
        <v>44</v>
      </c>
      <c r="G583" t="s">
        <v>738</v>
      </c>
      <c r="H583" t="s">
        <v>22</v>
      </c>
      <c r="I583" t="s">
        <v>23</v>
      </c>
      <c r="J583" t="s">
        <v>6437</v>
      </c>
      <c r="K583">
        <v>54</v>
      </c>
      <c r="L583" t="s">
        <v>37</v>
      </c>
      <c r="M583" t="s">
        <v>35</v>
      </c>
      <c r="N583" t="s">
        <v>84</v>
      </c>
      <c r="O583" t="s">
        <v>28</v>
      </c>
      <c r="P583" t="s">
        <v>31</v>
      </c>
      <c r="Q583">
        <v>0</v>
      </c>
      <c r="R583" t="s">
        <v>12883</v>
      </c>
      <c r="S583" t="s">
        <v>12886</v>
      </c>
    </row>
    <row r="584" spans="1:19" x14ac:dyDescent="0.25">
      <c r="A584" t="s">
        <v>8135</v>
      </c>
      <c r="B584" s="1">
        <v>45937</v>
      </c>
      <c r="C584" t="s">
        <v>12890</v>
      </c>
      <c r="D584" s="5">
        <v>0.96561342592592592</v>
      </c>
      <c r="E584">
        <v>177.66</v>
      </c>
      <c r="F584" t="s">
        <v>44</v>
      </c>
      <c r="G584" t="s">
        <v>8136</v>
      </c>
      <c r="H584" t="s">
        <v>64</v>
      </c>
      <c r="I584" t="s">
        <v>35</v>
      </c>
      <c r="J584" t="s">
        <v>8137</v>
      </c>
      <c r="K584">
        <v>19</v>
      </c>
      <c r="L584" t="s">
        <v>25</v>
      </c>
      <c r="M584" t="s">
        <v>110</v>
      </c>
      <c r="N584" t="s">
        <v>112</v>
      </c>
      <c r="O584" t="s">
        <v>28</v>
      </c>
      <c r="P584" t="s">
        <v>31</v>
      </c>
      <c r="Q584">
        <v>0</v>
      </c>
      <c r="R584" t="s">
        <v>12883</v>
      </c>
      <c r="S584" t="s">
        <v>12892</v>
      </c>
    </row>
    <row r="585" spans="1:19" x14ac:dyDescent="0.25">
      <c r="A585" t="s">
        <v>7499</v>
      </c>
      <c r="B585" s="1">
        <v>45797</v>
      </c>
      <c r="C585" t="s">
        <v>12887</v>
      </c>
      <c r="D585" s="5">
        <v>0.57663194444444443</v>
      </c>
      <c r="E585">
        <v>177.63</v>
      </c>
      <c r="F585" t="s">
        <v>44</v>
      </c>
      <c r="G585" t="s">
        <v>1040</v>
      </c>
      <c r="H585" t="s">
        <v>96</v>
      </c>
      <c r="I585" t="s">
        <v>91</v>
      </c>
      <c r="J585" t="s">
        <v>7500</v>
      </c>
      <c r="K585">
        <v>20</v>
      </c>
      <c r="L585" t="s">
        <v>37</v>
      </c>
      <c r="M585" t="s">
        <v>26</v>
      </c>
      <c r="N585" t="s">
        <v>39</v>
      </c>
      <c r="O585" t="s">
        <v>28</v>
      </c>
      <c r="P585" t="s">
        <v>31</v>
      </c>
      <c r="Q585">
        <v>0</v>
      </c>
      <c r="R585" t="s">
        <v>12883</v>
      </c>
      <c r="S585" t="s">
        <v>12892</v>
      </c>
    </row>
    <row r="586" spans="1:19" x14ac:dyDescent="0.25">
      <c r="A586" t="s">
        <v>12606</v>
      </c>
      <c r="B586" s="1">
        <v>45870</v>
      </c>
      <c r="C586" t="s">
        <v>12893</v>
      </c>
      <c r="D586" s="5">
        <v>0.37905092592592593</v>
      </c>
      <c r="E586">
        <v>177.61</v>
      </c>
      <c r="F586" t="s">
        <v>44</v>
      </c>
      <c r="G586" t="s">
        <v>8795</v>
      </c>
      <c r="H586" t="s">
        <v>96</v>
      </c>
      <c r="I586" t="s">
        <v>97</v>
      </c>
      <c r="J586" t="s">
        <v>12607</v>
      </c>
      <c r="K586">
        <v>41</v>
      </c>
      <c r="L586" t="s">
        <v>25</v>
      </c>
      <c r="M586" t="s">
        <v>47</v>
      </c>
      <c r="N586" t="s">
        <v>27</v>
      </c>
      <c r="O586" t="s">
        <v>28</v>
      </c>
      <c r="P586" t="s">
        <v>31</v>
      </c>
      <c r="Q586">
        <v>0</v>
      </c>
      <c r="R586" t="s">
        <v>12883</v>
      </c>
      <c r="S586" t="s">
        <v>12886</v>
      </c>
    </row>
    <row r="587" spans="1:19" x14ac:dyDescent="0.25">
      <c r="A587" t="s">
        <v>1489</v>
      </c>
      <c r="B587" s="1">
        <v>45949</v>
      </c>
      <c r="C587" t="s">
        <v>12890</v>
      </c>
      <c r="D587" s="5">
        <v>0.96744212962962961</v>
      </c>
      <c r="E587">
        <v>177.43</v>
      </c>
      <c r="F587" t="s">
        <v>44</v>
      </c>
      <c r="G587" t="s">
        <v>1490</v>
      </c>
      <c r="H587" t="s">
        <v>46</v>
      </c>
      <c r="I587" t="s">
        <v>110</v>
      </c>
      <c r="J587" t="s">
        <v>1491</v>
      </c>
      <c r="K587">
        <v>51</v>
      </c>
      <c r="L587" t="s">
        <v>25</v>
      </c>
      <c r="M587" t="s">
        <v>248</v>
      </c>
      <c r="N587" t="s">
        <v>112</v>
      </c>
      <c r="O587" t="s">
        <v>28</v>
      </c>
      <c r="P587" t="s">
        <v>31</v>
      </c>
      <c r="Q587">
        <v>0</v>
      </c>
      <c r="R587" t="s">
        <v>12883</v>
      </c>
      <c r="S587" t="s">
        <v>12886</v>
      </c>
    </row>
    <row r="588" spans="1:19" x14ac:dyDescent="0.25">
      <c r="A588" t="s">
        <v>1967</v>
      </c>
      <c r="B588" s="1">
        <v>45854</v>
      </c>
      <c r="C588" t="s">
        <v>12885</v>
      </c>
      <c r="D588" s="5">
        <v>0.39202546296296298</v>
      </c>
      <c r="E588">
        <v>177.38</v>
      </c>
      <c r="F588" t="s">
        <v>44</v>
      </c>
      <c r="G588" t="s">
        <v>1968</v>
      </c>
      <c r="H588" t="s">
        <v>57</v>
      </c>
      <c r="I588" t="s">
        <v>58</v>
      </c>
      <c r="J588" t="s">
        <v>1969</v>
      </c>
      <c r="K588">
        <v>75</v>
      </c>
      <c r="L588" t="s">
        <v>37</v>
      </c>
      <c r="M588" t="s">
        <v>248</v>
      </c>
      <c r="N588" t="s">
        <v>112</v>
      </c>
      <c r="O588" t="s">
        <v>28</v>
      </c>
      <c r="P588" t="s">
        <v>31</v>
      </c>
      <c r="Q588">
        <v>0</v>
      </c>
      <c r="R588" t="s">
        <v>12883</v>
      </c>
      <c r="S588" t="s">
        <v>12884</v>
      </c>
    </row>
    <row r="589" spans="1:19" x14ac:dyDescent="0.25">
      <c r="A589" t="s">
        <v>7056</v>
      </c>
      <c r="B589" s="1">
        <v>45795</v>
      </c>
      <c r="C589" t="s">
        <v>12887</v>
      </c>
      <c r="D589" s="5">
        <v>0.91347222222222224</v>
      </c>
      <c r="E589">
        <v>177.26</v>
      </c>
      <c r="F589" t="s">
        <v>44</v>
      </c>
      <c r="G589" t="s">
        <v>2023</v>
      </c>
      <c r="H589" t="s">
        <v>57</v>
      </c>
      <c r="I589" t="s">
        <v>47</v>
      </c>
      <c r="J589" t="s">
        <v>7057</v>
      </c>
      <c r="K589">
        <v>60</v>
      </c>
      <c r="L589" t="s">
        <v>37</v>
      </c>
      <c r="M589" t="s">
        <v>146</v>
      </c>
      <c r="N589" t="s">
        <v>105</v>
      </c>
      <c r="O589" t="s">
        <v>28</v>
      </c>
      <c r="P589" t="s">
        <v>31</v>
      </c>
      <c r="Q589">
        <v>0</v>
      </c>
      <c r="R589" t="s">
        <v>12883</v>
      </c>
      <c r="S589" t="s">
        <v>12884</v>
      </c>
    </row>
    <row r="590" spans="1:19" x14ac:dyDescent="0.25">
      <c r="A590" t="s">
        <v>10521</v>
      </c>
      <c r="B590" s="1">
        <v>45958</v>
      </c>
      <c r="C590" t="s">
        <v>12890</v>
      </c>
      <c r="D590" s="5">
        <v>0.36856481481481479</v>
      </c>
      <c r="E590">
        <v>177.15</v>
      </c>
      <c r="F590" t="s">
        <v>44</v>
      </c>
      <c r="G590" t="s">
        <v>2404</v>
      </c>
      <c r="H590" t="s">
        <v>96</v>
      </c>
      <c r="I590" t="s">
        <v>66</v>
      </c>
      <c r="J590" t="s">
        <v>10522</v>
      </c>
      <c r="K590">
        <v>73</v>
      </c>
      <c r="L590" t="s">
        <v>37</v>
      </c>
      <c r="M590" t="s">
        <v>35</v>
      </c>
      <c r="N590" t="s">
        <v>27</v>
      </c>
      <c r="O590" t="s">
        <v>28</v>
      </c>
      <c r="P590" t="s">
        <v>31</v>
      </c>
      <c r="Q590">
        <v>0</v>
      </c>
      <c r="R590" t="s">
        <v>12883</v>
      </c>
      <c r="S590" t="s">
        <v>12884</v>
      </c>
    </row>
    <row r="591" spans="1:19" x14ac:dyDescent="0.25">
      <c r="A591" t="s">
        <v>3968</v>
      </c>
      <c r="B591" s="1">
        <v>45832</v>
      </c>
      <c r="C591" t="s">
        <v>12888</v>
      </c>
      <c r="D591" s="5">
        <v>0.46255787037037038</v>
      </c>
      <c r="E591">
        <v>177.12</v>
      </c>
      <c r="F591" t="s">
        <v>44</v>
      </c>
      <c r="G591" t="s">
        <v>2819</v>
      </c>
      <c r="H591" t="s">
        <v>34</v>
      </c>
      <c r="I591" t="s">
        <v>35</v>
      </c>
      <c r="J591" t="s">
        <v>3969</v>
      </c>
      <c r="K591">
        <v>72</v>
      </c>
      <c r="L591" t="s">
        <v>25</v>
      </c>
      <c r="M591" t="s">
        <v>47</v>
      </c>
      <c r="N591" t="s">
        <v>112</v>
      </c>
      <c r="O591" t="s">
        <v>28</v>
      </c>
      <c r="P591" t="s">
        <v>31</v>
      </c>
      <c r="Q591">
        <v>0</v>
      </c>
      <c r="R591" t="s">
        <v>12883</v>
      </c>
      <c r="S591" t="s">
        <v>12884</v>
      </c>
    </row>
    <row r="592" spans="1:19" x14ac:dyDescent="0.25">
      <c r="A592" t="s">
        <v>12041</v>
      </c>
      <c r="B592" s="1">
        <v>45850</v>
      </c>
      <c r="C592" t="s">
        <v>12885</v>
      </c>
      <c r="D592" s="5">
        <v>0.852025462962963</v>
      </c>
      <c r="E592">
        <v>177.06</v>
      </c>
      <c r="F592" t="s">
        <v>44</v>
      </c>
      <c r="G592" t="s">
        <v>7808</v>
      </c>
      <c r="H592" t="s">
        <v>89</v>
      </c>
      <c r="I592" t="s">
        <v>248</v>
      </c>
      <c r="J592" t="s">
        <v>12042</v>
      </c>
      <c r="K592">
        <v>66</v>
      </c>
      <c r="L592" t="s">
        <v>49</v>
      </c>
      <c r="M592" t="s">
        <v>58</v>
      </c>
      <c r="N592" t="s">
        <v>112</v>
      </c>
      <c r="O592" t="s">
        <v>28</v>
      </c>
      <c r="P592" t="s">
        <v>31</v>
      </c>
      <c r="Q592">
        <v>0</v>
      </c>
      <c r="R592" t="s">
        <v>12883</v>
      </c>
      <c r="S592" t="s">
        <v>12884</v>
      </c>
    </row>
    <row r="593" spans="1:19" x14ac:dyDescent="0.25">
      <c r="A593" t="s">
        <v>5946</v>
      </c>
      <c r="B593" s="1">
        <v>45864</v>
      </c>
      <c r="C593" t="s">
        <v>12885</v>
      </c>
      <c r="D593" s="5">
        <v>0.23119212962962962</v>
      </c>
      <c r="E593">
        <v>176.99</v>
      </c>
      <c r="F593" t="s">
        <v>44</v>
      </c>
      <c r="G593" t="s">
        <v>937</v>
      </c>
      <c r="H593" t="s">
        <v>124</v>
      </c>
      <c r="I593" t="s">
        <v>119</v>
      </c>
      <c r="J593" t="s">
        <v>5947</v>
      </c>
      <c r="K593">
        <v>36</v>
      </c>
      <c r="L593" t="s">
        <v>49</v>
      </c>
      <c r="M593" t="s">
        <v>38</v>
      </c>
      <c r="N593" t="s">
        <v>112</v>
      </c>
      <c r="O593" t="s">
        <v>28</v>
      </c>
      <c r="P593" t="s">
        <v>31</v>
      </c>
      <c r="Q593">
        <v>0</v>
      </c>
      <c r="R593" t="s">
        <v>12883</v>
      </c>
      <c r="S593" t="s">
        <v>12889</v>
      </c>
    </row>
    <row r="594" spans="1:19" x14ac:dyDescent="0.25">
      <c r="A594" t="s">
        <v>752</v>
      </c>
      <c r="B594" s="1">
        <v>45837</v>
      </c>
      <c r="C594" t="s">
        <v>12888</v>
      </c>
      <c r="D594" s="5">
        <v>0.57313657407407403</v>
      </c>
      <c r="E594">
        <v>176.94</v>
      </c>
      <c r="F594" t="s">
        <v>44</v>
      </c>
      <c r="G594" t="s">
        <v>753</v>
      </c>
      <c r="H594" t="s">
        <v>96</v>
      </c>
      <c r="I594" t="s">
        <v>38</v>
      </c>
      <c r="J594" t="s">
        <v>754</v>
      </c>
      <c r="K594">
        <v>50</v>
      </c>
      <c r="L594" t="s">
        <v>49</v>
      </c>
      <c r="M594" t="s">
        <v>130</v>
      </c>
      <c r="N594" t="s">
        <v>105</v>
      </c>
      <c r="O594" t="s">
        <v>28</v>
      </c>
      <c r="P594" t="s">
        <v>31</v>
      </c>
      <c r="Q594">
        <v>0</v>
      </c>
      <c r="R594" t="s">
        <v>12883</v>
      </c>
      <c r="S594" t="s">
        <v>12886</v>
      </c>
    </row>
    <row r="595" spans="1:19" x14ac:dyDescent="0.25">
      <c r="A595" t="s">
        <v>1977</v>
      </c>
      <c r="B595" s="1">
        <v>45814</v>
      </c>
      <c r="C595" t="s">
        <v>12888</v>
      </c>
      <c r="D595" s="5">
        <v>0.21952546296296296</v>
      </c>
      <c r="E595">
        <v>176.92</v>
      </c>
      <c r="F595" t="s">
        <v>44</v>
      </c>
      <c r="G595" t="s">
        <v>1978</v>
      </c>
      <c r="H595" t="s">
        <v>34</v>
      </c>
      <c r="I595" t="s">
        <v>97</v>
      </c>
      <c r="J595" t="s">
        <v>1979</v>
      </c>
      <c r="K595">
        <v>32</v>
      </c>
      <c r="L595" t="s">
        <v>25</v>
      </c>
      <c r="M595" t="s">
        <v>35</v>
      </c>
      <c r="N595" t="s">
        <v>39</v>
      </c>
      <c r="O595" t="s">
        <v>28</v>
      </c>
      <c r="P595" t="s">
        <v>31</v>
      </c>
      <c r="Q595">
        <v>0</v>
      </c>
      <c r="R595" t="s">
        <v>12883</v>
      </c>
      <c r="S595" t="s">
        <v>12889</v>
      </c>
    </row>
    <row r="596" spans="1:19" x14ac:dyDescent="0.25">
      <c r="A596" t="s">
        <v>6973</v>
      </c>
      <c r="B596" s="1">
        <v>45798</v>
      </c>
      <c r="C596" t="s">
        <v>12887</v>
      </c>
      <c r="D596" s="5">
        <v>0.63284722222222223</v>
      </c>
      <c r="E596">
        <v>176.88</v>
      </c>
      <c r="F596" t="s">
        <v>44</v>
      </c>
      <c r="G596" t="s">
        <v>452</v>
      </c>
      <c r="H596" t="s">
        <v>46</v>
      </c>
      <c r="I596" t="s">
        <v>110</v>
      </c>
      <c r="J596" t="s">
        <v>6974</v>
      </c>
      <c r="K596">
        <v>74</v>
      </c>
      <c r="L596" t="s">
        <v>37</v>
      </c>
      <c r="M596" t="s">
        <v>146</v>
      </c>
      <c r="N596" t="s">
        <v>51</v>
      </c>
      <c r="O596" t="s">
        <v>28</v>
      </c>
      <c r="P596" t="s">
        <v>31</v>
      </c>
      <c r="Q596">
        <v>0</v>
      </c>
      <c r="R596" t="s">
        <v>12883</v>
      </c>
      <c r="S596" t="s">
        <v>12884</v>
      </c>
    </row>
    <row r="597" spans="1:19" x14ac:dyDescent="0.25">
      <c r="A597" t="s">
        <v>11198</v>
      </c>
      <c r="B597" s="1">
        <v>45850</v>
      </c>
      <c r="C597" t="s">
        <v>12885</v>
      </c>
      <c r="D597" s="5">
        <v>0.79417824074074073</v>
      </c>
      <c r="E597">
        <v>176.88</v>
      </c>
      <c r="F597" t="s">
        <v>44</v>
      </c>
      <c r="G597" t="s">
        <v>2249</v>
      </c>
      <c r="H597" t="s">
        <v>34</v>
      </c>
      <c r="I597" t="s">
        <v>38</v>
      </c>
      <c r="J597" t="s">
        <v>11199</v>
      </c>
      <c r="K597">
        <v>45</v>
      </c>
      <c r="L597" t="s">
        <v>37</v>
      </c>
      <c r="M597" t="s">
        <v>119</v>
      </c>
      <c r="N597" t="s">
        <v>112</v>
      </c>
      <c r="O597" t="s">
        <v>28</v>
      </c>
      <c r="P597" t="s">
        <v>31</v>
      </c>
      <c r="Q597">
        <v>0</v>
      </c>
      <c r="R597" t="s">
        <v>12883</v>
      </c>
      <c r="S597" t="s">
        <v>12886</v>
      </c>
    </row>
    <row r="598" spans="1:19" x14ac:dyDescent="0.25">
      <c r="A598" t="s">
        <v>12094</v>
      </c>
      <c r="B598" s="1">
        <v>45929</v>
      </c>
      <c r="C598" t="s">
        <v>12882</v>
      </c>
      <c r="D598" s="5">
        <v>3.1099537037037037E-2</v>
      </c>
      <c r="E598">
        <v>176.81</v>
      </c>
      <c r="F598" t="s">
        <v>44</v>
      </c>
      <c r="G598" t="s">
        <v>5512</v>
      </c>
      <c r="H598" t="s">
        <v>124</v>
      </c>
      <c r="I598" t="s">
        <v>110</v>
      </c>
      <c r="J598" t="s">
        <v>12095</v>
      </c>
      <c r="K598">
        <v>34</v>
      </c>
      <c r="L598" t="s">
        <v>37</v>
      </c>
      <c r="M598" t="s">
        <v>110</v>
      </c>
      <c r="N598" t="s">
        <v>84</v>
      </c>
      <c r="O598" t="s">
        <v>113</v>
      </c>
      <c r="P598" t="s">
        <v>31</v>
      </c>
      <c r="Q598">
        <v>0</v>
      </c>
      <c r="R598" t="s">
        <v>12883</v>
      </c>
      <c r="S598" t="s">
        <v>12889</v>
      </c>
    </row>
    <row r="599" spans="1:19" x14ac:dyDescent="0.25">
      <c r="A599" t="s">
        <v>7362</v>
      </c>
      <c r="B599" s="1">
        <v>45941</v>
      </c>
      <c r="C599" t="s">
        <v>12890</v>
      </c>
      <c r="D599" s="5">
        <v>0.91501157407407407</v>
      </c>
      <c r="E599">
        <v>176.59</v>
      </c>
      <c r="F599" t="s">
        <v>44</v>
      </c>
      <c r="G599" t="s">
        <v>1846</v>
      </c>
      <c r="H599" t="s">
        <v>96</v>
      </c>
      <c r="I599" t="s">
        <v>66</v>
      </c>
      <c r="J599" t="s">
        <v>7363</v>
      </c>
      <c r="K599">
        <v>23</v>
      </c>
      <c r="L599" t="s">
        <v>25</v>
      </c>
      <c r="M599" t="s">
        <v>47</v>
      </c>
      <c r="N599" t="s">
        <v>105</v>
      </c>
      <c r="O599" t="s">
        <v>28</v>
      </c>
      <c r="P599" t="s">
        <v>31</v>
      </c>
      <c r="Q599">
        <v>0</v>
      </c>
      <c r="R599" t="s">
        <v>12883</v>
      </c>
      <c r="S599" t="s">
        <v>12892</v>
      </c>
    </row>
    <row r="600" spans="1:19" x14ac:dyDescent="0.25">
      <c r="A600" t="s">
        <v>8525</v>
      </c>
      <c r="B600" s="1">
        <v>45898</v>
      </c>
      <c r="C600" t="s">
        <v>12893</v>
      </c>
      <c r="D600" s="5">
        <v>0.31821759259259258</v>
      </c>
      <c r="E600">
        <v>176.44</v>
      </c>
      <c r="F600" t="s">
        <v>44</v>
      </c>
      <c r="G600" t="s">
        <v>2099</v>
      </c>
      <c r="H600" t="s">
        <v>77</v>
      </c>
      <c r="I600" t="s">
        <v>119</v>
      </c>
      <c r="J600" t="s">
        <v>8526</v>
      </c>
      <c r="K600">
        <v>43</v>
      </c>
      <c r="L600" t="s">
        <v>49</v>
      </c>
      <c r="M600" t="s">
        <v>119</v>
      </c>
      <c r="N600" t="s">
        <v>84</v>
      </c>
      <c r="O600" t="s">
        <v>113</v>
      </c>
      <c r="P600" t="s">
        <v>31</v>
      </c>
      <c r="Q600">
        <v>0</v>
      </c>
      <c r="R600" t="s">
        <v>12883</v>
      </c>
      <c r="S600" t="s">
        <v>12886</v>
      </c>
    </row>
    <row r="601" spans="1:19" x14ac:dyDescent="0.25">
      <c r="A601" t="s">
        <v>8910</v>
      </c>
      <c r="B601" s="1">
        <v>45828</v>
      </c>
      <c r="C601" t="s">
        <v>12888</v>
      </c>
      <c r="D601" s="5">
        <v>0.71865740740740736</v>
      </c>
      <c r="E601">
        <v>176.35</v>
      </c>
      <c r="F601" t="s">
        <v>44</v>
      </c>
      <c r="G601" t="s">
        <v>2472</v>
      </c>
      <c r="H601" t="s">
        <v>77</v>
      </c>
      <c r="I601" t="s">
        <v>58</v>
      </c>
      <c r="J601" t="s">
        <v>8911</v>
      </c>
      <c r="K601">
        <v>23</v>
      </c>
      <c r="L601" t="s">
        <v>37</v>
      </c>
      <c r="M601" t="s">
        <v>35</v>
      </c>
      <c r="N601" t="s">
        <v>51</v>
      </c>
      <c r="O601" t="s">
        <v>28</v>
      </c>
      <c r="P601" t="s">
        <v>31</v>
      </c>
      <c r="Q601">
        <v>0</v>
      </c>
      <c r="R601" t="s">
        <v>12883</v>
      </c>
      <c r="S601" t="s">
        <v>12892</v>
      </c>
    </row>
    <row r="602" spans="1:19" x14ac:dyDescent="0.25">
      <c r="A602" t="s">
        <v>7177</v>
      </c>
      <c r="B602" s="1">
        <v>45872</v>
      </c>
      <c r="C602" t="s">
        <v>12893</v>
      </c>
      <c r="D602" s="5">
        <v>0.48579861111111111</v>
      </c>
      <c r="E602">
        <v>176.31</v>
      </c>
      <c r="F602" t="s">
        <v>44</v>
      </c>
      <c r="G602" t="s">
        <v>1804</v>
      </c>
      <c r="H602" t="s">
        <v>96</v>
      </c>
      <c r="I602" t="s">
        <v>50</v>
      </c>
      <c r="J602" t="s">
        <v>7178</v>
      </c>
      <c r="K602">
        <v>37</v>
      </c>
      <c r="L602" t="s">
        <v>49</v>
      </c>
      <c r="M602" t="s">
        <v>66</v>
      </c>
      <c r="N602" t="s">
        <v>39</v>
      </c>
      <c r="O602" t="s">
        <v>28</v>
      </c>
      <c r="P602" t="s">
        <v>31</v>
      </c>
      <c r="Q602">
        <v>0</v>
      </c>
      <c r="R602" t="s">
        <v>12883</v>
      </c>
      <c r="S602" t="s">
        <v>12889</v>
      </c>
    </row>
    <row r="603" spans="1:19" x14ac:dyDescent="0.25">
      <c r="A603" t="s">
        <v>2666</v>
      </c>
      <c r="B603" s="1">
        <v>45802</v>
      </c>
      <c r="C603" t="s">
        <v>12887</v>
      </c>
      <c r="D603" s="5">
        <v>6.2013888888888889E-2</v>
      </c>
      <c r="E603">
        <v>176.19</v>
      </c>
      <c r="F603" t="s">
        <v>44</v>
      </c>
      <c r="G603" t="s">
        <v>1785</v>
      </c>
      <c r="H603" t="s">
        <v>71</v>
      </c>
      <c r="I603" t="s">
        <v>97</v>
      </c>
      <c r="J603" t="s">
        <v>2667</v>
      </c>
      <c r="K603">
        <v>29</v>
      </c>
      <c r="L603" t="s">
        <v>25</v>
      </c>
      <c r="M603" t="s">
        <v>26</v>
      </c>
      <c r="N603" t="s">
        <v>84</v>
      </c>
      <c r="O603" t="s">
        <v>28</v>
      </c>
      <c r="P603" t="s">
        <v>31</v>
      </c>
      <c r="Q603">
        <v>0</v>
      </c>
      <c r="R603" t="s">
        <v>12883</v>
      </c>
      <c r="S603" t="s">
        <v>12889</v>
      </c>
    </row>
    <row r="604" spans="1:19" x14ac:dyDescent="0.25">
      <c r="A604" t="s">
        <v>2466</v>
      </c>
      <c r="B604" s="1">
        <v>45812</v>
      </c>
      <c r="C604" t="s">
        <v>12888</v>
      </c>
      <c r="D604" s="5">
        <v>0.11364583333333333</v>
      </c>
      <c r="E604">
        <v>176.17</v>
      </c>
      <c r="F604" t="s">
        <v>44</v>
      </c>
      <c r="G604" t="s">
        <v>2467</v>
      </c>
      <c r="H604" t="s">
        <v>22</v>
      </c>
      <c r="I604" t="s">
        <v>66</v>
      </c>
      <c r="J604" t="s">
        <v>2468</v>
      </c>
      <c r="K604">
        <v>45</v>
      </c>
      <c r="L604" t="s">
        <v>37</v>
      </c>
      <c r="M604" t="s">
        <v>97</v>
      </c>
      <c r="N604" t="s">
        <v>27</v>
      </c>
      <c r="O604" t="s">
        <v>28</v>
      </c>
      <c r="P604" t="s">
        <v>31</v>
      </c>
      <c r="Q604">
        <v>0</v>
      </c>
      <c r="R604" t="s">
        <v>12883</v>
      </c>
      <c r="S604" t="s">
        <v>12886</v>
      </c>
    </row>
    <row r="605" spans="1:19" x14ac:dyDescent="0.25">
      <c r="A605" t="s">
        <v>11459</v>
      </c>
      <c r="B605" s="1">
        <v>45791</v>
      </c>
      <c r="C605" t="s">
        <v>12887</v>
      </c>
      <c r="D605" s="5">
        <v>0.16695601851851852</v>
      </c>
      <c r="E605">
        <v>176.08</v>
      </c>
      <c r="F605" t="s">
        <v>44</v>
      </c>
      <c r="G605" t="s">
        <v>4882</v>
      </c>
      <c r="H605" t="s">
        <v>34</v>
      </c>
      <c r="I605" t="s">
        <v>119</v>
      </c>
      <c r="J605" t="s">
        <v>11460</v>
      </c>
      <c r="K605">
        <v>58</v>
      </c>
      <c r="L605" t="s">
        <v>49</v>
      </c>
      <c r="M605" t="s">
        <v>66</v>
      </c>
      <c r="N605" t="s">
        <v>112</v>
      </c>
      <c r="O605" t="s">
        <v>28</v>
      </c>
      <c r="P605" t="s">
        <v>31</v>
      </c>
      <c r="Q605">
        <v>0</v>
      </c>
      <c r="R605" t="s">
        <v>12883</v>
      </c>
      <c r="S605" t="s">
        <v>12886</v>
      </c>
    </row>
    <row r="606" spans="1:19" x14ac:dyDescent="0.25">
      <c r="A606" t="s">
        <v>4801</v>
      </c>
      <c r="B606" s="1">
        <v>45839</v>
      </c>
      <c r="C606" t="s">
        <v>12885</v>
      </c>
      <c r="D606" s="5">
        <v>0.22390046296296295</v>
      </c>
      <c r="E606">
        <v>175.99</v>
      </c>
      <c r="F606" t="s">
        <v>44</v>
      </c>
      <c r="G606" t="s">
        <v>3726</v>
      </c>
      <c r="H606" t="s">
        <v>22</v>
      </c>
      <c r="I606" t="s">
        <v>66</v>
      </c>
      <c r="J606" t="s">
        <v>4802</v>
      </c>
      <c r="K606">
        <v>32</v>
      </c>
      <c r="L606" t="s">
        <v>49</v>
      </c>
      <c r="M606" t="s">
        <v>26</v>
      </c>
      <c r="N606" t="s">
        <v>51</v>
      </c>
      <c r="O606" t="s">
        <v>28</v>
      </c>
      <c r="P606" t="s">
        <v>31</v>
      </c>
      <c r="Q606">
        <v>0</v>
      </c>
      <c r="R606" t="s">
        <v>12883</v>
      </c>
      <c r="S606" t="s">
        <v>12889</v>
      </c>
    </row>
    <row r="607" spans="1:19" x14ac:dyDescent="0.25">
      <c r="A607" t="s">
        <v>12614</v>
      </c>
      <c r="B607" s="1">
        <v>45936</v>
      </c>
      <c r="C607" t="s">
        <v>12890</v>
      </c>
      <c r="D607" s="5">
        <v>0.13068287037037038</v>
      </c>
      <c r="E607">
        <v>175.98</v>
      </c>
      <c r="F607" t="s">
        <v>44</v>
      </c>
      <c r="G607" t="s">
        <v>8783</v>
      </c>
      <c r="H607" t="s">
        <v>22</v>
      </c>
      <c r="I607" t="s">
        <v>38</v>
      </c>
      <c r="J607" t="s">
        <v>9542</v>
      </c>
      <c r="K607">
        <v>46</v>
      </c>
      <c r="L607" t="s">
        <v>37</v>
      </c>
      <c r="M607" t="s">
        <v>47</v>
      </c>
      <c r="N607" t="s">
        <v>39</v>
      </c>
      <c r="O607" t="s">
        <v>28</v>
      </c>
      <c r="P607" t="s">
        <v>31</v>
      </c>
      <c r="Q607">
        <v>0</v>
      </c>
      <c r="R607" t="s">
        <v>12883</v>
      </c>
      <c r="S607" t="s">
        <v>12886</v>
      </c>
    </row>
    <row r="608" spans="1:19" x14ac:dyDescent="0.25">
      <c r="A608" t="s">
        <v>1392</v>
      </c>
      <c r="B608" s="1">
        <v>45893</v>
      </c>
      <c r="C608" t="s">
        <v>12893</v>
      </c>
      <c r="D608" s="5">
        <v>0.96539351851851851</v>
      </c>
      <c r="E608">
        <v>175.94</v>
      </c>
      <c r="F608" t="s">
        <v>44</v>
      </c>
      <c r="G608" t="s">
        <v>1393</v>
      </c>
      <c r="H608" t="s">
        <v>96</v>
      </c>
      <c r="I608" t="s">
        <v>110</v>
      </c>
      <c r="J608" t="s">
        <v>1394</v>
      </c>
      <c r="K608">
        <v>29</v>
      </c>
      <c r="L608" t="s">
        <v>49</v>
      </c>
      <c r="M608" t="s">
        <v>23</v>
      </c>
      <c r="N608" t="s">
        <v>27</v>
      </c>
      <c r="O608" t="s">
        <v>28</v>
      </c>
      <c r="P608" t="s">
        <v>31</v>
      </c>
      <c r="Q608">
        <v>0</v>
      </c>
      <c r="R608" t="s">
        <v>12883</v>
      </c>
      <c r="S608" t="s">
        <v>12889</v>
      </c>
    </row>
    <row r="609" spans="1:19" x14ac:dyDescent="0.25">
      <c r="A609" t="s">
        <v>1626</v>
      </c>
      <c r="B609" s="1">
        <v>45837</v>
      </c>
      <c r="C609" t="s">
        <v>12888</v>
      </c>
      <c r="D609" s="5">
        <v>0.25666666666666665</v>
      </c>
      <c r="E609">
        <v>175.86</v>
      </c>
      <c r="F609" t="s">
        <v>44</v>
      </c>
      <c r="G609" t="s">
        <v>1627</v>
      </c>
      <c r="H609" t="s">
        <v>124</v>
      </c>
      <c r="I609" t="s">
        <v>97</v>
      </c>
      <c r="J609" t="s">
        <v>1628</v>
      </c>
      <c r="K609">
        <v>56</v>
      </c>
      <c r="L609" t="s">
        <v>37</v>
      </c>
      <c r="M609" t="s">
        <v>146</v>
      </c>
      <c r="N609" t="s">
        <v>112</v>
      </c>
      <c r="O609" t="s">
        <v>28</v>
      </c>
      <c r="P609" t="s">
        <v>31</v>
      </c>
      <c r="Q609">
        <v>0</v>
      </c>
      <c r="R609" t="s">
        <v>12883</v>
      </c>
      <c r="S609" t="s">
        <v>12886</v>
      </c>
    </row>
    <row r="610" spans="1:19" x14ac:dyDescent="0.25">
      <c r="A610" t="s">
        <v>11659</v>
      </c>
      <c r="B610" s="1">
        <v>45844</v>
      </c>
      <c r="C610" t="s">
        <v>12885</v>
      </c>
      <c r="D610" s="5">
        <v>0.24439814814814814</v>
      </c>
      <c r="E610">
        <v>175.83</v>
      </c>
      <c r="F610" t="s">
        <v>44</v>
      </c>
      <c r="G610" t="s">
        <v>3442</v>
      </c>
      <c r="H610" t="s">
        <v>71</v>
      </c>
      <c r="I610" t="s">
        <v>119</v>
      </c>
      <c r="J610" t="s">
        <v>11660</v>
      </c>
      <c r="K610">
        <v>38</v>
      </c>
      <c r="L610" t="s">
        <v>49</v>
      </c>
      <c r="M610" t="s">
        <v>58</v>
      </c>
      <c r="N610" t="s">
        <v>51</v>
      </c>
      <c r="O610" t="s">
        <v>28</v>
      </c>
      <c r="P610" t="s">
        <v>31</v>
      </c>
      <c r="Q610">
        <v>0</v>
      </c>
      <c r="R610" t="s">
        <v>12883</v>
      </c>
      <c r="S610" t="s">
        <v>12889</v>
      </c>
    </row>
    <row r="611" spans="1:19" x14ac:dyDescent="0.25">
      <c r="A611" t="s">
        <v>10202</v>
      </c>
      <c r="B611" s="1">
        <v>45894</v>
      </c>
      <c r="C611" t="s">
        <v>12893</v>
      </c>
      <c r="D611" s="5">
        <v>0.8732523148148148</v>
      </c>
      <c r="E611">
        <v>175.73</v>
      </c>
      <c r="F611" t="s">
        <v>44</v>
      </c>
      <c r="G611" t="s">
        <v>21</v>
      </c>
      <c r="H611" t="s">
        <v>96</v>
      </c>
      <c r="I611" t="s">
        <v>97</v>
      </c>
      <c r="J611" t="s">
        <v>10203</v>
      </c>
      <c r="K611">
        <v>35</v>
      </c>
      <c r="L611" t="s">
        <v>37</v>
      </c>
      <c r="M611" t="s">
        <v>110</v>
      </c>
      <c r="N611" t="s">
        <v>112</v>
      </c>
      <c r="O611" t="s">
        <v>28</v>
      </c>
      <c r="P611" t="s">
        <v>31</v>
      </c>
      <c r="Q611">
        <v>0</v>
      </c>
      <c r="R611" t="s">
        <v>12883</v>
      </c>
      <c r="S611" t="s">
        <v>12889</v>
      </c>
    </row>
    <row r="612" spans="1:19" x14ac:dyDescent="0.25">
      <c r="A612" t="s">
        <v>3834</v>
      </c>
      <c r="B612" s="1">
        <v>45890</v>
      </c>
      <c r="C612" t="s">
        <v>12893</v>
      </c>
      <c r="D612" s="5">
        <v>0.15952546296296297</v>
      </c>
      <c r="E612">
        <v>175.61</v>
      </c>
      <c r="F612" t="s">
        <v>44</v>
      </c>
      <c r="G612" t="s">
        <v>3835</v>
      </c>
      <c r="H612" t="s">
        <v>89</v>
      </c>
      <c r="I612" t="s">
        <v>97</v>
      </c>
      <c r="J612" t="s">
        <v>3836</v>
      </c>
      <c r="K612">
        <v>18</v>
      </c>
      <c r="L612" t="s">
        <v>49</v>
      </c>
      <c r="M612" t="s">
        <v>119</v>
      </c>
      <c r="N612" t="s">
        <v>84</v>
      </c>
      <c r="O612" t="s">
        <v>28</v>
      </c>
      <c r="P612" t="s">
        <v>31</v>
      </c>
      <c r="Q612">
        <v>0</v>
      </c>
      <c r="R612" t="s">
        <v>12883</v>
      </c>
      <c r="S612" t="s">
        <v>12892</v>
      </c>
    </row>
    <row r="613" spans="1:19" x14ac:dyDescent="0.25">
      <c r="A613" t="s">
        <v>9117</v>
      </c>
      <c r="B613" s="1">
        <v>45897</v>
      </c>
      <c r="C613" t="s">
        <v>12893</v>
      </c>
      <c r="D613" s="5">
        <v>0.11773148148148148</v>
      </c>
      <c r="E613">
        <v>175.6</v>
      </c>
      <c r="F613" t="s">
        <v>44</v>
      </c>
      <c r="G613" t="s">
        <v>9118</v>
      </c>
      <c r="H613" t="s">
        <v>64</v>
      </c>
      <c r="I613" t="s">
        <v>97</v>
      </c>
      <c r="J613" t="s">
        <v>9119</v>
      </c>
      <c r="K613">
        <v>45</v>
      </c>
      <c r="L613" t="s">
        <v>25</v>
      </c>
      <c r="M613" t="s">
        <v>146</v>
      </c>
      <c r="N613" t="s">
        <v>84</v>
      </c>
      <c r="O613" t="s">
        <v>28</v>
      </c>
      <c r="P613" t="s">
        <v>31</v>
      </c>
      <c r="Q613">
        <v>1</v>
      </c>
      <c r="R613" t="s">
        <v>12891</v>
      </c>
      <c r="S613" t="s">
        <v>12886</v>
      </c>
    </row>
    <row r="614" spans="1:19" x14ac:dyDescent="0.25">
      <c r="A614" t="s">
        <v>8278</v>
      </c>
      <c r="B614" s="1">
        <v>45848</v>
      </c>
      <c r="C614" t="s">
        <v>12885</v>
      </c>
      <c r="D614" s="5">
        <v>0.37130787037037039</v>
      </c>
      <c r="E614">
        <v>175.49</v>
      </c>
      <c r="F614" t="s">
        <v>44</v>
      </c>
      <c r="G614" t="s">
        <v>3008</v>
      </c>
      <c r="H614" t="s">
        <v>57</v>
      </c>
      <c r="I614" t="s">
        <v>23</v>
      </c>
      <c r="J614" t="s">
        <v>8279</v>
      </c>
      <c r="K614">
        <v>69</v>
      </c>
      <c r="L614" t="s">
        <v>25</v>
      </c>
      <c r="M614" t="s">
        <v>23</v>
      </c>
      <c r="N614" t="s">
        <v>112</v>
      </c>
      <c r="O614" t="s">
        <v>113</v>
      </c>
      <c r="P614" t="s">
        <v>31</v>
      </c>
      <c r="Q614">
        <v>0</v>
      </c>
      <c r="R614" t="s">
        <v>12883</v>
      </c>
      <c r="S614" t="s">
        <v>12884</v>
      </c>
    </row>
    <row r="615" spans="1:19" x14ac:dyDescent="0.25">
      <c r="A615" t="s">
        <v>9210</v>
      </c>
      <c r="B615" s="1">
        <v>45901</v>
      </c>
      <c r="C615" t="s">
        <v>12882</v>
      </c>
      <c r="D615" s="5">
        <v>0.12090277777777778</v>
      </c>
      <c r="E615">
        <v>175.49</v>
      </c>
      <c r="F615" t="s">
        <v>44</v>
      </c>
      <c r="G615" t="s">
        <v>7312</v>
      </c>
      <c r="H615" t="s">
        <v>89</v>
      </c>
      <c r="I615" t="s">
        <v>130</v>
      </c>
      <c r="J615" t="s">
        <v>9211</v>
      </c>
      <c r="K615">
        <v>19</v>
      </c>
      <c r="L615" t="s">
        <v>25</v>
      </c>
      <c r="M615" t="s">
        <v>23</v>
      </c>
      <c r="N615" t="s">
        <v>105</v>
      </c>
      <c r="O615" t="s">
        <v>28</v>
      </c>
      <c r="P615" t="s">
        <v>31</v>
      </c>
      <c r="Q615">
        <v>0</v>
      </c>
      <c r="R615" t="s">
        <v>12883</v>
      </c>
      <c r="S615" t="s">
        <v>12892</v>
      </c>
    </row>
    <row r="616" spans="1:19" x14ac:dyDescent="0.25">
      <c r="A616" t="s">
        <v>10371</v>
      </c>
      <c r="B616" s="1">
        <v>45812</v>
      </c>
      <c r="C616" t="s">
        <v>12888</v>
      </c>
      <c r="D616" s="5">
        <v>0.59383101851851849</v>
      </c>
      <c r="E616">
        <v>175.42</v>
      </c>
      <c r="F616" t="s">
        <v>44</v>
      </c>
      <c r="G616" t="s">
        <v>7670</v>
      </c>
      <c r="H616" t="s">
        <v>124</v>
      </c>
      <c r="I616" t="s">
        <v>26</v>
      </c>
      <c r="J616" t="s">
        <v>453</v>
      </c>
      <c r="K616">
        <v>60</v>
      </c>
      <c r="L616" t="s">
        <v>49</v>
      </c>
      <c r="M616" t="s">
        <v>66</v>
      </c>
      <c r="N616" t="s">
        <v>39</v>
      </c>
      <c r="O616" t="s">
        <v>28</v>
      </c>
      <c r="P616" t="s">
        <v>31</v>
      </c>
      <c r="Q616">
        <v>0</v>
      </c>
      <c r="R616" t="s">
        <v>12883</v>
      </c>
      <c r="S616" t="s">
        <v>12884</v>
      </c>
    </row>
    <row r="617" spans="1:19" x14ac:dyDescent="0.25">
      <c r="A617" t="s">
        <v>11619</v>
      </c>
      <c r="B617" s="1">
        <v>45919</v>
      </c>
      <c r="C617" t="s">
        <v>12882</v>
      </c>
      <c r="D617" s="5">
        <v>0.67991898148148144</v>
      </c>
      <c r="E617">
        <v>175.19</v>
      </c>
      <c r="F617" t="s">
        <v>44</v>
      </c>
      <c r="G617" t="s">
        <v>1316</v>
      </c>
      <c r="H617" t="s">
        <v>124</v>
      </c>
      <c r="I617" t="s">
        <v>50</v>
      </c>
      <c r="J617" t="s">
        <v>11620</v>
      </c>
      <c r="K617">
        <v>19</v>
      </c>
      <c r="L617" t="s">
        <v>49</v>
      </c>
      <c r="M617" t="s">
        <v>91</v>
      </c>
      <c r="N617" t="s">
        <v>39</v>
      </c>
      <c r="O617" t="s">
        <v>28</v>
      </c>
      <c r="P617" t="s">
        <v>31</v>
      </c>
      <c r="Q617">
        <v>0</v>
      </c>
      <c r="R617" t="s">
        <v>12883</v>
      </c>
      <c r="S617" t="s">
        <v>12892</v>
      </c>
    </row>
    <row r="618" spans="1:19" x14ac:dyDescent="0.25">
      <c r="A618" t="s">
        <v>8493</v>
      </c>
      <c r="B618" s="1">
        <v>45782</v>
      </c>
      <c r="C618" t="s">
        <v>12887</v>
      </c>
      <c r="D618" s="5">
        <v>2.2037037037037036E-2</v>
      </c>
      <c r="E618">
        <v>175.04</v>
      </c>
      <c r="F618" t="s">
        <v>44</v>
      </c>
      <c r="G618" t="s">
        <v>1490</v>
      </c>
      <c r="H618" t="s">
        <v>96</v>
      </c>
      <c r="I618" t="s">
        <v>130</v>
      </c>
      <c r="J618" t="s">
        <v>8494</v>
      </c>
      <c r="K618">
        <v>32</v>
      </c>
      <c r="L618" t="s">
        <v>25</v>
      </c>
      <c r="M618" t="s">
        <v>146</v>
      </c>
      <c r="N618" t="s">
        <v>51</v>
      </c>
      <c r="O618" t="s">
        <v>28</v>
      </c>
      <c r="P618" t="s">
        <v>31</v>
      </c>
      <c r="Q618">
        <v>0</v>
      </c>
      <c r="R618" t="s">
        <v>12883</v>
      </c>
      <c r="S618" t="s">
        <v>12889</v>
      </c>
    </row>
    <row r="619" spans="1:19" x14ac:dyDescent="0.25">
      <c r="A619" t="s">
        <v>2417</v>
      </c>
      <c r="B619" s="1">
        <v>45846</v>
      </c>
      <c r="C619" t="s">
        <v>12885</v>
      </c>
      <c r="D619" s="5">
        <v>0.58488425925925924</v>
      </c>
      <c r="E619">
        <v>174.92</v>
      </c>
      <c r="F619" t="s">
        <v>44</v>
      </c>
      <c r="G619" t="s">
        <v>2418</v>
      </c>
      <c r="H619" t="s">
        <v>22</v>
      </c>
      <c r="I619" t="s">
        <v>35</v>
      </c>
      <c r="J619" t="s">
        <v>2419</v>
      </c>
      <c r="K619">
        <v>70</v>
      </c>
      <c r="L619" t="s">
        <v>49</v>
      </c>
      <c r="M619" t="s">
        <v>110</v>
      </c>
      <c r="N619" t="s">
        <v>27</v>
      </c>
      <c r="O619" t="s">
        <v>28</v>
      </c>
      <c r="P619" t="s">
        <v>31</v>
      </c>
      <c r="Q619">
        <v>0</v>
      </c>
      <c r="R619" t="s">
        <v>12883</v>
      </c>
      <c r="S619" t="s">
        <v>12884</v>
      </c>
    </row>
    <row r="620" spans="1:19" x14ac:dyDescent="0.25">
      <c r="A620" t="s">
        <v>2442</v>
      </c>
      <c r="B620" s="1">
        <v>45806</v>
      </c>
      <c r="C620" t="s">
        <v>12887</v>
      </c>
      <c r="D620" s="5">
        <v>0.22177083333333333</v>
      </c>
      <c r="E620">
        <v>174.92</v>
      </c>
      <c r="F620" t="s">
        <v>44</v>
      </c>
      <c r="G620" t="s">
        <v>1002</v>
      </c>
      <c r="H620" t="s">
        <v>22</v>
      </c>
      <c r="I620" t="s">
        <v>130</v>
      </c>
      <c r="J620" t="s">
        <v>2443</v>
      </c>
      <c r="K620">
        <v>19</v>
      </c>
      <c r="L620" t="s">
        <v>25</v>
      </c>
      <c r="M620" t="s">
        <v>35</v>
      </c>
      <c r="N620" t="s">
        <v>112</v>
      </c>
      <c r="O620" t="s">
        <v>28</v>
      </c>
      <c r="P620" t="s">
        <v>31</v>
      </c>
      <c r="Q620">
        <v>0</v>
      </c>
      <c r="R620" t="s">
        <v>12883</v>
      </c>
      <c r="S620" t="s">
        <v>12892</v>
      </c>
    </row>
    <row r="621" spans="1:19" x14ac:dyDescent="0.25">
      <c r="A621" t="s">
        <v>8270</v>
      </c>
      <c r="B621" s="1">
        <v>45860</v>
      </c>
      <c r="C621" t="s">
        <v>12885</v>
      </c>
      <c r="D621" s="5">
        <v>0.58899305555555559</v>
      </c>
      <c r="E621">
        <v>174.9</v>
      </c>
      <c r="F621" t="s">
        <v>44</v>
      </c>
      <c r="G621" t="s">
        <v>6100</v>
      </c>
      <c r="H621" t="s">
        <v>64</v>
      </c>
      <c r="I621" t="s">
        <v>110</v>
      </c>
      <c r="J621" t="s">
        <v>8271</v>
      </c>
      <c r="K621">
        <v>21</v>
      </c>
      <c r="L621" t="s">
        <v>49</v>
      </c>
      <c r="M621" t="s">
        <v>23</v>
      </c>
      <c r="N621" t="s">
        <v>51</v>
      </c>
      <c r="O621" t="s">
        <v>28</v>
      </c>
      <c r="P621" t="s">
        <v>31</v>
      </c>
      <c r="Q621">
        <v>0</v>
      </c>
      <c r="R621" t="s">
        <v>12883</v>
      </c>
      <c r="S621" t="s">
        <v>12892</v>
      </c>
    </row>
    <row r="622" spans="1:19" x14ac:dyDescent="0.25">
      <c r="A622" t="s">
        <v>801</v>
      </c>
      <c r="B622" s="1">
        <v>45797</v>
      </c>
      <c r="C622" t="s">
        <v>12887</v>
      </c>
      <c r="D622" s="5">
        <v>0.16160879629629629</v>
      </c>
      <c r="E622">
        <v>174.87</v>
      </c>
      <c r="F622" t="s">
        <v>44</v>
      </c>
      <c r="G622" t="s">
        <v>222</v>
      </c>
      <c r="H622" t="s">
        <v>71</v>
      </c>
      <c r="I622" t="s">
        <v>146</v>
      </c>
      <c r="J622" t="s">
        <v>802</v>
      </c>
      <c r="K622">
        <v>68</v>
      </c>
      <c r="L622" t="s">
        <v>37</v>
      </c>
      <c r="M622" t="s">
        <v>58</v>
      </c>
      <c r="N622" t="s">
        <v>51</v>
      </c>
      <c r="O622" t="s">
        <v>28</v>
      </c>
      <c r="P622" t="s">
        <v>31</v>
      </c>
      <c r="Q622">
        <v>0</v>
      </c>
      <c r="R622" t="s">
        <v>12883</v>
      </c>
      <c r="S622" t="s">
        <v>12884</v>
      </c>
    </row>
    <row r="623" spans="1:19" x14ac:dyDescent="0.25">
      <c r="A623" t="s">
        <v>9403</v>
      </c>
      <c r="B623" s="1">
        <v>45835</v>
      </c>
      <c r="C623" t="s">
        <v>12888</v>
      </c>
      <c r="D623" s="5">
        <v>0.86842592592592593</v>
      </c>
      <c r="E623">
        <v>174.8</v>
      </c>
      <c r="F623" t="s">
        <v>44</v>
      </c>
      <c r="G623" t="s">
        <v>5512</v>
      </c>
      <c r="H623" t="s">
        <v>46</v>
      </c>
      <c r="I623" t="s">
        <v>97</v>
      </c>
      <c r="J623" t="s">
        <v>9404</v>
      </c>
      <c r="K623">
        <v>34</v>
      </c>
      <c r="L623" t="s">
        <v>25</v>
      </c>
      <c r="M623" t="s">
        <v>38</v>
      </c>
      <c r="N623" t="s">
        <v>84</v>
      </c>
      <c r="O623" t="s">
        <v>28</v>
      </c>
      <c r="P623" t="s">
        <v>31</v>
      </c>
      <c r="Q623">
        <v>0</v>
      </c>
      <c r="R623" t="s">
        <v>12883</v>
      </c>
      <c r="S623" t="s">
        <v>12889</v>
      </c>
    </row>
    <row r="624" spans="1:19" x14ac:dyDescent="0.25">
      <c r="A624" t="s">
        <v>2524</v>
      </c>
      <c r="B624" s="1">
        <v>45821</v>
      </c>
      <c r="C624" t="s">
        <v>12888</v>
      </c>
      <c r="D624" s="5">
        <v>0.42958333333333332</v>
      </c>
      <c r="E624">
        <v>174.77</v>
      </c>
      <c r="F624" t="s">
        <v>44</v>
      </c>
      <c r="G624" t="s">
        <v>2525</v>
      </c>
      <c r="H624" t="s">
        <v>124</v>
      </c>
      <c r="I624" t="s">
        <v>146</v>
      </c>
      <c r="J624" t="s">
        <v>2526</v>
      </c>
      <c r="K624">
        <v>46</v>
      </c>
      <c r="L624" t="s">
        <v>49</v>
      </c>
      <c r="M624" t="s">
        <v>130</v>
      </c>
      <c r="N624" t="s">
        <v>105</v>
      </c>
      <c r="O624" t="s">
        <v>28</v>
      </c>
      <c r="P624" t="s">
        <v>31</v>
      </c>
      <c r="Q624">
        <v>0</v>
      </c>
      <c r="R624" t="s">
        <v>12883</v>
      </c>
      <c r="S624" t="s">
        <v>12886</v>
      </c>
    </row>
    <row r="625" spans="1:19" x14ac:dyDescent="0.25">
      <c r="A625" t="s">
        <v>2253</v>
      </c>
      <c r="B625" s="1">
        <v>45793</v>
      </c>
      <c r="C625" t="s">
        <v>12887</v>
      </c>
      <c r="D625" s="5">
        <v>0.38190972222222225</v>
      </c>
      <c r="E625">
        <v>174.67</v>
      </c>
      <c r="F625" t="s">
        <v>44</v>
      </c>
      <c r="G625" t="s">
        <v>2254</v>
      </c>
      <c r="H625" t="s">
        <v>124</v>
      </c>
      <c r="I625" t="s">
        <v>38</v>
      </c>
      <c r="J625" t="s">
        <v>2255</v>
      </c>
      <c r="K625">
        <v>26</v>
      </c>
      <c r="L625" t="s">
        <v>25</v>
      </c>
      <c r="M625" t="s">
        <v>97</v>
      </c>
      <c r="N625" t="s">
        <v>27</v>
      </c>
      <c r="O625" t="s">
        <v>28</v>
      </c>
      <c r="P625" t="s">
        <v>31</v>
      </c>
      <c r="Q625">
        <v>0</v>
      </c>
      <c r="R625" t="s">
        <v>12883</v>
      </c>
      <c r="S625" t="s">
        <v>12889</v>
      </c>
    </row>
    <row r="626" spans="1:19" x14ac:dyDescent="0.25">
      <c r="A626" t="s">
        <v>7921</v>
      </c>
      <c r="B626" s="1">
        <v>45946</v>
      </c>
      <c r="C626" t="s">
        <v>12890</v>
      </c>
      <c r="D626" s="5">
        <v>0.11113425925925927</v>
      </c>
      <c r="E626">
        <v>174.6</v>
      </c>
      <c r="F626" t="s">
        <v>44</v>
      </c>
      <c r="G626" t="s">
        <v>2927</v>
      </c>
      <c r="H626" t="s">
        <v>46</v>
      </c>
      <c r="I626" t="s">
        <v>130</v>
      </c>
      <c r="J626" t="s">
        <v>7922</v>
      </c>
      <c r="K626">
        <v>56</v>
      </c>
      <c r="L626" t="s">
        <v>25</v>
      </c>
      <c r="M626" t="s">
        <v>248</v>
      </c>
      <c r="N626" t="s">
        <v>84</v>
      </c>
      <c r="O626" t="s">
        <v>28</v>
      </c>
      <c r="P626" t="s">
        <v>31</v>
      </c>
      <c r="Q626">
        <v>0</v>
      </c>
      <c r="R626" t="s">
        <v>12883</v>
      </c>
      <c r="S626" t="s">
        <v>12886</v>
      </c>
    </row>
    <row r="627" spans="1:19" x14ac:dyDescent="0.25">
      <c r="A627" t="s">
        <v>7741</v>
      </c>
      <c r="B627" s="1">
        <v>45913</v>
      </c>
      <c r="C627" t="s">
        <v>12882</v>
      </c>
      <c r="D627" s="5">
        <v>0.42657407407407405</v>
      </c>
      <c r="E627">
        <v>174.56</v>
      </c>
      <c r="F627" t="s">
        <v>44</v>
      </c>
      <c r="G627" t="s">
        <v>1529</v>
      </c>
      <c r="H627" t="s">
        <v>64</v>
      </c>
      <c r="I627" t="s">
        <v>38</v>
      </c>
      <c r="J627" t="s">
        <v>7742</v>
      </c>
      <c r="K627">
        <v>57</v>
      </c>
      <c r="L627" t="s">
        <v>49</v>
      </c>
      <c r="M627" t="s">
        <v>58</v>
      </c>
      <c r="N627" t="s">
        <v>105</v>
      </c>
      <c r="O627" t="s">
        <v>28</v>
      </c>
      <c r="P627" t="s">
        <v>31</v>
      </c>
      <c r="Q627">
        <v>0</v>
      </c>
      <c r="R627" t="s">
        <v>12883</v>
      </c>
      <c r="S627" t="s">
        <v>12886</v>
      </c>
    </row>
    <row r="628" spans="1:19" x14ac:dyDescent="0.25">
      <c r="A628" t="s">
        <v>3806</v>
      </c>
      <c r="B628" s="1">
        <v>45813</v>
      </c>
      <c r="C628" t="s">
        <v>12888</v>
      </c>
      <c r="D628" s="5">
        <v>0.27519675925925924</v>
      </c>
      <c r="E628">
        <v>174.55</v>
      </c>
      <c r="F628" t="s">
        <v>44</v>
      </c>
      <c r="G628" t="s">
        <v>3807</v>
      </c>
      <c r="H628" t="s">
        <v>57</v>
      </c>
      <c r="I628" t="s">
        <v>91</v>
      </c>
      <c r="J628" t="s">
        <v>3808</v>
      </c>
      <c r="K628">
        <v>27</v>
      </c>
      <c r="L628" t="s">
        <v>49</v>
      </c>
      <c r="M628" t="s">
        <v>66</v>
      </c>
      <c r="N628" t="s">
        <v>105</v>
      </c>
      <c r="O628" t="s">
        <v>28</v>
      </c>
      <c r="P628" t="s">
        <v>31</v>
      </c>
      <c r="Q628">
        <v>0</v>
      </c>
      <c r="R628" t="s">
        <v>12883</v>
      </c>
      <c r="S628" t="s">
        <v>12889</v>
      </c>
    </row>
    <row r="629" spans="1:19" x14ac:dyDescent="0.25">
      <c r="A629" t="s">
        <v>3436</v>
      </c>
      <c r="B629" s="1">
        <v>45919</v>
      </c>
      <c r="C629" t="s">
        <v>12882</v>
      </c>
      <c r="D629" s="5">
        <v>0.93447916666666664</v>
      </c>
      <c r="E629">
        <v>174.54</v>
      </c>
      <c r="F629" t="s">
        <v>44</v>
      </c>
      <c r="G629" t="s">
        <v>3437</v>
      </c>
      <c r="H629" t="s">
        <v>22</v>
      </c>
      <c r="I629" t="s">
        <v>47</v>
      </c>
      <c r="J629" t="s">
        <v>3438</v>
      </c>
      <c r="K629">
        <v>26</v>
      </c>
      <c r="L629" t="s">
        <v>37</v>
      </c>
      <c r="M629" t="s">
        <v>58</v>
      </c>
      <c r="N629" t="s">
        <v>39</v>
      </c>
      <c r="O629" t="s">
        <v>28</v>
      </c>
      <c r="P629" t="s">
        <v>31</v>
      </c>
      <c r="Q629">
        <v>0</v>
      </c>
      <c r="R629" t="s">
        <v>12883</v>
      </c>
      <c r="S629" t="s">
        <v>12889</v>
      </c>
    </row>
    <row r="630" spans="1:19" x14ac:dyDescent="0.25">
      <c r="A630" t="s">
        <v>6570</v>
      </c>
      <c r="B630" s="1">
        <v>45948</v>
      </c>
      <c r="C630" t="s">
        <v>12890</v>
      </c>
      <c r="D630" s="5">
        <v>0.7768518518518519</v>
      </c>
      <c r="E630">
        <v>174.48</v>
      </c>
      <c r="F630" t="s">
        <v>44</v>
      </c>
      <c r="G630" t="s">
        <v>3375</v>
      </c>
      <c r="H630" t="s">
        <v>124</v>
      </c>
      <c r="I630" t="s">
        <v>50</v>
      </c>
      <c r="J630" t="s">
        <v>6571</v>
      </c>
      <c r="K630">
        <v>21</v>
      </c>
      <c r="L630" t="s">
        <v>37</v>
      </c>
      <c r="M630" t="s">
        <v>248</v>
      </c>
      <c r="N630" t="s">
        <v>112</v>
      </c>
      <c r="O630" t="s">
        <v>28</v>
      </c>
      <c r="P630" t="s">
        <v>31</v>
      </c>
      <c r="Q630">
        <v>0</v>
      </c>
      <c r="R630" t="s">
        <v>12883</v>
      </c>
      <c r="S630" t="s">
        <v>12892</v>
      </c>
    </row>
    <row r="631" spans="1:19" x14ac:dyDescent="0.25">
      <c r="A631" t="s">
        <v>9910</v>
      </c>
      <c r="B631" s="1">
        <v>45798</v>
      </c>
      <c r="C631" t="s">
        <v>12887</v>
      </c>
      <c r="D631" s="5">
        <v>7.9282407407407413E-2</v>
      </c>
      <c r="E631">
        <v>174.21</v>
      </c>
      <c r="F631" t="s">
        <v>44</v>
      </c>
      <c r="G631" t="s">
        <v>3558</v>
      </c>
      <c r="H631" t="s">
        <v>71</v>
      </c>
      <c r="I631" t="s">
        <v>91</v>
      </c>
      <c r="J631" t="s">
        <v>9911</v>
      </c>
      <c r="K631">
        <v>56</v>
      </c>
      <c r="L631" t="s">
        <v>25</v>
      </c>
      <c r="M631" t="s">
        <v>146</v>
      </c>
      <c r="N631" t="s">
        <v>84</v>
      </c>
      <c r="O631" t="s">
        <v>28</v>
      </c>
      <c r="P631" t="s">
        <v>31</v>
      </c>
      <c r="Q631">
        <v>0</v>
      </c>
      <c r="R631" t="s">
        <v>12883</v>
      </c>
      <c r="S631" t="s">
        <v>12886</v>
      </c>
    </row>
    <row r="632" spans="1:19" x14ac:dyDescent="0.25">
      <c r="A632" t="s">
        <v>7003</v>
      </c>
      <c r="B632" s="1">
        <v>45815</v>
      </c>
      <c r="C632" t="s">
        <v>12888</v>
      </c>
      <c r="D632" s="5">
        <v>0.56268518518518518</v>
      </c>
      <c r="E632">
        <v>174.18</v>
      </c>
      <c r="F632" t="s">
        <v>44</v>
      </c>
      <c r="G632" t="s">
        <v>683</v>
      </c>
      <c r="H632" t="s">
        <v>64</v>
      </c>
      <c r="I632" t="s">
        <v>50</v>
      </c>
      <c r="J632" t="s">
        <v>7004</v>
      </c>
      <c r="K632">
        <v>31</v>
      </c>
      <c r="L632" t="s">
        <v>25</v>
      </c>
      <c r="M632" t="s">
        <v>66</v>
      </c>
      <c r="N632" t="s">
        <v>39</v>
      </c>
      <c r="O632" t="s">
        <v>28</v>
      </c>
      <c r="P632" t="s">
        <v>31</v>
      </c>
      <c r="Q632">
        <v>0</v>
      </c>
      <c r="R632" t="s">
        <v>12883</v>
      </c>
      <c r="S632" t="s">
        <v>12889</v>
      </c>
    </row>
    <row r="633" spans="1:19" x14ac:dyDescent="0.25">
      <c r="A633" t="s">
        <v>4741</v>
      </c>
      <c r="B633" s="1">
        <v>45904</v>
      </c>
      <c r="C633" t="s">
        <v>12882</v>
      </c>
      <c r="D633" s="5">
        <v>0.70656249999999998</v>
      </c>
      <c r="E633">
        <v>173.94</v>
      </c>
      <c r="F633" t="s">
        <v>44</v>
      </c>
      <c r="G633" t="s">
        <v>782</v>
      </c>
      <c r="H633" t="s">
        <v>34</v>
      </c>
      <c r="I633" t="s">
        <v>66</v>
      </c>
      <c r="J633" t="s">
        <v>4742</v>
      </c>
      <c r="K633">
        <v>70</v>
      </c>
      <c r="L633" t="s">
        <v>49</v>
      </c>
      <c r="M633" t="s">
        <v>38</v>
      </c>
      <c r="N633" t="s">
        <v>27</v>
      </c>
      <c r="O633" t="s">
        <v>28</v>
      </c>
      <c r="P633" t="s">
        <v>31</v>
      </c>
      <c r="Q633">
        <v>1</v>
      </c>
      <c r="R633" t="s">
        <v>12891</v>
      </c>
      <c r="S633" t="s">
        <v>12884</v>
      </c>
    </row>
    <row r="634" spans="1:19" x14ac:dyDescent="0.25">
      <c r="A634" t="s">
        <v>3309</v>
      </c>
      <c r="B634" s="1">
        <v>45887</v>
      </c>
      <c r="C634" t="s">
        <v>12893</v>
      </c>
      <c r="D634" s="5">
        <v>0.58186342592592588</v>
      </c>
      <c r="E634">
        <v>173.79</v>
      </c>
      <c r="F634" t="s">
        <v>44</v>
      </c>
      <c r="G634" t="s">
        <v>1874</v>
      </c>
      <c r="H634" t="s">
        <v>64</v>
      </c>
      <c r="I634" t="s">
        <v>38</v>
      </c>
      <c r="J634" t="s">
        <v>3310</v>
      </c>
      <c r="K634">
        <v>25</v>
      </c>
      <c r="L634" t="s">
        <v>25</v>
      </c>
      <c r="M634" t="s">
        <v>248</v>
      </c>
      <c r="N634" t="s">
        <v>39</v>
      </c>
      <c r="O634" t="s">
        <v>28</v>
      </c>
      <c r="P634" t="s">
        <v>31</v>
      </c>
      <c r="Q634">
        <v>0</v>
      </c>
      <c r="R634" t="s">
        <v>12883</v>
      </c>
      <c r="S634" t="s">
        <v>12889</v>
      </c>
    </row>
    <row r="635" spans="1:19" x14ac:dyDescent="0.25">
      <c r="A635" t="s">
        <v>9913</v>
      </c>
      <c r="B635" s="1">
        <v>45885</v>
      </c>
      <c r="C635" t="s">
        <v>12893</v>
      </c>
      <c r="D635" s="5">
        <v>3.2175925925925927E-2</v>
      </c>
      <c r="E635">
        <v>173.56</v>
      </c>
      <c r="F635" t="s">
        <v>44</v>
      </c>
      <c r="G635" t="s">
        <v>541</v>
      </c>
      <c r="H635" t="s">
        <v>77</v>
      </c>
      <c r="I635" t="s">
        <v>50</v>
      </c>
      <c r="J635" t="s">
        <v>9914</v>
      </c>
      <c r="K635">
        <v>46</v>
      </c>
      <c r="L635" t="s">
        <v>49</v>
      </c>
      <c r="M635" t="s">
        <v>130</v>
      </c>
      <c r="N635" t="s">
        <v>105</v>
      </c>
      <c r="O635" t="s">
        <v>28</v>
      </c>
      <c r="P635" t="s">
        <v>31</v>
      </c>
      <c r="Q635">
        <v>0</v>
      </c>
      <c r="R635" t="s">
        <v>12883</v>
      </c>
      <c r="S635" t="s">
        <v>12886</v>
      </c>
    </row>
    <row r="636" spans="1:19" x14ac:dyDescent="0.25">
      <c r="A636" t="s">
        <v>5200</v>
      </c>
      <c r="B636" s="1">
        <v>45950</v>
      </c>
      <c r="C636" t="s">
        <v>12890</v>
      </c>
      <c r="D636" s="5">
        <v>4.9513888888888892E-2</v>
      </c>
      <c r="E636">
        <v>173.51</v>
      </c>
      <c r="F636" t="s">
        <v>44</v>
      </c>
      <c r="G636" t="s">
        <v>5201</v>
      </c>
      <c r="H636" t="s">
        <v>124</v>
      </c>
      <c r="I636" t="s">
        <v>50</v>
      </c>
      <c r="J636" t="s">
        <v>5202</v>
      </c>
      <c r="K636">
        <v>46</v>
      </c>
      <c r="L636" t="s">
        <v>25</v>
      </c>
      <c r="M636" t="s">
        <v>35</v>
      </c>
      <c r="N636" t="s">
        <v>27</v>
      </c>
      <c r="O636" t="s">
        <v>28</v>
      </c>
      <c r="P636" t="s">
        <v>31</v>
      </c>
      <c r="Q636">
        <v>0</v>
      </c>
      <c r="R636" t="s">
        <v>12883</v>
      </c>
      <c r="S636" t="s">
        <v>12886</v>
      </c>
    </row>
    <row r="637" spans="1:19" x14ac:dyDescent="0.25">
      <c r="A637" t="s">
        <v>5057</v>
      </c>
      <c r="B637" s="1">
        <v>45925</v>
      </c>
      <c r="C637" t="s">
        <v>12882</v>
      </c>
      <c r="D637" s="5">
        <v>0.97298611111111111</v>
      </c>
      <c r="E637">
        <v>173.49</v>
      </c>
      <c r="F637" t="s">
        <v>44</v>
      </c>
      <c r="G637" t="s">
        <v>5058</v>
      </c>
      <c r="H637" t="s">
        <v>96</v>
      </c>
      <c r="I637" t="s">
        <v>58</v>
      </c>
      <c r="J637" t="s">
        <v>5059</v>
      </c>
      <c r="K637">
        <v>25</v>
      </c>
      <c r="L637" t="s">
        <v>49</v>
      </c>
      <c r="M637" t="s">
        <v>66</v>
      </c>
      <c r="N637" t="s">
        <v>84</v>
      </c>
      <c r="O637" t="s">
        <v>28</v>
      </c>
      <c r="P637" t="s">
        <v>31</v>
      </c>
      <c r="Q637">
        <v>1</v>
      </c>
      <c r="R637" t="s">
        <v>12891</v>
      </c>
      <c r="S637" t="s">
        <v>12889</v>
      </c>
    </row>
    <row r="638" spans="1:19" x14ac:dyDescent="0.25">
      <c r="A638" t="s">
        <v>7423</v>
      </c>
      <c r="B638" s="1">
        <v>45958</v>
      </c>
      <c r="C638" t="s">
        <v>12890</v>
      </c>
      <c r="D638" s="5">
        <v>0.49190972222222223</v>
      </c>
      <c r="E638">
        <v>173.44</v>
      </c>
      <c r="F638" t="s">
        <v>44</v>
      </c>
      <c r="G638" t="s">
        <v>486</v>
      </c>
      <c r="H638" t="s">
        <v>89</v>
      </c>
      <c r="I638" t="s">
        <v>50</v>
      </c>
      <c r="J638" t="s">
        <v>7424</v>
      </c>
      <c r="K638">
        <v>61</v>
      </c>
      <c r="L638" t="s">
        <v>49</v>
      </c>
      <c r="M638" t="s">
        <v>47</v>
      </c>
      <c r="N638" t="s">
        <v>27</v>
      </c>
      <c r="O638" t="s">
        <v>28</v>
      </c>
      <c r="P638" t="s">
        <v>31</v>
      </c>
      <c r="Q638">
        <v>0</v>
      </c>
      <c r="R638" t="s">
        <v>12883</v>
      </c>
      <c r="S638" t="s">
        <v>12884</v>
      </c>
    </row>
    <row r="639" spans="1:19" x14ac:dyDescent="0.25">
      <c r="A639" t="s">
        <v>5536</v>
      </c>
      <c r="B639" s="1">
        <v>45799</v>
      </c>
      <c r="C639" t="s">
        <v>12887</v>
      </c>
      <c r="D639" s="5">
        <v>0.54134259259259254</v>
      </c>
      <c r="E639">
        <v>173.23</v>
      </c>
      <c r="F639" t="s">
        <v>44</v>
      </c>
      <c r="G639" t="s">
        <v>5537</v>
      </c>
      <c r="H639" t="s">
        <v>34</v>
      </c>
      <c r="I639" t="s">
        <v>23</v>
      </c>
      <c r="J639" t="s">
        <v>5538</v>
      </c>
      <c r="K639">
        <v>64</v>
      </c>
      <c r="L639" t="s">
        <v>49</v>
      </c>
      <c r="M639" t="s">
        <v>26</v>
      </c>
      <c r="N639" t="s">
        <v>51</v>
      </c>
      <c r="O639" t="s">
        <v>28</v>
      </c>
      <c r="P639" t="s">
        <v>31</v>
      </c>
      <c r="Q639">
        <v>1</v>
      </c>
      <c r="R639" t="s">
        <v>12891</v>
      </c>
      <c r="S639" t="s">
        <v>12884</v>
      </c>
    </row>
    <row r="640" spans="1:19" x14ac:dyDescent="0.25">
      <c r="A640" t="s">
        <v>186</v>
      </c>
      <c r="B640" s="1">
        <v>45829</v>
      </c>
      <c r="C640" t="s">
        <v>12888</v>
      </c>
      <c r="D640" s="5">
        <v>7.5162037037037041E-2</v>
      </c>
      <c r="E640">
        <v>173.18</v>
      </c>
      <c r="F640" t="s">
        <v>44</v>
      </c>
      <c r="G640" t="s">
        <v>187</v>
      </c>
      <c r="H640" t="s">
        <v>22</v>
      </c>
      <c r="I640" t="s">
        <v>23</v>
      </c>
      <c r="J640" t="s">
        <v>188</v>
      </c>
      <c r="K640">
        <v>68</v>
      </c>
      <c r="L640" t="s">
        <v>37</v>
      </c>
      <c r="M640" t="s">
        <v>110</v>
      </c>
      <c r="N640" t="s">
        <v>84</v>
      </c>
      <c r="O640" t="s">
        <v>28</v>
      </c>
      <c r="P640" t="s">
        <v>31</v>
      </c>
      <c r="Q640">
        <v>0</v>
      </c>
      <c r="R640" t="s">
        <v>12883</v>
      </c>
      <c r="S640" t="s">
        <v>12884</v>
      </c>
    </row>
    <row r="641" spans="1:19" x14ac:dyDescent="0.25">
      <c r="A641" t="s">
        <v>8018</v>
      </c>
      <c r="B641" s="1">
        <v>45850</v>
      </c>
      <c r="C641" t="s">
        <v>12885</v>
      </c>
      <c r="D641" s="5">
        <v>9.3113425925925933E-2</v>
      </c>
      <c r="E641">
        <v>172.77</v>
      </c>
      <c r="F641" t="s">
        <v>44</v>
      </c>
      <c r="G641" t="s">
        <v>2378</v>
      </c>
      <c r="H641" t="s">
        <v>77</v>
      </c>
      <c r="I641" t="s">
        <v>47</v>
      </c>
      <c r="J641" t="s">
        <v>8019</v>
      </c>
      <c r="K641">
        <v>45</v>
      </c>
      <c r="L641" t="s">
        <v>49</v>
      </c>
      <c r="M641" t="s">
        <v>91</v>
      </c>
      <c r="N641" t="s">
        <v>84</v>
      </c>
      <c r="O641" t="s">
        <v>28</v>
      </c>
      <c r="P641" t="s">
        <v>31</v>
      </c>
      <c r="Q641">
        <v>0</v>
      </c>
      <c r="R641" t="s">
        <v>12883</v>
      </c>
      <c r="S641" t="s">
        <v>12886</v>
      </c>
    </row>
    <row r="642" spans="1:19" x14ac:dyDescent="0.25">
      <c r="A642" t="s">
        <v>7092</v>
      </c>
      <c r="B642" s="1">
        <v>45899</v>
      </c>
      <c r="C642" t="s">
        <v>12893</v>
      </c>
      <c r="D642" s="5">
        <v>0.35793981481481479</v>
      </c>
      <c r="E642">
        <v>172.74</v>
      </c>
      <c r="F642" t="s">
        <v>44</v>
      </c>
      <c r="G642" t="s">
        <v>2904</v>
      </c>
      <c r="H642" t="s">
        <v>77</v>
      </c>
      <c r="I642" t="s">
        <v>47</v>
      </c>
      <c r="J642" t="s">
        <v>7093</v>
      </c>
      <c r="K642">
        <v>37</v>
      </c>
      <c r="L642" t="s">
        <v>37</v>
      </c>
      <c r="M642" t="s">
        <v>23</v>
      </c>
      <c r="N642" t="s">
        <v>39</v>
      </c>
      <c r="O642" t="s">
        <v>28</v>
      </c>
      <c r="P642" t="s">
        <v>31</v>
      </c>
      <c r="Q642">
        <v>0</v>
      </c>
      <c r="R642" t="s">
        <v>12883</v>
      </c>
      <c r="S642" t="s">
        <v>12889</v>
      </c>
    </row>
    <row r="643" spans="1:19" x14ac:dyDescent="0.25">
      <c r="A643" t="s">
        <v>9774</v>
      </c>
      <c r="B643" s="1">
        <v>45826</v>
      </c>
      <c r="C643" t="s">
        <v>12888</v>
      </c>
      <c r="D643" s="5">
        <v>6.3495370370370369E-2</v>
      </c>
      <c r="E643">
        <v>172.73</v>
      </c>
      <c r="F643" t="s">
        <v>44</v>
      </c>
      <c r="G643" t="s">
        <v>4072</v>
      </c>
      <c r="H643" t="s">
        <v>64</v>
      </c>
      <c r="I643" t="s">
        <v>248</v>
      </c>
      <c r="J643" t="s">
        <v>9775</v>
      </c>
      <c r="K643">
        <v>74</v>
      </c>
      <c r="L643" t="s">
        <v>49</v>
      </c>
      <c r="M643" t="s">
        <v>110</v>
      </c>
      <c r="N643" t="s">
        <v>105</v>
      </c>
      <c r="O643" t="s">
        <v>28</v>
      </c>
      <c r="P643" t="s">
        <v>31</v>
      </c>
      <c r="Q643">
        <v>0</v>
      </c>
      <c r="R643" t="s">
        <v>12883</v>
      </c>
      <c r="S643" t="s">
        <v>12884</v>
      </c>
    </row>
    <row r="644" spans="1:19" x14ac:dyDescent="0.25">
      <c r="A644" t="s">
        <v>6944</v>
      </c>
      <c r="B644" s="1">
        <v>45958</v>
      </c>
      <c r="C644" t="s">
        <v>12890</v>
      </c>
      <c r="D644" s="5">
        <v>0.88310185185185186</v>
      </c>
      <c r="E644">
        <v>172.69</v>
      </c>
      <c r="F644" t="s">
        <v>44</v>
      </c>
      <c r="G644" t="s">
        <v>1612</v>
      </c>
      <c r="H644" t="s">
        <v>22</v>
      </c>
      <c r="I644" t="s">
        <v>91</v>
      </c>
      <c r="J644" t="s">
        <v>6945</v>
      </c>
      <c r="K644">
        <v>63</v>
      </c>
      <c r="L644" t="s">
        <v>37</v>
      </c>
      <c r="M644" t="s">
        <v>58</v>
      </c>
      <c r="N644" t="s">
        <v>27</v>
      </c>
      <c r="O644" t="s">
        <v>28</v>
      </c>
      <c r="P644" t="s">
        <v>31</v>
      </c>
      <c r="Q644">
        <v>0</v>
      </c>
      <c r="R644" t="s">
        <v>12883</v>
      </c>
      <c r="S644" t="s">
        <v>12884</v>
      </c>
    </row>
    <row r="645" spans="1:19" x14ac:dyDescent="0.25">
      <c r="A645" t="s">
        <v>10107</v>
      </c>
      <c r="B645" s="1">
        <v>45828</v>
      </c>
      <c r="C645" t="s">
        <v>12888</v>
      </c>
      <c r="D645" s="5">
        <v>8.2638888888888887E-2</v>
      </c>
      <c r="E645">
        <v>172.51</v>
      </c>
      <c r="F645" t="s">
        <v>44</v>
      </c>
      <c r="G645" t="s">
        <v>898</v>
      </c>
      <c r="H645" t="s">
        <v>46</v>
      </c>
      <c r="I645" t="s">
        <v>119</v>
      </c>
      <c r="J645" t="s">
        <v>10108</v>
      </c>
      <c r="K645">
        <v>53</v>
      </c>
      <c r="L645" t="s">
        <v>37</v>
      </c>
      <c r="M645" t="s">
        <v>47</v>
      </c>
      <c r="N645" t="s">
        <v>105</v>
      </c>
      <c r="O645" t="s">
        <v>28</v>
      </c>
      <c r="P645" t="s">
        <v>31</v>
      </c>
      <c r="Q645">
        <v>0</v>
      </c>
      <c r="R645" t="s">
        <v>12883</v>
      </c>
      <c r="S645" t="s">
        <v>12886</v>
      </c>
    </row>
    <row r="646" spans="1:19" x14ac:dyDescent="0.25">
      <c r="A646" t="s">
        <v>6062</v>
      </c>
      <c r="B646" s="1">
        <v>45921</v>
      </c>
      <c r="C646" t="s">
        <v>12882</v>
      </c>
      <c r="D646" s="5">
        <v>0.9987731481481481</v>
      </c>
      <c r="E646">
        <v>172.5</v>
      </c>
      <c r="F646" t="s">
        <v>44</v>
      </c>
      <c r="G646" t="s">
        <v>6063</v>
      </c>
      <c r="H646" t="s">
        <v>96</v>
      </c>
      <c r="I646" t="s">
        <v>97</v>
      </c>
      <c r="J646" t="s">
        <v>6064</v>
      </c>
      <c r="K646">
        <v>18</v>
      </c>
      <c r="L646" t="s">
        <v>37</v>
      </c>
      <c r="M646" t="s">
        <v>66</v>
      </c>
      <c r="N646" t="s">
        <v>84</v>
      </c>
      <c r="O646" t="s">
        <v>28</v>
      </c>
      <c r="P646" t="s">
        <v>31</v>
      </c>
      <c r="Q646">
        <v>0</v>
      </c>
      <c r="R646" t="s">
        <v>12883</v>
      </c>
      <c r="S646" t="s">
        <v>12892</v>
      </c>
    </row>
    <row r="647" spans="1:19" x14ac:dyDescent="0.25">
      <c r="A647" t="s">
        <v>81</v>
      </c>
      <c r="B647" s="1">
        <v>45852</v>
      </c>
      <c r="C647" t="s">
        <v>12885</v>
      </c>
      <c r="D647" s="5">
        <v>0.16480324074074074</v>
      </c>
      <c r="E647">
        <v>172.45</v>
      </c>
      <c r="F647" t="s">
        <v>44</v>
      </c>
      <c r="G647" t="s">
        <v>82</v>
      </c>
      <c r="H647" t="s">
        <v>34</v>
      </c>
      <c r="I647" t="s">
        <v>35</v>
      </c>
      <c r="J647" t="s">
        <v>83</v>
      </c>
      <c r="K647">
        <v>71</v>
      </c>
      <c r="L647" t="s">
        <v>49</v>
      </c>
      <c r="M647" t="s">
        <v>23</v>
      </c>
      <c r="N647" t="s">
        <v>84</v>
      </c>
      <c r="O647" t="s">
        <v>28</v>
      </c>
      <c r="P647" t="s">
        <v>31</v>
      </c>
      <c r="Q647">
        <v>0</v>
      </c>
      <c r="R647" t="s">
        <v>12883</v>
      </c>
      <c r="S647" t="s">
        <v>12884</v>
      </c>
    </row>
    <row r="648" spans="1:19" x14ac:dyDescent="0.25">
      <c r="A648" t="s">
        <v>9232</v>
      </c>
      <c r="B648" s="1">
        <v>45844</v>
      </c>
      <c r="C648" t="s">
        <v>12885</v>
      </c>
      <c r="D648" s="5">
        <v>0.27150462962962962</v>
      </c>
      <c r="E648">
        <v>172.39</v>
      </c>
      <c r="F648" t="s">
        <v>44</v>
      </c>
      <c r="G648" t="s">
        <v>888</v>
      </c>
      <c r="H648" t="s">
        <v>124</v>
      </c>
      <c r="I648" t="s">
        <v>97</v>
      </c>
      <c r="J648" t="s">
        <v>9233</v>
      </c>
      <c r="K648">
        <v>58</v>
      </c>
      <c r="L648" t="s">
        <v>37</v>
      </c>
      <c r="M648" t="s">
        <v>58</v>
      </c>
      <c r="N648" t="s">
        <v>51</v>
      </c>
      <c r="O648" t="s">
        <v>28</v>
      </c>
      <c r="P648" t="s">
        <v>31</v>
      </c>
      <c r="Q648">
        <v>0</v>
      </c>
      <c r="R648" t="s">
        <v>12883</v>
      </c>
      <c r="S648" t="s">
        <v>12886</v>
      </c>
    </row>
    <row r="649" spans="1:19" x14ac:dyDescent="0.25">
      <c r="A649" t="s">
        <v>12725</v>
      </c>
      <c r="B649" s="1">
        <v>45895</v>
      </c>
      <c r="C649" t="s">
        <v>12893</v>
      </c>
      <c r="D649" s="5">
        <v>0.19163194444444445</v>
      </c>
      <c r="E649">
        <v>172.23</v>
      </c>
      <c r="F649" t="s">
        <v>44</v>
      </c>
      <c r="G649" t="s">
        <v>308</v>
      </c>
      <c r="H649" t="s">
        <v>22</v>
      </c>
      <c r="I649" t="s">
        <v>58</v>
      </c>
      <c r="J649" t="s">
        <v>12726</v>
      </c>
      <c r="K649">
        <v>16</v>
      </c>
      <c r="L649" t="s">
        <v>37</v>
      </c>
      <c r="M649" t="s">
        <v>58</v>
      </c>
      <c r="N649" t="s">
        <v>27</v>
      </c>
      <c r="O649" t="s">
        <v>113</v>
      </c>
      <c r="P649" t="s">
        <v>31</v>
      </c>
      <c r="Q649">
        <v>0</v>
      </c>
      <c r="R649" t="s">
        <v>12883</v>
      </c>
      <c r="S649" t="s">
        <v>12892</v>
      </c>
    </row>
    <row r="650" spans="1:19" x14ac:dyDescent="0.25">
      <c r="A650" t="s">
        <v>9332</v>
      </c>
      <c r="B650" s="1">
        <v>45917</v>
      </c>
      <c r="C650" t="s">
        <v>12882</v>
      </c>
      <c r="D650" s="5">
        <v>0.55638888888888893</v>
      </c>
      <c r="E650">
        <v>172.19</v>
      </c>
      <c r="F650" t="s">
        <v>44</v>
      </c>
      <c r="G650" t="s">
        <v>932</v>
      </c>
      <c r="H650" t="s">
        <v>22</v>
      </c>
      <c r="I650" t="s">
        <v>47</v>
      </c>
      <c r="J650" t="s">
        <v>9333</v>
      </c>
      <c r="K650">
        <v>33</v>
      </c>
      <c r="L650" t="s">
        <v>37</v>
      </c>
      <c r="M650" t="s">
        <v>248</v>
      </c>
      <c r="N650" t="s">
        <v>39</v>
      </c>
      <c r="O650" t="s">
        <v>28</v>
      </c>
      <c r="P650" t="s">
        <v>31</v>
      </c>
      <c r="Q650">
        <v>0</v>
      </c>
      <c r="R650" t="s">
        <v>12883</v>
      </c>
      <c r="S650" t="s">
        <v>12889</v>
      </c>
    </row>
    <row r="651" spans="1:19" x14ac:dyDescent="0.25">
      <c r="A651" t="s">
        <v>6591</v>
      </c>
      <c r="B651" s="1">
        <v>45920</v>
      </c>
      <c r="C651" t="s">
        <v>12882</v>
      </c>
      <c r="D651" s="5">
        <v>0.46236111111111111</v>
      </c>
      <c r="E651">
        <v>172.04</v>
      </c>
      <c r="F651" t="s">
        <v>44</v>
      </c>
      <c r="G651" t="s">
        <v>644</v>
      </c>
      <c r="H651" t="s">
        <v>22</v>
      </c>
      <c r="I651" t="s">
        <v>23</v>
      </c>
      <c r="J651" t="s">
        <v>6592</v>
      </c>
      <c r="K651">
        <v>29</v>
      </c>
      <c r="L651" t="s">
        <v>37</v>
      </c>
      <c r="M651" t="s">
        <v>248</v>
      </c>
      <c r="N651" t="s">
        <v>51</v>
      </c>
      <c r="O651" t="s">
        <v>28</v>
      </c>
      <c r="P651" t="s">
        <v>31</v>
      </c>
      <c r="Q651">
        <v>0</v>
      </c>
      <c r="R651" t="s">
        <v>12883</v>
      </c>
      <c r="S651" t="s">
        <v>12889</v>
      </c>
    </row>
    <row r="652" spans="1:19" x14ac:dyDescent="0.25">
      <c r="A652" t="s">
        <v>11415</v>
      </c>
      <c r="B652" s="1">
        <v>45927</v>
      </c>
      <c r="C652" t="s">
        <v>12882</v>
      </c>
      <c r="D652" s="5">
        <v>0.1247800925925926</v>
      </c>
      <c r="E652">
        <v>171.96</v>
      </c>
      <c r="F652" t="s">
        <v>44</v>
      </c>
      <c r="G652" t="s">
        <v>3323</v>
      </c>
      <c r="H652" t="s">
        <v>124</v>
      </c>
      <c r="I652" t="s">
        <v>35</v>
      </c>
      <c r="J652" t="s">
        <v>11416</v>
      </c>
      <c r="K652">
        <v>70</v>
      </c>
      <c r="L652" t="s">
        <v>25</v>
      </c>
      <c r="M652" t="s">
        <v>130</v>
      </c>
      <c r="N652" t="s">
        <v>112</v>
      </c>
      <c r="O652" t="s">
        <v>28</v>
      </c>
      <c r="P652" t="s">
        <v>31</v>
      </c>
      <c r="Q652">
        <v>0</v>
      </c>
      <c r="R652" t="s">
        <v>12883</v>
      </c>
      <c r="S652" t="s">
        <v>12884</v>
      </c>
    </row>
    <row r="653" spans="1:19" x14ac:dyDescent="0.25">
      <c r="A653" t="s">
        <v>6230</v>
      </c>
      <c r="B653" s="1">
        <v>45859</v>
      </c>
      <c r="C653" t="s">
        <v>12885</v>
      </c>
      <c r="D653" s="5">
        <v>0.67730324074074078</v>
      </c>
      <c r="E653">
        <v>171.81</v>
      </c>
      <c r="F653" t="s">
        <v>44</v>
      </c>
      <c r="G653" t="s">
        <v>4518</v>
      </c>
      <c r="H653" t="s">
        <v>124</v>
      </c>
      <c r="I653" t="s">
        <v>91</v>
      </c>
      <c r="J653" t="s">
        <v>6231</v>
      </c>
      <c r="K653">
        <v>58</v>
      </c>
      <c r="L653" t="s">
        <v>37</v>
      </c>
      <c r="M653" t="s">
        <v>97</v>
      </c>
      <c r="N653" t="s">
        <v>112</v>
      </c>
      <c r="O653" t="s">
        <v>28</v>
      </c>
      <c r="P653" t="s">
        <v>31</v>
      </c>
      <c r="Q653">
        <v>0</v>
      </c>
      <c r="R653" t="s">
        <v>12883</v>
      </c>
      <c r="S653" t="s">
        <v>12886</v>
      </c>
    </row>
    <row r="654" spans="1:19" x14ac:dyDescent="0.25">
      <c r="A654" t="s">
        <v>7612</v>
      </c>
      <c r="B654" s="1">
        <v>45809</v>
      </c>
      <c r="C654" t="s">
        <v>12888</v>
      </c>
      <c r="D654" s="5">
        <v>0.72895833333333337</v>
      </c>
      <c r="E654">
        <v>171.69</v>
      </c>
      <c r="F654" t="s">
        <v>44</v>
      </c>
      <c r="G654" t="s">
        <v>973</v>
      </c>
      <c r="H654" t="s">
        <v>77</v>
      </c>
      <c r="I654" t="s">
        <v>35</v>
      </c>
      <c r="J654" t="s">
        <v>7613</v>
      </c>
      <c r="K654">
        <v>45</v>
      </c>
      <c r="L654" t="s">
        <v>25</v>
      </c>
      <c r="M654" t="s">
        <v>26</v>
      </c>
      <c r="N654" t="s">
        <v>51</v>
      </c>
      <c r="O654" t="s">
        <v>28</v>
      </c>
      <c r="P654" t="s">
        <v>31</v>
      </c>
      <c r="Q654">
        <v>0</v>
      </c>
      <c r="R654" t="s">
        <v>12883</v>
      </c>
      <c r="S654" t="s">
        <v>12886</v>
      </c>
    </row>
    <row r="655" spans="1:19" x14ac:dyDescent="0.25">
      <c r="A655" t="s">
        <v>12269</v>
      </c>
      <c r="B655" s="1">
        <v>45812</v>
      </c>
      <c r="C655" t="s">
        <v>12888</v>
      </c>
      <c r="D655" s="5">
        <v>0.67387731481481483</v>
      </c>
      <c r="E655">
        <v>171.65</v>
      </c>
      <c r="F655" t="s">
        <v>44</v>
      </c>
      <c r="G655" t="s">
        <v>673</v>
      </c>
      <c r="H655" t="s">
        <v>77</v>
      </c>
      <c r="I655" t="s">
        <v>58</v>
      </c>
      <c r="J655" t="s">
        <v>12270</v>
      </c>
      <c r="K655">
        <v>58</v>
      </c>
      <c r="L655" t="s">
        <v>37</v>
      </c>
      <c r="M655" t="s">
        <v>91</v>
      </c>
      <c r="N655" t="s">
        <v>39</v>
      </c>
      <c r="O655" t="s">
        <v>28</v>
      </c>
      <c r="P655" t="s">
        <v>31</v>
      </c>
      <c r="Q655">
        <v>0</v>
      </c>
      <c r="R655" t="s">
        <v>12883</v>
      </c>
      <c r="S655" t="s">
        <v>12886</v>
      </c>
    </row>
    <row r="656" spans="1:19" x14ac:dyDescent="0.25">
      <c r="A656" t="s">
        <v>1445</v>
      </c>
      <c r="B656" s="1">
        <v>45841</v>
      </c>
      <c r="C656" t="s">
        <v>12885</v>
      </c>
      <c r="D656" s="5">
        <v>0.31969907407407405</v>
      </c>
      <c r="E656">
        <v>171.6</v>
      </c>
      <c r="F656" t="s">
        <v>44</v>
      </c>
      <c r="G656" t="s">
        <v>1446</v>
      </c>
      <c r="H656" t="s">
        <v>124</v>
      </c>
      <c r="I656" t="s">
        <v>23</v>
      </c>
      <c r="J656" t="s">
        <v>1447</v>
      </c>
      <c r="K656">
        <v>109</v>
      </c>
      <c r="L656" t="s">
        <v>49</v>
      </c>
      <c r="M656" t="s">
        <v>50</v>
      </c>
      <c r="N656" t="s">
        <v>51</v>
      </c>
      <c r="O656" t="s">
        <v>28</v>
      </c>
      <c r="P656" t="s">
        <v>31</v>
      </c>
      <c r="Q656">
        <v>0</v>
      </c>
      <c r="R656" t="s">
        <v>12883</v>
      </c>
      <c r="S656" t="s">
        <v>12884</v>
      </c>
    </row>
    <row r="657" spans="1:19" x14ac:dyDescent="0.25">
      <c r="A657" t="s">
        <v>6449</v>
      </c>
      <c r="B657" s="1">
        <v>45805</v>
      </c>
      <c r="C657" t="s">
        <v>12887</v>
      </c>
      <c r="D657" s="5">
        <v>0.96960648148148143</v>
      </c>
      <c r="E657">
        <v>171.31</v>
      </c>
      <c r="F657" t="s">
        <v>44</v>
      </c>
      <c r="G657" t="s">
        <v>6450</v>
      </c>
      <c r="H657" t="s">
        <v>77</v>
      </c>
      <c r="I657" t="s">
        <v>50</v>
      </c>
      <c r="J657" t="s">
        <v>6451</v>
      </c>
      <c r="K657">
        <v>64</v>
      </c>
      <c r="L657" t="s">
        <v>37</v>
      </c>
      <c r="M657" t="s">
        <v>26</v>
      </c>
      <c r="N657" t="s">
        <v>39</v>
      </c>
      <c r="O657" t="s">
        <v>28</v>
      </c>
      <c r="P657" t="s">
        <v>31</v>
      </c>
      <c r="Q657">
        <v>0</v>
      </c>
      <c r="R657" t="s">
        <v>12883</v>
      </c>
      <c r="S657" t="s">
        <v>12884</v>
      </c>
    </row>
    <row r="658" spans="1:19" x14ac:dyDescent="0.25">
      <c r="A658" t="s">
        <v>10876</v>
      </c>
      <c r="B658" s="1">
        <v>45894</v>
      </c>
      <c r="C658" t="s">
        <v>12893</v>
      </c>
      <c r="D658" s="5">
        <v>0.80960648148148151</v>
      </c>
      <c r="E658">
        <v>171.29</v>
      </c>
      <c r="F658" t="s">
        <v>44</v>
      </c>
      <c r="G658" t="s">
        <v>2494</v>
      </c>
      <c r="H658" t="s">
        <v>124</v>
      </c>
      <c r="I658" t="s">
        <v>248</v>
      </c>
      <c r="J658" t="s">
        <v>10877</v>
      </c>
      <c r="K658">
        <v>21</v>
      </c>
      <c r="L658" t="s">
        <v>25</v>
      </c>
      <c r="M658" t="s">
        <v>26</v>
      </c>
      <c r="N658" t="s">
        <v>27</v>
      </c>
      <c r="O658" t="s">
        <v>28</v>
      </c>
      <c r="P658" t="s">
        <v>31</v>
      </c>
      <c r="Q658">
        <v>0</v>
      </c>
      <c r="R658" t="s">
        <v>12883</v>
      </c>
      <c r="S658" t="s">
        <v>12892</v>
      </c>
    </row>
    <row r="659" spans="1:19" x14ac:dyDescent="0.25">
      <c r="A659" t="s">
        <v>9839</v>
      </c>
      <c r="B659" s="1">
        <v>45932</v>
      </c>
      <c r="C659" t="s">
        <v>12890</v>
      </c>
      <c r="D659" s="5">
        <v>0.45374999999999999</v>
      </c>
      <c r="E659">
        <v>171.28</v>
      </c>
      <c r="F659" t="s">
        <v>44</v>
      </c>
      <c r="G659" t="s">
        <v>4561</v>
      </c>
      <c r="H659" t="s">
        <v>34</v>
      </c>
      <c r="I659" t="s">
        <v>23</v>
      </c>
      <c r="J659" t="s">
        <v>9840</v>
      </c>
      <c r="K659">
        <v>75</v>
      </c>
      <c r="L659" t="s">
        <v>49</v>
      </c>
      <c r="M659" t="s">
        <v>110</v>
      </c>
      <c r="N659" t="s">
        <v>112</v>
      </c>
      <c r="O659" t="s">
        <v>28</v>
      </c>
      <c r="P659" t="s">
        <v>31</v>
      </c>
      <c r="Q659">
        <v>0</v>
      </c>
      <c r="R659" t="s">
        <v>12883</v>
      </c>
      <c r="S659" t="s">
        <v>12884</v>
      </c>
    </row>
    <row r="660" spans="1:19" x14ac:dyDescent="0.25">
      <c r="A660" t="s">
        <v>3830</v>
      </c>
      <c r="B660" s="1">
        <v>45920</v>
      </c>
      <c r="C660" t="s">
        <v>12882</v>
      </c>
      <c r="D660" s="5">
        <v>0.64939814814814811</v>
      </c>
      <c r="E660">
        <v>171.15</v>
      </c>
      <c r="F660" t="s">
        <v>44</v>
      </c>
      <c r="G660" t="s">
        <v>1968</v>
      </c>
      <c r="H660" t="s">
        <v>57</v>
      </c>
      <c r="I660" t="s">
        <v>130</v>
      </c>
      <c r="J660" t="s">
        <v>3831</v>
      </c>
      <c r="K660">
        <v>52</v>
      </c>
      <c r="L660" t="s">
        <v>49</v>
      </c>
      <c r="M660" t="s">
        <v>23</v>
      </c>
      <c r="N660" t="s">
        <v>112</v>
      </c>
      <c r="O660" t="s">
        <v>28</v>
      </c>
      <c r="P660" t="s">
        <v>31</v>
      </c>
      <c r="Q660">
        <v>0</v>
      </c>
      <c r="R660" t="s">
        <v>12883</v>
      </c>
      <c r="S660" t="s">
        <v>12886</v>
      </c>
    </row>
    <row r="661" spans="1:19" x14ac:dyDescent="0.25">
      <c r="A661" t="s">
        <v>11427</v>
      </c>
      <c r="B661" s="1">
        <v>45894</v>
      </c>
      <c r="C661" t="s">
        <v>12893</v>
      </c>
      <c r="D661" s="5">
        <v>0.76758101851851857</v>
      </c>
      <c r="E661">
        <v>171.15</v>
      </c>
      <c r="F661" t="s">
        <v>44</v>
      </c>
      <c r="G661" t="s">
        <v>389</v>
      </c>
      <c r="H661" t="s">
        <v>77</v>
      </c>
      <c r="I661" t="s">
        <v>58</v>
      </c>
      <c r="J661" t="s">
        <v>11428</v>
      </c>
      <c r="K661">
        <v>45</v>
      </c>
      <c r="L661" t="s">
        <v>37</v>
      </c>
      <c r="M661" t="s">
        <v>50</v>
      </c>
      <c r="N661" t="s">
        <v>51</v>
      </c>
      <c r="O661" t="s">
        <v>28</v>
      </c>
      <c r="P661" t="s">
        <v>31</v>
      </c>
      <c r="Q661">
        <v>0</v>
      </c>
      <c r="R661" t="s">
        <v>12883</v>
      </c>
      <c r="S661" t="s">
        <v>12886</v>
      </c>
    </row>
    <row r="662" spans="1:19" x14ac:dyDescent="0.25">
      <c r="A662" t="s">
        <v>10997</v>
      </c>
      <c r="B662" s="1">
        <v>45912</v>
      </c>
      <c r="C662" t="s">
        <v>12882</v>
      </c>
      <c r="D662" s="5">
        <v>5.1458333333333335E-2</v>
      </c>
      <c r="E662">
        <v>170.96</v>
      </c>
      <c r="F662" t="s">
        <v>44</v>
      </c>
      <c r="G662" t="s">
        <v>5183</v>
      </c>
      <c r="H662" t="s">
        <v>89</v>
      </c>
      <c r="I662" t="s">
        <v>50</v>
      </c>
      <c r="J662" t="s">
        <v>10998</v>
      </c>
      <c r="K662">
        <v>31</v>
      </c>
      <c r="L662" t="s">
        <v>37</v>
      </c>
      <c r="M662" t="s">
        <v>50</v>
      </c>
      <c r="N662" t="s">
        <v>105</v>
      </c>
      <c r="O662" t="s">
        <v>113</v>
      </c>
      <c r="P662" t="s">
        <v>31</v>
      </c>
      <c r="Q662">
        <v>0</v>
      </c>
      <c r="R662" t="s">
        <v>12883</v>
      </c>
      <c r="S662" t="s">
        <v>12889</v>
      </c>
    </row>
    <row r="663" spans="1:19" x14ac:dyDescent="0.25">
      <c r="A663" t="s">
        <v>6969</v>
      </c>
      <c r="B663" s="1">
        <v>45806</v>
      </c>
      <c r="C663" t="s">
        <v>12887</v>
      </c>
      <c r="D663" s="5">
        <v>0.24987268518518518</v>
      </c>
      <c r="E663">
        <v>170.79</v>
      </c>
      <c r="F663" t="s">
        <v>44</v>
      </c>
      <c r="G663" t="s">
        <v>888</v>
      </c>
      <c r="H663" t="s">
        <v>89</v>
      </c>
      <c r="I663" t="s">
        <v>66</v>
      </c>
      <c r="J663" t="s">
        <v>6970</v>
      </c>
      <c r="K663">
        <v>34</v>
      </c>
      <c r="L663" t="s">
        <v>37</v>
      </c>
      <c r="M663" t="s">
        <v>66</v>
      </c>
      <c r="N663" t="s">
        <v>51</v>
      </c>
      <c r="O663" t="s">
        <v>113</v>
      </c>
      <c r="P663" t="s">
        <v>31</v>
      </c>
      <c r="Q663">
        <v>0</v>
      </c>
      <c r="R663" t="s">
        <v>12883</v>
      </c>
      <c r="S663" t="s">
        <v>12889</v>
      </c>
    </row>
    <row r="664" spans="1:19" x14ac:dyDescent="0.25">
      <c r="A664" t="s">
        <v>796</v>
      </c>
      <c r="B664" s="1">
        <v>45869</v>
      </c>
      <c r="C664" t="s">
        <v>12885</v>
      </c>
      <c r="D664" s="5">
        <v>0.29201388888888891</v>
      </c>
      <c r="E664">
        <v>170.78</v>
      </c>
      <c r="F664" t="s">
        <v>44</v>
      </c>
      <c r="G664" t="s">
        <v>797</v>
      </c>
      <c r="H664" t="s">
        <v>46</v>
      </c>
      <c r="I664" t="s">
        <v>26</v>
      </c>
      <c r="J664" t="s">
        <v>798</v>
      </c>
      <c r="K664">
        <v>51</v>
      </c>
      <c r="L664" t="s">
        <v>49</v>
      </c>
      <c r="M664" t="s">
        <v>23</v>
      </c>
      <c r="N664" t="s">
        <v>39</v>
      </c>
      <c r="O664" t="s">
        <v>28</v>
      </c>
      <c r="P664" t="s">
        <v>31</v>
      </c>
      <c r="Q664">
        <v>0</v>
      </c>
      <c r="R664" t="s">
        <v>12883</v>
      </c>
      <c r="S664" t="s">
        <v>12886</v>
      </c>
    </row>
    <row r="665" spans="1:19" x14ac:dyDescent="0.25">
      <c r="A665" t="s">
        <v>3625</v>
      </c>
      <c r="B665" s="1">
        <v>45853</v>
      </c>
      <c r="C665" t="s">
        <v>12885</v>
      </c>
      <c r="D665" s="5">
        <v>1.7488425925925925E-2</v>
      </c>
      <c r="E665">
        <v>170.66</v>
      </c>
      <c r="F665" t="s">
        <v>44</v>
      </c>
      <c r="G665" t="s">
        <v>2121</v>
      </c>
      <c r="H665" t="s">
        <v>89</v>
      </c>
      <c r="I665" t="s">
        <v>26</v>
      </c>
      <c r="J665" t="s">
        <v>3626</v>
      </c>
      <c r="K665">
        <v>58</v>
      </c>
      <c r="L665" t="s">
        <v>25</v>
      </c>
      <c r="M665" t="s">
        <v>47</v>
      </c>
      <c r="N665" t="s">
        <v>105</v>
      </c>
      <c r="O665" t="s">
        <v>28</v>
      </c>
      <c r="P665" t="s">
        <v>31</v>
      </c>
      <c r="Q665">
        <v>0</v>
      </c>
      <c r="R665" t="s">
        <v>12883</v>
      </c>
      <c r="S665" t="s">
        <v>12886</v>
      </c>
    </row>
    <row r="666" spans="1:19" x14ac:dyDescent="0.25">
      <c r="A666" t="s">
        <v>11135</v>
      </c>
      <c r="B666" s="1">
        <v>45947</v>
      </c>
      <c r="C666" t="s">
        <v>12890</v>
      </c>
      <c r="D666" s="5">
        <v>0.25163194444444442</v>
      </c>
      <c r="E666">
        <v>170.58</v>
      </c>
      <c r="F666" t="s">
        <v>44</v>
      </c>
      <c r="G666" t="s">
        <v>1110</v>
      </c>
      <c r="H666" t="s">
        <v>89</v>
      </c>
      <c r="I666" t="s">
        <v>50</v>
      </c>
      <c r="J666" t="s">
        <v>11136</v>
      </c>
      <c r="K666">
        <v>72</v>
      </c>
      <c r="L666" t="s">
        <v>25</v>
      </c>
      <c r="M666" t="s">
        <v>35</v>
      </c>
      <c r="N666" t="s">
        <v>27</v>
      </c>
      <c r="O666" t="s">
        <v>28</v>
      </c>
      <c r="P666" t="s">
        <v>31</v>
      </c>
      <c r="Q666">
        <v>0</v>
      </c>
      <c r="R666" t="s">
        <v>12883</v>
      </c>
      <c r="S666" t="s">
        <v>12884</v>
      </c>
    </row>
    <row r="667" spans="1:19" x14ac:dyDescent="0.25">
      <c r="A667" t="s">
        <v>6039</v>
      </c>
      <c r="B667" s="1">
        <v>45852</v>
      </c>
      <c r="C667" t="s">
        <v>12885</v>
      </c>
      <c r="D667" s="5">
        <v>0.56351851851851853</v>
      </c>
      <c r="E667">
        <v>170.35</v>
      </c>
      <c r="F667" t="s">
        <v>44</v>
      </c>
      <c r="G667" t="s">
        <v>1578</v>
      </c>
      <c r="H667" t="s">
        <v>89</v>
      </c>
      <c r="I667" t="s">
        <v>110</v>
      </c>
      <c r="J667" t="s">
        <v>6040</v>
      </c>
      <c r="K667">
        <v>33</v>
      </c>
      <c r="L667" t="s">
        <v>25</v>
      </c>
      <c r="M667" t="s">
        <v>119</v>
      </c>
      <c r="N667" t="s">
        <v>84</v>
      </c>
      <c r="O667" t="s">
        <v>28</v>
      </c>
      <c r="P667" t="s">
        <v>31</v>
      </c>
      <c r="Q667">
        <v>0</v>
      </c>
      <c r="R667" t="s">
        <v>12883</v>
      </c>
      <c r="S667" t="s">
        <v>12889</v>
      </c>
    </row>
    <row r="668" spans="1:19" x14ac:dyDescent="0.25">
      <c r="A668" t="s">
        <v>3422</v>
      </c>
      <c r="B668" s="1">
        <v>45845</v>
      </c>
      <c r="C668" t="s">
        <v>12885</v>
      </c>
      <c r="D668" s="5">
        <v>8.278935185185185E-2</v>
      </c>
      <c r="E668">
        <v>170.31</v>
      </c>
      <c r="F668" t="s">
        <v>44</v>
      </c>
      <c r="G668" t="s">
        <v>983</v>
      </c>
      <c r="H668" t="s">
        <v>22</v>
      </c>
      <c r="I668" t="s">
        <v>58</v>
      </c>
      <c r="J668" t="s">
        <v>3423</v>
      </c>
      <c r="K668">
        <v>45</v>
      </c>
      <c r="L668" t="s">
        <v>37</v>
      </c>
      <c r="M668" t="s">
        <v>26</v>
      </c>
      <c r="N668" t="s">
        <v>51</v>
      </c>
      <c r="O668" t="s">
        <v>28</v>
      </c>
      <c r="P668" t="s">
        <v>31</v>
      </c>
      <c r="Q668">
        <v>0</v>
      </c>
      <c r="R668" t="s">
        <v>12883</v>
      </c>
      <c r="S668" t="s">
        <v>12886</v>
      </c>
    </row>
    <row r="669" spans="1:19" x14ac:dyDescent="0.25">
      <c r="A669" t="s">
        <v>9294</v>
      </c>
      <c r="B669" s="1">
        <v>45864</v>
      </c>
      <c r="C669" t="s">
        <v>12885</v>
      </c>
      <c r="D669" s="5">
        <v>4.0659722222222222E-2</v>
      </c>
      <c r="E669">
        <v>170.31</v>
      </c>
      <c r="F669" t="s">
        <v>44</v>
      </c>
      <c r="G669" t="s">
        <v>8714</v>
      </c>
      <c r="H669" t="s">
        <v>34</v>
      </c>
      <c r="I669" t="s">
        <v>47</v>
      </c>
      <c r="J669" t="s">
        <v>9295</v>
      </c>
      <c r="K669">
        <v>73</v>
      </c>
      <c r="L669" t="s">
        <v>49</v>
      </c>
      <c r="M669" t="s">
        <v>146</v>
      </c>
      <c r="N669" t="s">
        <v>39</v>
      </c>
      <c r="O669" t="s">
        <v>28</v>
      </c>
      <c r="P669" t="s">
        <v>31</v>
      </c>
      <c r="Q669">
        <v>0</v>
      </c>
      <c r="R669" t="s">
        <v>12883</v>
      </c>
      <c r="S669" t="s">
        <v>12884</v>
      </c>
    </row>
    <row r="670" spans="1:19" x14ac:dyDescent="0.25">
      <c r="A670" t="s">
        <v>4722</v>
      </c>
      <c r="B670" s="1">
        <v>45909</v>
      </c>
      <c r="C670" t="s">
        <v>12882</v>
      </c>
      <c r="D670" s="5">
        <v>0.34642361111111108</v>
      </c>
      <c r="E670">
        <v>170.21</v>
      </c>
      <c r="F670" t="s">
        <v>44</v>
      </c>
      <c r="G670" t="s">
        <v>56</v>
      </c>
      <c r="H670" t="s">
        <v>34</v>
      </c>
      <c r="I670" t="s">
        <v>146</v>
      </c>
      <c r="J670" t="s">
        <v>4723</v>
      </c>
      <c r="K670">
        <v>60</v>
      </c>
      <c r="L670" t="s">
        <v>37</v>
      </c>
      <c r="M670" t="s">
        <v>23</v>
      </c>
      <c r="N670" t="s">
        <v>112</v>
      </c>
      <c r="O670" t="s">
        <v>28</v>
      </c>
      <c r="P670" t="s">
        <v>31</v>
      </c>
      <c r="Q670">
        <v>0</v>
      </c>
      <c r="R670" t="s">
        <v>12883</v>
      </c>
      <c r="S670" t="s">
        <v>12884</v>
      </c>
    </row>
    <row r="671" spans="1:19" x14ac:dyDescent="0.25">
      <c r="A671" t="s">
        <v>8690</v>
      </c>
      <c r="B671" s="1">
        <v>45948</v>
      </c>
      <c r="C671" t="s">
        <v>12890</v>
      </c>
      <c r="D671" s="5">
        <v>0.78379629629629632</v>
      </c>
      <c r="E671">
        <v>170.18</v>
      </c>
      <c r="F671" t="s">
        <v>44</v>
      </c>
      <c r="G671" t="s">
        <v>171</v>
      </c>
      <c r="H671" t="s">
        <v>22</v>
      </c>
      <c r="I671" t="s">
        <v>146</v>
      </c>
      <c r="J671" t="s">
        <v>8691</v>
      </c>
      <c r="K671">
        <v>38</v>
      </c>
      <c r="L671" t="s">
        <v>25</v>
      </c>
      <c r="M671" t="s">
        <v>248</v>
      </c>
      <c r="N671" t="s">
        <v>39</v>
      </c>
      <c r="O671" t="s">
        <v>28</v>
      </c>
      <c r="P671" t="s">
        <v>31</v>
      </c>
      <c r="Q671">
        <v>0</v>
      </c>
      <c r="R671" t="s">
        <v>12883</v>
      </c>
      <c r="S671" t="s">
        <v>12889</v>
      </c>
    </row>
    <row r="672" spans="1:19" x14ac:dyDescent="0.25">
      <c r="A672" t="s">
        <v>257</v>
      </c>
      <c r="B672" s="1">
        <v>45942</v>
      </c>
      <c r="C672" t="s">
        <v>12890</v>
      </c>
      <c r="D672" s="5">
        <v>9.2766203703703698E-2</v>
      </c>
      <c r="E672">
        <v>170.17</v>
      </c>
      <c r="F672" t="s">
        <v>44</v>
      </c>
      <c r="G672" t="s">
        <v>258</v>
      </c>
      <c r="H672" t="s">
        <v>96</v>
      </c>
      <c r="I672" t="s">
        <v>58</v>
      </c>
      <c r="J672" t="s">
        <v>259</v>
      </c>
      <c r="K672">
        <v>66</v>
      </c>
      <c r="L672" t="s">
        <v>25</v>
      </c>
      <c r="M672" t="s">
        <v>50</v>
      </c>
      <c r="N672" t="s">
        <v>105</v>
      </c>
      <c r="O672" t="s">
        <v>28</v>
      </c>
      <c r="P672" t="s">
        <v>31</v>
      </c>
      <c r="Q672">
        <v>0</v>
      </c>
      <c r="R672" t="s">
        <v>12883</v>
      </c>
      <c r="S672" t="s">
        <v>12884</v>
      </c>
    </row>
    <row r="673" spans="1:19" x14ac:dyDescent="0.25">
      <c r="A673" t="s">
        <v>7515</v>
      </c>
      <c r="B673" s="1">
        <v>45870</v>
      </c>
      <c r="C673" t="s">
        <v>12893</v>
      </c>
      <c r="D673" s="5">
        <v>0.62010416666666668</v>
      </c>
      <c r="E673">
        <v>170.09</v>
      </c>
      <c r="F673" t="s">
        <v>44</v>
      </c>
      <c r="G673" t="s">
        <v>1752</v>
      </c>
      <c r="H673" t="s">
        <v>34</v>
      </c>
      <c r="I673" t="s">
        <v>66</v>
      </c>
      <c r="J673" t="s">
        <v>7516</v>
      </c>
      <c r="K673">
        <v>35</v>
      </c>
      <c r="L673" t="s">
        <v>25</v>
      </c>
      <c r="M673" t="s">
        <v>146</v>
      </c>
      <c r="N673" t="s">
        <v>84</v>
      </c>
      <c r="O673" t="s">
        <v>28</v>
      </c>
      <c r="P673" t="s">
        <v>31</v>
      </c>
      <c r="Q673">
        <v>0</v>
      </c>
      <c r="R673" t="s">
        <v>12883</v>
      </c>
      <c r="S673" t="s">
        <v>12889</v>
      </c>
    </row>
    <row r="674" spans="1:19" x14ac:dyDescent="0.25">
      <c r="A674" t="s">
        <v>945</v>
      </c>
      <c r="B674" s="1">
        <v>45886</v>
      </c>
      <c r="C674" t="s">
        <v>12893</v>
      </c>
      <c r="D674" s="5">
        <v>0.44997685185185188</v>
      </c>
      <c r="E674">
        <v>170</v>
      </c>
      <c r="F674" t="s">
        <v>44</v>
      </c>
      <c r="G674" t="s">
        <v>946</v>
      </c>
      <c r="H674" t="s">
        <v>77</v>
      </c>
      <c r="I674" t="s">
        <v>26</v>
      </c>
      <c r="J674" t="s">
        <v>947</v>
      </c>
      <c r="K674">
        <v>74</v>
      </c>
      <c r="L674" t="s">
        <v>25</v>
      </c>
      <c r="M674" t="s">
        <v>248</v>
      </c>
      <c r="N674" t="s">
        <v>27</v>
      </c>
      <c r="O674" t="s">
        <v>28</v>
      </c>
      <c r="P674" t="s">
        <v>31</v>
      </c>
      <c r="Q674">
        <v>0</v>
      </c>
      <c r="R674" t="s">
        <v>12883</v>
      </c>
      <c r="S674" t="s">
        <v>12884</v>
      </c>
    </row>
    <row r="675" spans="1:19" x14ac:dyDescent="0.25">
      <c r="A675" t="s">
        <v>3793</v>
      </c>
      <c r="B675" s="1">
        <v>45849</v>
      </c>
      <c r="C675" t="s">
        <v>12885</v>
      </c>
      <c r="D675" s="5">
        <v>3.9432870370370368E-2</v>
      </c>
      <c r="E675">
        <v>169.9</v>
      </c>
      <c r="F675" t="s">
        <v>44</v>
      </c>
      <c r="G675" t="s">
        <v>1776</v>
      </c>
      <c r="H675" t="s">
        <v>124</v>
      </c>
      <c r="I675" t="s">
        <v>146</v>
      </c>
      <c r="J675" t="s">
        <v>3794</v>
      </c>
      <c r="K675">
        <v>25</v>
      </c>
      <c r="L675" t="s">
        <v>37</v>
      </c>
      <c r="M675" t="s">
        <v>58</v>
      </c>
      <c r="N675" t="s">
        <v>105</v>
      </c>
      <c r="O675" t="s">
        <v>28</v>
      </c>
      <c r="P675" t="s">
        <v>31</v>
      </c>
      <c r="Q675">
        <v>0</v>
      </c>
      <c r="R675" t="s">
        <v>12883</v>
      </c>
      <c r="S675" t="s">
        <v>12889</v>
      </c>
    </row>
    <row r="676" spans="1:19" x14ac:dyDescent="0.25">
      <c r="A676" t="s">
        <v>12541</v>
      </c>
      <c r="B676" s="1">
        <v>45801</v>
      </c>
      <c r="C676" t="s">
        <v>12887</v>
      </c>
      <c r="D676" s="5">
        <v>0.2265625</v>
      </c>
      <c r="E676">
        <v>169.77</v>
      </c>
      <c r="F676" t="s">
        <v>44</v>
      </c>
      <c r="G676" t="s">
        <v>8153</v>
      </c>
      <c r="H676" t="s">
        <v>64</v>
      </c>
      <c r="I676" t="s">
        <v>91</v>
      </c>
      <c r="J676" t="s">
        <v>12542</v>
      </c>
      <c r="K676">
        <v>70</v>
      </c>
      <c r="L676" t="s">
        <v>37</v>
      </c>
      <c r="M676" t="s">
        <v>91</v>
      </c>
      <c r="N676" t="s">
        <v>84</v>
      </c>
      <c r="O676" t="s">
        <v>113</v>
      </c>
      <c r="P676" t="s">
        <v>31</v>
      </c>
      <c r="Q676">
        <v>0</v>
      </c>
      <c r="R676" t="s">
        <v>12883</v>
      </c>
      <c r="S676" t="s">
        <v>12884</v>
      </c>
    </row>
    <row r="677" spans="1:19" x14ac:dyDescent="0.25">
      <c r="A677" t="s">
        <v>12772</v>
      </c>
      <c r="B677" s="1">
        <v>45826</v>
      </c>
      <c r="C677" t="s">
        <v>12888</v>
      </c>
      <c r="D677" s="5">
        <v>0.98629629629629634</v>
      </c>
      <c r="E677">
        <v>169.74</v>
      </c>
      <c r="F677" t="s">
        <v>44</v>
      </c>
      <c r="G677" t="s">
        <v>7528</v>
      </c>
      <c r="H677" t="s">
        <v>89</v>
      </c>
      <c r="I677" t="s">
        <v>26</v>
      </c>
      <c r="J677" t="s">
        <v>12773</v>
      </c>
      <c r="K677">
        <v>68</v>
      </c>
      <c r="L677" t="s">
        <v>37</v>
      </c>
      <c r="M677" t="s">
        <v>50</v>
      </c>
      <c r="N677" t="s">
        <v>51</v>
      </c>
      <c r="O677" t="s">
        <v>28</v>
      </c>
      <c r="P677" t="s">
        <v>31</v>
      </c>
      <c r="Q677">
        <v>0</v>
      </c>
      <c r="R677" t="s">
        <v>12883</v>
      </c>
      <c r="S677" t="s">
        <v>12884</v>
      </c>
    </row>
    <row r="678" spans="1:19" x14ac:dyDescent="0.25">
      <c r="A678" t="s">
        <v>8370</v>
      </c>
      <c r="B678" s="1">
        <v>45866</v>
      </c>
      <c r="C678" t="s">
        <v>12885</v>
      </c>
      <c r="D678" s="5">
        <v>0.30476851851851849</v>
      </c>
      <c r="E678">
        <v>169.67</v>
      </c>
      <c r="F678" t="s">
        <v>44</v>
      </c>
      <c r="G678" t="s">
        <v>4319</v>
      </c>
      <c r="H678" t="s">
        <v>64</v>
      </c>
      <c r="I678" t="s">
        <v>66</v>
      </c>
      <c r="J678" t="s">
        <v>8371</v>
      </c>
      <c r="K678">
        <v>44</v>
      </c>
      <c r="L678" t="s">
        <v>37</v>
      </c>
      <c r="M678" t="s">
        <v>97</v>
      </c>
      <c r="N678" t="s">
        <v>84</v>
      </c>
      <c r="O678" t="s">
        <v>28</v>
      </c>
      <c r="P678" t="s">
        <v>31</v>
      </c>
      <c r="Q678">
        <v>0</v>
      </c>
      <c r="R678" t="s">
        <v>12883</v>
      </c>
      <c r="S678" t="s">
        <v>12886</v>
      </c>
    </row>
    <row r="679" spans="1:19" x14ac:dyDescent="0.25">
      <c r="A679" t="s">
        <v>10432</v>
      </c>
      <c r="B679" s="1">
        <v>45906</v>
      </c>
      <c r="C679" t="s">
        <v>12882</v>
      </c>
      <c r="D679" s="5">
        <v>0.22358796296296296</v>
      </c>
      <c r="E679">
        <v>169.56</v>
      </c>
      <c r="F679" t="s">
        <v>44</v>
      </c>
      <c r="G679" t="s">
        <v>10433</v>
      </c>
      <c r="H679" t="s">
        <v>34</v>
      </c>
      <c r="I679" t="s">
        <v>66</v>
      </c>
      <c r="J679" t="s">
        <v>10434</v>
      </c>
      <c r="K679">
        <v>75</v>
      </c>
      <c r="L679" t="s">
        <v>49</v>
      </c>
      <c r="M679" t="s">
        <v>58</v>
      </c>
      <c r="N679" t="s">
        <v>27</v>
      </c>
      <c r="O679" t="s">
        <v>28</v>
      </c>
      <c r="P679" t="s">
        <v>31</v>
      </c>
      <c r="Q679">
        <v>0</v>
      </c>
      <c r="R679" t="s">
        <v>12883</v>
      </c>
      <c r="S679" t="s">
        <v>12884</v>
      </c>
    </row>
    <row r="680" spans="1:19" x14ac:dyDescent="0.25">
      <c r="A680" t="s">
        <v>11715</v>
      </c>
      <c r="B680" s="1">
        <v>45877</v>
      </c>
      <c r="C680" t="s">
        <v>12893</v>
      </c>
      <c r="D680" s="5">
        <v>0.30428240740740742</v>
      </c>
      <c r="E680">
        <v>169.21</v>
      </c>
      <c r="F680" t="s">
        <v>44</v>
      </c>
      <c r="G680" t="s">
        <v>8383</v>
      </c>
      <c r="H680" t="s">
        <v>89</v>
      </c>
      <c r="I680" t="s">
        <v>38</v>
      </c>
      <c r="J680" t="s">
        <v>11716</v>
      </c>
      <c r="K680">
        <v>33</v>
      </c>
      <c r="L680" t="s">
        <v>25</v>
      </c>
      <c r="M680" t="s">
        <v>130</v>
      </c>
      <c r="N680" t="s">
        <v>112</v>
      </c>
      <c r="O680" t="s">
        <v>28</v>
      </c>
      <c r="P680" t="s">
        <v>31</v>
      </c>
      <c r="Q680">
        <v>0</v>
      </c>
      <c r="R680" t="s">
        <v>12883</v>
      </c>
      <c r="S680" t="s">
        <v>12889</v>
      </c>
    </row>
    <row r="681" spans="1:19" x14ac:dyDescent="0.25">
      <c r="A681" t="s">
        <v>1962</v>
      </c>
      <c r="B681" s="1">
        <v>45906</v>
      </c>
      <c r="C681" t="s">
        <v>12882</v>
      </c>
      <c r="D681" s="5">
        <v>0.29097222222222224</v>
      </c>
      <c r="E681">
        <v>169.2</v>
      </c>
      <c r="F681" t="s">
        <v>44</v>
      </c>
      <c r="G681" t="s">
        <v>1963</v>
      </c>
      <c r="H681" t="s">
        <v>34</v>
      </c>
      <c r="I681" t="s">
        <v>248</v>
      </c>
      <c r="J681" t="s">
        <v>1964</v>
      </c>
      <c r="K681">
        <v>24</v>
      </c>
      <c r="L681" t="s">
        <v>49</v>
      </c>
      <c r="M681" t="s">
        <v>130</v>
      </c>
      <c r="N681" t="s">
        <v>27</v>
      </c>
      <c r="O681" t="s">
        <v>28</v>
      </c>
      <c r="P681" t="s">
        <v>31</v>
      </c>
      <c r="Q681">
        <v>0</v>
      </c>
      <c r="R681" t="s">
        <v>12883</v>
      </c>
      <c r="S681" t="s">
        <v>12892</v>
      </c>
    </row>
    <row r="682" spans="1:19" x14ac:dyDescent="0.25">
      <c r="A682" t="s">
        <v>6961</v>
      </c>
      <c r="B682" s="1">
        <v>45838</v>
      </c>
      <c r="C682" t="s">
        <v>12888</v>
      </c>
      <c r="D682" s="5">
        <v>0.61935185185185182</v>
      </c>
      <c r="E682">
        <v>169.17</v>
      </c>
      <c r="F682" t="s">
        <v>44</v>
      </c>
      <c r="G682" t="s">
        <v>145</v>
      </c>
      <c r="H682" t="s">
        <v>57</v>
      </c>
      <c r="I682" t="s">
        <v>23</v>
      </c>
      <c r="J682" t="s">
        <v>6962</v>
      </c>
      <c r="K682">
        <v>59</v>
      </c>
      <c r="L682" t="s">
        <v>25</v>
      </c>
      <c r="M682" t="s">
        <v>23</v>
      </c>
      <c r="N682" t="s">
        <v>51</v>
      </c>
      <c r="O682" t="s">
        <v>113</v>
      </c>
      <c r="P682" t="s">
        <v>31</v>
      </c>
      <c r="Q682">
        <v>0</v>
      </c>
      <c r="R682" t="s">
        <v>12883</v>
      </c>
      <c r="S682" t="s">
        <v>12886</v>
      </c>
    </row>
    <row r="683" spans="1:19" x14ac:dyDescent="0.25">
      <c r="A683" t="s">
        <v>2329</v>
      </c>
      <c r="B683" s="1">
        <v>45857</v>
      </c>
      <c r="C683" t="s">
        <v>12885</v>
      </c>
      <c r="D683" s="5">
        <v>0.51307870370370368</v>
      </c>
      <c r="E683">
        <v>169.15</v>
      </c>
      <c r="F683" t="s">
        <v>44</v>
      </c>
      <c r="G683" t="s">
        <v>2330</v>
      </c>
      <c r="H683" t="s">
        <v>89</v>
      </c>
      <c r="I683" t="s">
        <v>50</v>
      </c>
      <c r="J683" t="s">
        <v>2331</v>
      </c>
      <c r="K683">
        <v>20</v>
      </c>
      <c r="L683" t="s">
        <v>49</v>
      </c>
      <c r="M683" t="s">
        <v>119</v>
      </c>
      <c r="N683" t="s">
        <v>27</v>
      </c>
      <c r="O683" t="s">
        <v>28</v>
      </c>
      <c r="P683" t="s">
        <v>31</v>
      </c>
      <c r="Q683">
        <v>0</v>
      </c>
      <c r="R683" t="s">
        <v>12883</v>
      </c>
      <c r="S683" t="s">
        <v>12892</v>
      </c>
    </row>
    <row r="684" spans="1:19" x14ac:dyDescent="0.25">
      <c r="A684" t="s">
        <v>8718</v>
      </c>
      <c r="B684" s="1">
        <v>45834</v>
      </c>
      <c r="C684" t="s">
        <v>12888</v>
      </c>
      <c r="D684" s="5">
        <v>0.48662037037037037</v>
      </c>
      <c r="E684">
        <v>169.09</v>
      </c>
      <c r="F684" t="s">
        <v>44</v>
      </c>
      <c r="G684" t="s">
        <v>521</v>
      </c>
      <c r="H684" t="s">
        <v>64</v>
      </c>
      <c r="I684" t="s">
        <v>110</v>
      </c>
      <c r="J684" t="s">
        <v>8719</v>
      </c>
      <c r="K684">
        <v>25</v>
      </c>
      <c r="L684" t="s">
        <v>37</v>
      </c>
      <c r="M684" t="s">
        <v>23</v>
      </c>
      <c r="N684" t="s">
        <v>84</v>
      </c>
      <c r="O684" t="s">
        <v>28</v>
      </c>
      <c r="P684" t="s">
        <v>31</v>
      </c>
      <c r="Q684">
        <v>0</v>
      </c>
      <c r="R684" t="s">
        <v>12883</v>
      </c>
      <c r="S684" t="s">
        <v>12889</v>
      </c>
    </row>
    <row r="685" spans="1:19" x14ac:dyDescent="0.25">
      <c r="A685" t="s">
        <v>11513</v>
      </c>
      <c r="B685" s="1">
        <v>45840</v>
      </c>
      <c r="C685" t="s">
        <v>12885</v>
      </c>
      <c r="D685" s="5">
        <v>0.51817129629629632</v>
      </c>
      <c r="E685">
        <v>168.92</v>
      </c>
      <c r="F685" t="s">
        <v>44</v>
      </c>
      <c r="G685" t="s">
        <v>3617</v>
      </c>
      <c r="H685" t="s">
        <v>124</v>
      </c>
      <c r="I685" t="s">
        <v>119</v>
      </c>
      <c r="J685" t="s">
        <v>11514</v>
      </c>
      <c r="K685">
        <v>66</v>
      </c>
      <c r="L685" t="s">
        <v>37</v>
      </c>
      <c r="M685" t="s">
        <v>146</v>
      </c>
      <c r="N685" t="s">
        <v>51</v>
      </c>
      <c r="O685" t="s">
        <v>28</v>
      </c>
      <c r="P685" t="s">
        <v>31</v>
      </c>
      <c r="Q685">
        <v>0</v>
      </c>
      <c r="R685" t="s">
        <v>12883</v>
      </c>
      <c r="S685" t="s">
        <v>12884</v>
      </c>
    </row>
    <row r="686" spans="1:19" x14ac:dyDescent="0.25">
      <c r="A686" t="s">
        <v>3599</v>
      </c>
      <c r="B686" s="1">
        <v>45896</v>
      </c>
      <c r="C686" t="s">
        <v>12893</v>
      </c>
      <c r="D686" s="5">
        <v>7.4907407407407409E-2</v>
      </c>
      <c r="E686">
        <v>168.69</v>
      </c>
      <c r="F686" t="s">
        <v>44</v>
      </c>
      <c r="G686" t="s">
        <v>3600</v>
      </c>
      <c r="H686" t="s">
        <v>96</v>
      </c>
      <c r="I686" t="s">
        <v>23</v>
      </c>
      <c r="J686" t="s">
        <v>3601</v>
      </c>
      <c r="K686">
        <v>45</v>
      </c>
      <c r="L686" t="s">
        <v>49</v>
      </c>
      <c r="M686" t="s">
        <v>97</v>
      </c>
      <c r="N686" t="s">
        <v>84</v>
      </c>
      <c r="O686" t="s">
        <v>28</v>
      </c>
      <c r="P686" t="s">
        <v>31</v>
      </c>
      <c r="Q686">
        <v>0</v>
      </c>
      <c r="R686" t="s">
        <v>12883</v>
      </c>
      <c r="S686" t="s">
        <v>12886</v>
      </c>
    </row>
    <row r="687" spans="1:19" x14ac:dyDescent="0.25">
      <c r="A687" t="s">
        <v>585</v>
      </c>
      <c r="B687" s="1">
        <v>45920</v>
      </c>
      <c r="C687" t="s">
        <v>12882</v>
      </c>
      <c r="D687" s="5">
        <v>0.51976851851851846</v>
      </c>
      <c r="E687">
        <v>168.6</v>
      </c>
      <c r="F687" t="s">
        <v>44</v>
      </c>
      <c r="G687" t="s">
        <v>586</v>
      </c>
      <c r="H687" t="s">
        <v>22</v>
      </c>
      <c r="I687" t="s">
        <v>58</v>
      </c>
      <c r="J687" t="s">
        <v>587</v>
      </c>
      <c r="K687">
        <v>28</v>
      </c>
      <c r="L687" t="s">
        <v>37</v>
      </c>
      <c r="M687" t="s">
        <v>130</v>
      </c>
      <c r="N687" t="s">
        <v>39</v>
      </c>
      <c r="O687" t="s">
        <v>28</v>
      </c>
      <c r="P687" t="s">
        <v>31</v>
      </c>
      <c r="Q687">
        <v>0</v>
      </c>
      <c r="R687" t="s">
        <v>12883</v>
      </c>
      <c r="S687" t="s">
        <v>12889</v>
      </c>
    </row>
    <row r="688" spans="1:19" x14ac:dyDescent="0.25">
      <c r="A688" t="s">
        <v>10270</v>
      </c>
      <c r="B688" s="1">
        <v>45857</v>
      </c>
      <c r="C688" t="s">
        <v>12885</v>
      </c>
      <c r="D688" s="5">
        <v>0.8443518518518518</v>
      </c>
      <c r="E688">
        <v>168.56</v>
      </c>
      <c r="F688" t="s">
        <v>44</v>
      </c>
      <c r="G688" t="s">
        <v>313</v>
      </c>
      <c r="H688" t="s">
        <v>34</v>
      </c>
      <c r="I688" t="s">
        <v>66</v>
      </c>
      <c r="J688" t="s">
        <v>10271</v>
      </c>
      <c r="K688">
        <v>65</v>
      </c>
      <c r="L688" t="s">
        <v>37</v>
      </c>
      <c r="M688" t="s">
        <v>119</v>
      </c>
      <c r="N688" t="s">
        <v>39</v>
      </c>
      <c r="O688" t="s">
        <v>28</v>
      </c>
      <c r="P688" t="s">
        <v>31</v>
      </c>
      <c r="Q688">
        <v>1</v>
      </c>
      <c r="R688" t="s">
        <v>12891</v>
      </c>
      <c r="S688" t="s">
        <v>12884</v>
      </c>
    </row>
    <row r="689" spans="1:19" x14ac:dyDescent="0.25">
      <c r="A689" t="s">
        <v>1464</v>
      </c>
      <c r="B689" s="1">
        <v>45805</v>
      </c>
      <c r="C689" t="s">
        <v>12887</v>
      </c>
      <c r="D689" s="5">
        <v>0.93201388888888892</v>
      </c>
      <c r="E689">
        <v>168.5</v>
      </c>
      <c r="F689" t="s">
        <v>44</v>
      </c>
      <c r="G689" t="s">
        <v>1465</v>
      </c>
      <c r="H689" t="s">
        <v>71</v>
      </c>
      <c r="I689" t="s">
        <v>35</v>
      </c>
      <c r="J689" t="s">
        <v>1466</v>
      </c>
      <c r="K689">
        <v>29</v>
      </c>
      <c r="L689" t="s">
        <v>25</v>
      </c>
      <c r="M689" t="s">
        <v>35</v>
      </c>
      <c r="N689" t="s">
        <v>27</v>
      </c>
      <c r="O689" t="s">
        <v>113</v>
      </c>
      <c r="P689" t="s">
        <v>31</v>
      </c>
      <c r="Q689">
        <v>0</v>
      </c>
      <c r="R689" t="s">
        <v>12883</v>
      </c>
      <c r="S689" t="s">
        <v>12889</v>
      </c>
    </row>
    <row r="690" spans="1:19" x14ac:dyDescent="0.25">
      <c r="A690" t="s">
        <v>5602</v>
      </c>
      <c r="B690" s="1">
        <v>45830</v>
      </c>
      <c r="C690" t="s">
        <v>12888</v>
      </c>
      <c r="D690" s="5">
        <v>0.42799768518518516</v>
      </c>
      <c r="E690">
        <v>168.45</v>
      </c>
      <c r="F690" t="s">
        <v>44</v>
      </c>
      <c r="G690" t="s">
        <v>5603</v>
      </c>
      <c r="H690" t="s">
        <v>64</v>
      </c>
      <c r="I690" t="s">
        <v>50</v>
      </c>
      <c r="J690" t="s">
        <v>5604</v>
      </c>
      <c r="K690">
        <v>50</v>
      </c>
      <c r="L690" t="s">
        <v>49</v>
      </c>
      <c r="M690" t="s">
        <v>26</v>
      </c>
      <c r="N690" t="s">
        <v>112</v>
      </c>
      <c r="O690" t="s">
        <v>28</v>
      </c>
      <c r="P690" t="s">
        <v>31</v>
      </c>
      <c r="Q690">
        <v>1</v>
      </c>
      <c r="R690" t="s">
        <v>12891</v>
      </c>
      <c r="S690" t="s">
        <v>12886</v>
      </c>
    </row>
    <row r="691" spans="1:19" x14ac:dyDescent="0.25">
      <c r="A691" t="s">
        <v>1219</v>
      </c>
      <c r="B691" s="1">
        <v>45877</v>
      </c>
      <c r="C691" t="s">
        <v>12893</v>
      </c>
      <c r="D691" s="5">
        <v>0.16674768518518518</v>
      </c>
      <c r="E691">
        <v>168.42</v>
      </c>
      <c r="F691" t="s">
        <v>44</v>
      </c>
      <c r="G691" t="s">
        <v>140</v>
      </c>
      <c r="H691" t="s">
        <v>34</v>
      </c>
      <c r="I691" t="s">
        <v>130</v>
      </c>
      <c r="J691" t="s">
        <v>1220</v>
      </c>
      <c r="K691">
        <v>35</v>
      </c>
      <c r="L691" t="s">
        <v>25</v>
      </c>
      <c r="M691" t="s">
        <v>119</v>
      </c>
      <c r="N691" t="s">
        <v>112</v>
      </c>
      <c r="O691" t="s">
        <v>28</v>
      </c>
      <c r="P691" t="s">
        <v>31</v>
      </c>
      <c r="Q691">
        <v>0</v>
      </c>
      <c r="R691" t="s">
        <v>12883</v>
      </c>
      <c r="S691" t="s">
        <v>12889</v>
      </c>
    </row>
    <row r="692" spans="1:19" x14ac:dyDescent="0.25">
      <c r="A692" t="s">
        <v>7628</v>
      </c>
      <c r="B692" s="1">
        <v>45871</v>
      </c>
      <c r="C692" t="s">
        <v>12893</v>
      </c>
      <c r="D692" s="5">
        <v>0.28752314814814817</v>
      </c>
      <c r="E692">
        <v>168.4</v>
      </c>
      <c r="F692" t="s">
        <v>44</v>
      </c>
      <c r="G692" t="s">
        <v>237</v>
      </c>
      <c r="H692" t="s">
        <v>46</v>
      </c>
      <c r="I692" t="s">
        <v>248</v>
      </c>
      <c r="J692" t="s">
        <v>7629</v>
      </c>
      <c r="K692">
        <v>64</v>
      </c>
      <c r="L692" t="s">
        <v>25</v>
      </c>
      <c r="M692" t="s">
        <v>119</v>
      </c>
      <c r="N692" t="s">
        <v>84</v>
      </c>
      <c r="O692" t="s">
        <v>28</v>
      </c>
      <c r="P692" t="s">
        <v>31</v>
      </c>
      <c r="Q692">
        <v>0</v>
      </c>
      <c r="R692" t="s">
        <v>12883</v>
      </c>
      <c r="S692" t="s">
        <v>12884</v>
      </c>
    </row>
    <row r="693" spans="1:19" x14ac:dyDescent="0.25">
      <c r="A693" t="s">
        <v>12169</v>
      </c>
      <c r="B693" s="1">
        <v>45940</v>
      </c>
      <c r="C693" t="s">
        <v>12890</v>
      </c>
      <c r="D693" s="5">
        <v>0.71432870370370372</v>
      </c>
      <c r="E693">
        <v>168.08</v>
      </c>
      <c r="F693" t="s">
        <v>44</v>
      </c>
      <c r="G693" t="s">
        <v>8932</v>
      </c>
      <c r="H693" t="s">
        <v>96</v>
      </c>
      <c r="I693" t="s">
        <v>119</v>
      </c>
      <c r="J693" t="s">
        <v>12170</v>
      </c>
      <c r="K693">
        <v>49</v>
      </c>
      <c r="L693" t="s">
        <v>25</v>
      </c>
      <c r="M693" t="s">
        <v>23</v>
      </c>
      <c r="N693" t="s">
        <v>112</v>
      </c>
      <c r="O693" t="s">
        <v>28</v>
      </c>
      <c r="P693" t="s">
        <v>31</v>
      </c>
      <c r="Q693">
        <v>0</v>
      </c>
      <c r="R693" t="s">
        <v>12883</v>
      </c>
      <c r="S693" t="s">
        <v>12886</v>
      </c>
    </row>
    <row r="694" spans="1:19" x14ac:dyDescent="0.25">
      <c r="A694" t="s">
        <v>4102</v>
      </c>
      <c r="B694" s="1">
        <v>45908</v>
      </c>
      <c r="C694" t="s">
        <v>12882</v>
      </c>
      <c r="D694" s="5">
        <v>0.52972222222222221</v>
      </c>
      <c r="E694">
        <v>168.02</v>
      </c>
      <c r="F694" t="s">
        <v>44</v>
      </c>
      <c r="G694" t="s">
        <v>531</v>
      </c>
      <c r="H694" t="s">
        <v>64</v>
      </c>
      <c r="I694" t="s">
        <v>26</v>
      </c>
      <c r="J694" t="s">
        <v>4103</v>
      </c>
      <c r="K694">
        <v>25</v>
      </c>
      <c r="L694" t="s">
        <v>37</v>
      </c>
      <c r="M694" t="s">
        <v>110</v>
      </c>
      <c r="N694" t="s">
        <v>39</v>
      </c>
      <c r="O694" t="s">
        <v>28</v>
      </c>
      <c r="P694" t="s">
        <v>31</v>
      </c>
      <c r="Q694">
        <v>0</v>
      </c>
      <c r="R694" t="s">
        <v>12883</v>
      </c>
      <c r="S694" t="s">
        <v>12889</v>
      </c>
    </row>
    <row r="695" spans="1:19" x14ac:dyDescent="0.25">
      <c r="A695" t="s">
        <v>4718</v>
      </c>
      <c r="B695" s="1">
        <v>45871</v>
      </c>
      <c r="C695" t="s">
        <v>12893</v>
      </c>
      <c r="D695" s="5">
        <v>0.79631944444444447</v>
      </c>
      <c r="E695">
        <v>167.88</v>
      </c>
      <c r="F695" t="s">
        <v>44</v>
      </c>
      <c r="G695" t="s">
        <v>2259</v>
      </c>
      <c r="H695" t="s">
        <v>46</v>
      </c>
      <c r="I695" t="s">
        <v>26</v>
      </c>
      <c r="J695" t="s">
        <v>4719</v>
      </c>
      <c r="K695">
        <v>19</v>
      </c>
      <c r="L695" t="s">
        <v>37</v>
      </c>
      <c r="M695" t="s">
        <v>97</v>
      </c>
      <c r="N695" t="s">
        <v>112</v>
      </c>
      <c r="O695" t="s">
        <v>28</v>
      </c>
      <c r="P695" t="s">
        <v>31</v>
      </c>
      <c r="Q695">
        <v>0</v>
      </c>
      <c r="R695" t="s">
        <v>12883</v>
      </c>
      <c r="S695" t="s">
        <v>12892</v>
      </c>
    </row>
    <row r="696" spans="1:19" x14ac:dyDescent="0.25">
      <c r="A696" t="s">
        <v>5080</v>
      </c>
      <c r="B696" s="1">
        <v>45810</v>
      </c>
      <c r="C696" t="s">
        <v>12888</v>
      </c>
      <c r="D696" s="5">
        <v>0.20119212962962962</v>
      </c>
      <c r="E696">
        <v>167.53</v>
      </c>
      <c r="F696" t="s">
        <v>44</v>
      </c>
      <c r="G696" t="s">
        <v>5081</v>
      </c>
      <c r="H696" t="s">
        <v>89</v>
      </c>
      <c r="I696" t="s">
        <v>248</v>
      </c>
      <c r="J696" t="s">
        <v>5082</v>
      </c>
      <c r="K696">
        <v>62</v>
      </c>
      <c r="L696" t="s">
        <v>25</v>
      </c>
      <c r="M696" t="s">
        <v>26</v>
      </c>
      <c r="N696" t="s">
        <v>105</v>
      </c>
      <c r="O696" t="s">
        <v>28</v>
      </c>
      <c r="P696" t="s">
        <v>31</v>
      </c>
      <c r="Q696">
        <v>0</v>
      </c>
      <c r="R696" t="s">
        <v>12883</v>
      </c>
      <c r="S696" t="s">
        <v>12884</v>
      </c>
    </row>
    <row r="697" spans="1:19" x14ac:dyDescent="0.25">
      <c r="A697" t="s">
        <v>3742</v>
      </c>
      <c r="B697" s="1">
        <v>45937</v>
      </c>
      <c r="C697" t="s">
        <v>12890</v>
      </c>
      <c r="D697" s="5">
        <v>7.7905092592592595E-2</v>
      </c>
      <c r="E697">
        <v>167.45</v>
      </c>
      <c r="F697" t="s">
        <v>44</v>
      </c>
      <c r="G697" t="s">
        <v>3743</v>
      </c>
      <c r="H697" t="s">
        <v>71</v>
      </c>
      <c r="I697" t="s">
        <v>35</v>
      </c>
      <c r="J697" t="s">
        <v>3744</v>
      </c>
      <c r="K697">
        <v>47</v>
      </c>
      <c r="L697" t="s">
        <v>49</v>
      </c>
      <c r="M697" t="s">
        <v>66</v>
      </c>
      <c r="N697" t="s">
        <v>39</v>
      </c>
      <c r="O697" t="s">
        <v>28</v>
      </c>
      <c r="P697" t="s">
        <v>31</v>
      </c>
      <c r="Q697">
        <v>0</v>
      </c>
      <c r="R697" t="s">
        <v>12883</v>
      </c>
      <c r="S697" t="s">
        <v>12886</v>
      </c>
    </row>
    <row r="698" spans="1:19" x14ac:dyDescent="0.25">
      <c r="A698" t="s">
        <v>8803</v>
      </c>
      <c r="B698" s="1">
        <v>45934</v>
      </c>
      <c r="C698" t="s">
        <v>12890</v>
      </c>
      <c r="D698" s="5">
        <v>0.25486111111111109</v>
      </c>
      <c r="E698">
        <v>167.36</v>
      </c>
      <c r="F698" t="s">
        <v>44</v>
      </c>
      <c r="G698" t="s">
        <v>1380</v>
      </c>
      <c r="H698" t="s">
        <v>46</v>
      </c>
      <c r="I698" t="s">
        <v>146</v>
      </c>
      <c r="J698" t="s">
        <v>8804</v>
      </c>
      <c r="K698">
        <v>57</v>
      </c>
      <c r="L698" t="s">
        <v>37</v>
      </c>
      <c r="M698" t="s">
        <v>23</v>
      </c>
      <c r="N698" t="s">
        <v>105</v>
      </c>
      <c r="O698" t="s">
        <v>28</v>
      </c>
      <c r="P698" t="s">
        <v>31</v>
      </c>
      <c r="Q698">
        <v>0</v>
      </c>
      <c r="R698" t="s">
        <v>12883</v>
      </c>
      <c r="S698" t="s">
        <v>12886</v>
      </c>
    </row>
    <row r="699" spans="1:19" x14ac:dyDescent="0.25">
      <c r="A699" t="s">
        <v>10381</v>
      </c>
      <c r="B699" s="1">
        <v>45850</v>
      </c>
      <c r="C699" t="s">
        <v>12885</v>
      </c>
      <c r="D699" s="5">
        <v>0.60850694444444442</v>
      </c>
      <c r="E699">
        <v>167.29</v>
      </c>
      <c r="F699" t="s">
        <v>44</v>
      </c>
      <c r="G699" t="s">
        <v>713</v>
      </c>
      <c r="H699" t="s">
        <v>57</v>
      </c>
      <c r="I699" t="s">
        <v>58</v>
      </c>
      <c r="J699" t="s">
        <v>10382</v>
      </c>
      <c r="K699">
        <v>40</v>
      </c>
      <c r="L699" t="s">
        <v>25</v>
      </c>
      <c r="M699" t="s">
        <v>97</v>
      </c>
      <c r="N699" t="s">
        <v>84</v>
      </c>
      <c r="O699" t="s">
        <v>28</v>
      </c>
      <c r="P699" t="s">
        <v>31</v>
      </c>
      <c r="Q699">
        <v>0</v>
      </c>
      <c r="R699" t="s">
        <v>12883</v>
      </c>
      <c r="S699" t="s">
        <v>12886</v>
      </c>
    </row>
    <row r="700" spans="1:19" x14ac:dyDescent="0.25">
      <c r="A700" t="s">
        <v>7064</v>
      </c>
      <c r="B700" s="1">
        <v>45809</v>
      </c>
      <c r="C700" t="s">
        <v>12888</v>
      </c>
      <c r="D700" s="5">
        <v>0.38372685185185185</v>
      </c>
      <c r="E700">
        <v>167.22</v>
      </c>
      <c r="F700" t="s">
        <v>44</v>
      </c>
      <c r="G700" t="s">
        <v>2927</v>
      </c>
      <c r="H700" t="s">
        <v>57</v>
      </c>
      <c r="I700" t="s">
        <v>248</v>
      </c>
      <c r="J700" t="s">
        <v>7065</v>
      </c>
      <c r="K700">
        <v>55</v>
      </c>
      <c r="L700" t="s">
        <v>49</v>
      </c>
      <c r="M700" t="s">
        <v>26</v>
      </c>
      <c r="N700" t="s">
        <v>27</v>
      </c>
      <c r="O700" t="s">
        <v>28</v>
      </c>
      <c r="P700" t="s">
        <v>31</v>
      </c>
      <c r="Q700">
        <v>0</v>
      </c>
      <c r="R700" t="s">
        <v>12883</v>
      </c>
      <c r="S700" t="s">
        <v>12886</v>
      </c>
    </row>
    <row r="701" spans="1:19" x14ac:dyDescent="0.25">
      <c r="A701" t="s">
        <v>10301</v>
      </c>
      <c r="B701" s="1">
        <v>45941</v>
      </c>
      <c r="C701" t="s">
        <v>12890</v>
      </c>
      <c r="D701" s="5">
        <v>0.49722222222222223</v>
      </c>
      <c r="E701">
        <v>166.92</v>
      </c>
      <c r="F701" t="s">
        <v>44</v>
      </c>
      <c r="G701" t="s">
        <v>1752</v>
      </c>
      <c r="H701" t="s">
        <v>71</v>
      </c>
      <c r="I701" t="s">
        <v>130</v>
      </c>
      <c r="J701" t="s">
        <v>10302</v>
      </c>
      <c r="K701">
        <v>34</v>
      </c>
      <c r="L701" t="s">
        <v>25</v>
      </c>
      <c r="M701" t="s">
        <v>38</v>
      </c>
      <c r="N701" t="s">
        <v>105</v>
      </c>
      <c r="O701" t="s">
        <v>28</v>
      </c>
      <c r="P701" t="s">
        <v>31</v>
      </c>
      <c r="Q701">
        <v>0</v>
      </c>
      <c r="R701" t="s">
        <v>12883</v>
      </c>
      <c r="S701" t="s">
        <v>12889</v>
      </c>
    </row>
    <row r="702" spans="1:19" x14ac:dyDescent="0.25">
      <c r="A702" t="s">
        <v>10895</v>
      </c>
      <c r="B702" s="1">
        <v>45880</v>
      </c>
      <c r="C702" t="s">
        <v>12893</v>
      </c>
      <c r="D702" s="5">
        <v>0.16077546296296297</v>
      </c>
      <c r="E702">
        <v>166.92</v>
      </c>
      <c r="F702" t="s">
        <v>44</v>
      </c>
      <c r="G702" t="s">
        <v>7144</v>
      </c>
      <c r="H702" t="s">
        <v>89</v>
      </c>
      <c r="I702" t="s">
        <v>66</v>
      </c>
      <c r="J702" t="s">
        <v>10896</v>
      </c>
      <c r="K702">
        <v>38</v>
      </c>
      <c r="L702" t="s">
        <v>49</v>
      </c>
      <c r="M702" t="s">
        <v>91</v>
      </c>
      <c r="N702" t="s">
        <v>105</v>
      </c>
      <c r="O702" t="s">
        <v>28</v>
      </c>
      <c r="P702" t="s">
        <v>31</v>
      </c>
      <c r="Q702">
        <v>0</v>
      </c>
      <c r="R702" t="s">
        <v>12883</v>
      </c>
      <c r="S702" t="s">
        <v>12889</v>
      </c>
    </row>
    <row r="703" spans="1:19" x14ac:dyDescent="0.25">
      <c r="A703" t="s">
        <v>8731</v>
      </c>
      <c r="B703" s="1">
        <v>45941</v>
      </c>
      <c r="C703" t="s">
        <v>12890</v>
      </c>
      <c r="D703" s="5">
        <v>0.90262731481481484</v>
      </c>
      <c r="E703">
        <v>166.87</v>
      </c>
      <c r="F703" t="s">
        <v>44</v>
      </c>
      <c r="G703" t="s">
        <v>8732</v>
      </c>
      <c r="H703" t="s">
        <v>71</v>
      </c>
      <c r="I703" t="s">
        <v>38</v>
      </c>
      <c r="J703" t="s">
        <v>8733</v>
      </c>
      <c r="K703">
        <v>95</v>
      </c>
      <c r="L703" t="s">
        <v>37</v>
      </c>
      <c r="M703" t="s">
        <v>97</v>
      </c>
      <c r="N703" t="s">
        <v>105</v>
      </c>
      <c r="O703" t="s">
        <v>28</v>
      </c>
      <c r="P703" t="s">
        <v>31</v>
      </c>
      <c r="Q703">
        <v>0</v>
      </c>
      <c r="R703" t="s">
        <v>12883</v>
      </c>
      <c r="S703" t="s">
        <v>12884</v>
      </c>
    </row>
    <row r="704" spans="1:19" x14ac:dyDescent="0.25">
      <c r="A704" t="s">
        <v>5268</v>
      </c>
      <c r="B704" s="1">
        <v>45835</v>
      </c>
      <c r="C704" t="s">
        <v>12888</v>
      </c>
      <c r="D704" s="5">
        <v>0.24400462962962963</v>
      </c>
      <c r="E704">
        <v>166.85</v>
      </c>
      <c r="F704" t="s">
        <v>44</v>
      </c>
      <c r="G704" t="s">
        <v>5269</v>
      </c>
      <c r="H704" t="s">
        <v>96</v>
      </c>
      <c r="I704" t="s">
        <v>97</v>
      </c>
      <c r="J704" t="s">
        <v>5270</v>
      </c>
      <c r="K704">
        <v>32</v>
      </c>
      <c r="L704" t="s">
        <v>49</v>
      </c>
      <c r="M704" t="s">
        <v>130</v>
      </c>
      <c r="N704" t="s">
        <v>27</v>
      </c>
      <c r="O704" t="s">
        <v>28</v>
      </c>
      <c r="P704" t="s">
        <v>31</v>
      </c>
      <c r="Q704">
        <v>0</v>
      </c>
      <c r="R704" t="s">
        <v>12883</v>
      </c>
      <c r="S704" t="s">
        <v>12889</v>
      </c>
    </row>
    <row r="705" spans="1:19" x14ac:dyDescent="0.25">
      <c r="A705" t="s">
        <v>5581</v>
      </c>
      <c r="B705" s="1">
        <v>45859</v>
      </c>
      <c r="C705" t="s">
        <v>12885</v>
      </c>
      <c r="D705" s="5">
        <v>3.9872685185185185E-2</v>
      </c>
      <c r="E705">
        <v>166.82</v>
      </c>
      <c r="F705" t="s">
        <v>44</v>
      </c>
      <c r="G705" t="s">
        <v>5582</v>
      </c>
      <c r="H705" t="s">
        <v>89</v>
      </c>
      <c r="I705" t="s">
        <v>97</v>
      </c>
      <c r="J705" t="s">
        <v>5583</v>
      </c>
      <c r="K705">
        <v>56</v>
      </c>
      <c r="L705" t="s">
        <v>25</v>
      </c>
      <c r="M705" t="s">
        <v>119</v>
      </c>
      <c r="N705" t="s">
        <v>112</v>
      </c>
      <c r="O705" t="s">
        <v>28</v>
      </c>
      <c r="P705" t="s">
        <v>31</v>
      </c>
      <c r="Q705">
        <v>0</v>
      </c>
      <c r="R705" t="s">
        <v>12883</v>
      </c>
      <c r="S705" t="s">
        <v>12886</v>
      </c>
    </row>
    <row r="706" spans="1:19" x14ac:dyDescent="0.25">
      <c r="A706" t="s">
        <v>11509</v>
      </c>
      <c r="B706" s="1">
        <v>45901</v>
      </c>
      <c r="C706" t="s">
        <v>12882</v>
      </c>
      <c r="D706" s="5">
        <v>0.75979166666666664</v>
      </c>
      <c r="E706">
        <v>166.49</v>
      </c>
      <c r="F706" t="s">
        <v>44</v>
      </c>
      <c r="G706" t="s">
        <v>9312</v>
      </c>
      <c r="H706" t="s">
        <v>64</v>
      </c>
      <c r="I706" t="s">
        <v>97</v>
      </c>
      <c r="J706" t="s">
        <v>11510</v>
      </c>
      <c r="K706">
        <v>49</v>
      </c>
      <c r="L706" t="s">
        <v>25</v>
      </c>
      <c r="M706" t="s">
        <v>91</v>
      </c>
      <c r="N706" t="s">
        <v>51</v>
      </c>
      <c r="O706" t="s">
        <v>28</v>
      </c>
      <c r="P706" t="s">
        <v>31</v>
      </c>
      <c r="Q706">
        <v>0</v>
      </c>
      <c r="R706" t="s">
        <v>12883</v>
      </c>
      <c r="S706" t="s">
        <v>12886</v>
      </c>
    </row>
    <row r="707" spans="1:19" x14ac:dyDescent="0.25">
      <c r="A707" t="s">
        <v>10378</v>
      </c>
      <c r="B707" s="1">
        <v>45864</v>
      </c>
      <c r="C707" t="s">
        <v>12885</v>
      </c>
      <c r="D707" s="5">
        <v>1.0300925925925925E-2</v>
      </c>
      <c r="E707">
        <v>166.45</v>
      </c>
      <c r="F707" t="s">
        <v>44</v>
      </c>
      <c r="G707" t="s">
        <v>1683</v>
      </c>
      <c r="H707" t="s">
        <v>46</v>
      </c>
      <c r="I707" t="s">
        <v>38</v>
      </c>
      <c r="J707" t="s">
        <v>8675</v>
      </c>
      <c r="K707">
        <v>59</v>
      </c>
      <c r="L707" t="s">
        <v>25</v>
      </c>
      <c r="M707" t="s">
        <v>66</v>
      </c>
      <c r="N707" t="s">
        <v>112</v>
      </c>
      <c r="O707" t="s">
        <v>28</v>
      </c>
      <c r="P707" t="s">
        <v>31</v>
      </c>
      <c r="Q707">
        <v>0</v>
      </c>
      <c r="R707" t="s">
        <v>12883</v>
      </c>
      <c r="S707" t="s">
        <v>12886</v>
      </c>
    </row>
    <row r="708" spans="1:19" x14ac:dyDescent="0.25">
      <c r="A708" t="s">
        <v>11308</v>
      </c>
      <c r="B708" s="1">
        <v>45846</v>
      </c>
      <c r="C708" t="s">
        <v>12885</v>
      </c>
      <c r="D708" s="5">
        <v>8.8576388888888885E-2</v>
      </c>
      <c r="E708">
        <v>166.44</v>
      </c>
      <c r="F708" t="s">
        <v>44</v>
      </c>
      <c r="G708" t="s">
        <v>2023</v>
      </c>
      <c r="H708" t="s">
        <v>22</v>
      </c>
      <c r="I708" t="s">
        <v>26</v>
      </c>
      <c r="J708" t="s">
        <v>11309</v>
      </c>
      <c r="K708">
        <v>24</v>
      </c>
      <c r="L708" t="s">
        <v>49</v>
      </c>
      <c r="M708" t="s">
        <v>97</v>
      </c>
      <c r="N708" t="s">
        <v>27</v>
      </c>
      <c r="O708" t="s">
        <v>28</v>
      </c>
      <c r="P708" t="s">
        <v>31</v>
      </c>
      <c r="Q708">
        <v>0</v>
      </c>
      <c r="R708" t="s">
        <v>12883</v>
      </c>
      <c r="S708" t="s">
        <v>12892</v>
      </c>
    </row>
    <row r="709" spans="1:19" x14ac:dyDescent="0.25">
      <c r="A709" t="s">
        <v>8083</v>
      </c>
      <c r="B709" s="1">
        <v>45951</v>
      </c>
      <c r="C709" t="s">
        <v>12890</v>
      </c>
      <c r="D709" s="5">
        <v>4.4699074074074072E-2</v>
      </c>
      <c r="E709">
        <v>166.37</v>
      </c>
      <c r="F709" t="s">
        <v>44</v>
      </c>
      <c r="G709" t="s">
        <v>1306</v>
      </c>
      <c r="H709" t="s">
        <v>71</v>
      </c>
      <c r="I709" t="s">
        <v>146</v>
      </c>
      <c r="J709" t="s">
        <v>4119</v>
      </c>
      <c r="K709">
        <v>39</v>
      </c>
      <c r="L709" t="s">
        <v>37</v>
      </c>
      <c r="M709" t="s">
        <v>248</v>
      </c>
      <c r="N709" t="s">
        <v>105</v>
      </c>
      <c r="O709" t="s">
        <v>28</v>
      </c>
      <c r="P709" t="s">
        <v>31</v>
      </c>
      <c r="Q709">
        <v>0</v>
      </c>
      <c r="R709" t="s">
        <v>12883</v>
      </c>
      <c r="S709" t="s">
        <v>12889</v>
      </c>
    </row>
    <row r="710" spans="1:19" x14ac:dyDescent="0.25">
      <c r="A710" t="s">
        <v>3629</v>
      </c>
      <c r="B710" s="1">
        <v>45880</v>
      </c>
      <c r="C710" t="s">
        <v>12893</v>
      </c>
      <c r="D710" s="5">
        <v>0.70902777777777781</v>
      </c>
      <c r="E710">
        <v>166.32</v>
      </c>
      <c r="F710" t="s">
        <v>44</v>
      </c>
      <c r="G710" t="s">
        <v>3630</v>
      </c>
      <c r="H710" t="s">
        <v>34</v>
      </c>
      <c r="I710" t="s">
        <v>26</v>
      </c>
      <c r="J710" t="s">
        <v>3631</v>
      </c>
      <c r="K710">
        <v>17</v>
      </c>
      <c r="L710" t="s">
        <v>25</v>
      </c>
      <c r="M710" t="s">
        <v>23</v>
      </c>
      <c r="N710" t="s">
        <v>84</v>
      </c>
      <c r="O710" t="s">
        <v>28</v>
      </c>
      <c r="P710" t="s">
        <v>31</v>
      </c>
      <c r="Q710">
        <v>0</v>
      </c>
      <c r="R710" t="s">
        <v>12883</v>
      </c>
      <c r="S710" t="s">
        <v>12892</v>
      </c>
    </row>
    <row r="711" spans="1:19" x14ac:dyDescent="0.25">
      <c r="A711" t="s">
        <v>10864</v>
      </c>
      <c r="B711" s="1">
        <v>45875</v>
      </c>
      <c r="C711" t="s">
        <v>12893</v>
      </c>
      <c r="D711" s="5">
        <v>2.4062500000000001E-2</v>
      </c>
      <c r="E711">
        <v>166.27</v>
      </c>
      <c r="F711" t="s">
        <v>44</v>
      </c>
      <c r="G711" t="s">
        <v>2707</v>
      </c>
      <c r="H711" t="s">
        <v>77</v>
      </c>
      <c r="I711" t="s">
        <v>130</v>
      </c>
      <c r="J711" t="s">
        <v>10865</v>
      </c>
      <c r="K711">
        <v>53</v>
      </c>
      <c r="L711" t="s">
        <v>49</v>
      </c>
      <c r="M711" t="s">
        <v>119</v>
      </c>
      <c r="N711" t="s">
        <v>51</v>
      </c>
      <c r="O711" t="s">
        <v>28</v>
      </c>
      <c r="P711" t="s">
        <v>31</v>
      </c>
      <c r="Q711">
        <v>0</v>
      </c>
      <c r="R711" t="s">
        <v>12883</v>
      </c>
      <c r="S711" t="s">
        <v>12886</v>
      </c>
    </row>
    <row r="712" spans="1:19" x14ac:dyDescent="0.25">
      <c r="A712" t="s">
        <v>3994</v>
      </c>
      <c r="B712" s="1">
        <v>45881</v>
      </c>
      <c r="C712" t="s">
        <v>12893</v>
      </c>
      <c r="D712" s="5">
        <v>0.28931712962962963</v>
      </c>
      <c r="E712">
        <v>166.26</v>
      </c>
      <c r="F712" t="s">
        <v>44</v>
      </c>
      <c r="G712" t="s">
        <v>1306</v>
      </c>
      <c r="H712" t="s">
        <v>46</v>
      </c>
      <c r="I712" t="s">
        <v>38</v>
      </c>
      <c r="J712" t="s">
        <v>3995</v>
      </c>
      <c r="K712">
        <v>33</v>
      </c>
      <c r="L712" t="s">
        <v>49</v>
      </c>
      <c r="M712" t="s">
        <v>146</v>
      </c>
      <c r="N712" t="s">
        <v>51</v>
      </c>
      <c r="O712" t="s">
        <v>28</v>
      </c>
      <c r="P712" t="s">
        <v>31</v>
      </c>
      <c r="Q712">
        <v>0</v>
      </c>
      <c r="R712" t="s">
        <v>12883</v>
      </c>
      <c r="S712" t="s">
        <v>12889</v>
      </c>
    </row>
    <row r="713" spans="1:19" x14ac:dyDescent="0.25">
      <c r="A713" t="s">
        <v>3784</v>
      </c>
      <c r="B713" s="1">
        <v>45845</v>
      </c>
      <c r="C713" t="s">
        <v>12885</v>
      </c>
      <c r="D713" s="5">
        <v>0.74447916666666669</v>
      </c>
      <c r="E713">
        <v>166.25</v>
      </c>
      <c r="F713" t="s">
        <v>44</v>
      </c>
      <c r="G713" t="s">
        <v>983</v>
      </c>
      <c r="H713" t="s">
        <v>96</v>
      </c>
      <c r="I713" t="s">
        <v>119</v>
      </c>
      <c r="J713" t="s">
        <v>3785</v>
      </c>
      <c r="K713">
        <v>70</v>
      </c>
      <c r="L713" t="s">
        <v>49</v>
      </c>
      <c r="M713" t="s">
        <v>58</v>
      </c>
      <c r="N713" t="s">
        <v>51</v>
      </c>
      <c r="O713" t="s">
        <v>28</v>
      </c>
      <c r="P713" t="s">
        <v>31</v>
      </c>
      <c r="Q713">
        <v>0</v>
      </c>
      <c r="R713" t="s">
        <v>12883</v>
      </c>
      <c r="S713" t="s">
        <v>12884</v>
      </c>
    </row>
    <row r="714" spans="1:19" x14ac:dyDescent="0.25">
      <c r="A714" t="s">
        <v>7354</v>
      </c>
      <c r="B714" s="1">
        <v>45848</v>
      </c>
      <c r="C714" t="s">
        <v>12885</v>
      </c>
      <c r="D714" s="5">
        <v>9.6689814814814812E-2</v>
      </c>
      <c r="E714">
        <v>166.21</v>
      </c>
      <c r="F714" t="s">
        <v>44</v>
      </c>
      <c r="G714" t="s">
        <v>5824</v>
      </c>
      <c r="H714" t="s">
        <v>77</v>
      </c>
      <c r="I714" t="s">
        <v>58</v>
      </c>
      <c r="J714" t="s">
        <v>7355</v>
      </c>
      <c r="K714">
        <v>31</v>
      </c>
      <c r="L714" t="s">
        <v>25</v>
      </c>
      <c r="M714" t="s">
        <v>248</v>
      </c>
      <c r="N714" t="s">
        <v>39</v>
      </c>
      <c r="O714" t="s">
        <v>28</v>
      </c>
      <c r="P714" t="s">
        <v>31</v>
      </c>
      <c r="Q714">
        <v>0</v>
      </c>
      <c r="R714" t="s">
        <v>12883</v>
      </c>
      <c r="S714" t="s">
        <v>12889</v>
      </c>
    </row>
    <row r="715" spans="1:19" x14ac:dyDescent="0.25">
      <c r="A715" t="s">
        <v>5632</v>
      </c>
      <c r="B715" s="1">
        <v>45862</v>
      </c>
      <c r="C715" t="s">
        <v>12885</v>
      </c>
      <c r="D715" s="5">
        <v>0.45064814814814813</v>
      </c>
      <c r="E715">
        <v>166.2</v>
      </c>
      <c r="F715" t="s">
        <v>44</v>
      </c>
      <c r="G715" t="s">
        <v>1752</v>
      </c>
      <c r="H715" t="s">
        <v>89</v>
      </c>
      <c r="I715" t="s">
        <v>97</v>
      </c>
      <c r="J715" t="s">
        <v>5633</v>
      </c>
      <c r="K715">
        <v>19</v>
      </c>
      <c r="L715" t="s">
        <v>37</v>
      </c>
      <c r="M715" t="s">
        <v>58</v>
      </c>
      <c r="N715" t="s">
        <v>39</v>
      </c>
      <c r="O715" t="s">
        <v>28</v>
      </c>
      <c r="P715" t="s">
        <v>31</v>
      </c>
      <c r="Q715">
        <v>0</v>
      </c>
      <c r="R715" t="s">
        <v>12883</v>
      </c>
      <c r="S715" t="s">
        <v>12892</v>
      </c>
    </row>
    <row r="716" spans="1:19" x14ac:dyDescent="0.25">
      <c r="A716" t="s">
        <v>2832</v>
      </c>
      <c r="B716" s="1">
        <v>45837</v>
      </c>
      <c r="C716" t="s">
        <v>12888</v>
      </c>
      <c r="D716" s="5">
        <v>0.20325231481481482</v>
      </c>
      <c r="E716">
        <v>166.14</v>
      </c>
      <c r="F716" t="s">
        <v>44</v>
      </c>
      <c r="G716" t="s">
        <v>2833</v>
      </c>
      <c r="H716" t="s">
        <v>34</v>
      </c>
      <c r="I716" t="s">
        <v>26</v>
      </c>
      <c r="J716" t="s">
        <v>2834</v>
      </c>
      <c r="K716">
        <v>50</v>
      </c>
      <c r="L716" t="s">
        <v>49</v>
      </c>
      <c r="M716" t="s">
        <v>110</v>
      </c>
      <c r="N716" t="s">
        <v>105</v>
      </c>
      <c r="O716" t="s">
        <v>28</v>
      </c>
      <c r="P716" t="s">
        <v>31</v>
      </c>
      <c r="Q716">
        <v>0</v>
      </c>
      <c r="R716" t="s">
        <v>12883</v>
      </c>
      <c r="S716" t="s">
        <v>12886</v>
      </c>
    </row>
    <row r="717" spans="1:19" x14ac:dyDescent="0.25">
      <c r="A717" t="s">
        <v>10560</v>
      </c>
      <c r="B717" s="1">
        <v>45933</v>
      </c>
      <c r="C717" t="s">
        <v>12890</v>
      </c>
      <c r="D717" s="5">
        <v>0.23856481481481481</v>
      </c>
      <c r="E717">
        <v>166.1</v>
      </c>
      <c r="F717" t="s">
        <v>44</v>
      </c>
      <c r="G717" t="s">
        <v>3911</v>
      </c>
      <c r="H717" t="s">
        <v>96</v>
      </c>
      <c r="I717" t="s">
        <v>47</v>
      </c>
      <c r="J717" t="s">
        <v>10561</v>
      </c>
      <c r="K717">
        <v>40</v>
      </c>
      <c r="L717" t="s">
        <v>37</v>
      </c>
      <c r="M717" t="s">
        <v>110</v>
      </c>
      <c r="N717" t="s">
        <v>84</v>
      </c>
      <c r="O717" t="s">
        <v>28</v>
      </c>
      <c r="P717" t="s">
        <v>31</v>
      </c>
      <c r="Q717">
        <v>0</v>
      </c>
      <c r="R717" t="s">
        <v>12883</v>
      </c>
      <c r="S717" t="s">
        <v>12886</v>
      </c>
    </row>
    <row r="718" spans="1:19" x14ac:dyDescent="0.25">
      <c r="A718" t="s">
        <v>7032</v>
      </c>
      <c r="B718" s="1">
        <v>45803</v>
      </c>
      <c r="C718" t="s">
        <v>12887</v>
      </c>
      <c r="D718" s="5">
        <v>0.18557870370370369</v>
      </c>
      <c r="E718">
        <v>166.07</v>
      </c>
      <c r="F718" t="s">
        <v>44</v>
      </c>
      <c r="G718" t="s">
        <v>988</v>
      </c>
      <c r="H718" t="s">
        <v>34</v>
      </c>
      <c r="I718" t="s">
        <v>50</v>
      </c>
      <c r="J718" t="s">
        <v>7033</v>
      </c>
      <c r="K718">
        <v>26</v>
      </c>
      <c r="L718" t="s">
        <v>37</v>
      </c>
      <c r="M718" t="s">
        <v>47</v>
      </c>
      <c r="N718" t="s">
        <v>39</v>
      </c>
      <c r="O718" t="s">
        <v>28</v>
      </c>
      <c r="P718" t="s">
        <v>31</v>
      </c>
      <c r="Q718">
        <v>0</v>
      </c>
      <c r="R718" t="s">
        <v>12883</v>
      </c>
      <c r="S718" t="s">
        <v>12889</v>
      </c>
    </row>
    <row r="719" spans="1:19" x14ac:dyDescent="0.25">
      <c r="A719" t="s">
        <v>12780</v>
      </c>
      <c r="B719" s="1">
        <v>45782</v>
      </c>
      <c r="C719" t="s">
        <v>12887</v>
      </c>
      <c r="D719" s="5">
        <v>0.33824074074074073</v>
      </c>
      <c r="E719">
        <v>166.05</v>
      </c>
      <c r="F719" t="s">
        <v>44</v>
      </c>
      <c r="G719" t="s">
        <v>4284</v>
      </c>
      <c r="H719" t="s">
        <v>89</v>
      </c>
      <c r="I719" t="s">
        <v>58</v>
      </c>
      <c r="J719" t="s">
        <v>12781</v>
      </c>
      <c r="K719">
        <v>64</v>
      </c>
      <c r="L719" t="s">
        <v>37</v>
      </c>
      <c r="M719" t="s">
        <v>110</v>
      </c>
      <c r="N719" t="s">
        <v>84</v>
      </c>
      <c r="O719" t="s">
        <v>28</v>
      </c>
      <c r="P719" t="s">
        <v>31</v>
      </c>
      <c r="Q719">
        <v>0</v>
      </c>
      <c r="R719" t="s">
        <v>12883</v>
      </c>
      <c r="S719" t="s">
        <v>12884</v>
      </c>
    </row>
    <row r="720" spans="1:19" x14ac:dyDescent="0.25">
      <c r="A720" t="s">
        <v>12851</v>
      </c>
      <c r="B720" s="1">
        <v>45808</v>
      </c>
      <c r="C720" t="s">
        <v>12887</v>
      </c>
      <c r="D720" s="5">
        <v>0.79620370370370375</v>
      </c>
      <c r="E720">
        <v>166.05</v>
      </c>
      <c r="F720" t="s">
        <v>44</v>
      </c>
      <c r="G720" t="s">
        <v>1068</v>
      </c>
      <c r="H720" t="s">
        <v>57</v>
      </c>
      <c r="I720" t="s">
        <v>97</v>
      </c>
      <c r="J720" t="s">
        <v>12852</v>
      </c>
      <c r="K720">
        <v>30</v>
      </c>
      <c r="L720" t="s">
        <v>25</v>
      </c>
      <c r="M720" t="s">
        <v>119</v>
      </c>
      <c r="N720" t="s">
        <v>51</v>
      </c>
      <c r="O720" t="s">
        <v>28</v>
      </c>
      <c r="P720" t="s">
        <v>31</v>
      </c>
      <c r="Q720">
        <v>0</v>
      </c>
      <c r="R720" t="s">
        <v>12883</v>
      </c>
      <c r="S720" t="s">
        <v>12889</v>
      </c>
    </row>
    <row r="721" spans="1:19" x14ac:dyDescent="0.25">
      <c r="A721" t="s">
        <v>5903</v>
      </c>
      <c r="B721" s="1">
        <v>45912</v>
      </c>
      <c r="C721" t="s">
        <v>12882</v>
      </c>
      <c r="D721" s="5">
        <v>0.79236111111111107</v>
      </c>
      <c r="E721">
        <v>166.02</v>
      </c>
      <c r="F721" t="s">
        <v>44</v>
      </c>
      <c r="G721" t="s">
        <v>5904</v>
      </c>
      <c r="H721" t="s">
        <v>46</v>
      </c>
      <c r="I721" t="s">
        <v>130</v>
      </c>
      <c r="J721" t="s">
        <v>5905</v>
      </c>
      <c r="K721">
        <v>66</v>
      </c>
      <c r="L721" t="s">
        <v>37</v>
      </c>
      <c r="M721" t="s">
        <v>38</v>
      </c>
      <c r="N721" t="s">
        <v>112</v>
      </c>
      <c r="O721" t="s">
        <v>28</v>
      </c>
      <c r="P721" t="s">
        <v>31</v>
      </c>
      <c r="Q721">
        <v>0</v>
      </c>
      <c r="R721" t="s">
        <v>12883</v>
      </c>
      <c r="S721" t="s">
        <v>12884</v>
      </c>
    </row>
    <row r="722" spans="1:19" x14ac:dyDescent="0.25">
      <c r="A722" t="s">
        <v>1256</v>
      </c>
      <c r="B722" s="1">
        <v>45807</v>
      </c>
      <c r="C722" t="s">
        <v>12887</v>
      </c>
      <c r="D722" s="5">
        <v>0.24855324074074073</v>
      </c>
      <c r="E722">
        <v>166</v>
      </c>
      <c r="F722" t="s">
        <v>44</v>
      </c>
      <c r="G722" t="s">
        <v>1257</v>
      </c>
      <c r="H722" t="s">
        <v>22</v>
      </c>
      <c r="I722" t="s">
        <v>97</v>
      </c>
      <c r="J722" t="s">
        <v>1258</v>
      </c>
      <c r="K722">
        <v>44</v>
      </c>
      <c r="L722" t="s">
        <v>37</v>
      </c>
      <c r="M722" t="s">
        <v>26</v>
      </c>
      <c r="N722" t="s">
        <v>39</v>
      </c>
      <c r="O722" t="s">
        <v>28</v>
      </c>
      <c r="P722" t="s">
        <v>31</v>
      </c>
      <c r="Q722">
        <v>0</v>
      </c>
      <c r="R722" t="s">
        <v>12883</v>
      </c>
      <c r="S722" t="s">
        <v>12886</v>
      </c>
    </row>
    <row r="723" spans="1:19" x14ac:dyDescent="0.25">
      <c r="A723" t="s">
        <v>7875</v>
      </c>
      <c r="B723" s="1">
        <v>45816</v>
      </c>
      <c r="C723" t="s">
        <v>12888</v>
      </c>
      <c r="D723" s="5">
        <v>0.48188657407407409</v>
      </c>
      <c r="E723">
        <v>165.98</v>
      </c>
      <c r="F723" t="s">
        <v>44</v>
      </c>
      <c r="G723" t="s">
        <v>5152</v>
      </c>
      <c r="H723" t="s">
        <v>89</v>
      </c>
      <c r="I723" t="s">
        <v>248</v>
      </c>
      <c r="J723" t="s">
        <v>7876</v>
      </c>
      <c r="K723">
        <v>30</v>
      </c>
      <c r="L723" t="s">
        <v>37</v>
      </c>
      <c r="M723" t="s">
        <v>248</v>
      </c>
      <c r="N723" t="s">
        <v>112</v>
      </c>
      <c r="O723" t="s">
        <v>113</v>
      </c>
      <c r="P723" t="s">
        <v>31</v>
      </c>
      <c r="Q723">
        <v>0</v>
      </c>
      <c r="R723" t="s">
        <v>12883</v>
      </c>
      <c r="S723" t="s">
        <v>12889</v>
      </c>
    </row>
    <row r="724" spans="1:19" x14ac:dyDescent="0.25">
      <c r="A724" t="s">
        <v>4106</v>
      </c>
      <c r="B724" s="1">
        <v>45959</v>
      </c>
      <c r="C724" t="s">
        <v>12890</v>
      </c>
      <c r="D724" s="5">
        <v>0.75527777777777783</v>
      </c>
      <c r="E724">
        <v>165.93</v>
      </c>
      <c r="F724" t="s">
        <v>44</v>
      </c>
      <c r="G724" t="s">
        <v>2805</v>
      </c>
      <c r="H724" t="s">
        <v>46</v>
      </c>
      <c r="I724" t="s">
        <v>35</v>
      </c>
      <c r="J724" t="s">
        <v>4107</v>
      </c>
      <c r="K724">
        <v>45</v>
      </c>
      <c r="L724" t="s">
        <v>37</v>
      </c>
      <c r="M724" t="s">
        <v>248</v>
      </c>
      <c r="N724" t="s">
        <v>27</v>
      </c>
      <c r="O724" t="s">
        <v>28</v>
      </c>
      <c r="P724" t="s">
        <v>31</v>
      </c>
      <c r="Q724">
        <v>1</v>
      </c>
      <c r="R724" t="s">
        <v>12891</v>
      </c>
      <c r="S724" t="s">
        <v>12886</v>
      </c>
    </row>
    <row r="725" spans="1:19" x14ac:dyDescent="0.25">
      <c r="A725" t="s">
        <v>7624</v>
      </c>
      <c r="B725" s="1">
        <v>45957</v>
      </c>
      <c r="C725" t="s">
        <v>12890</v>
      </c>
      <c r="D725" s="5">
        <v>0.17574074074074075</v>
      </c>
      <c r="E725">
        <v>165.84</v>
      </c>
      <c r="F725" t="s">
        <v>44</v>
      </c>
      <c r="G725" t="s">
        <v>4899</v>
      </c>
      <c r="H725" t="s">
        <v>22</v>
      </c>
      <c r="I725" t="s">
        <v>110</v>
      </c>
      <c r="J725" t="s">
        <v>7625</v>
      </c>
      <c r="K725">
        <v>52</v>
      </c>
      <c r="L725" t="s">
        <v>37</v>
      </c>
      <c r="M725" t="s">
        <v>110</v>
      </c>
      <c r="N725" t="s">
        <v>84</v>
      </c>
      <c r="O725" t="s">
        <v>113</v>
      </c>
      <c r="P725" t="s">
        <v>31</v>
      </c>
      <c r="Q725">
        <v>0</v>
      </c>
      <c r="R725" t="s">
        <v>12883</v>
      </c>
      <c r="S725" t="s">
        <v>12886</v>
      </c>
    </row>
    <row r="726" spans="1:19" x14ac:dyDescent="0.25">
      <c r="A726" t="s">
        <v>9014</v>
      </c>
      <c r="B726" s="1">
        <v>45831</v>
      </c>
      <c r="C726" t="s">
        <v>12888</v>
      </c>
      <c r="D726" s="5">
        <v>0.96398148148148144</v>
      </c>
      <c r="E726">
        <v>165.71</v>
      </c>
      <c r="F726" t="s">
        <v>44</v>
      </c>
      <c r="G726" t="s">
        <v>5904</v>
      </c>
      <c r="H726" t="s">
        <v>96</v>
      </c>
      <c r="I726" t="s">
        <v>47</v>
      </c>
      <c r="J726" t="s">
        <v>9015</v>
      </c>
      <c r="K726">
        <v>38</v>
      </c>
      <c r="L726" t="s">
        <v>25</v>
      </c>
      <c r="M726" t="s">
        <v>66</v>
      </c>
      <c r="N726" t="s">
        <v>27</v>
      </c>
      <c r="O726" t="s">
        <v>28</v>
      </c>
      <c r="P726" t="s">
        <v>31</v>
      </c>
      <c r="Q726">
        <v>0</v>
      </c>
      <c r="R726" t="s">
        <v>12883</v>
      </c>
      <c r="S726" t="s">
        <v>12889</v>
      </c>
    </row>
    <row r="727" spans="1:19" x14ac:dyDescent="0.25">
      <c r="A727" t="s">
        <v>494</v>
      </c>
      <c r="B727" s="1">
        <v>45900</v>
      </c>
      <c r="C727" t="s">
        <v>12893</v>
      </c>
      <c r="D727" s="5">
        <v>0.55738425925925927</v>
      </c>
      <c r="E727">
        <v>165.7</v>
      </c>
      <c r="F727" t="s">
        <v>44</v>
      </c>
      <c r="G727" t="s">
        <v>495</v>
      </c>
      <c r="H727" t="s">
        <v>34</v>
      </c>
      <c r="I727" t="s">
        <v>146</v>
      </c>
      <c r="J727" t="s">
        <v>496</v>
      </c>
      <c r="K727">
        <v>36</v>
      </c>
      <c r="L727" t="s">
        <v>49</v>
      </c>
      <c r="M727" t="s">
        <v>130</v>
      </c>
      <c r="N727" t="s">
        <v>84</v>
      </c>
      <c r="O727" t="s">
        <v>28</v>
      </c>
      <c r="P727" t="s">
        <v>31</v>
      </c>
      <c r="Q727">
        <v>0</v>
      </c>
      <c r="R727" t="s">
        <v>12883</v>
      </c>
      <c r="S727" t="s">
        <v>12889</v>
      </c>
    </row>
    <row r="728" spans="1:19" x14ac:dyDescent="0.25">
      <c r="A728" t="s">
        <v>1582</v>
      </c>
      <c r="B728" s="1">
        <v>45906</v>
      </c>
      <c r="C728" t="s">
        <v>12882</v>
      </c>
      <c r="D728" s="5">
        <v>5.0231481481481481E-3</v>
      </c>
      <c r="E728">
        <v>165.69</v>
      </c>
      <c r="F728" t="s">
        <v>44</v>
      </c>
      <c r="G728" t="s">
        <v>1583</v>
      </c>
      <c r="H728" t="s">
        <v>71</v>
      </c>
      <c r="I728" t="s">
        <v>248</v>
      </c>
      <c r="J728" t="s">
        <v>1584</v>
      </c>
      <c r="K728">
        <v>51</v>
      </c>
      <c r="L728" t="s">
        <v>25</v>
      </c>
      <c r="M728" t="s">
        <v>38</v>
      </c>
      <c r="N728" t="s">
        <v>84</v>
      </c>
      <c r="O728" t="s">
        <v>28</v>
      </c>
      <c r="P728" t="s">
        <v>31</v>
      </c>
      <c r="Q728">
        <v>0</v>
      </c>
      <c r="R728" t="s">
        <v>12883</v>
      </c>
      <c r="S728" t="s">
        <v>12886</v>
      </c>
    </row>
    <row r="729" spans="1:19" x14ac:dyDescent="0.25">
      <c r="A729" t="s">
        <v>11533</v>
      </c>
      <c r="B729" s="1">
        <v>45824</v>
      </c>
      <c r="C729" t="s">
        <v>12888</v>
      </c>
      <c r="D729" s="5">
        <v>0.33938657407407408</v>
      </c>
      <c r="E729">
        <v>165.64</v>
      </c>
      <c r="F729" t="s">
        <v>44</v>
      </c>
      <c r="G729" t="s">
        <v>1859</v>
      </c>
      <c r="H729" t="s">
        <v>22</v>
      </c>
      <c r="I729" t="s">
        <v>110</v>
      </c>
      <c r="J729" t="s">
        <v>11534</v>
      </c>
      <c r="K729">
        <v>49</v>
      </c>
      <c r="L729" t="s">
        <v>37</v>
      </c>
      <c r="M729" t="s">
        <v>38</v>
      </c>
      <c r="N729" t="s">
        <v>105</v>
      </c>
      <c r="O729" t="s">
        <v>28</v>
      </c>
      <c r="P729" t="s">
        <v>31</v>
      </c>
      <c r="Q729">
        <v>0</v>
      </c>
      <c r="R729" t="s">
        <v>12883</v>
      </c>
      <c r="S729" t="s">
        <v>12886</v>
      </c>
    </row>
    <row r="730" spans="1:19" x14ac:dyDescent="0.25">
      <c r="A730" t="s">
        <v>8513</v>
      </c>
      <c r="B730" s="1">
        <v>45953</v>
      </c>
      <c r="C730" t="s">
        <v>12890</v>
      </c>
      <c r="D730" s="5">
        <v>0.65605324074074078</v>
      </c>
      <c r="E730">
        <v>165.5</v>
      </c>
      <c r="F730" t="s">
        <v>44</v>
      </c>
      <c r="G730" t="s">
        <v>630</v>
      </c>
      <c r="H730" t="s">
        <v>77</v>
      </c>
      <c r="I730" t="s">
        <v>130</v>
      </c>
      <c r="J730" t="s">
        <v>8514</v>
      </c>
      <c r="K730">
        <v>69</v>
      </c>
      <c r="L730" t="s">
        <v>49</v>
      </c>
      <c r="M730" t="s">
        <v>66</v>
      </c>
      <c r="N730" t="s">
        <v>112</v>
      </c>
      <c r="O730" t="s">
        <v>28</v>
      </c>
      <c r="P730" t="s">
        <v>31</v>
      </c>
      <c r="Q730">
        <v>0</v>
      </c>
      <c r="R730" t="s">
        <v>12883</v>
      </c>
      <c r="S730" t="s">
        <v>12884</v>
      </c>
    </row>
    <row r="731" spans="1:19" x14ac:dyDescent="0.25">
      <c r="A731" t="s">
        <v>12280</v>
      </c>
      <c r="B731" s="1">
        <v>45953</v>
      </c>
      <c r="C731" t="s">
        <v>12890</v>
      </c>
      <c r="D731" s="5">
        <v>0.15542824074074074</v>
      </c>
      <c r="E731">
        <v>165.48</v>
      </c>
      <c r="F731" t="s">
        <v>44</v>
      </c>
      <c r="G731" t="s">
        <v>663</v>
      </c>
      <c r="H731" t="s">
        <v>57</v>
      </c>
      <c r="I731" t="s">
        <v>35</v>
      </c>
      <c r="J731" t="s">
        <v>12281</v>
      </c>
      <c r="K731">
        <v>72</v>
      </c>
      <c r="L731" t="s">
        <v>37</v>
      </c>
      <c r="M731" t="s">
        <v>130</v>
      </c>
      <c r="N731" t="s">
        <v>51</v>
      </c>
      <c r="O731" t="s">
        <v>28</v>
      </c>
      <c r="P731" t="s">
        <v>31</v>
      </c>
      <c r="Q731">
        <v>0</v>
      </c>
      <c r="R731" t="s">
        <v>12883</v>
      </c>
      <c r="S731" t="s">
        <v>12884</v>
      </c>
    </row>
    <row r="732" spans="1:19" x14ac:dyDescent="0.25">
      <c r="A732" t="s">
        <v>6912</v>
      </c>
      <c r="B732" s="1">
        <v>45884</v>
      </c>
      <c r="C732" t="s">
        <v>12893</v>
      </c>
      <c r="D732" s="5">
        <v>0.79865740740740743</v>
      </c>
      <c r="E732">
        <v>165.31</v>
      </c>
      <c r="F732" t="s">
        <v>44</v>
      </c>
      <c r="G732" t="s">
        <v>4797</v>
      </c>
      <c r="H732" t="s">
        <v>89</v>
      </c>
      <c r="I732" t="s">
        <v>58</v>
      </c>
      <c r="J732" t="s">
        <v>6913</v>
      </c>
      <c r="K732">
        <v>66</v>
      </c>
      <c r="L732" t="s">
        <v>25</v>
      </c>
      <c r="M732" t="s">
        <v>47</v>
      </c>
      <c r="N732" t="s">
        <v>105</v>
      </c>
      <c r="O732" t="s">
        <v>28</v>
      </c>
      <c r="P732" t="s">
        <v>31</v>
      </c>
      <c r="Q732">
        <v>0</v>
      </c>
      <c r="R732" t="s">
        <v>12883</v>
      </c>
      <c r="S732" t="s">
        <v>12884</v>
      </c>
    </row>
    <row r="733" spans="1:19" x14ac:dyDescent="0.25">
      <c r="A733" t="s">
        <v>5071</v>
      </c>
      <c r="B733" s="1">
        <v>45874</v>
      </c>
      <c r="C733" t="s">
        <v>12893</v>
      </c>
      <c r="D733" s="5">
        <v>0.89934027777777781</v>
      </c>
      <c r="E733">
        <v>165.28</v>
      </c>
      <c r="F733" t="s">
        <v>44</v>
      </c>
      <c r="G733" t="s">
        <v>5072</v>
      </c>
      <c r="H733" t="s">
        <v>124</v>
      </c>
      <c r="I733" t="s">
        <v>23</v>
      </c>
      <c r="J733" t="s">
        <v>5073</v>
      </c>
      <c r="K733">
        <v>59</v>
      </c>
      <c r="L733" t="s">
        <v>37</v>
      </c>
      <c r="M733" t="s">
        <v>58</v>
      </c>
      <c r="N733" t="s">
        <v>84</v>
      </c>
      <c r="O733" t="s">
        <v>28</v>
      </c>
      <c r="P733" t="s">
        <v>31</v>
      </c>
      <c r="Q733">
        <v>0</v>
      </c>
      <c r="R733" t="s">
        <v>12883</v>
      </c>
      <c r="S733" t="s">
        <v>12886</v>
      </c>
    </row>
    <row r="734" spans="1:19" x14ac:dyDescent="0.25">
      <c r="A734" t="s">
        <v>2675</v>
      </c>
      <c r="B734" s="1">
        <v>45912</v>
      </c>
      <c r="C734" t="s">
        <v>12882</v>
      </c>
      <c r="D734" s="5">
        <v>0.22621527777777778</v>
      </c>
      <c r="E734">
        <v>165.23</v>
      </c>
      <c r="F734" t="s">
        <v>44</v>
      </c>
      <c r="G734" t="s">
        <v>323</v>
      </c>
      <c r="H734" t="s">
        <v>22</v>
      </c>
      <c r="I734" t="s">
        <v>248</v>
      </c>
      <c r="J734" t="s">
        <v>2676</v>
      </c>
      <c r="K734">
        <v>45</v>
      </c>
      <c r="L734" t="s">
        <v>25</v>
      </c>
      <c r="M734" t="s">
        <v>248</v>
      </c>
      <c r="N734" t="s">
        <v>112</v>
      </c>
      <c r="O734" t="s">
        <v>113</v>
      </c>
      <c r="P734" t="s">
        <v>31</v>
      </c>
      <c r="Q734">
        <v>0</v>
      </c>
      <c r="R734" t="s">
        <v>12883</v>
      </c>
      <c r="S734" t="s">
        <v>12886</v>
      </c>
    </row>
    <row r="735" spans="1:19" x14ac:dyDescent="0.25">
      <c r="A735" t="s">
        <v>11269</v>
      </c>
      <c r="B735" s="1">
        <v>45784</v>
      </c>
      <c r="C735" t="s">
        <v>12887</v>
      </c>
      <c r="D735" s="5">
        <v>0.5577199074074074</v>
      </c>
      <c r="E735">
        <v>165.14</v>
      </c>
      <c r="F735" t="s">
        <v>44</v>
      </c>
      <c r="G735" t="s">
        <v>3951</v>
      </c>
      <c r="H735" t="s">
        <v>96</v>
      </c>
      <c r="I735" t="s">
        <v>110</v>
      </c>
      <c r="J735" t="s">
        <v>11270</v>
      </c>
      <c r="K735">
        <v>75</v>
      </c>
      <c r="L735" t="s">
        <v>37</v>
      </c>
      <c r="M735" t="s">
        <v>146</v>
      </c>
      <c r="N735" t="s">
        <v>51</v>
      </c>
      <c r="O735" t="s">
        <v>28</v>
      </c>
      <c r="P735" t="s">
        <v>31</v>
      </c>
      <c r="Q735">
        <v>1</v>
      </c>
      <c r="R735" t="s">
        <v>12891</v>
      </c>
      <c r="S735" t="s">
        <v>12884</v>
      </c>
    </row>
    <row r="736" spans="1:19" x14ac:dyDescent="0.25">
      <c r="A736" t="s">
        <v>1105</v>
      </c>
      <c r="B736" s="1">
        <v>45949</v>
      </c>
      <c r="C736" t="s">
        <v>12890</v>
      </c>
      <c r="D736" s="5">
        <v>0.62964120370370369</v>
      </c>
      <c r="E736">
        <v>165.08</v>
      </c>
      <c r="F736" t="s">
        <v>44</v>
      </c>
      <c r="G736" t="s">
        <v>723</v>
      </c>
      <c r="H736" t="s">
        <v>124</v>
      </c>
      <c r="I736" t="s">
        <v>97</v>
      </c>
      <c r="J736" t="s">
        <v>1106</v>
      </c>
      <c r="K736">
        <v>62</v>
      </c>
      <c r="L736" t="s">
        <v>49</v>
      </c>
      <c r="M736" t="s">
        <v>97</v>
      </c>
      <c r="N736" t="s">
        <v>84</v>
      </c>
      <c r="O736" t="s">
        <v>113</v>
      </c>
      <c r="P736" t="s">
        <v>31</v>
      </c>
      <c r="Q736">
        <v>1</v>
      </c>
      <c r="R736" t="s">
        <v>12891</v>
      </c>
      <c r="S736" t="s">
        <v>12884</v>
      </c>
    </row>
    <row r="737" spans="1:19" x14ac:dyDescent="0.25">
      <c r="A737" t="s">
        <v>8865</v>
      </c>
      <c r="B737" s="1">
        <v>45831</v>
      </c>
      <c r="C737" t="s">
        <v>12888</v>
      </c>
      <c r="D737" s="5">
        <v>0.90077546296296296</v>
      </c>
      <c r="E737">
        <v>164.9</v>
      </c>
      <c r="F737" t="s">
        <v>44</v>
      </c>
      <c r="G737" t="s">
        <v>1968</v>
      </c>
      <c r="H737" t="s">
        <v>77</v>
      </c>
      <c r="I737" t="s">
        <v>38</v>
      </c>
      <c r="J737" t="s">
        <v>8866</v>
      </c>
      <c r="K737">
        <v>68</v>
      </c>
      <c r="L737" t="s">
        <v>37</v>
      </c>
      <c r="M737" t="s">
        <v>50</v>
      </c>
      <c r="N737" t="s">
        <v>27</v>
      </c>
      <c r="O737" t="s">
        <v>28</v>
      </c>
      <c r="P737" t="s">
        <v>31</v>
      </c>
      <c r="Q737">
        <v>0</v>
      </c>
      <c r="R737" t="s">
        <v>12883</v>
      </c>
      <c r="S737" t="s">
        <v>12884</v>
      </c>
    </row>
    <row r="738" spans="1:19" x14ac:dyDescent="0.25">
      <c r="A738" t="s">
        <v>3283</v>
      </c>
      <c r="B738" s="1">
        <v>45833</v>
      </c>
      <c r="C738" t="s">
        <v>12888</v>
      </c>
      <c r="D738" s="5">
        <v>0.85089120370370375</v>
      </c>
      <c r="E738">
        <v>164.7</v>
      </c>
      <c r="F738" t="s">
        <v>44</v>
      </c>
      <c r="G738" t="s">
        <v>3284</v>
      </c>
      <c r="H738" t="s">
        <v>34</v>
      </c>
      <c r="I738" t="s">
        <v>97</v>
      </c>
      <c r="J738" t="s">
        <v>3285</v>
      </c>
      <c r="K738">
        <v>57</v>
      </c>
      <c r="L738" t="s">
        <v>49</v>
      </c>
      <c r="M738" t="s">
        <v>38</v>
      </c>
      <c r="N738" t="s">
        <v>84</v>
      </c>
      <c r="O738" t="s">
        <v>28</v>
      </c>
      <c r="P738" t="s">
        <v>31</v>
      </c>
      <c r="Q738">
        <v>0</v>
      </c>
      <c r="R738" t="s">
        <v>12883</v>
      </c>
      <c r="S738" t="s">
        <v>12886</v>
      </c>
    </row>
    <row r="739" spans="1:19" x14ac:dyDescent="0.25">
      <c r="A739" t="s">
        <v>12656</v>
      </c>
      <c r="B739" s="1">
        <v>45863</v>
      </c>
      <c r="C739" t="s">
        <v>12885</v>
      </c>
      <c r="D739" s="5">
        <v>0.72295138888888888</v>
      </c>
      <c r="E739">
        <v>164.56</v>
      </c>
      <c r="F739" t="s">
        <v>44</v>
      </c>
      <c r="G739" t="s">
        <v>11253</v>
      </c>
      <c r="H739" t="s">
        <v>22</v>
      </c>
      <c r="I739" t="s">
        <v>23</v>
      </c>
      <c r="J739" t="s">
        <v>12657</v>
      </c>
      <c r="K739">
        <v>39</v>
      </c>
      <c r="L739" t="s">
        <v>25</v>
      </c>
      <c r="M739" t="s">
        <v>26</v>
      </c>
      <c r="N739" t="s">
        <v>39</v>
      </c>
      <c r="O739" t="s">
        <v>28</v>
      </c>
      <c r="P739" t="s">
        <v>31</v>
      </c>
      <c r="Q739">
        <v>0</v>
      </c>
      <c r="R739" t="s">
        <v>12883</v>
      </c>
      <c r="S739" t="s">
        <v>12889</v>
      </c>
    </row>
    <row r="740" spans="1:19" x14ac:dyDescent="0.25">
      <c r="A740" t="s">
        <v>11686</v>
      </c>
      <c r="B740" s="1">
        <v>45851</v>
      </c>
      <c r="C740" t="s">
        <v>12885</v>
      </c>
      <c r="D740" s="5">
        <v>7.7384259259259264E-2</v>
      </c>
      <c r="E740">
        <v>164.48</v>
      </c>
      <c r="F740" t="s">
        <v>44</v>
      </c>
      <c r="G740" t="s">
        <v>438</v>
      </c>
      <c r="H740" t="s">
        <v>46</v>
      </c>
      <c r="I740" t="s">
        <v>23</v>
      </c>
      <c r="J740" t="s">
        <v>11687</v>
      </c>
      <c r="K740">
        <v>66</v>
      </c>
      <c r="L740" t="s">
        <v>25</v>
      </c>
      <c r="M740" t="s">
        <v>248</v>
      </c>
      <c r="N740" t="s">
        <v>84</v>
      </c>
      <c r="O740" t="s">
        <v>28</v>
      </c>
      <c r="P740" t="s">
        <v>31</v>
      </c>
      <c r="Q740">
        <v>0</v>
      </c>
      <c r="R740" t="s">
        <v>12883</v>
      </c>
      <c r="S740" t="s">
        <v>12884</v>
      </c>
    </row>
    <row r="741" spans="1:19" x14ac:dyDescent="0.25">
      <c r="A741" t="s">
        <v>7291</v>
      </c>
      <c r="B741" s="1">
        <v>45896</v>
      </c>
      <c r="C741" t="s">
        <v>12893</v>
      </c>
      <c r="D741" s="5">
        <v>0.53135416666666668</v>
      </c>
      <c r="E741">
        <v>164.47</v>
      </c>
      <c r="F741" t="s">
        <v>44</v>
      </c>
      <c r="G741" t="s">
        <v>541</v>
      </c>
      <c r="H741" t="s">
        <v>64</v>
      </c>
      <c r="I741" t="s">
        <v>97</v>
      </c>
      <c r="J741" t="s">
        <v>7292</v>
      </c>
      <c r="K741">
        <v>47</v>
      </c>
      <c r="L741" t="s">
        <v>49</v>
      </c>
      <c r="M741" t="s">
        <v>248</v>
      </c>
      <c r="N741" t="s">
        <v>112</v>
      </c>
      <c r="O741" t="s">
        <v>28</v>
      </c>
      <c r="P741" t="s">
        <v>31</v>
      </c>
      <c r="Q741">
        <v>0</v>
      </c>
      <c r="R741" t="s">
        <v>12883</v>
      </c>
      <c r="S741" t="s">
        <v>12886</v>
      </c>
    </row>
    <row r="742" spans="1:19" x14ac:dyDescent="0.25">
      <c r="A742" t="s">
        <v>2738</v>
      </c>
      <c r="B742" s="1">
        <v>45817</v>
      </c>
      <c r="C742" t="s">
        <v>12888</v>
      </c>
      <c r="D742" s="5">
        <v>0.1620138888888889</v>
      </c>
      <c r="E742">
        <v>164.32</v>
      </c>
      <c r="F742" t="s">
        <v>44</v>
      </c>
      <c r="G742" t="s">
        <v>2195</v>
      </c>
      <c r="H742" t="s">
        <v>96</v>
      </c>
      <c r="I742" t="s">
        <v>119</v>
      </c>
      <c r="J742" t="s">
        <v>2739</v>
      </c>
      <c r="K742">
        <v>44</v>
      </c>
      <c r="L742" t="s">
        <v>25</v>
      </c>
      <c r="M742" t="s">
        <v>58</v>
      </c>
      <c r="N742" t="s">
        <v>39</v>
      </c>
      <c r="O742" t="s">
        <v>28</v>
      </c>
      <c r="P742" t="s">
        <v>31</v>
      </c>
      <c r="Q742">
        <v>0</v>
      </c>
      <c r="R742" t="s">
        <v>12883</v>
      </c>
      <c r="S742" t="s">
        <v>12886</v>
      </c>
    </row>
    <row r="743" spans="1:19" x14ac:dyDescent="0.25">
      <c r="A743" t="s">
        <v>11916</v>
      </c>
      <c r="B743" s="1">
        <v>45810</v>
      </c>
      <c r="C743" t="s">
        <v>12888</v>
      </c>
      <c r="D743" s="5">
        <v>0.16890046296296296</v>
      </c>
      <c r="E743">
        <v>164.28</v>
      </c>
      <c r="F743" t="s">
        <v>44</v>
      </c>
      <c r="G743" t="s">
        <v>1916</v>
      </c>
      <c r="H743" t="s">
        <v>96</v>
      </c>
      <c r="I743" t="s">
        <v>66</v>
      </c>
      <c r="J743" t="s">
        <v>11917</v>
      </c>
      <c r="K743">
        <v>24</v>
      </c>
      <c r="L743" t="s">
        <v>49</v>
      </c>
      <c r="M743" t="s">
        <v>110</v>
      </c>
      <c r="N743" t="s">
        <v>27</v>
      </c>
      <c r="O743" t="s">
        <v>28</v>
      </c>
      <c r="P743" t="s">
        <v>31</v>
      </c>
      <c r="Q743">
        <v>0</v>
      </c>
      <c r="R743" t="s">
        <v>12883</v>
      </c>
      <c r="S743" t="s">
        <v>12892</v>
      </c>
    </row>
    <row r="744" spans="1:19" x14ac:dyDescent="0.25">
      <c r="A744" t="s">
        <v>9135</v>
      </c>
      <c r="B744" s="1">
        <v>45811</v>
      </c>
      <c r="C744" t="s">
        <v>12888</v>
      </c>
      <c r="D744" s="5">
        <v>0.24054398148148148</v>
      </c>
      <c r="E744">
        <v>164.22</v>
      </c>
      <c r="F744" t="s">
        <v>44</v>
      </c>
      <c r="G744" t="s">
        <v>5443</v>
      </c>
      <c r="H744" t="s">
        <v>22</v>
      </c>
      <c r="I744" t="s">
        <v>66</v>
      </c>
      <c r="J744" t="s">
        <v>9136</v>
      </c>
      <c r="K744">
        <v>45</v>
      </c>
      <c r="L744" t="s">
        <v>25</v>
      </c>
      <c r="M744" t="s">
        <v>248</v>
      </c>
      <c r="N744" t="s">
        <v>84</v>
      </c>
      <c r="O744" t="s">
        <v>28</v>
      </c>
      <c r="P744" t="s">
        <v>31</v>
      </c>
      <c r="Q744">
        <v>0</v>
      </c>
      <c r="R744" t="s">
        <v>12883</v>
      </c>
      <c r="S744" t="s">
        <v>12886</v>
      </c>
    </row>
    <row r="745" spans="1:19" x14ac:dyDescent="0.25">
      <c r="A745" t="s">
        <v>12368</v>
      </c>
      <c r="B745" s="1">
        <v>45939</v>
      </c>
      <c r="C745" t="s">
        <v>12890</v>
      </c>
      <c r="D745" s="5">
        <v>0.15390046296296298</v>
      </c>
      <c r="E745">
        <v>164.17</v>
      </c>
      <c r="F745" t="s">
        <v>44</v>
      </c>
      <c r="G745" t="s">
        <v>663</v>
      </c>
      <c r="H745" t="s">
        <v>46</v>
      </c>
      <c r="I745" t="s">
        <v>119</v>
      </c>
      <c r="J745" t="s">
        <v>12369</v>
      </c>
      <c r="K745">
        <v>43</v>
      </c>
      <c r="L745" t="s">
        <v>37</v>
      </c>
      <c r="M745" t="s">
        <v>248</v>
      </c>
      <c r="N745" t="s">
        <v>27</v>
      </c>
      <c r="O745" t="s">
        <v>28</v>
      </c>
      <c r="P745" t="s">
        <v>31</v>
      </c>
      <c r="Q745">
        <v>0</v>
      </c>
      <c r="R745" t="s">
        <v>12883</v>
      </c>
      <c r="S745" t="s">
        <v>12886</v>
      </c>
    </row>
    <row r="746" spans="1:19" x14ac:dyDescent="0.25">
      <c r="A746" t="s">
        <v>6681</v>
      </c>
      <c r="B746" s="1">
        <v>45859</v>
      </c>
      <c r="C746" t="s">
        <v>12885</v>
      </c>
      <c r="D746" s="5">
        <v>5.6273148148148149E-2</v>
      </c>
      <c r="E746">
        <v>164.1</v>
      </c>
      <c r="F746" t="s">
        <v>44</v>
      </c>
      <c r="G746" t="s">
        <v>4852</v>
      </c>
      <c r="H746" t="s">
        <v>71</v>
      </c>
      <c r="I746" t="s">
        <v>35</v>
      </c>
      <c r="J746" t="s">
        <v>6682</v>
      </c>
      <c r="K746">
        <v>18</v>
      </c>
      <c r="L746" t="s">
        <v>37</v>
      </c>
      <c r="M746" t="s">
        <v>130</v>
      </c>
      <c r="N746" t="s">
        <v>105</v>
      </c>
      <c r="O746" t="s">
        <v>28</v>
      </c>
      <c r="P746" t="s">
        <v>31</v>
      </c>
      <c r="Q746">
        <v>0</v>
      </c>
      <c r="R746" t="s">
        <v>12883</v>
      </c>
      <c r="S746" t="s">
        <v>12892</v>
      </c>
    </row>
    <row r="747" spans="1:19" x14ac:dyDescent="0.25">
      <c r="A747" t="s">
        <v>4626</v>
      </c>
      <c r="B747" s="1">
        <v>45931</v>
      </c>
      <c r="C747" t="s">
        <v>12890</v>
      </c>
      <c r="D747" s="5">
        <v>0.12516203703703704</v>
      </c>
      <c r="E747">
        <v>164</v>
      </c>
      <c r="F747" t="s">
        <v>44</v>
      </c>
      <c r="G747" t="s">
        <v>4627</v>
      </c>
      <c r="H747" t="s">
        <v>46</v>
      </c>
      <c r="I747" t="s">
        <v>66</v>
      </c>
      <c r="J747" t="s">
        <v>4628</v>
      </c>
      <c r="K747">
        <v>47</v>
      </c>
      <c r="L747" t="s">
        <v>25</v>
      </c>
      <c r="M747" t="s">
        <v>97</v>
      </c>
      <c r="N747" t="s">
        <v>51</v>
      </c>
      <c r="O747" t="s">
        <v>28</v>
      </c>
      <c r="P747" t="s">
        <v>31</v>
      </c>
      <c r="Q747">
        <v>0</v>
      </c>
      <c r="R747" t="s">
        <v>12883</v>
      </c>
      <c r="S747" t="s">
        <v>12886</v>
      </c>
    </row>
    <row r="748" spans="1:19" x14ac:dyDescent="0.25">
      <c r="A748" t="s">
        <v>10226</v>
      </c>
      <c r="B748" s="1">
        <v>45804</v>
      </c>
      <c r="C748" t="s">
        <v>12887</v>
      </c>
      <c r="D748" s="5">
        <v>2.6041666666666668E-2</v>
      </c>
      <c r="E748">
        <v>163.84</v>
      </c>
      <c r="F748" t="s">
        <v>44</v>
      </c>
      <c r="G748" t="s">
        <v>9906</v>
      </c>
      <c r="H748" t="s">
        <v>124</v>
      </c>
      <c r="I748" t="s">
        <v>91</v>
      </c>
      <c r="J748" t="s">
        <v>10227</v>
      </c>
      <c r="K748">
        <v>38</v>
      </c>
      <c r="L748" t="s">
        <v>49</v>
      </c>
      <c r="M748" t="s">
        <v>58</v>
      </c>
      <c r="N748" t="s">
        <v>39</v>
      </c>
      <c r="O748" t="s">
        <v>28</v>
      </c>
      <c r="P748" t="s">
        <v>31</v>
      </c>
      <c r="Q748">
        <v>0</v>
      </c>
      <c r="R748" t="s">
        <v>12883</v>
      </c>
      <c r="S748" t="s">
        <v>12889</v>
      </c>
    </row>
    <row r="749" spans="1:19" x14ac:dyDescent="0.25">
      <c r="A749" t="s">
        <v>4399</v>
      </c>
      <c r="B749" s="1">
        <v>45920</v>
      </c>
      <c r="C749" t="s">
        <v>12882</v>
      </c>
      <c r="D749" s="5">
        <v>0.99049768518518522</v>
      </c>
      <c r="E749">
        <v>163.78</v>
      </c>
      <c r="F749" t="s">
        <v>44</v>
      </c>
      <c r="G749" t="s">
        <v>3270</v>
      </c>
      <c r="H749" t="s">
        <v>89</v>
      </c>
      <c r="I749" t="s">
        <v>47</v>
      </c>
      <c r="J749" t="s">
        <v>4400</v>
      </c>
      <c r="K749">
        <v>47</v>
      </c>
      <c r="L749" t="s">
        <v>49</v>
      </c>
      <c r="M749" t="s">
        <v>248</v>
      </c>
      <c r="N749" t="s">
        <v>51</v>
      </c>
      <c r="O749" t="s">
        <v>28</v>
      </c>
      <c r="P749" t="s">
        <v>31</v>
      </c>
      <c r="Q749">
        <v>0</v>
      </c>
      <c r="R749" t="s">
        <v>12883</v>
      </c>
      <c r="S749" t="s">
        <v>12886</v>
      </c>
    </row>
    <row r="750" spans="1:19" x14ac:dyDescent="0.25">
      <c r="A750" t="s">
        <v>8161</v>
      </c>
      <c r="B750" s="1">
        <v>45811</v>
      </c>
      <c r="C750" t="s">
        <v>12888</v>
      </c>
      <c r="D750" s="5">
        <v>0.11384259259259259</v>
      </c>
      <c r="E750">
        <v>163.63999999999999</v>
      </c>
      <c r="F750" t="s">
        <v>44</v>
      </c>
      <c r="G750" t="s">
        <v>5050</v>
      </c>
      <c r="H750" t="s">
        <v>124</v>
      </c>
      <c r="I750" t="s">
        <v>35</v>
      </c>
      <c r="J750" t="s">
        <v>8162</v>
      </c>
      <c r="K750">
        <v>75</v>
      </c>
      <c r="L750" t="s">
        <v>49</v>
      </c>
      <c r="M750" t="s">
        <v>119</v>
      </c>
      <c r="N750" t="s">
        <v>84</v>
      </c>
      <c r="O750" t="s">
        <v>28</v>
      </c>
      <c r="P750" t="s">
        <v>31</v>
      </c>
      <c r="Q750">
        <v>0</v>
      </c>
      <c r="R750" t="s">
        <v>12883</v>
      </c>
      <c r="S750" t="s">
        <v>12884</v>
      </c>
    </row>
    <row r="751" spans="1:19" x14ac:dyDescent="0.25">
      <c r="A751" t="s">
        <v>7837</v>
      </c>
      <c r="B751" s="1">
        <v>45956</v>
      </c>
      <c r="C751" t="s">
        <v>12890</v>
      </c>
      <c r="D751" s="5">
        <v>0.85054398148148147</v>
      </c>
      <c r="E751">
        <v>163.54</v>
      </c>
      <c r="F751" t="s">
        <v>44</v>
      </c>
      <c r="G751" t="s">
        <v>2654</v>
      </c>
      <c r="H751" t="s">
        <v>96</v>
      </c>
      <c r="I751" t="s">
        <v>23</v>
      </c>
      <c r="J751" t="s">
        <v>7838</v>
      </c>
      <c r="K751">
        <v>65</v>
      </c>
      <c r="L751" t="s">
        <v>37</v>
      </c>
      <c r="M751" t="s">
        <v>119</v>
      </c>
      <c r="N751" t="s">
        <v>27</v>
      </c>
      <c r="O751" t="s">
        <v>28</v>
      </c>
      <c r="P751" t="s">
        <v>31</v>
      </c>
      <c r="Q751">
        <v>0</v>
      </c>
      <c r="R751" t="s">
        <v>12883</v>
      </c>
      <c r="S751" t="s">
        <v>12884</v>
      </c>
    </row>
    <row r="752" spans="1:19" x14ac:dyDescent="0.25">
      <c r="A752" t="s">
        <v>2276</v>
      </c>
      <c r="B752" s="1">
        <v>45784</v>
      </c>
      <c r="C752" t="s">
        <v>12887</v>
      </c>
      <c r="D752" s="5">
        <v>0.32208333333333333</v>
      </c>
      <c r="E752">
        <v>163.53</v>
      </c>
      <c r="F752" t="s">
        <v>44</v>
      </c>
      <c r="G752" t="s">
        <v>2277</v>
      </c>
      <c r="H752" t="s">
        <v>34</v>
      </c>
      <c r="I752" t="s">
        <v>47</v>
      </c>
      <c r="J752" t="s">
        <v>2278</v>
      </c>
      <c r="K752">
        <v>58</v>
      </c>
      <c r="L752" t="s">
        <v>49</v>
      </c>
      <c r="M752" t="s">
        <v>97</v>
      </c>
      <c r="N752" t="s">
        <v>105</v>
      </c>
      <c r="O752" t="s">
        <v>28</v>
      </c>
      <c r="P752" t="s">
        <v>31</v>
      </c>
      <c r="Q752">
        <v>0</v>
      </c>
      <c r="R752" t="s">
        <v>12883</v>
      </c>
      <c r="S752" t="s">
        <v>12886</v>
      </c>
    </row>
    <row r="753" spans="1:19" x14ac:dyDescent="0.25">
      <c r="A753" t="s">
        <v>5205</v>
      </c>
      <c r="B753" s="1">
        <v>45866</v>
      </c>
      <c r="C753" t="s">
        <v>12885</v>
      </c>
      <c r="D753" s="5">
        <v>0.38827546296296295</v>
      </c>
      <c r="E753">
        <v>163.41</v>
      </c>
      <c r="F753" t="s">
        <v>44</v>
      </c>
      <c r="G753" t="s">
        <v>1911</v>
      </c>
      <c r="H753" t="s">
        <v>57</v>
      </c>
      <c r="I753" t="s">
        <v>50</v>
      </c>
      <c r="J753" t="s">
        <v>5206</v>
      </c>
      <c r="K753">
        <v>23</v>
      </c>
      <c r="L753" t="s">
        <v>37</v>
      </c>
      <c r="M753" t="s">
        <v>38</v>
      </c>
      <c r="N753" t="s">
        <v>51</v>
      </c>
      <c r="O753" t="s">
        <v>28</v>
      </c>
      <c r="P753" t="s">
        <v>31</v>
      </c>
      <c r="Q753">
        <v>0</v>
      </c>
      <c r="R753" t="s">
        <v>12883</v>
      </c>
      <c r="S753" t="s">
        <v>12892</v>
      </c>
    </row>
    <row r="754" spans="1:19" x14ac:dyDescent="0.25">
      <c r="A754" t="s">
        <v>4682</v>
      </c>
      <c r="B754" s="1">
        <v>45893</v>
      </c>
      <c r="C754" t="s">
        <v>12893</v>
      </c>
      <c r="D754" s="5">
        <v>0.64149305555555558</v>
      </c>
      <c r="E754">
        <v>163.34</v>
      </c>
      <c r="F754" t="s">
        <v>44</v>
      </c>
      <c r="G754" t="s">
        <v>4683</v>
      </c>
      <c r="H754" t="s">
        <v>64</v>
      </c>
      <c r="I754" t="s">
        <v>110</v>
      </c>
      <c r="J754" t="s">
        <v>4684</v>
      </c>
      <c r="K754">
        <v>22</v>
      </c>
      <c r="L754" t="s">
        <v>49</v>
      </c>
      <c r="M754" t="s">
        <v>130</v>
      </c>
      <c r="N754" t="s">
        <v>105</v>
      </c>
      <c r="O754" t="s">
        <v>28</v>
      </c>
      <c r="P754" t="s">
        <v>31</v>
      </c>
      <c r="Q754">
        <v>0</v>
      </c>
      <c r="R754" t="s">
        <v>12883</v>
      </c>
      <c r="S754" t="s">
        <v>12892</v>
      </c>
    </row>
    <row r="755" spans="1:19" x14ac:dyDescent="0.25">
      <c r="A755" t="s">
        <v>1670</v>
      </c>
      <c r="B755" s="1">
        <v>45827</v>
      </c>
      <c r="C755" t="s">
        <v>12888</v>
      </c>
      <c r="D755" s="5">
        <v>0.90643518518518518</v>
      </c>
      <c r="E755">
        <v>163.30000000000001</v>
      </c>
      <c r="F755" t="s">
        <v>44</v>
      </c>
      <c r="G755" t="s">
        <v>1647</v>
      </c>
      <c r="H755" t="s">
        <v>46</v>
      </c>
      <c r="I755" t="s">
        <v>146</v>
      </c>
      <c r="J755" t="s">
        <v>1671</v>
      </c>
      <c r="K755">
        <v>65</v>
      </c>
      <c r="L755" t="s">
        <v>25</v>
      </c>
      <c r="M755" t="s">
        <v>23</v>
      </c>
      <c r="N755" t="s">
        <v>84</v>
      </c>
      <c r="O755" t="s">
        <v>28</v>
      </c>
      <c r="P755" t="s">
        <v>31</v>
      </c>
      <c r="Q755">
        <v>0</v>
      </c>
      <c r="R755" t="s">
        <v>12883</v>
      </c>
      <c r="S755" t="s">
        <v>12884</v>
      </c>
    </row>
    <row r="756" spans="1:19" x14ac:dyDescent="0.25">
      <c r="A756" t="s">
        <v>10839</v>
      </c>
      <c r="B756" s="1">
        <v>45919</v>
      </c>
      <c r="C756" t="s">
        <v>12882</v>
      </c>
      <c r="D756" s="5">
        <v>0.31115740740740738</v>
      </c>
      <c r="E756">
        <v>163.22999999999999</v>
      </c>
      <c r="F756" t="s">
        <v>44</v>
      </c>
      <c r="G756" t="s">
        <v>2961</v>
      </c>
      <c r="H756" t="s">
        <v>22</v>
      </c>
      <c r="I756" t="s">
        <v>97</v>
      </c>
      <c r="J756" t="s">
        <v>10840</v>
      </c>
      <c r="K756">
        <v>29</v>
      </c>
      <c r="L756" t="s">
        <v>37</v>
      </c>
      <c r="M756" t="s">
        <v>91</v>
      </c>
      <c r="N756" t="s">
        <v>39</v>
      </c>
      <c r="O756" t="s">
        <v>28</v>
      </c>
      <c r="P756" t="s">
        <v>31</v>
      </c>
      <c r="Q756">
        <v>0</v>
      </c>
      <c r="R756" t="s">
        <v>12883</v>
      </c>
      <c r="S756" t="s">
        <v>12889</v>
      </c>
    </row>
    <row r="757" spans="1:19" x14ac:dyDescent="0.25">
      <c r="A757" t="s">
        <v>6440</v>
      </c>
      <c r="B757" s="1">
        <v>45901</v>
      </c>
      <c r="C757" t="s">
        <v>12882</v>
      </c>
      <c r="D757" s="5">
        <v>0.55432870370370368</v>
      </c>
      <c r="E757">
        <v>163.13999999999999</v>
      </c>
      <c r="F757" t="s">
        <v>44</v>
      </c>
      <c r="G757" t="s">
        <v>2543</v>
      </c>
      <c r="H757" t="s">
        <v>64</v>
      </c>
      <c r="I757" t="s">
        <v>248</v>
      </c>
      <c r="J757" t="s">
        <v>6441</v>
      </c>
      <c r="K757">
        <v>27</v>
      </c>
      <c r="L757" t="s">
        <v>37</v>
      </c>
      <c r="M757" t="s">
        <v>38</v>
      </c>
      <c r="N757" t="s">
        <v>105</v>
      </c>
      <c r="O757" t="s">
        <v>28</v>
      </c>
      <c r="P757" t="s">
        <v>31</v>
      </c>
      <c r="Q757">
        <v>0</v>
      </c>
      <c r="R757" t="s">
        <v>12883</v>
      </c>
      <c r="S757" t="s">
        <v>12889</v>
      </c>
    </row>
    <row r="758" spans="1:19" x14ac:dyDescent="0.25">
      <c r="A758" t="s">
        <v>8226</v>
      </c>
      <c r="B758" s="1">
        <v>45831</v>
      </c>
      <c r="C758" t="s">
        <v>12888</v>
      </c>
      <c r="D758" s="5">
        <v>0.88354166666666667</v>
      </c>
      <c r="E758">
        <v>163.12</v>
      </c>
      <c r="F758" t="s">
        <v>44</v>
      </c>
      <c r="G758" t="s">
        <v>6113</v>
      </c>
      <c r="H758" t="s">
        <v>34</v>
      </c>
      <c r="I758" t="s">
        <v>91</v>
      </c>
      <c r="J758" t="s">
        <v>8227</v>
      </c>
      <c r="K758">
        <v>72</v>
      </c>
      <c r="L758" t="s">
        <v>49</v>
      </c>
      <c r="M758" t="s">
        <v>119</v>
      </c>
      <c r="N758" t="s">
        <v>27</v>
      </c>
      <c r="O758" t="s">
        <v>28</v>
      </c>
      <c r="P758" t="s">
        <v>31</v>
      </c>
      <c r="Q758">
        <v>0</v>
      </c>
      <c r="R758" t="s">
        <v>12883</v>
      </c>
      <c r="S758" t="s">
        <v>12884</v>
      </c>
    </row>
    <row r="759" spans="1:19" x14ac:dyDescent="0.25">
      <c r="A759" t="s">
        <v>7768</v>
      </c>
      <c r="B759" s="1">
        <v>45864</v>
      </c>
      <c r="C759" t="s">
        <v>12885</v>
      </c>
      <c r="D759" s="5">
        <v>0.9864236111111111</v>
      </c>
      <c r="E759">
        <v>163.08000000000001</v>
      </c>
      <c r="F759" t="s">
        <v>44</v>
      </c>
      <c r="G759" t="s">
        <v>6279</v>
      </c>
      <c r="H759" t="s">
        <v>124</v>
      </c>
      <c r="I759" t="s">
        <v>146</v>
      </c>
      <c r="J759" t="s">
        <v>7769</v>
      </c>
      <c r="K759">
        <v>19</v>
      </c>
      <c r="L759" t="s">
        <v>25</v>
      </c>
      <c r="M759" t="s">
        <v>35</v>
      </c>
      <c r="N759" t="s">
        <v>39</v>
      </c>
      <c r="O759" t="s">
        <v>28</v>
      </c>
      <c r="P759" t="s">
        <v>31</v>
      </c>
      <c r="Q759">
        <v>0</v>
      </c>
      <c r="R759" t="s">
        <v>12883</v>
      </c>
      <c r="S759" t="s">
        <v>12892</v>
      </c>
    </row>
    <row r="760" spans="1:19" x14ac:dyDescent="0.25">
      <c r="A760" t="s">
        <v>8079</v>
      </c>
      <c r="B760" s="1">
        <v>45837</v>
      </c>
      <c r="C760" t="s">
        <v>12888</v>
      </c>
      <c r="D760" s="5">
        <v>0.93990740740740741</v>
      </c>
      <c r="E760">
        <v>163</v>
      </c>
      <c r="F760" t="s">
        <v>44</v>
      </c>
      <c r="G760" t="s">
        <v>192</v>
      </c>
      <c r="H760" t="s">
        <v>64</v>
      </c>
      <c r="I760" t="s">
        <v>97</v>
      </c>
      <c r="J760" t="s">
        <v>8080</v>
      </c>
      <c r="K760">
        <v>41</v>
      </c>
      <c r="L760" t="s">
        <v>37</v>
      </c>
      <c r="M760" t="s">
        <v>110</v>
      </c>
      <c r="N760" t="s">
        <v>39</v>
      </c>
      <c r="O760" t="s">
        <v>28</v>
      </c>
      <c r="P760" t="s">
        <v>31</v>
      </c>
      <c r="Q760">
        <v>0</v>
      </c>
      <c r="R760" t="s">
        <v>12883</v>
      </c>
      <c r="S760" t="s">
        <v>12886</v>
      </c>
    </row>
    <row r="761" spans="1:19" x14ac:dyDescent="0.25">
      <c r="A761" t="s">
        <v>3059</v>
      </c>
      <c r="B761" s="1">
        <v>45913</v>
      </c>
      <c r="C761" t="s">
        <v>12882</v>
      </c>
      <c r="D761" s="5">
        <v>0.1809375</v>
      </c>
      <c r="E761">
        <v>162.91</v>
      </c>
      <c r="F761" t="s">
        <v>44</v>
      </c>
      <c r="G761" t="s">
        <v>3060</v>
      </c>
      <c r="H761" t="s">
        <v>34</v>
      </c>
      <c r="I761" t="s">
        <v>50</v>
      </c>
      <c r="J761" t="s">
        <v>3061</v>
      </c>
      <c r="K761">
        <v>72</v>
      </c>
      <c r="L761" t="s">
        <v>49</v>
      </c>
      <c r="M761" t="s">
        <v>50</v>
      </c>
      <c r="N761" t="s">
        <v>105</v>
      </c>
      <c r="O761" t="s">
        <v>113</v>
      </c>
      <c r="P761" t="s">
        <v>31</v>
      </c>
      <c r="Q761">
        <v>0</v>
      </c>
      <c r="R761" t="s">
        <v>12883</v>
      </c>
      <c r="S761" t="s">
        <v>12884</v>
      </c>
    </row>
    <row r="762" spans="1:19" x14ac:dyDescent="0.25">
      <c r="A762" t="s">
        <v>11723</v>
      </c>
      <c r="B762" s="1">
        <v>45884</v>
      </c>
      <c r="C762" t="s">
        <v>12893</v>
      </c>
      <c r="D762" s="5">
        <v>0.12052083333333333</v>
      </c>
      <c r="E762">
        <v>162.85</v>
      </c>
      <c r="F762" t="s">
        <v>44</v>
      </c>
      <c r="G762" t="s">
        <v>4732</v>
      </c>
      <c r="H762" t="s">
        <v>96</v>
      </c>
      <c r="I762" t="s">
        <v>50</v>
      </c>
      <c r="J762" t="s">
        <v>11724</v>
      </c>
      <c r="K762">
        <v>26</v>
      </c>
      <c r="L762" t="s">
        <v>37</v>
      </c>
      <c r="M762" t="s">
        <v>35</v>
      </c>
      <c r="N762" t="s">
        <v>39</v>
      </c>
      <c r="O762" t="s">
        <v>28</v>
      </c>
      <c r="P762" t="s">
        <v>31</v>
      </c>
      <c r="Q762">
        <v>0</v>
      </c>
      <c r="R762" t="s">
        <v>12883</v>
      </c>
      <c r="S762" t="s">
        <v>12889</v>
      </c>
    </row>
    <row r="763" spans="1:19" x14ac:dyDescent="0.25">
      <c r="A763" t="s">
        <v>1997</v>
      </c>
      <c r="B763" s="1">
        <v>45910</v>
      </c>
      <c r="C763" t="s">
        <v>12882</v>
      </c>
      <c r="D763" s="5">
        <v>0.21098379629629629</v>
      </c>
      <c r="E763">
        <v>162.80000000000001</v>
      </c>
      <c r="F763" t="s">
        <v>44</v>
      </c>
      <c r="G763" t="s">
        <v>1998</v>
      </c>
      <c r="H763" t="s">
        <v>89</v>
      </c>
      <c r="I763" t="s">
        <v>47</v>
      </c>
      <c r="J763" t="s">
        <v>1999</v>
      </c>
      <c r="K763">
        <v>41</v>
      </c>
      <c r="L763" t="s">
        <v>49</v>
      </c>
      <c r="M763" t="s">
        <v>26</v>
      </c>
      <c r="N763" t="s">
        <v>27</v>
      </c>
      <c r="O763" t="s">
        <v>28</v>
      </c>
      <c r="P763" t="s">
        <v>31</v>
      </c>
      <c r="Q763">
        <v>0</v>
      </c>
      <c r="R763" t="s">
        <v>12883</v>
      </c>
      <c r="S763" t="s">
        <v>12886</v>
      </c>
    </row>
    <row r="764" spans="1:19" x14ac:dyDescent="0.25">
      <c r="A764" t="s">
        <v>5975</v>
      </c>
      <c r="B764" s="1">
        <v>45793</v>
      </c>
      <c r="C764" t="s">
        <v>12887</v>
      </c>
      <c r="D764" s="5">
        <v>0.85212962962962968</v>
      </c>
      <c r="E764">
        <v>162.75</v>
      </c>
      <c r="F764" t="s">
        <v>44</v>
      </c>
      <c r="G764" t="s">
        <v>5976</v>
      </c>
      <c r="H764" t="s">
        <v>71</v>
      </c>
      <c r="I764" t="s">
        <v>91</v>
      </c>
      <c r="J764" t="s">
        <v>5977</v>
      </c>
      <c r="K764">
        <v>27</v>
      </c>
      <c r="L764" t="s">
        <v>37</v>
      </c>
      <c r="M764" t="s">
        <v>146</v>
      </c>
      <c r="N764" t="s">
        <v>39</v>
      </c>
      <c r="O764" t="s">
        <v>28</v>
      </c>
      <c r="P764" t="s">
        <v>31</v>
      </c>
      <c r="Q764">
        <v>0</v>
      </c>
      <c r="R764" t="s">
        <v>12883</v>
      </c>
      <c r="S764" t="s">
        <v>12889</v>
      </c>
    </row>
    <row r="765" spans="1:19" x14ac:dyDescent="0.25">
      <c r="A765" t="s">
        <v>8031</v>
      </c>
      <c r="B765" s="1">
        <v>45938</v>
      </c>
      <c r="C765" t="s">
        <v>12890</v>
      </c>
      <c r="D765" s="5">
        <v>0.7938425925925926</v>
      </c>
      <c r="E765">
        <v>162.74</v>
      </c>
      <c r="F765" t="s">
        <v>44</v>
      </c>
      <c r="G765" t="s">
        <v>5183</v>
      </c>
      <c r="H765" t="s">
        <v>64</v>
      </c>
      <c r="I765" t="s">
        <v>119</v>
      </c>
      <c r="J765" t="s">
        <v>8032</v>
      </c>
      <c r="K765">
        <v>47</v>
      </c>
      <c r="L765" t="s">
        <v>25</v>
      </c>
      <c r="M765" t="s">
        <v>66</v>
      </c>
      <c r="N765" t="s">
        <v>112</v>
      </c>
      <c r="O765" t="s">
        <v>28</v>
      </c>
      <c r="P765" t="s">
        <v>31</v>
      </c>
      <c r="Q765">
        <v>0</v>
      </c>
      <c r="R765" t="s">
        <v>12883</v>
      </c>
      <c r="S765" t="s">
        <v>12886</v>
      </c>
    </row>
    <row r="766" spans="1:19" x14ac:dyDescent="0.25">
      <c r="A766" t="s">
        <v>7507</v>
      </c>
      <c r="B766" s="1">
        <v>45833</v>
      </c>
      <c r="C766" t="s">
        <v>12888</v>
      </c>
      <c r="D766" s="5">
        <v>0.86569444444444443</v>
      </c>
      <c r="E766">
        <v>162.44999999999999</v>
      </c>
      <c r="F766" t="s">
        <v>44</v>
      </c>
      <c r="G766" t="s">
        <v>76</v>
      </c>
      <c r="H766" t="s">
        <v>71</v>
      </c>
      <c r="I766" t="s">
        <v>130</v>
      </c>
      <c r="J766" t="s">
        <v>7508</v>
      </c>
      <c r="K766">
        <v>18</v>
      </c>
      <c r="L766" t="s">
        <v>25</v>
      </c>
      <c r="M766" t="s">
        <v>47</v>
      </c>
      <c r="N766" t="s">
        <v>84</v>
      </c>
      <c r="O766" t="s">
        <v>28</v>
      </c>
      <c r="P766" t="s">
        <v>31</v>
      </c>
      <c r="Q766">
        <v>0</v>
      </c>
      <c r="R766" t="s">
        <v>12883</v>
      </c>
      <c r="S766" t="s">
        <v>12892</v>
      </c>
    </row>
    <row r="767" spans="1:19" x14ac:dyDescent="0.25">
      <c r="A767" t="s">
        <v>8926</v>
      </c>
      <c r="B767" s="1">
        <v>45952</v>
      </c>
      <c r="C767" t="s">
        <v>12890</v>
      </c>
      <c r="D767" s="5">
        <v>1.1608796296296296E-2</v>
      </c>
      <c r="E767">
        <v>162.44</v>
      </c>
      <c r="F767" t="s">
        <v>44</v>
      </c>
      <c r="G767" t="s">
        <v>8927</v>
      </c>
      <c r="H767" t="s">
        <v>34</v>
      </c>
      <c r="I767" t="s">
        <v>50</v>
      </c>
      <c r="J767" t="s">
        <v>8928</v>
      </c>
      <c r="K767">
        <v>55</v>
      </c>
      <c r="L767" t="s">
        <v>25</v>
      </c>
      <c r="M767" t="s">
        <v>119</v>
      </c>
      <c r="N767" t="s">
        <v>112</v>
      </c>
      <c r="O767" t="s">
        <v>28</v>
      </c>
      <c r="P767" t="s">
        <v>31</v>
      </c>
      <c r="Q767">
        <v>0</v>
      </c>
      <c r="R767" t="s">
        <v>12883</v>
      </c>
      <c r="S767" t="s">
        <v>12886</v>
      </c>
    </row>
    <row r="768" spans="1:19" x14ac:dyDescent="0.25">
      <c r="A768" t="s">
        <v>1412</v>
      </c>
      <c r="B768" s="1">
        <v>45848</v>
      </c>
      <c r="C768" t="s">
        <v>12885</v>
      </c>
      <c r="D768" s="5">
        <v>0.93905092592592587</v>
      </c>
      <c r="E768">
        <v>162.41</v>
      </c>
      <c r="F768" t="s">
        <v>44</v>
      </c>
      <c r="G768" t="s">
        <v>1413</v>
      </c>
      <c r="H768" t="s">
        <v>124</v>
      </c>
      <c r="I768" t="s">
        <v>38</v>
      </c>
      <c r="J768" t="s">
        <v>1414</v>
      </c>
      <c r="K768">
        <v>26</v>
      </c>
      <c r="L768" t="s">
        <v>37</v>
      </c>
      <c r="M768" t="s">
        <v>26</v>
      </c>
      <c r="N768" t="s">
        <v>112</v>
      </c>
      <c r="O768" t="s">
        <v>28</v>
      </c>
      <c r="P768" t="s">
        <v>31</v>
      </c>
      <c r="Q768">
        <v>0</v>
      </c>
      <c r="R768" t="s">
        <v>12883</v>
      </c>
      <c r="S768" t="s">
        <v>12889</v>
      </c>
    </row>
    <row r="769" spans="1:19" x14ac:dyDescent="0.25">
      <c r="A769" t="s">
        <v>11131</v>
      </c>
      <c r="B769" s="1">
        <v>45791</v>
      </c>
      <c r="C769" t="s">
        <v>12887</v>
      </c>
      <c r="D769" s="5">
        <v>0.11725694444444444</v>
      </c>
      <c r="E769">
        <v>162.4</v>
      </c>
      <c r="F769" t="s">
        <v>44</v>
      </c>
      <c r="G769" t="s">
        <v>556</v>
      </c>
      <c r="H769" t="s">
        <v>89</v>
      </c>
      <c r="I769" t="s">
        <v>91</v>
      </c>
      <c r="J769" t="s">
        <v>11132</v>
      </c>
      <c r="K769">
        <v>29</v>
      </c>
      <c r="L769" t="s">
        <v>49</v>
      </c>
      <c r="M769" t="s">
        <v>35</v>
      </c>
      <c r="N769" t="s">
        <v>27</v>
      </c>
      <c r="O769" t="s">
        <v>28</v>
      </c>
      <c r="P769" t="s">
        <v>31</v>
      </c>
      <c r="Q769">
        <v>0</v>
      </c>
      <c r="R769" t="s">
        <v>12883</v>
      </c>
      <c r="S769" t="s">
        <v>12889</v>
      </c>
    </row>
    <row r="770" spans="1:19" x14ac:dyDescent="0.25">
      <c r="A770" t="s">
        <v>9167</v>
      </c>
      <c r="B770" s="1">
        <v>45809</v>
      </c>
      <c r="C770" t="s">
        <v>12888</v>
      </c>
      <c r="D770" s="5">
        <v>0.46023148148148146</v>
      </c>
      <c r="E770">
        <v>162.37</v>
      </c>
      <c r="F770" t="s">
        <v>44</v>
      </c>
      <c r="G770" t="s">
        <v>9168</v>
      </c>
      <c r="H770" t="s">
        <v>77</v>
      </c>
      <c r="I770" t="s">
        <v>110</v>
      </c>
      <c r="J770" t="s">
        <v>9169</v>
      </c>
      <c r="K770">
        <v>34</v>
      </c>
      <c r="L770" t="s">
        <v>25</v>
      </c>
      <c r="M770" t="s">
        <v>23</v>
      </c>
      <c r="N770" t="s">
        <v>112</v>
      </c>
      <c r="O770" t="s">
        <v>28</v>
      </c>
      <c r="P770" t="s">
        <v>31</v>
      </c>
      <c r="Q770">
        <v>0</v>
      </c>
      <c r="R770" t="s">
        <v>12883</v>
      </c>
      <c r="S770" t="s">
        <v>12889</v>
      </c>
    </row>
    <row r="771" spans="1:19" x14ac:dyDescent="0.25">
      <c r="A771" t="s">
        <v>12253</v>
      </c>
      <c r="B771" s="1">
        <v>45885</v>
      </c>
      <c r="C771" t="s">
        <v>12893</v>
      </c>
      <c r="D771" s="5">
        <v>0.11133101851851852</v>
      </c>
      <c r="E771">
        <v>162.36000000000001</v>
      </c>
      <c r="F771" t="s">
        <v>44</v>
      </c>
      <c r="G771" t="s">
        <v>2999</v>
      </c>
      <c r="H771" t="s">
        <v>96</v>
      </c>
      <c r="I771" t="s">
        <v>97</v>
      </c>
      <c r="J771" t="s">
        <v>12254</v>
      </c>
      <c r="K771">
        <v>21</v>
      </c>
      <c r="L771" t="s">
        <v>37</v>
      </c>
      <c r="M771" t="s">
        <v>130</v>
      </c>
      <c r="N771" t="s">
        <v>105</v>
      </c>
      <c r="O771" t="s">
        <v>28</v>
      </c>
      <c r="P771" t="s">
        <v>31</v>
      </c>
      <c r="Q771">
        <v>0</v>
      </c>
      <c r="R771" t="s">
        <v>12883</v>
      </c>
      <c r="S771" t="s">
        <v>12892</v>
      </c>
    </row>
    <row r="772" spans="1:19" x14ac:dyDescent="0.25">
      <c r="A772" t="s">
        <v>12141</v>
      </c>
      <c r="B772" s="1">
        <v>45867</v>
      </c>
      <c r="C772" t="s">
        <v>12885</v>
      </c>
      <c r="D772" s="5">
        <v>0.1171875</v>
      </c>
      <c r="E772">
        <v>162.33000000000001</v>
      </c>
      <c r="F772" t="s">
        <v>44</v>
      </c>
      <c r="G772" t="s">
        <v>978</v>
      </c>
      <c r="H772" t="s">
        <v>96</v>
      </c>
      <c r="I772" t="s">
        <v>50</v>
      </c>
      <c r="J772" t="s">
        <v>12142</v>
      </c>
      <c r="K772">
        <v>49</v>
      </c>
      <c r="L772" t="s">
        <v>37</v>
      </c>
      <c r="M772" t="s">
        <v>38</v>
      </c>
      <c r="N772" t="s">
        <v>51</v>
      </c>
      <c r="O772" t="s">
        <v>28</v>
      </c>
      <c r="P772" t="s">
        <v>31</v>
      </c>
      <c r="Q772">
        <v>0</v>
      </c>
      <c r="R772" t="s">
        <v>12883</v>
      </c>
      <c r="S772" t="s">
        <v>12886</v>
      </c>
    </row>
    <row r="773" spans="1:19" x14ac:dyDescent="0.25">
      <c r="A773" t="s">
        <v>4548</v>
      </c>
      <c r="B773" s="1">
        <v>45883</v>
      </c>
      <c r="C773" t="s">
        <v>12893</v>
      </c>
      <c r="D773" s="5">
        <v>0.97063657407407411</v>
      </c>
      <c r="E773">
        <v>162.1</v>
      </c>
      <c r="F773" t="s">
        <v>44</v>
      </c>
      <c r="G773" t="s">
        <v>927</v>
      </c>
      <c r="H773" t="s">
        <v>46</v>
      </c>
      <c r="I773" t="s">
        <v>50</v>
      </c>
      <c r="J773" t="s">
        <v>2604</v>
      </c>
      <c r="K773">
        <v>37</v>
      </c>
      <c r="L773" t="s">
        <v>49</v>
      </c>
      <c r="M773" t="s">
        <v>97</v>
      </c>
      <c r="N773" t="s">
        <v>105</v>
      </c>
      <c r="O773" t="s">
        <v>28</v>
      </c>
      <c r="P773" t="s">
        <v>31</v>
      </c>
      <c r="Q773">
        <v>0</v>
      </c>
      <c r="R773" t="s">
        <v>12883</v>
      </c>
      <c r="S773" t="s">
        <v>12889</v>
      </c>
    </row>
    <row r="774" spans="1:19" x14ac:dyDescent="0.25">
      <c r="A774" t="s">
        <v>4890</v>
      </c>
      <c r="B774" s="1">
        <v>45782</v>
      </c>
      <c r="C774" t="s">
        <v>12887</v>
      </c>
      <c r="D774" s="5">
        <v>3.0358796296296297E-2</v>
      </c>
      <c r="E774">
        <v>162.09</v>
      </c>
      <c r="F774" t="s">
        <v>44</v>
      </c>
      <c r="G774" t="s">
        <v>4072</v>
      </c>
      <c r="H774" t="s">
        <v>64</v>
      </c>
      <c r="I774" t="s">
        <v>47</v>
      </c>
      <c r="J774" t="s">
        <v>4891</v>
      </c>
      <c r="K774">
        <v>61</v>
      </c>
      <c r="L774" t="s">
        <v>37</v>
      </c>
      <c r="M774" t="s">
        <v>35</v>
      </c>
      <c r="N774" t="s">
        <v>51</v>
      </c>
      <c r="O774" t="s">
        <v>28</v>
      </c>
      <c r="P774" t="s">
        <v>31</v>
      </c>
      <c r="Q774">
        <v>0</v>
      </c>
      <c r="R774" t="s">
        <v>12883</v>
      </c>
      <c r="S774" t="s">
        <v>12884</v>
      </c>
    </row>
    <row r="775" spans="1:19" x14ac:dyDescent="0.25">
      <c r="A775" t="s">
        <v>4544</v>
      </c>
      <c r="B775" s="1">
        <v>45901</v>
      </c>
      <c r="C775" t="s">
        <v>12882</v>
      </c>
      <c r="D775" s="5">
        <v>0.99232638888888891</v>
      </c>
      <c r="E775">
        <v>162.05000000000001</v>
      </c>
      <c r="F775" t="s">
        <v>44</v>
      </c>
      <c r="G775" t="s">
        <v>1524</v>
      </c>
      <c r="H775" t="s">
        <v>96</v>
      </c>
      <c r="I775" t="s">
        <v>47</v>
      </c>
      <c r="J775" t="s">
        <v>4545</v>
      </c>
      <c r="K775">
        <v>64</v>
      </c>
      <c r="L775" t="s">
        <v>37</v>
      </c>
      <c r="M775" t="s">
        <v>110</v>
      </c>
      <c r="N775" t="s">
        <v>84</v>
      </c>
      <c r="O775" t="s">
        <v>28</v>
      </c>
      <c r="P775" t="s">
        <v>31</v>
      </c>
      <c r="Q775">
        <v>0</v>
      </c>
      <c r="R775" t="s">
        <v>12883</v>
      </c>
      <c r="S775" t="s">
        <v>12884</v>
      </c>
    </row>
    <row r="776" spans="1:19" x14ac:dyDescent="0.25">
      <c r="A776" t="s">
        <v>3910</v>
      </c>
      <c r="B776" s="1">
        <v>45946</v>
      </c>
      <c r="C776" t="s">
        <v>12890</v>
      </c>
      <c r="D776" s="5">
        <v>0.12527777777777777</v>
      </c>
      <c r="E776">
        <v>162.01</v>
      </c>
      <c r="F776" t="s">
        <v>44</v>
      </c>
      <c r="G776" t="s">
        <v>3911</v>
      </c>
      <c r="H776" t="s">
        <v>34</v>
      </c>
      <c r="I776" t="s">
        <v>47</v>
      </c>
      <c r="J776" t="s">
        <v>3912</v>
      </c>
      <c r="K776">
        <v>44</v>
      </c>
      <c r="L776" t="s">
        <v>37</v>
      </c>
      <c r="M776" t="s">
        <v>35</v>
      </c>
      <c r="N776" t="s">
        <v>112</v>
      </c>
      <c r="O776" t="s">
        <v>28</v>
      </c>
      <c r="P776" t="s">
        <v>31</v>
      </c>
      <c r="Q776">
        <v>0</v>
      </c>
      <c r="R776" t="s">
        <v>12883</v>
      </c>
      <c r="S776" t="s">
        <v>12886</v>
      </c>
    </row>
    <row r="777" spans="1:19" x14ac:dyDescent="0.25">
      <c r="A777" t="s">
        <v>1696</v>
      </c>
      <c r="B777" s="1">
        <v>45854</v>
      </c>
      <c r="C777" t="s">
        <v>12885</v>
      </c>
      <c r="D777" s="5">
        <v>0.87230324074074073</v>
      </c>
      <c r="E777">
        <v>161.97</v>
      </c>
      <c r="F777" t="s">
        <v>44</v>
      </c>
      <c r="G777" t="s">
        <v>1195</v>
      </c>
      <c r="H777" t="s">
        <v>22</v>
      </c>
      <c r="I777" t="s">
        <v>23</v>
      </c>
      <c r="J777" t="s">
        <v>1697</v>
      </c>
      <c r="K777">
        <v>65</v>
      </c>
      <c r="L777" t="s">
        <v>49</v>
      </c>
      <c r="M777" t="s">
        <v>23</v>
      </c>
      <c r="N777" t="s">
        <v>84</v>
      </c>
      <c r="O777" t="s">
        <v>113</v>
      </c>
      <c r="P777" t="s">
        <v>31</v>
      </c>
      <c r="Q777">
        <v>0</v>
      </c>
      <c r="R777" t="s">
        <v>12883</v>
      </c>
      <c r="S777" t="s">
        <v>12884</v>
      </c>
    </row>
    <row r="778" spans="1:19" x14ac:dyDescent="0.25">
      <c r="A778" t="s">
        <v>10254</v>
      </c>
      <c r="B778" s="1">
        <v>45785</v>
      </c>
      <c r="C778" t="s">
        <v>12887</v>
      </c>
      <c r="D778" s="5">
        <v>0.68212962962962964</v>
      </c>
      <c r="E778">
        <v>161.97</v>
      </c>
      <c r="F778" t="s">
        <v>44</v>
      </c>
      <c r="G778" t="s">
        <v>10255</v>
      </c>
      <c r="H778" t="s">
        <v>71</v>
      </c>
      <c r="I778" t="s">
        <v>66</v>
      </c>
      <c r="J778" t="s">
        <v>10256</v>
      </c>
      <c r="K778">
        <v>49</v>
      </c>
      <c r="L778" t="s">
        <v>25</v>
      </c>
      <c r="M778" t="s">
        <v>50</v>
      </c>
      <c r="N778" t="s">
        <v>27</v>
      </c>
      <c r="O778" t="s">
        <v>28</v>
      </c>
      <c r="P778" t="s">
        <v>31</v>
      </c>
      <c r="Q778">
        <v>0</v>
      </c>
      <c r="R778" t="s">
        <v>12883</v>
      </c>
      <c r="S778" t="s">
        <v>12886</v>
      </c>
    </row>
    <row r="779" spans="1:19" x14ac:dyDescent="0.25">
      <c r="A779" t="s">
        <v>11100</v>
      </c>
      <c r="B779" s="1">
        <v>45839</v>
      </c>
      <c r="C779" t="s">
        <v>12885</v>
      </c>
      <c r="D779" s="5">
        <v>9.0902777777777777E-2</v>
      </c>
      <c r="E779">
        <v>161.9</v>
      </c>
      <c r="F779" t="s">
        <v>44</v>
      </c>
      <c r="G779" t="s">
        <v>4448</v>
      </c>
      <c r="H779" t="s">
        <v>34</v>
      </c>
      <c r="I779" t="s">
        <v>58</v>
      </c>
      <c r="J779" t="s">
        <v>8771</v>
      </c>
      <c r="K779">
        <v>36</v>
      </c>
      <c r="L779" t="s">
        <v>25</v>
      </c>
      <c r="M779" t="s">
        <v>50</v>
      </c>
      <c r="N779" t="s">
        <v>84</v>
      </c>
      <c r="O779" t="s">
        <v>28</v>
      </c>
      <c r="P779" t="s">
        <v>31</v>
      </c>
      <c r="Q779">
        <v>0</v>
      </c>
      <c r="R779" t="s">
        <v>12883</v>
      </c>
      <c r="S779" t="s">
        <v>12889</v>
      </c>
    </row>
    <row r="780" spans="1:19" x14ac:dyDescent="0.25">
      <c r="A780" t="s">
        <v>5494</v>
      </c>
      <c r="B780" s="1">
        <v>45807</v>
      </c>
      <c r="C780" t="s">
        <v>12887</v>
      </c>
      <c r="D780" s="5">
        <v>0.26709490740740743</v>
      </c>
      <c r="E780">
        <v>161.80000000000001</v>
      </c>
      <c r="F780" t="s">
        <v>44</v>
      </c>
      <c r="G780" t="s">
        <v>1588</v>
      </c>
      <c r="H780" t="s">
        <v>89</v>
      </c>
      <c r="I780" t="s">
        <v>119</v>
      </c>
      <c r="J780" t="s">
        <v>5495</v>
      </c>
      <c r="K780">
        <v>60</v>
      </c>
      <c r="L780" t="s">
        <v>37</v>
      </c>
      <c r="M780" t="s">
        <v>97</v>
      </c>
      <c r="N780" t="s">
        <v>39</v>
      </c>
      <c r="O780" t="s">
        <v>28</v>
      </c>
      <c r="P780" t="s">
        <v>31</v>
      </c>
      <c r="Q780">
        <v>0</v>
      </c>
      <c r="R780" t="s">
        <v>12883</v>
      </c>
      <c r="S780" t="s">
        <v>12884</v>
      </c>
    </row>
    <row r="781" spans="1:19" x14ac:dyDescent="0.25">
      <c r="A781" t="s">
        <v>7669</v>
      </c>
      <c r="B781" s="1">
        <v>45827</v>
      </c>
      <c r="C781" t="s">
        <v>12888</v>
      </c>
      <c r="D781" s="5">
        <v>0.50908564814814816</v>
      </c>
      <c r="E781">
        <v>161.59</v>
      </c>
      <c r="F781" t="s">
        <v>44</v>
      </c>
      <c r="G781" t="s">
        <v>7670</v>
      </c>
      <c r="H781" t="s">
        <v>89</v>
      </c>
      <c r="I781" t="s">
        <v>248</v>
      </c>
      <c r="J781" t="s">
        <v>7671</v>
      </c>
      <c r="K781">
        <v>61</v>
      </c>
      <c r="L781" t="s">
        <v>49</v>
      </c>
      <c r="M781" t="s">
        <v>146</v>
      </c>
      <c r="N781" t="s">
        <v>27</v>
      </c>
      <c r="O781" t="s">
        <v>28</v>
      </c>
      <c r="P781" t="s">
        <v>31</v>
      </c>
      <c r="Q781">
        <v>0</v>
      </c>
      <c r="R781" t="s">
        <v>12883</v>
      </c>
      <c r="S781" t="s">
        <v>12884</v>
      </c>
    </row>
    <row r="782" spans="1:19" x14ac:dyDescent="0.25">
      <c r="A782" t="s">
        <v>653</v>
      </c>
      <c r="B782" s="1">
        <v>45905</v>
      </c>
      <c r="C782" t="s">
        <v>12882</v>
      </c>
      <c r="D782" s="5">
        <v>0.97493055555555552</v>
      </c>
      <c r="E782">
        <v>161.58000000000001</v>
      </c>
      <c r="F782" t="s">
        <v>44</v>
      </c>
      <c r="G782" t="s">
        <v>349</v>
      </c>
      <c r="H782" t="s">
        <v>46</v>
      </c>
      <c r="I782" t="s">
        <v>119</v>
      </c>
      <c r="J782" t="s">
        <v>654</v>
      </c>
      <c r="K782">
        <v>24</v>
      </c>
      <c r="L782" t="s">
        <v>37</v>
      </c>
      <c r="M782" t="s">
        <v>146</v>
      </c>
      <c r="N782" t="s">
        <v>105</v>
      </c>
      <c r="O782" t="s">
        <v>28</v>
      </c>
      <c r="P782" t="s">
        <v>31</v>
      </c>
      <c r="Q782">
        <v>0</v>
      </c>
      <c r="R782" t="s">
        <v>12883</v>
      </c>
      <c r="S782" t="s">
        <v>12892</v>
      </c>
    </row>
    <row r="783" spans="1:19" x14ac:dyDescent="0.25">
      <c r="A783" t="s">
        <v>9514</v>
      </c>
      <c r="B783" s="1">
        <v>45821</v>
      </c>
      <c r="C783" t="s">
        <v>12888</v>
      </c>
      <c r="D783" s="5">
        <v>0.46428240740740739</v>
      </c>
      <c r="E783">
        <v>161.51</v>
      </c>
      <c r="F783" t="s">
        <v>44</v>
      </c>
      <c r="G783" t="s">
        <v>2452</v>
      </c>
      <c r="H783" t="s">
        <v>89</v>
      </c>
      <c r="I783" t="s">
        <v>146</v>
      </c>
      <c r="J783" t="s">
        <v>9515</v>
      </c>
      <c r="K783">
        <v>51</v>
      </c>
      <c r="L783" t="s">
        <v>37</v>
      </c>
      <c r="M783" t="s">
        <v>110</v>
      </c>
      <c r="N783" t="s">
        <v>84</v>
      </c>
      <c r="O783" t="s">
        <v>28</v>
      </c>
      <c r="P783" t="s">
        <v>31</v>
      </c>
      <c r="Q783">
        <v>0</v>
      </c>
      <c r="R783" t="s">
        <v>12883</v>
      </c>
      <c r="S783" t="s">
        <v>12886</v>
      </c>
    </row>
    <row r="784" spans="1:19" x14ac:dyDescent="0.25">
      <c r="A784" t="s">
        <v>11463</v>
      </c>
      <c r="B784" s="1">
        <v>45882</v>
      </c>
      <c r="C784" t="s">
        <v>12893</v>
      </c>
      <c r="D784" s="5">
        <v>0.95188657407407407</v>
      </c>
      <c r="E784">
        <v>161.38</v>
      </c>
      <c r="F784" t="s">
        <v>44</v>
      </c>
      <c r="G784" t="s">
        <v>1480</v>
      </c>
      <c r="H784" t="s">
        <v>124</v>
      </c>
      <c r="I784" t="s">
        <v>130</v>
      </c>
      <c r="J784" t="s">
        <v>11464</v>
      </c>
      <c r="K784">
        <v>41</v>
      </c>
      <c r="L784" t="s">
        <v>25</v>
      </c>
      <c r="M784" t="s">
        <v>47</v>
      </c>
      <c r="N784" t="s">
        <v>51</v>
      </c>
      <c r="O784" t="s">
        <v>28</v>
      </c>
      <c r="P784" t="s">
        <v>31</v>
      </c>
      <c r="Q784">
        <v>0</v>
      </c>
      <c r="R784" t="s">
        <v>12883</v>
      </c>
      <c r="S784" t="s">
        <v>12886</v>
      </c>
    </row>
    <row r="785" spans="1:19" x14ac:dyDescent="0.25">
      <c r="A785" t="s">
        <v>8222</v>
      </c>
      <c r="B785" s="1">
        <v>45838</v>
      </c>
      <c r="C785" t="s">
        <v>12888</v>
      </c>
      <c r="D785" s="5">
        <v>0.14430555555555555</v>
      </c>
      <c r="E785">
        <v>161.30000000000001</v>
      </c>
      <c r="F785" t="s">
        <v>44</v>
      </c>
      <c r="G785" t="s">
        <v>1509</v>
      </c>
      <c r="H785" t="s">
        <v>34</v>
      </c>
      <c r="I785" t="s">
        <v>23</v>
      </c>
      <c r="J785" t="s">
        <v>8223</v>
      </c>
      <c r="K785">
        <v>37</v>
      </c>
      <c r="L785" t="s">
        <v>25</v>
      </c>
      <c r="M785" t="s">
        <v>110</v>
      </c>
      <c r="N785" t="s">
        <v>51</v>
      </c>
      <c r="O785" t="s">
        <v>28</v>
      </c>
      <c r="P785" t="s">
        <v>31</v>
      </c>
      <c r="Q785">
        <v>0</v>
      </c>
      <c r="R785" t="s">
        <v>12883</v>
      </c>
      <c r="S785" t="s">
        <v>12889</v>
      </c>
    </row>
    <row r="786" spans="1:19" x14ac:dyDescent="0.25">
      <c r="A786" t="s">
        <v>638</v>
      </c>
      <c r="B786" s="1">
        <v>45780</v>
      </c>
      <c r="C786" t="s">
        <v>12887</v>
      </c>
      <c r="D786" s="5">
        <v>0.60818287037037033</v>
      </c>
      <c r="E786">
        <v>161.13</v>
      </c>
      <c r="F786" t="s">
        <v>44</v>
      </c>
      <c r="G786" t="s">
        <v>639</v>
      </c>
      <c r="H786" t="s">
        <v>64</v>
      </c>
      <c r="I786" t="s">
        <v>97</v>
      </c>
      <c r="J786" t="s">
        <v>640</v>
      </c>
      <c r="K786">
        <v>27</v>
      </c>
      <c r="L786" t="s">
        <v>49</v>
      </c>
      <c r="M786" t="s">
        <v>35</v>
      </c>
      <c r="N786" t="s">
        <v>27</v>
      </c>
      <c r="O786" t="s">
        <v>28</v>
      </c>
      <c r="P786" t="s">
        <v>31</v>
      </c>
      <c r="Q786">
        <v>0</v>
      </c>
      <c r="R786" t="s">
        <v>12883</v>
      </c>
      <c r="S786" t="s">
        <v>12889</v>
      </c>
    </row>
    <row r="787" spans="1:19" x14ac:dyDescent="0.25">
      <c r="A787" t="s">
        <v>838</v>
      </c>
      <c r="B787" s="1">
        <v>45934</v>
      </c>
      <c r="C787" t="s">
        <v>12890</v>
      </c>
      <c r="D787" s="5">
        <v>0.97013888888888888</v>
      </c>
      <c r="E787">
        <v>160.97999999999999</v>
      </c>
      <c r="F787" t="s">
        <v>44</v>
      </c>
      <c r="G787" t="s">
        <v>839</v>
      </c>
      <c r="H787" t="s">
        <v>71</v>
      </c>
      <c r="I787" t="s">
        <v>58</v>
      </c>
      <c r="J787" t="s">
        <v>840</v>
      </c>
      <c r="K787">
        <v>64</v>
      </c>
      <c r="L787" t="s">
        <v>37</v>
      </c>
      <c r="M787" t="s">
        <v>110</v>
      </c>
      <c r="N787" t="s">
        <v>51</v>
      </c>
      <c r="O787" t="s">
        <v>28</v>
      </c>
      <c r="P787" t="s">
        <v>31</v>
      </c>
      <c r="Q787">
        <v>1</v>
      </c>
      <c r="R787" t="s">
        <v>12891</v>
      </c>
      <c r="S787" t="s">
        <v>12884</v>
      </c>
    </row>
    <row r="788" spans="1:19" x14ac:dyDescent="0.25">
      <c r="A788" t="s">
        <v>2931</v>
      </c>
      <c r="B788" s="1">
        <v>45918</v>
      </c>
      <c r="C788" t="s">
        <v>12882</v>
      </c>
      <c r="D788" s="5">
        <v>0.30039351851851853</v>
      </c>
      <c r="E788">
        <v>160.88999999999999</v>
      </c>
      <c r="F788" t="s">
        <v>44</v>
      </c>
      <c r="G788" t="s">
        <v>2932</v>
      </c>
      <c r="H788" t="s">
        <v>89</v>
      </c>
      <c r="I788" t="s">
        <v>58</v>
      </c>
      <c r="J788" t="s">
        <v>2933</v>
      </c>
      <c r="K788">
        <v>75</v>
      </c>
      <c r="L788" t="s">
        <v>25</v>
      </c>
      <c r="M788" t="s">
        <v>66</v>
      </c>
      <c r="N788" t="s">
        <v>51</v>
      </c>
      <c r="O788" t="s">
        <v>28</v>
      </c>
      <c r="P788" t="s">
        <v>31</v>
      </c>
      <c r="Q788">
        <v>0</v>
      </c>
      <c r="R788" t="s">
        <v>12883</v>
      </c>
      <c r="S788" t="s">
        <v>12884</v>
      </c>
    </row>
    <row r="789" spans="1:19" x14ac:dyDescent="0.25">
      <c r="A789" t="s">
        <v>6495</v>
      </c>
      <c r="B789" s="1">
        <v>45903</v>
      </c>
      <c r="C789" t="s">
        <v>12882</v>
      </c>
      <c r="D789" s="5">
        <v>8.8668981481481488E-2</v>
      </c>
      <c r="E789">
        <v>160.79</v>
      </c>
      <c r="F789" t="s">
        <v>44</v>
      </c>
      <c r="G789" t="s">
        <v>1869</v>
      </c>
      <c r="H789" t="s">
        <v>71</v>
      </c>
      <c r="I789" t="s">
        <v>50</v>
      </c>
      <c r="J789" t="s">
        <v>6496</v>
      </c>
      <c r="K789">
        <v>74</v>
      </c>
      <c r="L789" t="s">
        <v>37</v>
      </c>
      <c r="M789" t="s">
        <v>38</v>
      </c>
      <c r="N789" t="s">
        <v>112</v>
      </c>
      <c r="O789" t="s">
        <v>28</v>
      </c>
      <c r="P789" t="s">
        <v>31</v>
      </c>
      <c r="Q789">
        <v>0</v>
      </c>
      <c r="R789" t="s">
        <v>12883</v>
      </c>
      <c r="S789" t="s">
        <v>12884</v>
      </c>
    </row>
    <row r="790" spans="1:19" x14ac:dyDescent="0.25">
      <c r="A790" t="s">
        <v>9260</v>
      </c>
      <c r="B790" s="1">
        <v>45957</v>
      </c>
      <c r="C790" t="s">
        <v>12890</v>
      </c>
      <c r="D790" s="5">
        <v>0.37214120370370368</v>
      </c>
      <c r="E790">
        <v>160.72999999999999</v>
      </c>
      <c r="F790" t="s">
        <v>44</v>
      </c>
      <c r="G790" t="s">
        <v>1153</v>
      </c>
      <c r="H790" t="s">
        <v>22</v>
      </c>
      <c r="I790" t="s">
        <v>47</v>
      </c>
      <c r="J790" t="s">
        <v>9261</v>
      </c>
      <c r="K790">
        <v>45</v>
      </c>
      <c r="L790" t="s">
        <v>37</v>
      </c>
      <c r="M790" t="s">
        <v>248</v>
      </c>
      <c r="N790" t="s">
        <v>105</v>
      </c>
      <c r="O790" t="s">
        <v>28</v>
      </c>
      <c r="P790" t="s">
        <v>31</v>
      </c>
      <c r="Q790">
        <v>0</v>
      </c>
      <c r="R790" t="s">
        <v>12883</v>
      </c>
      <c r="S790" t="s">
        <v>12886</v>
      </c>
    </row>
    <row r="791" spans="1:19" x14ac:dyDescent="0.25">
      <c r="A791" t="s">
        <v>5106</v>
      </c>
      <c r="B791" s="1">
        <v>45931</v>
      </c>
      <c r="C791" t="s">
        <v>12890</v>
      </c>
      <c r="D791" s="5">
        <v>0.25057870370370372</v>
      </c>
      <c r="E791">
        <v>160.62</v>
      </c>
      <c r="F791" t="s">
        <v>44</v>
      </c>
      <c r="G791" t="s">
        <v>408</v>
      </c>
      <c r="H791" t="s">
        <v>64</v>
      </c>
      <c r="I791" t="s">
        <v>23</v>
      </c>
      <c r="J791" t="s">
        <v>5107</v>
      </c>
      <c r="K791">
        <v>60</v>
      </c>
      <c r="L791" t="s">
        <v>25</v>
      </c>
      <c r="M791" t="s">
        <v>97</v>
      </c>
      <c r="N791" t="s">
        <v>84</v>
      </c>
      <c r="O791" t="s">
        <v>28</v>
      </c>
      <c r="P791" t="s">
        <v>31</v>
      </c>
      <c r="Q791">
        <v>1</v>
      </c>
      <c r="R791" t="s">
        <v>12891</v>
      </c>
      <c r="S791" t="s">
        <v>12884</v>
      </c>
    </row>
    <row r="792" spans="1:19" x14ac:dyDescent="0.25">
      <c r="A792" t="s">
        <v>11076</v>
      </c>
      <c r="B792" s="1">
        <v>45923</v>
      </c>
      <c r="C792" t="s">
        <v>12882</v>
      </c>
      <c r="D792" s="5">
        <v>0.39534722222222224</v>
      </c>
      <c r="E792">
        <v>160.54</v>
      </c>
      <c r="F792" t="s">
        <v>44</v>
      </c>
      <c r="G792" t="s">
        <v>2089</v>
      </c>
      <c r="H792" t="s">
        <v>71</v>
      </c>
      <c r="I792" t="s">
        <v>50</v>
      </c>
      <c r="J792" t="s">
        <v>11077</v>
      </c>
      <c r="K792">
        <v>53</v>
      </c>
      <c r="L792" t="s">
        <v>25</v>
      </c>
      <c r="M792" t="s">
        <v>26</v>
      </c>
      <c r="N792" t="s">
        <v>39</v>
      </c>
      <c r="O792" t="s">
        <v>28</v>
      </c>
      <c r="P792" t="s">
        <v>31</v>
      </c>
      <c r="Q792">
        <v>0</v>
      </c>
      <c r="R792" t="s">
        <v>12883</v>
      </c>
      <c r="S792" t="s">
        <v>12886</v>
      </c>
    </row>
    <row r="793" spans="1:19" x14ac:dyDescent="0.25">
      <c r="A793" t="s">
        <v>7576</v>
      </c>
      <c r="B793" s="1">
        <v>45910</v>
      </c>
      <c r="C793" t="s">
        <v>12882</v>
      </c>
      <c r="D793" s="5">
        <v>0.65637731481481476</v>
      </c>
      <c r="E793">
        <v>160.52000000000001</v>
      </c>
      <c r="F793" t="s">
        <v>44</v>
      </c>
      <c r="G793" t="s">
        <v>6063</v>
      </c>
      <c r="H793" t="s">
        <v>96</v>
      </c>
      <c r="I793" t="s">
        <v>50</v>
      </c>
      <c r="J793" t="s">
        <v>7577</v>
      </c>
      <c r="K793">
        <v>50</v>
      </c>
      <c r="L793" t="s">
        <v>37</v>
      </c>
      <c r="M793" t="s">
        <v>146</v>
      </c>
      <c r="N793" t="s">
        <v>84</v>
      </c>
      <c r="O793" t="s">
        <v>28</v>
      </c>
      <c r="P793" t="s">
        <v>31</v>
      </c>
      <c r="Q793">
        <v>0</v>
      </c>
      <c r="R793" t="s">
        <v>12883</v>
      </c>
      <c r="S793" t="s">
        <v>12886</v>
      </c>
    </row>
    <row r="794" spans="1:19" x14ac:dyDescent="0.25">
      <c r="A794" t="s">
        <v>10681</v>
      </c>
      <c r="B794" s="1">
        <v>45853</v>
      </c>
      <c r="C794" t="s">
        <v>12885</v>
      </c>
      <c r="D794" s="5">
        <v>0.31627314814814816</v>
      </c>
      <c r="E794">
        <v>160.51</v>
      </c>
      <c r="F794" t="s">
        <v>44</v>
      </c>
      <c r="G794" t="s">
        <v>2317</v>
      </c>
      <c r="H794" t="s">
        <v>64</v>
      </c>
      <c r="I794" t="s">
        <v>35</v>
      </c>
      <c r="J794" t="s">
        <v>10682</v>
      </c>
      <c r="K794">
        <v>33</v>
      </c>
      <c r="L794" t="s">
        <v>37</v>
      </c>
      <c r="M794" t="s">
        <v>26</v>
      </c>
      <c r="N794" t="s">
        <v>27</v>
      </c>
      <c r="O794" t="s">
        <v>28</v>
      </c>
      <c r="P794" t="s">
        <v>31</v>
      </c>
      <c r="Q794">
        <v>0</v>
      </c>
      <c r="R794" t="s">
        <v>12883</v>
      </c>
      <c r="S794" t="s">
        <v>12889</v>
      </c>
    </row>
    <row r="795" spans="1:19" x14ac:dyDescent="0.25">
      <c r="A795" t="s">
        <v>11786</v>
      </c>
      <c r="B795" s="1">
        <v>45819</v>
      </c>
      <c r="C795" t="s">
        <v>12888</v>
      </c>
      <c r="D795" s="5">
        <v>0.30680555555555555</v>
      </c>
      <c r="E795">
        <v>160.44</v>
      </c>
      <c r="F795" t="s">
        <v>44</v>
      </c>
      <c r="G795" t="s">
        <v>11787</v>
      </c>
      <c r="H795" t="s">
        <v>71</v>
      </c>
      <c r="I795" t="s">
        <v>50</v>
      </c>
      <c r="J795" t="s">
        <v>11788</v>
      </c>
      <c r="K795">
        <v>54</v>
      </c>
      <c r="L795" t="s">
        <v>37</v>
      </c>
      <c r="M795" t="s">
        <v>130</v>
      </c>
      <c r="N795" t="s">
        <v>84</v>
      </c>
      <c r="O795" t="s">
        <v>28</v>
      </c>
      <c r="P795" t="s">
        <v>31</v>
      </c>
      <c r="Q795">
        <v>0</v>
      </c>
      <c r="R795" t="s">
        <v>12883</v>
      </c>
      <c r="S795" t="s">
        <v>12886</v>
      </c>
    </row>
    <row r="796" spans="1:19" x14ac:dyDescent="0.25">
      <c r="A796" t="s">
        <v>3941</v>
      </c>
      <c r="B796" s="1">
        <v>45894</v>
      </c>
      <c r="C796" t="s">
        <v>12893</v>
      </c>
      <c r="D796" s="5">
        <v>0.66607638888888887</v>
      </c>
      <c r="E796">
        <v>160.31</v>
      </c>
      <c r="F796" t="s">
        <v>44</v>
      </c>
      <c r="G796" t="s">
        <v>3942</v>
      </c>
      <c r="H796" t="s">
        <v>71</v>
      </c>
      <c r="I796" t="s">
        <v>146</v>
      </c>
      <c r="J796" t="s">
        <v>3943</v>
      </c>
      <c r="K796">
        <v>48</v>
      </c>
      <c r="L796" t="s">
        <v>49</v>
      </c>
      <c r="M796" t="s">
        <v>146</v>
      </c>
      <c r="N796" t="s">
        <v>112</v>
      </c>
      <c r="O796" t="s">
        <v>113</v>
      </c>
      <c r="P796" t="s">
        <v>31</v>
      </c>
      <c r="Q796">
        <v>0</v>
      </c>
      <c r="R796" t="s">
        <v>12883</v>
      </c>
      <c r="S796" t="s">
        <v>12886</v>
      </c>
    </row>
    <row r="797" spans="1:19" x14ac:dyDescent="0.25">
      <c r="A797" t="s">
        <v>1719</v>
      </c>
      <c r="B797" s="1">
        <v>45801</v>
      </c>
      <c r="C797" t="s">
        <v>12887</v>
      </c>
      <c r="D797" s="5">
        <v>0.54328703703703707</v>
      </c>
      <c r="E797">
        <v>160.30000000000001</v>
      </c>
      <c r="F797" t="s">
        <v>44</v>
      </c>
      <c r="G797" t="s">
        <v>1499</v>
      </c>
      <c r="H797" t="s">
        <v>89</v>
      </c>
      <c r="I797" t="s">
        <v>47</v>
      </c>
      <c r="J797" t="s">
        <v>1720</v>
      </c>
      <c r="K797">
        <v>20</v>
      </c>
      <c r="L797" t="s">
        <v>25</v>
      </c>
      <c r="M797" t="s">
        <v>130</v>
      </c>
      <c r="N797" t="s">
        <v>105</v>
      </c>
      <c r="O797" t="s">
        <v>28</v>
      </c>
      <c r="P797" t="s">
        <v>31</v>
      </c>
      <c r="Q797">
        <v>0</v>
      </c>
      <c r="R797" t="s">
        <v>12883</v>
      </c>
      <c r="S797" t="s">
        <v>12892</v>
      </c>
    </row>
    <row r="798" spans="1:19" x14ac:dyDescent="0.25">
      <c r="A798" t="s">
        <v>11375</v>
      </c>
      <c r="B798" s="1">
        <v>45895</v>
      </c>
      <c r="C798" t="s">
        <v>12893</v>
      </c>
      <c r="D798" s="5">
        <v>0.80787037037037035</v>
      </c>
      <c r="E798">
        <v>160.27000000000001</v>
      </c>
      <c r="F798" t="s">
        <v>44</v>
      </c>
      <c r="G798" t="s">
        <v>7317</v>
      </c>
      <c r="H798" t="s">
        <v>89</v>
      </c>
      <c r="I798" t="s">
        <v>47</v>
      </c>
      <c r="J798" t="s">
        <v>11376</v>
      </c>
      <c r="K798">
        <v>74</v>
      </c>
      <c r="L798" t="s">
        <v>25</v>
      </c>
      <c r="M798" t="s">
        <v>119</v>
      </c>
      <c r="N798" t="s">
        <v>112</v>
      </c>
      <c r="O798" t="s">
        <v>28</v>
      </c>
      <c r="P798" t="s">
        <v>31</v>
      </c>
      <c r="Q798">
        <v>0</v>
      </c>
      <c r="R798" t="s">
        <v>12883</v>
      </c>
      <c r="S798" t="s">
        <v>12884</v>
      </c>
    </row>
    <row r="799" spans="1:19" x14ac:dyDescent="0.25">
      <c r="A799" t="s">
        <v>12181</v>
      </c>
      <c r="B799" s="1">
        <v>45865</v>
      </c>
      <c r="C799" t="s">
        <v>12885</v>
      </c>
      <c r="D799" s="5">
        <v>0.92282407407407407</v>
      </c>
      <c r="E799">
        <v>160.02000000000001</v>
      </c>
      <c r="F799" t="s">
        <v>44</v>
      </c>
      <c r="G799" t="s">
        <v>6445</v>
      </c>
      <c r="H799" t="s">
        <v>71</v>
      </c>
      <c r="I799" t="s">
        <v>248</v>
      </c>
      <c r="J799" t="s">
        <v>12182</v>
      </c>
      <c r="K799">
        <v>30</v>
      </c>
      <c r="L799" t="s">
        <v>37</v>
      </c>
      <c r="M799" t="s">
        <v>91</v>
      </c>
      <c r="N799" t="s">
        <v>27</v>
      </c>
      <c r="O799" t="s">
        <v>28</v>
      </c>
      <c r="P799" t="s">
        <v>31</v>
      </c>
      <c r="Q799">
        <v>0</v>
      </c>
      <c r="R799" t="s">
        <v>12883</v>
      </c>
      <c r="S799" t="s">
        <v>12889</v>
      </c>
    </row>
    <row r="800" spans="1:19" x14ac:dyDescent="0.25">
      <c r="A800" t="s">
        <v>10868</v>
      </c>
      <c r="B800" s="1">
        <v>45848</v>
      </c>
      <c r="C800" t="s">
        <v>12885</v>
      </c>
      <c r="D800" s="5">
        <v>0.83414351851851853</v>
      </c>
      <c r="E800">
        <v>159.97</v>
      </c>
      <c r="F800" t="s">
        <v>44</v>
      </c>
      <c r="G800" t="s">
        <v>3763</v>
      </c>
      <c r="H800" t="s">
        <v>89</v>
      </c>
      <c r="I800" t="s">
        <v>23</v>
      </c>
      <c r="J800" t="s">
        <v>10869</v>
      </c>
      <c r="K800">
        <v>30</v>
      </c>
      <c r="L800" t="s">
        <v>37</v>
      </c>
      <c r="M800" t="s">
        <v>47</v>
      </c>
      <c r="N800" t="s">
        <v>84</v>
      </c>
      <c r="O800" t="s">
        <v>28</v>
      </c>
      <c r="P800" t="s">
        <v>31</v>
      </c>
      <c r="Q800">
        <v>0</v>
      </c>
      <c r="R800" t="s">
        <v>12883</v>
      </c>
      <c r="S800" t="s">
        <v>12889</v>
      </c>
    </row>
    <row r="801" spans="1:19" x14ac:dyDescent="0.25">
      <c r="A801" t="s">
        <v>9609</v>
      </c>
      <c r="B801" s="1">
        <v>45860</v>
      </c>
      <c r="C801" t="s">
        <v>12885</v>
      </c>
      <c r="D801" s="5">
        <v>0.30048611111111112</v>
      </c>
      <c r="E801">
        <v>159.88999999999999</v>
      </c>
      <c r="F801" t="s">
        <v>44</v>
      </c>
      <c r="G801" t="s">
        <v>2966</v>
      </c>
      <c r="H801" t="s">
        <v>57</v>
      </c>
      <c r="I801" t="s">
        <v>23</v>
      </c>
      <c r="J801" t="s">
        <v>9610</v>
      </c>
      <c r="K801">
        <v>33</v>
      </c>
      <c r="L801" t="s">
        <v>25</v>
      </c>
      <c r="M801" t="s">
        <v>97</v>
      </c>
      <c r="N801" t="s">
        <v>84</v>
      </c>
      <c r="O801" t="s">
        <v>28</v>
      </c>
      <c r="P801" t="s">
        <v>31</v>
      </c>
      <c r="Q801">
        <v>0</v>
      </c>
      <c r="R801" t="s">
        <v>12883</v>
      </c>
      <c r="S801" t="s">
        <v>12889</v>
      </c>
    </row>
    <row r="802" spans="1:19" x14ac:dyDescent="0.25">
      <c r="A802" t="s">
        <v>10178</v>
      </c>
      <c r="B802" s="1">
        <v>45903</v>
      </c>
      <c r="C802" t="s">
        <v>12882</v>
      </c>
      <c r="D802" s="5">
        <v>0.96438657407407402</v>
      </c>
      <c r="E802">
        <v>159.77000000000001</v>
      </c>
      <c r="F802" t="s">
        <v>44</v>
      </c>
      <c r="G802" t="s">
        <v>2640</v>
      </c>
      <c r="H802" t="s">
        <v>57</v>
      </c>
      <c r="I802" t="s">
        <v>110</v>
      </c>
      <c r="J802" t="s">
        <v>10179</v>
      </c>
      <c r="K802">
        <v>56</v>
      </c>
      <c r="L802" t="s">
        <v>37</v>
      </c>
      <c r="M802" t="s">
        <v>130</v>
      </c>
      <c r="N802" t="s">
        <v>27</v>
      </c>
      <c r="O802" t="s">
        <v>28</v>
      </c>
      <c r="P802" t="s">
        <v>31</v>
      </c>
      <c r="Q802">
        <v>1</v>
      </c>
      <c r="R802" t="s">
        <v>12891</v>
      </c>
      <c r="S802" t="s">
        <v>12886</v>
      </c>
    </row>
    <row r="803" spans="1:19" x14ac:dyDescent="0.25">
      <c r="A803" t="s">
        <v>12445</v>
      </c>
      <c r="B803" s="1">
        <v>45920</v>
      </c>
      <c r="C803" t="s">
        <v>12882</v>
      </c>
      <c r="D803" s="5">
        <v>1.8298611111111113E-2</v>
      </c>
      <c r="E803">
        <v>159.72</v>
      </c>
      <c r="F803" t="s">
        <v>44</v>
      </c>
      <c r="G803" t="s">
        <v>2612</v>
      </c>
      <c r="H803" t="s">
        <v>22</v>
      </c>
      <c r="I803" t="s">
        <v>66</v>
      </c>
      <c r="J803" t="s">
        <v>12446</v>
      </c>
      <c r="K803">
        <v>18</v>
      </c>
      <c r="L803" t="s">
        <v>25</v>
      </c>
      <c r="M803" t="s">
        <v>248</v>
      </c>
      <c r="N803" t="s">
        <v>27</v>
      </c>
      <c r="O803" t="s">
        <v>28</v>
      </c>
      <c r="P803" t="s">
        <v>31</v>
      </c>
      <c r="Q803">
        <v>0</v>
      </c>
      <c r="R803" t="s">
        <v>12883</v>
      </c>
      <c r="S803" t="s">
        <v>12892</v>
      </c>
    </row>
    <row r="804" spans="1:19" x14ac:dyDescent="0.25">
      <c r="A804" t="s">
        <v>8579</v>
      </c>
      <c r="B804" s="1">
        <v>45800</v>
      </c>
      <c r="C804" t="s">
        <v>12887</v>
      </c>
      <c r="D804" s="5">
        <v>0.45189814814814816</v>
      </c>
      <c r="E804">
        <v>159.71</v>
      </c>
      <c r="F804" t="s">
        <v>44</v>
      </c>
      <c r="G804" t="s">
        <v>2846</v>
      </c>
      <c r="H804" t="s">
        <v>46</v>
      </c>
      <c r="I804" t="s">
        <v>119</v>
      </c>
      <c r="J804" t="s">
        <v>8580</v>
      </c>
      <c r="K804">
        <v>45</v>
      </c>
      <c r="L804" t="s">
        <v>25</v>
      </c>
      <c r="M804" t="s">
        <v>35</v>
      </c>
      <c r="N804" t="s">
        <v>39</v>
      </c>
      <c r="O804" t="s">
        <v>28</v>
      </c>
      <c r="P804" t="s">
        <v>31</v>
      </c>
      <c r="Q804">
        <v>0</v>
      </c>
      <c r="R804" t="s">
        <v>12883</v>
      </c>
      <c r="S804" t="s">
        <v>12886</v>
      </c>
    </row>
    <row r="805" spans="1:19" x14ac:dyDescent="0.25">
      <c r="A805" t="s">
        <v>1469</v>
      </c>
      <c r="B805" s="1">
        <v>45811</v>
      </c>
      <c r="C805" t="s">
        <v>12888</v>
      </c>
      <c r="D805" s="5">
        <v>9.5324074074074075E-2</v>
      </c>
      <c r="E805">
        <v>159.69999999999999</v>
      </c>
      <c r="F805" t="s">
        <v>44</v>
      </c>
      <c r="G805" t="s">
        <v>1470</v>
      </c>
      <c r="H805" t="s">
        <v>124</v>
      </c>
      <c r="I805" t="s">
        <v>130</v>
      </c>
      <c r="J805" t="s">
        <v>1471</v>
      </c>
      <c r="K805">
        <v>55</v>
      </c>
      <c r="L805" t="s">
        <v>49</v>
      </c>
      <c r="M805" t="s">
        <v>66</v>
      </c>
      <c r="N805" t="s">
        <v>27</v>
      </c>
      <c r="O805" t="s">
        <v>28</v>
      </c>
      <c r="P805" t="s">
        <v>31</v>
      </c>
      <c r="Q805">
        <v>0</v>
      </c>
      <c r="R805" t="s">
        <v>12883</v>
      </c>
      <c r="S805" t="s">
        <v>12886</v>
      </c>
    </row>
    <row r="806" spans="1:19" x14ac:dyDescent="0.25">
      <c r="A806" t="s">
        <v>1076</v>
      </c>
      <c r="B806" s="1">
        <v>45857</v>
      </c>
      <c r="C806" t="s">
        <v>12885</v>
      </c>
      <c r="D806" s="5">
        <v>0.35344907407407405</v>
      </c>
      <c r="E806">
        <v>159.66</v>
      </c>
      <c r="F806" t="s">
        <v>44</v>
      </c>
      <c r="G806" t="s">
        <v>1077</v>
      </c>
      <c r="H806" t="s">
        <v>96</v>
      </c>
      <c r="I806" t="s">
        <v>130</v>
      </c>
      <c r="J806" t="s">
        <v>1078</v>
      </c>
      <c r="K806">
        <v>19</v>
      </c>
      <c r="L806" t="s">
        <v>37</v>
      </c>
      <c r="M806" t="s">
        <v>26</v>
      </c>
      <c r="N806" t="s">
        <v>84</v>
      </c>
      <c r="O806" t="s">
        <v>28</v>
      </c>
      <c r="P806" t="s">
        <v>31</v>
      </c>
      <c r="Q806">
        <v>0</v>
      </c>
      <c r="R806" t="s">
        <v>12883</v>
      </c>
      <c r="S806" t="s">
        <v>12892</v>
      </c>
    </row>
    <row r="807" spans="1:19" x14ac:dyDescent="0.25">
      <c r="A807" t="s">
        <v>5607</v>
      </c>
      <c r="B807" s="1">
        <v>45934</v>
      </c>
      <c r="C807" t="s">
        <v>12890</v>
      </c>
      <c r="D807" s="5">
        <v>0.20023148148148148</v>
      </c>
      <c r="E807">
        <v>159.51</v>
      </c>
      <c r="F807" t="s">
        <v>44</v>
      </c>
      <c r="G807" t="s">
        <v>4770</v>
      </c>
      <c r="H807" t="s">
        <v>46</v>
      </c>
      <c r="I807" t="s">
        <v>146</v>
      </c>
      <c r="J807" t="s">
        <v>5608</v>
      </c>
      <c r="K807">
        <v>39</v>
      </c>
      <c r="L807" t="s">
        <v>25</v>
      </c>
      <c r="M807" t="s">
        <v>119</v>
      </c>
      <c r="N807" t="s">
        <v>112</v>
      </c>
      <c r="O807" t="s">
        <v>28</v>
      </c>
      <c r="P807" t="s">
        <v>31</v>
      </c>
      <c r="Q807">
        <v>0</v>
      </c>
      <c r="R807" t="s">
        <v>12883</v>
      </c>
      <c r="S807" t="s">
        <v>12889</v>
      </c>
    </row>
    <row r="808" spans="1:19" x14ac:dyDescent="0.25">
      <c r="A808" t="s">
        <v>6096</v>
      </c>
      <c r="B808" s="1">
        <v>45840</v>
      </c>
      <c r="C808" t="s">
        <v>12885</v>
      </c>
      <c r="D808" s="5">
        <v>4.4953703703703704E-2</v>
      </c>
      <c r="E808">
        <v>159.43</v>
      </c>
      <c r="F808" t="s">
        <v>44</v>
      </c>
      <c r="G808" t="s">
        <v>1143</v>
      </c>
      <c r="H808" t="s">
        <v>71</v>
      </c>
      <c r="I808" t="s">
        <v>58</v>
      </c>
      <c r="J808" t="s">
        <v>1036</v>
      </c>
      <c r="K808">
        <v>67</v>
      </c>
      <c r="L808" t="s">
        <v>37</v>
      </c>
      <c r="M808" t="s">
        <v>26</v>
      </c>
      <c r="N808" t="s">
        <v>27</v>
      </c>
      <c r="O808" t="s">
        <v>28</v>
      </c>
      <c r="P808" t="s">
        <v>31</v>
      </c>
      <c r="Q808">
        <v>0</v>
      </c>
      <c r="R808" t="s">
        <v>12883</v>
      </c>
      <c r="S808" t="s">
        <v>12884</v>
      </c>
    </row>
    <row r="809" spans="1:19" x14ac:dyDescent="0.25">
      <c r="A809" t="s">
        <v>7325</v>
      </c>
      <c r="B809" s="1">
        <v>45926</v>
      </c>
      <c r="C809" t="s">
        <v>12882</v>
      </c>
      <c r="D809" s="5">
        <v>0.80394675925925929</v>
      </c>
      <c r="E809">
        <v>159.27000000000001</v>
      </c>
      <c r="F809" t="s">
        <v>44</v>
      </c>
      <c r="G809" t="s">
        <v>2654</v>
      </c>
      <c r="H809" t="s">
        <v>57</v>
      </c>
      <c r="I809" t="s">
        <v>23</v>
      </c>
      <c r="J809" t="s">
        <v>7326</v>
      </c>
      <c r="K809">
        <v>52</v>
      </c>
      <c r="L809" t="s">
        <v>25</v>
      </c>
      <c r="M809" t="s">
        <v>47</v>
      </c>
      <c r="N809" t="s">
        <v>39</v>
      </c>
      <c r="O809" t="s">
        <v>28</v>
      </c>
      <c r="P809" t="s">
        <v>31</v>
      </c>
      <c r="Q809">
        <v>0</v>
      </c>
      <c r="R809" t="s">
        <v>12883</v>
      </c>
      <c r="S809" t="s">
        <v>12886</v>
      </c>
    </row>
    <row r="810" spans="1:19" x14ac:dyDescent="0.25">
      <c r="A810" t="s">
        <v>10243</v>
      </c>
      <c r="B810" s="1">
        <v>45951</v>
      </c>
      <c r="C810" t="s">
        <v>12890</v>
      </c>
      <c r="D810" s="5">
        <v>0.26670138888888889</v>
      </c>
      <c r="E810">
        <v>159.21</v>
      </c>
      <c r="F810" t="s">
        <v>44</v>
      </c>
      <c r="G810" t="s">
        <v>5417</v>
      </c>
      <c r="H810" t="s">
        <v>124</v>
      </c>
      <c r="I810" t="s">
        <v>58</v>
      </c>
      <c r="J810" t="s">
        <v>10244</v>
      </c>
      <c r="K810">
        <v>68</v>
      </c>
      <c r="L810" t="s">
        <v>49</v>
      </c>
      <c r="M810" t="s">
        <v>91</v>
      </c>
      <c r="N810" t="s">
        <v>51</v>
      </c>
      <c r="O810" t="s">
        <v>28</v>
      </c>
      <c r="P810" t="s">
        <v>31</v>
      </c>
      <c r="Q810">
        <v>0</v>
      </c>
      <c r="R810" t="s">
        <v>12883</v>
      </c>
      <c r="S810" t="s">
        <v>12884</v>
      </c>
    </row>
    <row r="811" spans="1:19" x14ac:dyDescent="0.25">
      <c r="A811" t="s">
        <v>3417</v>
      </c>
      <c r="B811" s="1">
        <v>45846</v>
      </c>
      <c r="C811" t="s">
        <v>12885</v>
      </c>
      <c r="D811" s="5">
        <v>0.26871527777777776</v>
      </c>
      <c r="E811">
        <v>159.12</v>
      </c>
      <c r="F811" t="s">
        <v>44</v>
      </c>
      <c r="G811" t="s">
        <v>3418</v>
      </c>
      <c r="H811" t="s">
        <v>89</v>
      </c>
      <c r="I811" t="s">
        <v>110</v>
      </c>
      <c r="J811" t="s">
        <v>3419</v>
      </c>
      <c r="K811">
        <v>73</v>
      </c>
      <c r="L811" t="s">
        <v>49</v>
      </c>
      <c r="M811" t="s">
        <v>23</v>
      </c>
      <c r="N811" t="s">
        <v>105</v>
      </c>
      <c r="O811" t="s">
        <v>28</v>
      </c>
      <c r="P811" t="s">
        <v>31</v>
      </c>
      <c r="Q811">
        <v>0</v>
      </c>
      <c r="R811" t="s">
        <v>12883</v>
      </c>
      <c r="S811" t="s">
        <v>12884</v>
      </c>
    </row>
    <row r="812" spans="1:19" x14ac:dyDescent="0.25">
      <c r="A812" t="s">
        <v>6260</v>
      </c>
      <c r="B812" s="1">
        <v>45834</v>
      </c>
      <c r="C812" t="s">
        <v>12888</v>
      </c>
      <c r="D812" s="5">
        <v>0.69185185185185183</v>
      </c>
      <c r="E812">
        <v>158.97999999999999</v>
      </c>
      <c r="F812" t="s">
        <v>44</v>
      </c>
      <c r="G812" t="s">
        <v>1864</v>
      </c>
      <c r="H812" t="s">
        <v>96</v>
      </c>
      <c r="I812" t="s">
        <v>66</v>
      </c>
      <c r="J812" t="s">
        <v>6261</v>
      </c>
      <c r="K812">
        <v>20</v>
      </c>
      <c r="L812" t="s">
        <v>25</v>
      </c>
      <c r="M812" t="s">
        <v>66</v>
      </c>
      <c r="N812" t="s">
        <v>105</v>
      </c>
      <c r="O812" t="s">
        <v>113</v>
      </c>
      <c r="P812" t="s">
        <v>31</v>
      </c>
      <c r="Q812">
        <v>0</v>
      </c>
      <c r="R812" t="s">
        <v>12883</v>
      </c>
      <c r="S812" t="s">
        <v>12892</v>
      </c>
    </row>
    <row r="813" spans="1:19" x14ac:dyDescent="0.25">
      <c r="A813" t="s">
        <v>3148</v>
      </c>
      <c r="B813" s="1">
        <v>45952</v>
      </c>
      <c r="C813" t="s">
        <v>12890</v>
      </c>
      <c r="D813" s="5">
        <v>0.23072916666666668</v>
      </c>
      <c r="E813">
        <v>158.94</v>
      </c>
      <c r="F813" t="s">
        <v>44</v>
      </c>
      <c r="G813" t="s">
        <v>500</v>
      </c>
      <c r="H813" t="s">
        <v>124</v>
      </c>
      <c r="I813" t="s">
        <v>130</v>
      </c>
      <c r="J813" t="s">
        <v>3149</v>
      </c>
      <c r="K813">
        <v>58</v>
      </c>
      <c r="L813" t="s">
        <v>49</v>
      </c>
      <c r="M813" t="s">
        <v>119</v>
      </c>
      <c r="N813" t="s">
        <v>51</v>
      </c>
      <c r="O813" t="s">
        <v>28</v>
      </c>
      <c r="P813" t="s">
        <v>31</v>
      </c>
      <c r="Q813">
        <v>0</v>
      </c>
      <c r="R813" t="s">
        <v>12883</v>
      </c>
      <c r="S813" t="s">
        <v>12886</v>
      </c>
    </row>
    <row r="814" spans="1:19" x14ac:dyDescent="0.25">
      <c r="A814" t="s">
        <v>992</v>
      </c>
      <c r="B814" s="1">
        <v>45934</v>
      </c>
      <c r="C814" t="s">
        <v>12890</v>
      </c>
      <c r="D814" s="5">
        <v>0.65748842592592593</v>
      </c>
      <c r="E814">
        <v>158.87</v>
      </c>
      <c r="F814" t="s">
        <v>44</v>
      </c>
      <c r="G814" t="s">
        <v>343</v>
      </c>
      <c r="H814" t="s">
        <v>46</v>
      </c>
      <c r="I814" t="s">
        <v>91</v>
      </c>
      <c r="J814" t="s">
        <v>993</v>
      </c>
      <c r="K814">
        <v>43</v>
      </c>
      <c r="L814" t="s">
        <v>37</v>
      </c>
      <c r="M814" t="s">
        <v>38</v>
      </c>
      <c r="N814" t="s">
        <v>112</v>
      </c>
      <c r="O814" t="s">
        <v>28</v>
      </c>
      <c r="P814" t="s">
        <v>31</v>
      </c>
      <c r="Q814">
        <v>1</v>
      </c>
      <c r="R814" t="s">
        <v>12891</v>
      </c>
      <c r="S814" t="s">
        <v>12886</v>
      </c>
    </row>
    <row r="815" spans="1:19" x14ac:dyDescent="0.25">
      <c r="A815" t="s">
        <v>281</v>
      </c>
      <c r="B815" s="1">
        <v>45896</v>
      </c>
      <c r="C815" t="s">
        <v>12893</v>
      </c>
      <c r="D815" s="5">
        <v>0.37200231481481483</v>
      </c>
      <c r="E815">
        <v>158.63</v>
      </c>
      <c r="F815" t="s">
        <v>44</v>
      </c>
      <c r="G815" t="s">
        <v>282</v>
      </c>
      <c r="H815" t="s">
        <v>64</v>
      </c>
      <c r="I815" t="s">
        <v>119</v>
      </c>
      <c r="J815" t="s">
        <v>283</v>
      </c>
      <c r="K815">
        <v>75</v>
      </c>
      <c r="L815" t="s">
        <v>49</v>
      </c>
      <c r="M815" t="s">
        <v>91</v>
      </c>
      <c r="N815" t="s">
        <v>112</v>
      </c>
      <c r="O815" t="s">
        <v>28</v>
      </c>
      <c r="P815" t="s">
        <v>31</v>
      </c>
      <c r="Q815">
        <v>0</v>
      </c>
      <c r="R815" t="s">
        <v>12883</v>
      </c>
      <c r="S815" t="s">
        <v>12884</v>
      </c>
    </row>
    <row r="816" spans="1:19" x14ac:dyDescent="0.25">
      <c r="A816" t="s">
        <v>8302</v>
      </c>
      <c r="B816" s="1">
        <v>45878</v>
      </c>
      <c r="C816" t="s">
        <v>12893</v>
      </c>
      <c r="D816" s="5">
        <v>0.99216435185185181</v>
      </c>
      <c r="E816">
        <v>158.61000000000001</v>
      </c>
      <c r="F816" t="s">
        <v>44</v>
      </c>
      <c r="G816" t="s">
        <v>2726</v>
      </c>
      <c r="H816" t="s">
        <v>64</v>
      </c>
      <c r="I816" t="s">
        <v>110</v>
      </c>
      <c r="J816" t="s">
        <v>8303</v>
      </c>
      <c r="K816">
        <v>38</v>
      </c>
      <c r="L816" t="s">
        <v>25</v>
      </c>
      <c r="M816" t="s">
        <v>38</v>
      </c>
      <c r="N816" t="s">
        <v>105</v>
      </c>
      <c r="O816" t="s">
        <v>28</v>
      </c>
      <c r="P816" t="s">
        <v>31</v>
      </c>
      <c r="Q816">
        <v>0</v>
      </c>
      <c r="R816" t="s">
        <v>12883</v>
      </c>
      <c r="S816" t="s">
        <v>12889</v>
      </c>
    </row>
    <row r="817" spans="1:19" x14ac:dyDescent="0.25">
      <c r="A817" t="s">
        <v>12489</v>
      </c>
      <c r="B817" s="1">
        <v>45863</v>
      </c>
      <c r="C817" t="s">
        <v>12885</v>
      </c>
      <c r="D817" s="5">
        <v>0.87928240740740737</v>
      </c>
      <c r="E817">
        <v>158.57</v>
      </c>
      <c r="F817" t="s">
        <v>44</v>
      </c>
      <c r="G817" t="s">
        <v>6270</v>
      </c>
      <c r="H817" t="s">
        <v>124</v>
      </c>
      <c r="I817" t="s">
        <v>58</v>
      </c>
      <c r="J817" t="s">
        <v>12490</v>
      </c>
      <c r="K817">
        <v>18</v>
      </c>
      <c r="L817" t="s">
        <v>37</v>
      </c>
      <c r="M817" t="s">
        <v>130</v>
      </c>
      <c r="N817" t="s">
        <v>39</v>
      </c>
      <c r="O817" t="s">
        <v>28</v>
      </c>
      <c r="P817" t="s">
        <v>31</v>
      </c>
      <c r="Q817">
        <v>1</v>
      </c>
      <c r="R817" t="s">
        <v>12891</v>
      </c>
      <c r="S817" t="s">
        <v>12892</v>
      </c>
    </row>
    <row r="818" spans="1:19" x14ac:dyDescent="0.25">
      <c r="A818" t="s">
        <v>7015</v>
      </c>
      <c r="B818" s="1">
        <v>45888</v>
      </c>
      <c r="C818" t="s">
        <v>12893</v>
      </c>
      <c r="D818" s="5">
        <v>0.16692129629629629</v>
      </c>
      <c r="E818">
        <v>158.53</v>
      </c>
      <c r="F818" t="s">
        <v>44</v>
      </c>
      <c r="G818" t="s">
        <v>5824</v>
      </c>
      <c r="H818" t="s">
        <v>71</v>
      </c>
      <c r="I818" t="s">
        <v>66</v>
      </c>
      <c r="J818" t="s">
        <v>7016</v>
      </c>
      <c r="K818">
        <v>61</v>
      </c>
      <c r="L818" t="s">
        <v>37</v>
      </c>
      <c r="M818" t="s">
        <v>97</v>
      </c>
      <c r="N818" t="s">
        <v>105</v>
      </c>
      <c r="O818" t="s">
        <v>28</v>
      </c>
      <c r="P818" t="s">
        <v>31</v>
      </c>
      <c r="Q818">
        <v>0</v>
      </c>
      <c r="R818" t="s">
        <v>12883</v>
      </c>
      <c r="S818" t="s">
        <v>12884</v>
      </c>
    </row>
    <row r="819" spans="1:19" x14ac:dyDescent="0.25">
      <c r="A819" t="s">
        <v>9749</v>
      </c>
      <c r="B819" s="1">
        <v>45920</v>
      </c>
      <c r="C819" t="s">
        <v>12882</v>
      </c>
      <c r="D819" s="5">
        <v>0.29177083333333331</v>
      </c>
      <c r="E819">
        <v>158.5</v>
      </c>
      <c r="F819" t="s">
        <v>44</v>
      </c>
      <c r="G819" t="s">
        <v>9750</v>
      </c>
      <c r="H819" t="s">
        <v>46</v>
      </c>
      <c r="I819" t="s">
        <v>47</v>
      </c>
      <c r="J819" t="s">
        <v>9751</v>
      </c>
      <c r="K819">
        <v>68</v>
      </c>
      <c r="L819" t="s">
        <v>25</v>
      </c>
      <c r="M819" t="s">
        <v>119</v>
      </c>
      <c r="N819" t="s">
        <v>39</v>
      </c>
      <c r="O819" t="s">
        <v>28</v>
      </c>
      <c r="P819" t="s">
        <v>31</v>
      </c>
      <c r="Q819">
        <v>0</v>
      </c>
      <c r="R819" t="s">
        <v>12883</v>
      </c>
      <c r="S819" t="s">
        <v>12884</v>
      </c>
    </row>
    <row r="820" spans="1:19" x14ac:dyDescent="0.25">
      <c r="A820" t="s">
        <v>5717</v>
      </c>
      <c r="B820" s="1">
        <v>45790</v>
      </c>
      <c r="C820" t="s">
        <v>12887</v>
      </c>
      <c r="D820" s="5">
        <v>0.51918981481481485</v>
      </c>
      <c r="E820">
        <v>158.49</v>
      </c>
      <c r="F820" t="s">
        <v>44</v>
      </c>
      <c r="G820" t="s">
        <v>5718</v>
      </c>
      <c r="H820" t="s">
        <v>57</v>
      </c>
      <c r="I820" t="s">
        <v>66</v>
      </c>
      <c r="J820" t="s">
        <v>5719</v>
      </c>
      <c r="K820">
        <v>30</v>
      </c>
      <c r="L820" t="s">
        <v>49</v>
      </c>
      <c r="M820" t="s">
        <v>35</v>
      </c>
      <c r="N820" t="s">
        <v>39</v>
      </c>
      <c r="O820" t="s">
        <v>28</v>
      </c>
      <c r="P820" t="s">
        <v>31</v>
      </c>
      <c r="Q820">
        <v>0</v>
      </c>
      <c r="R820" t="s">
        <v>12883</v>
      </c>
      <c r="S820" t="s">
        <v>12889</v>
      </c>
    </row>
    <row r="821" spans="1:19" x14ac:dyDescent="0.25">
      <c r="A821" t="s">
        <v>6463</v>
      </c>
      <c r="B821" s="1">
        <v>45893</v>
      </c>
      <c r="C821" t="s">
        <v>12893</v>
      </c>
      <c r="D821" s="5">
        <v>0.21814814814814815</v>
      </c>
      <c r="E821">
        <v>158.44</v>
      </c>
      <c r="F821" t="s">
        <v>44</v>
      </c>
      <c r="G821" t="s">
        <v>135</v>
      </c>
      <c r="H821" t="s">
        <v>57</v>
      </c>
      <c r="I821" t="s">
        <v>47</v>
      </c>
      <c r="J821" t="s">
        <v>6464</v>
      </c>
      <c r="K821">
        <v>34</v>
      </c>
      <c r="L821" t="s">
        <v>25</v>
      </c>
      <c r="M821" t="s">
        <v>91</v>
      </c>
      <c r="N821" t="s">
        <v>51</v>
      </c>
      <c r="O821" t="s">
        <v>28</v>
      </c>
      <c r="P821" t="s">
        <v>31</v>
      </c>
      <c r="Q821">
        <v>0</v>
      </c>
      <c r="R821" t="s">
        <v>12883</v>
      </c>
      <c r="S821" t="s">
        <v>12889</v>
      </c>
    </row>
    <row r="822" spans="1:19" x14ac:dyDescent="0.25">
      <c r="A822" t="s">
        <v>9252</v>
      </c>
      <c r="B822" s="1">
        <v>45927</v>
      </c>
      <c r="C822" t="s">
        <v>12882</v>
      </c>
      <c r="D822" s="5">
        <v>0.46182870370370371</v>
      </c>
      <c r="E822">
        <v>158.38999999999999</v>
      </c>
      <c r="F822" t="s">
        <v>44</v>
      </c>
      <c r="G822" t="s">
        <v>399</v>
      </c>
      <c r="H822" t="s">
        <v>46</v>
      </c>
      <c r="I822" t="s">
        <v>97</v>
      </c>
      <c r="J822" t="s">
        <v>9253</v>
      </c>
      <c r="K822">
        <v>60</v>
      </c>
      <c r="L822" t="s">
        <v>49</v>
      </c>
      <c r="M822" t="s">
        <v>58</v>
      </c>
      <c r="N822" t="s">
        <v>27</v>
      </c>
      <c r="O822" t="s">
        <v>28</v>
      </c>
      <c r="P822" t="s">
        <v>31</v>
      </c>
      <c r="Q822">
        <v>0</v>
      </c>
      <c r="R822" t="s">
        <v>12883</v>
      </c>
      <c r="S822" t="s">
        <v>12884</v>
      </c>
    </row>
    <row r="823" spans="1:19" x14ac:dyDescent="0.25">
      <c r="A823" t="s">
        <v>5290</v>
      </c>
      <c r="B823" s="1">
        <v>45810</v>
      </c>
      <c r="C823" t="s">
        <v>12888</v>
      </c>
      <c r="D823" s="5">
        <v>0.58791666666666664</v>
      </c>
      <c r="E823">
        <v>158.07</v>
      </c>
      <c r="F823" t="s">
        <v>44</v>
      </c>
      <c r="G823" t="s">
        <v>819</v>
      </c>
      <c r="H823" t="s">
        <v>89</v>
      </c>
      <c r="I823" t="s">
        <v>91</v>
      </c>
      <c r="J823" t="s">
        <v>5291</v>
      </c>
      <c r="K823">
        <v>68</v>
      </c>
      <c r="L823" t="s">
        <v>37</v>
      </c>
      <c r="M823" t="s">
        <v>91</v>
      </c>
      <c r="N823" t="s">
        <v>84</v>
      </c>
      <c r="O823" t="s">
        <v>113</v>
      </c>
      <c r="P823" t="s">
        <v>31</v>
      </c>
      <c r="Q823">
        <v>0</v>
      </c>
      <c r="R823" t="s">
        <v>12883</v>
      </c>
      <c r="S823" t="s">
        <v>12884</v>
      </c>
    </row>
    <row r="824" spans="1:19" x14ac:dyDescent="0.25">
      <c r="A824" t="s">
        <v>11623</v>
      </c>
      <c r="B824" s="1">
        <v>45829</v>
      </c>
      <c r="C824" t="s">
        <v>12888</v>
      </c>
      <c r="D824" s="5">
        <v>0.55579861111111106</v>
      </c>
      <c r="E824">
        <v>158.07</v>
      </c>
      <c r="F824" t="s">
        <v>44</v>
      </c>
      <c r="G824" t="s">
        <v>2999</v>
      </c>
      <c r="H824" t="s">
        <v>124</v>
      </c>
      <c r="I824" t="s">
        <v>130</v>
      </c>
      <c r="J824" t="s">
        <v>11624</v>
      </c>
      <c r="K824">
        <v>75</v>
      </c>
      <c r="L824" t="s">
        <v>49</v>
      </c>
      <c r="M824" t="s">
        <v>35</v>
      </c>
      <c r="N824" t="s">
        <v>27</v>
      </c>
      <c r="O824" t="s">
        <v>28</v>
      </c>
      <c r="P824" t="s">
        <v>31</v>
      </c>
      <c r="Q824">
        <v>0</v>
      </c>
      <c r="R824" t="s">
        <v>12883</v>
      </c>
      <c r="S824" t="s">
        <v>12884</v>
      </c>
    </row>
    <row r="825" spans="1:19" x14ac:dyDescent="0.25">
      <c r="A825" t="s">
        <v>8740</v>
      </c>
      <c r="B825" s="1">
        <v>45801</v>
      </c>
      <c r="C825" t="s">
        <v>12887</v>
      </c>
      <c r="D825" s="5">
        <v>0.70554398148148145</v>
      </c>
      <c r="E825">
        <v>157.77000000000001</v>
      </c>
      <c r="F825" t="s">
        <v>44</v>
      </c>
      <c r="G825" t="s">
        <v>678</v>
      </c>
      <c r="H825" t="s">
        <v>124</v>
      </c>
      <c r="I825" t="s">
        <v>248</v>
      </c>
      <c r="J825" t="s">
        <v>8741</v>
      </c>
      <c r="K825">
        <v>39</v>
      </c>
      <c r="L825" t="s">
        <v>37</v>
      </c>
      <c r="M825" t="s">
        <v>130</v>
      </c>
      <c r="N825" t="s">
        <v>112</v>
      </c>
      <c r="O825" t="s">
        <v>28</v>
      </c>
      <c r="P825" t="s">
        <v>31</v>
      </c>
      <c r="Q825">
        <v>0</v>
      </c>
      <c r="R825" t="s">
        <v>12883</v>
      </c>
      <c r="S825" t="s">
        <v>12889</v>
      </c>
    </row>
    <row r="826" spans="1:19" x14ac:dyDescent="0.25">
      <c r="A826" t="s">
        <v>12537</v>
      </c>
      <c r="B826" s="1">
        <v>45834</v>
      </c>
      <c r="C826" t="s">
        <v>12888</v>
      </c>
      <c r="D826" s="5">
        <v>0.54863425925925924</v>
      </c>
      <c r="E826">
        <v>157.31</v>
      </c>
      <c r="F826" t="s">
        <v>44</v>
      </c>
      <c r="G826" t="s">
        <v>2891</v>
      </c>
      <c r="H826" t="s">
        <v>96</v>
      </c>
      <c r="I826" t="s">
        <v>97</v>
      </c>
      <c r="J826" t="s">
        <v>12538</v>
      </c>
      <c r="K826">
        <v>38</v>
      </c>
      <c r="L826" t="s">
        <v>25</v>
      </c>
      <c r="M826" t="s">
        <v>23</v>
      </c>
      <c r="N826" t="s">
        <v>51</v>
      </c>
      <c r="O826" t="s">
        <v>28</v>
      </c>
      <c r="P826" t="s">
        <v>31</v>
      </c>
      <c r="Q826">
        <v>0</v>
      </c>
      <c r="R826" t="s">
        <v>12883</v>
      </c>
      <c r="S826" t="s">
        <v>12889</v>
      </c>
    </row>
    <row r="827" spans="1:19" x14ac:dyDescent="0.25">
      <c r="A827" t="s">
        <v>1455</v>
      </c>
      <c r="B827" s="1">
        <v>45783</v>
      </c>
      <c r="C827" t="s">
        <v>12887</v>
      </c>
      <c r="D827" s="5">
        <v>0.2767013888888889</v>
      </c>
      <c r="E827">
        <v>156.99</v>
      </c>
      <c r="F827" t="s">
        <v>44</v>
      </c>
      <c r="G827" t="s">
        <v>1456</v>
      </c>
      <c r="H827" t="s">
        <v>96</v>
      </c>
      <c r="I827" t="s">
        <v>26</v>
      </c>
      <c r="J827" t="s">
        <v>1457</v>
      </c>
      <c r="K827">
        <v>66</v>
      </c>
      <c r="L827" t="s">
        <v>49</v>
      </c>
      <c r="M827" t="s">
        <v>130</v>
      </c>
      <c r="N827" t="s">
        <v>84</v>
      </c>
      <c r="O827" t="s">
        <v>28</v>
      </c>
      <c r="P827" t="s">
        <v>31</v>
      </c>
      <c r="Q827">
        <v>0</v>
      </c>
      <c r="R827" t="s">
        <v>12883</v>
      </c>
      <c r="S827" t="s">
        <v>12884</v>
      </c>
    </row>
    <row r="828" spans="1:19" x14ac:dyDescent="0.25">
      <c r="A828" t="s">
        <v>4820</v>
      </c>
      <c r="B828" s="1">
        <v>45851</v>
      </c>
      <c r="C828" t="s">
        <v>12885</v>
      </c>
      <c r="D828" s="5">
        <v>1.3229166666666667E-2</v>
      </c>
      <c r="E828">
        <v>156.91999999999999</v>
      </c>
      <c r="F828" t="s">
        <v>44</v>
      </c>
      <c r="G828" t="s">
        <v>3758</v>
      </c>
      <c r="H828" t="s">
        <v>89</v>
      </c>
      <c r="I828" t="s">
        <v>91</v>
      </c>
      <c r="J828" t="s">
        <v>4821</v>
      </c>
      <c r="K828">
        <v>45</v>
      </c>
      <c r="L828" t="s">
        <v>25</v>
      </c>
      <c r="M828" t="s">
        <v>66</v>
      </c>
      <c r="N828" t="s">
        <v>84</v>
      </c>
      <c r="O828" t="s">
        <v>28</v>
      </c>
      <c r="P828" t="s">
        <v>31</v>
      </c>
      <c r="Q828">
        <v>1</v>
      </c>
      <c r="R828" t="s">
        <v>12891</v>
      </c>
      <c r="S828" t="s">
        <v>12886</v>
      </c>
    </row>
    <row r="829" spans="1:19" x14ac:dyDescent="0.25">
      <c r="A829" t="s">
        <v>11147</v>
      </c>
      <c r="B829" s="1">
        <v>45824</v>
      </c>
      <c r="C829" t="s">
        <v>12888</v>
      </c>
      <c r="D829" s="5">
        <v>0.70221064814814815</v>
      </c>
      <c r="E829">
        <v>156.88999999999999</v>
      </c>
      <c r="F829" t="s">
        <v>44</v>
      </c>
      <c r="G829" t="s">
        <v>10235</v>
      </c>
      <c r="H829" t="s">
        <v>64</v>
      </c>
      <c r="I829" t="s">
        <v>35</v>
      </c>
      <c r="J829" t="s">
        <v>11148</v>
      </c>
      <c r="K829">
        <v>32</v>
      </c>
      <c r="L829" t="s">
        <v>37</v>
      </c>
      <c r="M829" t="s">
        <v>35</v>
      </c>
      <c r="N829" t="s">
        <v>105</v>
      </c>
      <c r="O829" t="s">
        <v>113</v>
      </c>
      <c r="P829" t="s">
        <v>31</v>
      </c>
      <c r="Q829">
        <v>0</v>
      </c>
      <c r="R829" t="s">
        <v>12883</v>
      </c>
      <c r="S829" t="s">
        <v>12889</v>
      </c>
    </row>
    <row r="830" spans="1:19" x14ac:dyDescent="0.25">
      <c r="A830" t="s">
        <v>8638</v>
      </c>
      <c r="B830" s="1">
        <v>45845</v>
      </c>
      <c r="C830" t="s">
        <v>12885</v>
      </c>
      <c r="D830" s="5">
        <v>0.79923611111111115</v>
      </c>
      <c r="E830">
        <v>156.77000000000001</v>
      </c>
      <c r="F830" t="s">
        <v>44</v>
      </c>
      <c r="G830" t="s">
        <v>2472</v>
      </c>
      <c r="H830" t="s">
        <v>89</v>
      </c>
      <c r="I830" t="s">
        <v>119</v>
      </c>
      <c r="J830" t="s">
        <v>8639</v>
      </c>
      <c r="K830">
        <v>35</v>
      </c>
      <c r="L830" t="s">
        <v>49</v>
      </c>
      <c r="M830" t="s">
        <v>50</v>
      </c>
      <c r="N830" t="s">
        <v>27</v>
      </c>
      <c r="O830" t="s">
        <v>28</v>
      </c>
      <c r="P830" t="s">
        <v>31</v>
      </c>
      <c r="Q830">
        <v>0</v>
      </c>
      <c r="R830" t="s">
        <v>12883</v>
      </c>
      <c r="S830" t="s">
        <v>12889</v>
      </c>
    </row>
    <row r="831" spans="1:19" x14ac:dyDescent="0.25">
      <c r="A831" t="s">
        <v>3712</v>
      </c>
      <c r="B831" s="1">
        <v>45801</v>
      </c>
      <c r="C831" t="s">
        <v>12887</v>
      </c>
      <c r="D831" s="5">
        <v>0.74730324074074073</v>
      </c>
      <c r="E831">
        <v>156.76</v>
      </c>
      <c r="F831" t="s">
        <v>44</v>
      </c>
      <c r="G831" t="s">
        <v>212</v>
      </c>
      <c r="H831" t="s">
        <v>22</v>
      </c>
      <c r="I831" t="s">
        <v>58</v>
      </c>
      <c r="J831" t="s">
        <v>3713</v>
      </c>
      <c r="K831">
        <v>36</v>
      </c>
      <c r="L831" t="s">
        <v>37</v>
      </c>
      <c r="M831" t="s">
        <v>248</v>
      </c>
      <c r="N831" t="s">
        <v>105</v>
      </c>
      <c r="O831" t="s">
        <v>28</v>
      </c>
      <c r="P831" t="s">
        <v>31</v>
      </c>
      <c r="Q831">
        <v>0</v>
      </c>
      <c r="R831" t="s">
        <v>12883</v>
      </c>
      <c r="S831" t="s">
        <v>12889</v>
      </c>
    </row>
    <row r="832" spans="1:19" x14ac:dyDescent="0.25">
      <c r="A832" t="s">
        <v>9553</v>
      </c>
      <c r="B832" s="1">
        <v>45845</v>
      </c>
      <c r="C832" t="s">
        <v>12885</v>
      </c>
      <c r="D832" s="5">
        <v>0.20487268518518517</v>
      </c>
      <c r="E832">
        <v>156.55000000000001</v>
      </c>
      <c r="F832" t="s">
        <v>44</v>
      </c>
      <c r="G832" t="s">
        <v>3758</v>
      </c>
      <c r="H832" t="s">
        <v>96</v>
      </c>
      <c r="I832" t="s">
        <v>47</v>
      </c>
      <c r="J832" t="s">
        <v>9554</v>
      </c>
      <c r="K832">
        <v>55</v>
      </c>
      <c r="L832" t="s">
        <v>49</v>
      </c>
      <c r="M832" t="s">
        <v>248</v>
      </c>
      <c r="N832" t="s">
        <v>84</v>
      </c>
      <c r="O832" t="s">
        <v>28</v>
      </c>
      <c r="P832" t="s">
        <v>31</v>
      </c>
      <c r="Q832">
        <v>0</v>
      </c>
      <c r="R832" t="s">
        <v>12883</v>
      </c>
      <c r="S832" t="s">
        <v>12886</v>
      </c>
    </row>
    <row r="833" spans="1:19" x14ac:dyDescent="0.25">
      <c r="A833" t="s">
        <v>11239</v>
      </c>
      <c r="B833" s="1">
        <v>45822</v>
      </c>
      <c r="C833" t="s">
        <v>12888</v>
      </c>
      <c r="D833" s="5">
        <v>2.6053240740740741E-2</v>
      </c>
      <c r="E833">
        <v>156.5</v>
      </c>
      <c r="F833" t="s">
        <v>44</v>
      </c>
      <c r="G833" t="s">
        <v>9963</v>
      </c>
      <c r="H833" t="s">
        <v>22</v>
      </c>
      <c r="I833" t="s">
        <v>47</v>
      </c>
      <c r="J833" t="s">
        <v>11240</v>
      </c>
      <c r="K833">
        <v>29</v>
      </c>
      <c r="L833" t="s">
        <v>49</v>
      </c>
      <c r="M833" t="s">
        <v>146</v>
      </c>
      <c r="N833" t="s">
        <v>51</v>
      </c>
      <c r="O833" t="s">
        <v>28</v>
      </c>
      <c r="P833" t="s">
        <v>31</v>
      </c>
      <c r="Q833">
        <v>0</v>
      </c>
      <c r="R833" t="s">
        <v>12883</v>
      </c>
      <c r="S833" t="s">
        <v>12889</v>
      </c>
    </row>
    <row r="834" spans="1:19" x14ac:dyDescent="0.25">
      <c r="A834" t="s">
        <v>11022</v>
      </c>
      <c r="B834" s="1">
        <v>45811</v>
      </c>
      <c r="C834" t="s">
        <v>12888</v>
      </c>
      <c r="D834" s="5">
        <v>0.20518518518518519</v>
      </c>
      <c r="E834">
        <v>156.34</v>
      </c>
      <c r="F834" t="s">
        <v>44</v>
      </c>
      <c r="G834" t="s">
        <v>7586</v>
      </c>
      <c r="H834" t="s">
        <v>124</v>
      </c>
      <c r="I834" t="s">
        <v>58</v>
      </c>
      <c r="J834" t="s">
        <v>11023</v>
      </c>
      <c r="K834">
        <v>67</v>
      </c>
      <c r="L834" t="s">
        <v>37</v>
      </c>
      <c r="M834" t="s">
        <v>50</v>
      </c>
      <c r="N834" t="s">
        <v>112</v>
      </c>
      <c r="O834" t="s">
        <v>28</v>
      </c>
      <c r="P834" t="s">
        <v>31</v>
      </c>
      <c r="Q834">
        <v>0</v>
      </c>
      <c r="R834" t="s">
        <v>12883</v>
      </c>
      <c r="S834" t="s">
        <v>12884</v>
      </c>
    </row>
    <row r="835" spans="1:19" x14ac:dyDescent="0.25">
      <c r="A835" t="s">
        <v>1426</v>
      </c>
      <c r="B835" s="1">
        <v>45823</v>
      </c>
      <c r="C835" t="s">
        <v>12888</v>
      </c>
      <c r="D835" s="5">
        <v>0.55910879629629628</v>
      </c>
      <c r="E835">
        <v>156.27000000000001</v>
      </c>
      <c r="F835" t="s">
        <v>44</v>
      </c>
      <c r="G835" t="s">
        <v>1427</v>
      </c>
      <c r="H835" t="s">
        <v>71</v>
      </c>
      <c r="I835" t="s">
        <v>35</v>
      </c>
      <c r="J835" t="s">
        <v>1428</v>
      </c>
      <c r="K835">
        <v>44</v>
      </c>
      <c r="L835" t="s">
        <v>25</v>
      </c>
      <c r="M835" t="s">
        <v>47</v>
      </c>
      <c r="N835" t="s">
        <v>84</v>
      </c>
      <c r="O835" t="s">
        <v>28</v>
      </c>
      <c r="P835" t="s">
        <v>31</v>
      </c>
      <c r="Q835">
        <v>0</v>
      </c>
      <c r="R835" t="s">
        <v>12883</v>
      </c>
      <c r="S835" t="s">
        <v>12886</v>
      </c>
    </row>
    <row r="836" spans="1:19" x14ac:dyDescent="0.25">
      <c r="A836" t="s">
        <v>1397</v>
      </c>
      <c r="B836" s="1">
        <v>45847</v>
      </c>
      <c r="C836" t="s">
        <v>12885</v>
      </c>
      <c r="D836" s="5">
        <v>0.65513888888888894</v>
      </c>
      <c r="E836">
        <v>156.15</v>
      </c>
      <c r="F836" t="s">
        <v>44</v>
      </c>
      <c r="G836" t="s">
        <v>1398</v>
      </c>
      <c r="H836" t="s">
        <v>34</v>
      </c>
      <c r="I836" t="s">
        <v>130</v>
      </c>
      <c r="J836" t="s">
        <v>1399</v>
      </c>
      <c r="K836">
        <v>52</v>
      </c>
      <c r="L836" t="s">
        <v>25</v>
      </c>
      <c r="M836" t="s">
        <v>248</v>
      </c>
      <c r="N836" t="s">
        <v>112</v>
      </c>
      <c r="O836" t="s">
        <v>28</v>
      </c>
      <c r="P836" t="s">
        <v>31</v>
      </c>
      <c r="Q836">
        <v>0</v>
      </c>
      <c r="R836" t="s">
        <v>12883</v>
      </c>
      <c r="S836" t="s">
        <v>12886</v>
      </c>
    </row>
    <row r="837" spans="1:19" x14ac:dyDescent="0.25">
      <c r="A837" t="s">
        <v>3880</v>
      </c>
      <c r="B837" s="1">
        <v>45785</v>
      </c>
      <c r="C837" t="s">
        <v>12887</v>
      </c>
      <c r="D837" s="5">
        <v>0.53537037037037039</v>
      </c>
      <c r="E837">
        <v>155.4</v>
      </c>
      <c r="F837" t="s">
        <v>44</v>
      </c>
      <c r="G837" t="s">
        <v>1573</v>
      </c>
      <c r="H837" t="s">
        <v>34</v>
      </c>
      <c r="I837" t="s">
        <v>97</v>
      </c>
      <c r="J837" t="s">
        <v>3881</v>
      </c>
      <c r="K837">
        <v>58</v>
      </c>
      <c r="L837" t="s">
        <v>37</v>
      </c>
      <c r="M837" t="s">
        <v>91</v>
      </c>
      <c r="N837" t="s">
        <v>51</v>
      </c>
      <c r="O837" t="s">
        <v>28</v>
      </c>
      <c r="P837" t="s">
        <v>31</v>
      </c>
      <c r="Q837">
        <v>0</v>
      </c>
      <c r="R837" t="s">
        <v>12883</v>
      </c>
      <c r="S837" t="s">
        <v>12886</v>
      </c>
    </row>
    <row r="838" spans="1:19" x14ac:dyDescent="0.25">
      <c r="A838" t="s">
        <v>291</v>
      </c>
      <c r="B838" s="1">
        <v>45931</v>
      </c>
      <c r="C838" t="s">
        <v>12890</v>
      </c>
      <c r="D838" s="5">
        <v>0.15410879629629629</v>
      </c>
      <c r="E838">
        <v>155.37</v>
      </c>
      <c r="F838" t="s">
        <v>44</v>
      </c>
      <c r="G838" t="s">
        <v>292</v>
      </c>
      <c r="H838" t="s">
        <v>96</v>
      </c>
      <c r="I838" t="s">
        <v>26</v>
      </c>
      <c r="J838" t="s">
        <v>293</v>
      </c>
      <c r="K838">
        <v>31</v>
      </c>
      <c r="L838" t="s">
        <v>25</v>
      </c>
      <c r="M838" t="s">
        <v>110</v>
      </c>
      <c r="N838" t="s">
        <v>105</v>
      </c>
      <c r="O838" t="s">
        <v>28</v>
      </c>
      <c r="P838" t="s">
        <v>31</v>
      </c>
      <c r="Q838">
        <v>0</v>
      </c>
      <c r="R838" t="s">
        <v>12883</v>
      </c>
      <c r="S838" t="s">
        <v>12889</v>
      </c>
    </row>
    <row r="839" spans="1:19" x14ac:dyDescent="0.25">
      <c r="A839" t="s">
        <v>4873</v>
      </c>
      <c r="B839" s="1">
        <v>45831</v>
      </c>
      <c r="C839" t="s">
        <v>12888</v>
      </c>
      <c r="D839" s="5">
        <v>0.88211805555555556</v>
      </c>
      <c r="E839">
        <v>155.34</v>
      </c>
      <c r="F839" t="s">
        <v>44</v>
      </c>
      <c r="G839" t="s">
        <v>2308</v>
      </c>
      <c r="H839" t="s">
        <v>64</v>
      </c>
      <c r="I839" t="s">
        <v>58</v>
      </c>
      <c r="J839" t="s">
        <v>4874</v>
      </c>
      <c r="K839">
        <v>68</v>
      </c>
      <c r="L839" t="s">
        <v>25</v>
      </c>
      <c r="M839" t="s">
        <v>26</v>
      </c>
      <c r="N839" t="s">
        <v>84</v>
      </c>
      <c r="O839" t="s">
        <v>28</v>
      </c>
      <c r="P839" t="s">
        <v>31</v>
      </c>
      <c r="Q839">
        <v>0</v>
      </c>
      <c r="R839" t="s">
        <v>12883</v>
      </c>
      <c r="S839" t="s">
        <v>12884</v>
      </c>
    </row>
    <row r="840" spans="1:19" x14ac:dyDescent="0.25">
      <c r="A840" t="s">
        <v>6336</v>
      </c>
      <c r="B840" s="1">
        <v>45841</v>
      </c>
      <c r="C840" t="s">
        <v>12885</v>
      </c>
      <c r="D840" s="5">
        <v>4.3333333333333335E-2</v>
      </c>
      <c r="E840">
        <v>155.32</v>
      </c>
      <c r="F840" t="s">
        <v>44</v>
      </c>
      <c r="G840" t="s">
        <v>3380</v>
      </c>
      <c r="H840" t="s">
        <v>124</v>
      </c>
      <c r="I840" t="s">
        <v>97</v>
      </c>
      <c r="J840" t="s">
        <v>2122</v>
      </c>
      <c r="K840">
        <v>72</v>
      </c>
      <c r="L840" t="s">
        <v>37</v>
      </c>
      <c r="M840" t="s">
        <v>91</v>
      </c>
      <c r="N840" t="s">
        <v>84</v>
      </c>
      <c r="O840" t="s">
        <v>28</v>
      </c>
      <c r="P840" t="s">
        <v>31</v>
      </c>
      <c r="Q840">
        <v>0</v>
      </c>
      <c r="R840" t="s">
        <v>12883</v>
      </c>
      <c r="S840" t="s">
        <v>12884</v>
      </c>
    </row>
    <row r="841" spans="1:19" x14ac:dyDescent="0.25">
      <c r="A841" t="s">
        <v>12360</v>
      </c>
      <c r="B841" s="1">
        <v>45941</v>
      </c>
      <c r="C841" t="s">
        <v>12890</v>
      </c>
      <c r="D841" s="5">
        <v>0.59466435185185185</v>
      </c>
      <c r="E841">
        <v>155.16</v>
      </c>
      <c r="F841" t="s">
        <v>44</v>
      </c>
      <c r="G841" t="s">
        <v>4816</v>
      </c>
      <c r="H841" t="s">
        <v>96</v>
      </c>
      <c r="I841" t="s">
        <v>66</v>
      </c>
      <c r="J841" t="s">
        <v>12361</v>
      </c>
      <c r="K841">
        <v>71</v>
      </c>
      <c r="L841" t="s">
        <v>25</v>
      </c>
      <c r="M841" t="s">
        <v>248</v>
      </c>
      <c r="N841" t="s">
        <v>27</v>
      </c>
      <c r="O841" t="s">
        <v>28</v>
      </c>
      <c r="P841" t="s">
        <v>31</v>
      </c>
      <c r="Q841">
        <v>1</v>
      </c>
      <c r="R841" t="s">
        <v>12891</v>
      </c>
      <c r="S841" t="s">
        <v>12884</v>
      </c>
    </row>
    <row r="842" spans="1:19" x14ac:dyDescent="0.25">
      <c r="A842" t="s">
        <v>4928</v>
      </c>
      <c r="B842" s="1">
        <v>45863</v>
      </c>
      <c r="C842" t="s">
        <v>12885</v>
      </c>
      <c r="D842" s="5">
        <v>0.3941898148148148</v>
      </c>
      <c r="E842">
        <v>154.88</v>
      </c>
      <c r="F842" t="s">
        <v>44</v>
      </c>
      <c r="G842" t="s">
        <v>4929</v>
      </c>
      <c r="H842" t="s">
        <v>71</v>
      </c>
      <c r="I842" t="s">
        <v>66</v>
      </c>
      <c r="J842" t="s">
        <v>4930</v>
      </c>
      <c r="K842">
        <v>20</v>
      </c>
      <c r="L842" t="s">
        <v>25</v>
      </c>
      <c r="M842" t="s">
        <v>47</v>
      </c>
      <c r="N842" t="s">
        <v>105</v>
      </c>
      <c r="O842" t="s">
        <v>28</v>
      </c>
      <c r="P842" t="s">
        <v>31</v>
      </c>
      <c r="Q842">
        <v>0</v>
      </c>
      <c r="R842" t="s">
        <v>12883</v>
      </c>
      <c r="S842" t="s">
        <v>12892</v>
      </c>
    </row>
    <row r="843" spans="1:19" x14ac:dyDescent="0.25">
      <c r="A843" t="s">
        <v>7636</v>
      </c>
      <c r="B843" s="1">
        <v>45869</v>
      </c>
      <c r="C843" t="s">
        <v>12885</v>
      </c>
      <c r="D843" s="5">
        <v>0.87131944444444442</v>
      </c>
      <c r="E843">
        <v>154.80000000000001</v>
      </c>
      <c r="F843" t="s">
        <v>44</v>
      </c>
      <c r="G843" t="s">
        <v>6300</v>
      </c>
      <c r="H843" t="s">
        <v>77</v>
      </c>
      <c r="I843" t="s">
        <v>47</v>
      </c>
      <c r="J843" t="s">
        <v>7637</v>
      </c>
      <c r="K843">
        <v>30</v>
      </c>
      <c r="L843" t="s">
        <v>25</v>
      </c>
      <c r="M843" t="s">
        <v>119</v>
      </c>
      <c r="N843" t="s">
        <v>105</v>
      </c>
      <c r="O843" t="s">
        <v>28</v>
      </c>
      <c r="P843" t="s">
        <v>31</v>
      </c>
      <c r="Q843">
        <v>0</v>
      </c>
      <c r="R843" t="s">
        <v>12883</v>
      </c>
      <c r="S843" t="s">
        <v>12889</v>
      </c>
    </row>
    <row r="844" spans="1:19" x14ac:dyDescent="0.25">
      <c r="A844" t="s">
        <v>4656</v>
      </c>
      <c r="B844" s="1">
        <v>45805</v>
      </c>
      <c r="C844" t="s">
        <v>12887</v>
      </c>
      <c r="D844" s="5">
        <v>4.0798611111111112E-2</v>
      </c>
      <c r="E844">
        <v>154.76</v>
      </c>
      <c r="F844" t="s">
        <v>44</v>
      </c>
      <c r="G844" t="s">
        <v>1045</v>
      </c>
      <c r="H844" t="s">
        <v>22</v>
      </c>
      <c r="I844" t="s">
        <v>119</v>
      </c>
      <c r="J844" t="s">
        <v>4657</v>
      </c>
      <c r="K844">
        <v>59</v>
      </c>
      <c r="L844" t="s">
        <v>37</v>
      </c>
      <c r="M844" t="s">
        <v>35</v>
      </c>
      <c r="N844" t="s">
        <v>84</v>
      </c>
      <c r="O844" t="s">
        <v>28</v>
      </c>
      <c r="P844" t="s">
        <v>31</v>
      </c>
      <c r="Q844">
        <v>1</v>
      </c>
      <c r="R844" t="s">
        <v>12891</v>
      </c>
      <c r="S844" t="s">
        <v>12886</v>
      </c>
    </row>
    <row r="845" spans="1:19" x14ac:dyDescent="0.25">
      <c r="A845" t="s">
        <v>3233</v>
      </c>
      <c r="B845" s="1">
        <v>45828</v>
      </c>
      <c r="C845" t="s">
        <v>12888</v>
      </c>
      <c r="D845" s="5">
        <v>0.63641203703703708</v>
      </c>
      <c r="E845">
        <v>154.71</v>
      </c>
      <c r="F845" t="s">
        <v>44</v>
      </c>
      <c r="G845" t="s">
        <v>1666</v>
      </c>
      <c r="H845" t="s">
        <v>96</v>
      </c>
      <c r="I845" t="s">
        <v>146</v>
      </c>
      <c r="J845" t="s">
        <v>3234</v>
      </c>
      <c r="K845">
        <v>36</v>
      </c>
      <c r="L845" t="s">
        <v>37</v>
      </c>
      <c r="M845" t="s">
        <v>97</v>
      </c>
      <c r="N845" t="s">
        <v>39</v>
      </c>
      <c r="O845" t="s">
        <v>28</v>
      </c>
      <c r="P845" t="s">
        <v>31</v>
      </c>
      <c r="Q845">
        <v>1</v>
      </c>
      <c r="R845" t="s">
        <v>12891</v>
      </c>
      <c r="S845" t="s">
        <v>12889</v>
      </c>
    </row>
    <row r="846" spans="1:19" x14ac:dyDescent="0.25">
      <c r="A846" t="s">
        <v>12074</v>
      </c>
      <c r="B846" s="1">
        <v>45909</v>
      </c>
      <c r="C846" t="s">
        <v>12882</v>
      </c>
      <c r="D846" s="5">
        <v>0.45760416666666665</v>
      </c>
      <c r="E846">
        <v>154.46</v>
      </c>
      <c r="F846" t="s">
        <v>44</v>
      </c>
      <c r="G846" t="s">
        <v>495</v>
      </c>
      <c r="H846" t="s">
        <v>64</v>
      </c>
      <c r="I846" t="s">
        <v>110</v>
      </c>
      <c r="J846" t="s">
        <v>12075</v>
      </c>
      <c r="K846">
        <v>56</v>
      </c>
      <c r="L846" t="s">
        <v>49</v>
      </c>
      <c r="M846" t="s">
        <v>23</v>
      </c>
      <c r="N846" t="s">
        <v>39</v>
      </c>
      <c r="O846" t="s">
        <v>28</v>
      </c>
      <c r="P846" t="s">
        <v>31</v>
      </c>
      <c r="Q846">
        <v>0</v>
      </c>
      <c r="R846" t="s">
        <v>12883</v>
      </c>
      <c r="S846" t="s">
        <v>12886</v>
      </c>
    </row>
    <row r="847" spans="1:19" x14ac:dyDescent="0.25">
      <c r="A847" t="s">
        <v>4215</v>
      </c>
      <c r="B847" s="1">
        <v>45914</v>
      </c>
      <c r="C847" t="s">
        <v>12882</v>
      </c>
      <c r="D847" s="5">
        <v>0.91572916666666671</v>
      </c>
      <c r="E847">
        <v>154.41999999999999</v>
      </c>
      <c r="F847" t="s">
        <v>44</v>
      </c>
      <c r="G847" t="s">
        <v>3284</v>
      </c>
      <c r="H847" t="s">
        <v>22</v>
      </c>
      <c r="I847" t="s">
        <v>146</v>
      </c>
      <c r="J847" t="s">
        <v>4216</v>
      </c>
      <c r="K847">
        <v>33</v>
      </c>
      <c r="L847" t="s">
        <v>49</v>
      </c>
      <c r="M847" t="s">
        <v>91</v>
      </c>
      <c r="N847" t="s">
        <v>51</v>
      </c>
      <c r="O847" t="s">
        <v>28</v>
      </c>
      <c r="P847" t="s">
        <v>31</v>
      </c>
      <c r="Q847">
        <v>0</v>
      </c>
      <c r="R847" t="s">
        <v>12883</v>
      </c>
      <c r="S847" t="s">
        <v>12889</v>
      </c>
    </row>
    <row r="848" spans="1:19" x14ac:dyDescent="0.25">
      <c r="A848" t="s">
        <v>6424</v>
      </c>
      <c r="B848" s="1">
        <v>45816</v>
      </c>
      <c r="C848" t="s">
        <v>12888</v>
      </c>
      <c r="D848" s="5">
        <v>0.61298611111111112</v>
      </c>
      <c r="E848">
        <v>154.22999999999999</v>
      </c>
      <c r="F848" t="s">
        <v>44</v>
      </c>
      <c r="G848" t="s">
        <v>4756</v>
      </c>
      <c r="H848" t="s">
        <v>64</v>
      </c>
      <c r="I848" t="s">
        <v>50</v>
      </c>
      <c r="J848" t="s">
        <v>6425</v>
      </c>
      <c r="K848">
        <v>54</v>
      </c>
      <c r="L848" t="s">
        <v>37</v>
      </c>
      <c r="M848" t="s">
        <v>119</v>
      </c>
      <c r="N848" t="s">
        <v>112</v>
      </c>
      <c r="O848" t="s">
        <v>28</v>
      </c>
      <c r="P848" t="s">
        <v>31</v>
      </c>
      <c r="Q848">
        <v>0</v>
      </c>
      <c r="R848" t="s">
        <v>12883</v>
      </c>
      <c r="S848" t="s">
        <v>12886</v>
      </c>
    </row>
    <row r="849" spans="1:19" x14ac:dyDescent="0.25">
      <c r="A849" t="s">
        <v>6137</v>
      </c>
      <c r="B849" s="1">
        <v>45870</v>
      </c>
      <c r="C849" t="s">
        <v>12893</v>
      </c>
      <c r="D849" s="5">
        <v>0.29138888888888886</v>
      </c>
      <c r="E849">
        <v>153.99</v>
      </c>
      <c r="F849" t="s">
        <v>44</v>
      </c>
      <c r="G849" t="s">
        <v>6138</v>
      </c>
      <c r="H849" t="s">
        <v>96</v>
      </c>
      <c r="I849" t="s">
        <v>38</v>
      </c>
      <c r="J849" t="s">
        <v>6139</v>
      </c>
      <c r="K849">
        <v>14</v>
      </c>
      <c r="L849" t="s">
        <v>49</v>
      </c>
      <c r="M849" t="s">
        <v>58</v>
      </c>
      <c r="N849" t="s">
        <v>84</v>
      </c>
      <c r="O849" t="s">
        <v>28</v>
      </c>
      <c r="P849" t="s">
        <v>31</v>
      </c>
      <c r="Q849">
        <v>0</v>
      </c>
      <c r="R849" t="s">
        <v>12883</v>
      </c>
      <c r="S849" t="s">
        <v>12892</v>
      </c>
    </row>
    <row r="850" spans="1:19" x14ac:dyDescent="0.25">
      <c r="A850" t="s">
        <v>3192</v>
      </c>
      <c r="B850" s="1">
        <v>45939</v>
      </c>
      <c r="C850" t="s">
        <v>12890</v>
      </c>
      <c r="D850" s="5">
        <v>0.90271990740740737</v>
      </c>
      <c r="E850">
        <v>153.88</v>
      </c>
      <c r="F850" t="s">
        <v>44</v>
      </c>
      <c r="G850" t="s">
        <v>3193</v>
      </c>
      <c r="H850" t="s">
        <v>22</v>
      </c>
      <c r="I850" t="s">
        <v>47</v>
      </c>
      <c r="J850" t="s">
        <v>3194</v>
      </c>
      <c r="K850">
        <v>68</v>
      </c>
      <c r="L850" t="s">
        <v>25</v>
      </c>
      <c r="M850" t="s">
        <v>119</v>
      </c>
      <c r="N850" t="s">
        <v>51</v>
      </c>
      <c r="O850" t="s">
        <v>28</v>
      </c>
      <c r="P850" t="s">
        <v>31</v>
      </c>
      <c r="Q850">
        <v>0</v>
      </c>
      <c r="R850" t="s">
        <v>12883</v>
      </c>
      <c r="S850" t="s">
        <v>12884</v>
      </c>
    </row>
    <row r="851" spans="1:19" x14ac:dyDescent="0.25">
      <c r="A851" t="s">
        <v>11888</v>
      </c>
      <c r="B851" s="1">
        <v>45930</v>
      </c>
      <c r="C851" t="s">
        <v>12882</v>
      </c>
      <c r="D851" s="5">
        <v>0.69450231481481484</v>
      </c>
      <c r="E851">
        <v>153.80000000000001</v>
      </c>
      <c r="F851" t="s">
        <v>44</v>
      </c>
      <c r="G851" t="s">
        <v>3934</v>
      </c>
      <c r="H851" t="s">
        <v>71</v>
      </c>
      <c r="I851" t="s">
        <v>119</v>
      </c>
      <c r="J851" t="s">
        <v>11889</v>
      </c>
      <c r="K851">
        <v>64</v>
      </c>
      <c r="L851" t="s">
        <v>37</v>
      </c>
      <c r="M851" t="s">
        <v>91</v>
      </c>
      <c r="N851" t="s">
        <v>112</v>
      </c>
      <c r="O851" t="s">
        <v>28</v>
      </c>
      <c r="P851" t="s">
        <v>31</v>
      </c>
      <c r="Q851">
        <v>0</v>
      </c>
      <c r="R851" t="s">
        <v>12883</v>
      </c>
      <c r="S851" t="s">
        <v>12884</v>
      </c>
    </row>
    <row r="852" spans="1:19" x14ac:dyDescent="0.25">
      <c r="A852" t="s">
        <v>3288</v>
      </c>
      <c r="B852" s="1">
        <v>45877</v>
      </c>
      <c r="C852" t="s">
        <v>12893</v>
      </c>
      <c r="D852" s="5">
        <v>0.47045138888888888</v>
      </c>
      <c r="E852">
        <v>153.66999999999999</v>
      </c>
      <c r="F852" t="s">
        <v>44</v>
      </c>
      <c r="G852" t="s">
        <v>1514</v>
      </c>
      <c r="H852" t="s">
        <v>34</v>
      </c>
      <c r="I852" t="s">
        <v>38</v>
      </c>
      <c r="J852" t="s">
        <v>3289</v>
      </c>
      <c r="K852">
        <v>61</v>
      </c>
      <c r="L852" t="s">
        <v>37</v>
      </c>
      <c r="M852" t="s">
        <v>248</v>
      </c>
      <c r="N852" t="s">
        <v>39</v>
      </c>
      <c r="O852" t="s">
        <v>28</v>
      </c>
      <c r="P852" t="s">
        <v>31</v>
      </c>
      <c r="Q852">
        <v>0</v>
      </c>
      <c r="R852" t="s">
        <v>12883</v>
      </c>
      <c r="S852" t="s">
        <v>12884</v>
      </c>
    </row>
    <row r="853" spans="1:19" x14ac:dyDescent="0.25">
      <c r="A853" t="s">
        <v>108</v>
      </c>
      <c r="B853" s="1">
        <v>45785</v>
      </c>
      <c r="C853" t="s">
        <v>12887</v>
      </c>
      <c r="D853" s="5">
        <v>0.27230324074074075</v>
      </c>
      <c r="E853">
        <v>153.65</v>
      </c>
      <c r="F853" t="s">
        <v>44</v>
      </c>
      <c r="G853" t="s">
        <v>109</v>
      </c>
      <c r="H853" t="s">
        <v>77</v>
      </c>
      <c r="I853" t="s">
        <v>110</v>
      </c>
      <c r="J853" t="s">
        <v>111</v>
      </c>
      <c r="K853">
        <v>31</v>
      </c>
      <c r="L853" t="s">
        <v>25</v>
      </c>
      <c r="M853" t="s">
        <v>110</v>
      </c>
      <c r="N853" t="s">
        <v>112</v>
      </c>
      <c r="O853" t="s">
        <v>113</v>
      </c>
      <c r="P853" t="s">
        <v>31</v>
      </c>
      <c r="Q853">
        <v>0</v>
      </c>
      <c r="R853" t="s">
        <v>12883</v>
      </c>
      <c r="S853" t="s">
        <v>12889</v>
      </c>
    </row>
    <row r="854" spans="1:19" x14ac:dyDescent="0.25">
      <c r="A854" t="s">
        <v>9949</v>
      </c>
      <c r="B854" s="1">
        <v>45784</v>
      </c>
      <c r="C854" t="s">
        <v>12887</v>
      </c>
      <c r="D854" s="5">
        <v>0.31136574074074075</v>
      </c>
      <c r="E854">
        <v>153.41999999999999</v>
      </c>
      <c r="F854" t="s">
        <v>44</v>
      </c>
      <c r="G854" t="s">
        <v>1642</v>
      </c>
      <c r="H854" t="s">
        <v>22</v>
      </c>
      <c r="I854" t="s">
        <v>146</v>
      </c>
      <c r="J854" t="s">
        <v>9950</v>
      </c>
      <c r="K854">
        <v>20</v>
      </c>
      <c r="L854" t="s">
        <v>37</v>
      </c>
      <c r="M854" t="s">
        <v>23</v>
      </c>
      <c r="N854" t="s">
        <v>105</v>
      </c>
      <c r="O854" t="s">
        <v>28</v>
      </c>
      <c r="P854" t="s">
        <v>31</v>
      </c>
      <c r="Q854">
        <v>0</v>
      </c>
      <c r="R854" t="s">
        <v>12883</v>
      </c>
      <c r="S854" t="s">
        <v>12892</v>
      </c>
    </row>
    <row r="855" spans="1:19" x14ac:dyDescent="0.25">
      <c r="A855" t="s">
        <v>3933</v>
      </c>
      <c r="B855" s="1">
        <v>45845</v>
      </c>
      <c r="C855" t="s">
        <v>12885</v>
      </c>
      <c r="D855" s="5">
        <v>0.851099537037037</v>
      </c>
      <c r="E855">
        <v>153.41</v>
      </c>
      <c r="F855" t="s">
        <v>44</v>
      </c>
      <c r="G855" t="s">
        <v>3934</v>
      </c>
      <c r="H855" t="s">
        <v>57</v>
      </c>
      <c r="I855" t="s">
        <v>248</v>
      </c>
      <c r="J855" t="s">
        <v>3935</v>
      </c>
      <c r="K855">
        <v>49</v>
      </c>
      <c r="L855" t="s">
        <v>37</v>
      </c>
      <c r="M855" t="s">
        <v>97</v>
      </c>
      <c r="N855" t="s">
        <v>112</v>
      </c>
      <c r="O855" t="s">
        <v>28</v>
      </c>
      <c r="P855" t="s">
        <v>31</v>
      </c>
      <c r="Q855">
        <v>0</v>
      </c>
      <c r="R855" t="s">
        <v>12883</v>
      </c>
      <c r="S855" t="s">
        <v>12886</v>
      </c>
    </row>
    <row r="856" spans="1:19" x14ac:dyDescent="0.25">
      <c r="A856" t="s">
        <v>5756</v>
      </c>
      <c r="B856" s="1">
        <v>45865</v>
      </c>
      <c r="C856" t="s">
        <v>12885</v>
      </c>
      <c r="D856" s="5">
        <v>0.91774305555555558</v>
      </c>
      <c r="E856">
        <v>153.41</v>
      </c>
      <c r="F856" t="s">
        <v>44</v>
      </c>
      <c r="G856" t="s">
        <v>2244</v>
      </c>
      <c r="H856" t="s">
        <v>64</v>
      </c>
      <c r="I856" t="s">
        <v>66</v>
      </c>
      <c r="J856" t="s">
        <v>5757</v>
      </c>
      <c r="K856">
        <v>18</v>
      </c>
      <c r="L856" t="s">
        <v>25</v>
      </c>
      <c r="M856" t="s">
        <v>58</v>
      </c>
      <c r="N856" t="s">
        <v>39</v>
      </c>
      <c r="O856" t="s">
        <v>28</v>
      </c>
      <c r="P856" t="s">
        <v>31</v>
      </c>
      <c r="Q856">
        <v>0</v>
      </c>
      <c r="R856" t="s">
        <v>12883</v>
      </c>
      <c r="S856" t="s">
        <v>12892</v>
      </c>
    </row>
    <row r="857" spans="1:19" x14ac:dyDescent="0.25">
      <c r="A857" t="s">
        <v>9316</v>
      </c>
      <c r="B857" s="1">
        <v>45803</v>
      </c>
      <c r="C857" t="s">
        <v>12887</v>
      </c>
      <c r="D857" s="5">
        <v>7.7719907407407404E-2</v>
      </c>
      <c r="E857">
        <v>153.32</v>
      </c>
      <c r="F857" t="s">
        <v>44</v>
      </c>
      <c r="G857" t="s">
        <v>418</v>
      </c>
      <c r="H857" t="s">
        <v>22</v>
      </c>
      <c r="I857" t="s">
        <v>23</v>
      </c>
      <c r="J857" t="s">
        <v>9317</v>
      </c>
      <c r="K857">
        <v>18</v>
      </c>
      <c r="L857" t="s">
        <v>49</v>
      </c>
      <c r="M857" t="s">
        <v>130</v>
      </c>
      <c r="N857" t="s">
        <v>84</v>
      </c>
      <c r="O857" t="s">
        <v>28</v>
      </c>
      <c r="P857" t="s">
        <v>31</v>
      </c>
      <c r="Q857">
        <v>0</v>
      </c>
      <c r="R857" t="s">
        <v>12883</v>
      </c>
      <c r="S857" t="s">
        <v>12892</v>
      </c>
    </row>
    <row r="858" spans="1:19" x14ac:dyDescent="0.25">
      <c r="A858" t="s">
        <v>2358</v>
      </c>
      <c r="B858" s="1">
        <v>45937</v>
      </c>
      <c r="C858" t="s">
        <v>12890</v>
      </c>
      <c r="D858" s="5">
        <v>0.32972222222222225</v>
      </c>
      <c r="E858">
        <v>153.29</v>
      </c>
      <c r="F858" t="s">
        <v>44</v>
      </c>
      <c r="G858" t="s">
        <v>824</v>
      </c>
      <c r="H858" t="s">
        <v>22</v>
      </c>
      <c r="I858" t="s">
        <v>38</v>
      </c>
      <c r="J858" t="s">
        <v>2359</v>
      </c>
      <c r="K858">
        <v>33</v>
      </c>
      <c r="L858" t="s">
        <v>37</v>
      </c>
      <c r="M858" t="s">
        <v>66</v>
      </c>
      <c r="N858" t="s">
        <v>39</v>
      </c>
      <c r="O858" t="s">
        <v>28</v>
      </c>
      <c r="P858" t="s">
        <v>31</v>
      </c>
      <c r="Q858">
        <v>0</v>
      </c>
      <c r="R858" t="s">
        <v>12883</v>
      </c>
      <c r="S858" t="s">
        <v>12889</v>
      </c>
    </row>
    <row r="859" spans="1:19" x14ac:dyDescent="0.25">
      <c r="A859" t="s">
        <v>5330</v>
      </c>
      <c r="B859" s="1">
        <v>45882</v>
      </c>
      <c r="C859" t="s">
        <v>12893</v>
      </c>
      <c r="D859" s="5">
        <v>0.17997685185185186</v>
      </c>
      <c r="E859">
        <v>153.21</v>
      </c>
      <c r="F859" t="s">
        <v>44</v>
      </c>
      <c r="G859" t="s">
        <v>3079</v>
      </c>
      <c r="H859" t="s">
        <v>96</v>
      </c>
      <c r="I859" t="s">
        <v>26</v>
      </c>
      <c r="J859" t="s">
        <v>5331</v>
      </c>
      <c r="K859">
        <v>59</v>
      </c>
      <c r="L859" t="s">
        <v>37</v>
      </c>
      <c r="M859" t="s">
        <v>35</v>
      </c>
      <c r="N859" t="s">
        <v>84</v>
      </c>
      <c r="O859" t="s">
        <v>28</v>
      </c>
      <c r="P859" t="s">
        <v>31</v>
      </c>
      <c r="Q859">
        <v>0</v>
      </c>
      <c r="R859" t="s">
        <v>12883</v>
      </c>
      <c r="S859" t="s">
        <v>12886</v>
      </c>
    </row>
    <row r="860" spans="1:19" x14ac:dyDescent="0.25">
      <c r="A860" t="s">
        <v>301</v>
      </c>
      <c r="B860" s="1">
        <v>45833</v>
      </c>
      <c r="C860" t="s">
        <v>12888</v>
      </c>
      <c r="D860" s="5">
        <v>0.58276620370370369</v>
      </c>
      <c r="E860">
        <v>153.03</v>
      </c>
      <c r="F860" t="s">
        <v>44</v>
      </c>
      <c r="G860" t="s">
        <v>302</v>
      </c>
      <c r="H860" t="s">
        <v>46</v>
      </c>
      <c r="I860" t="s">
        <v>130</v>
      </c>
      <c r="J860" t="s">
        <v>303</v>
      </c>
      <c r="K860">
        <v>60</v>
      </c>
      <c r="L860" t="s">
        <v>37</v>
      </c>
      <c r="M860" t="s">
        <v>26</v>
      </c>
      <c r="N860" t="s">
        <v>51</v>
      </c>
      <c r="O860" t="s">
        <v>28</v>
      </c>
      <c r="P860" t="s">
        <v>31</v>
      </c>
      <c r="Q860">
        <v>1</v>
      </c>
      <c r="R860" t="s">
        <v>12891</v>
      </c>
      <c r="S860" t="s">
        <v>12884</v>
      </c>
    </row>
    <row r="861" spans="1:19" x14ac:dyDescent="0.25">
      <c r="A861" t="s">
        <v>12192</v>
      </c>
      <c r="B861" s="1">
        <v>45903</v>
      </c>
      <c r="C861" t="s">
        <v>12882</v>
      </c>
      <c r="D861" s="5">
        <v>0.48939814814814814</v>
      </c>
      <c r="E861">
        <v>152.86000000000001</v>
      </c>
      <c r="F861" t="s">
        <v>44</v>
      </c>
      <c r="G861" t="s">
        <v>1087</v>
      </c>
      <c r="H861" t="s">
        <v>46</v>
      </c>
      <c r="I861" t="s">
        <v>66</v>
      </c>
      <c r="J861" t="s">
        <v>12193</v>
      </c>
      <c r="K861">
        <v>44</v>
      </c>
      <c r="L861" t="s">
        <v>37</v>
      </c>
      <c r="M861" t="s">
        <v>35</v>
      </c>
      <c r="N861" t="s">
        <v>51</v>
      </c>
      <c r="O861" t="s">
        <v>28</v>
      </c>
      <c r="P861" t="s">
        <v>31</v>
      </c>
      <c r="Q861">
        <v>0</v>
      </c>
      <c r="R861" t="s">
        <v>12883</v>
      </c>
      <c r="S861" t="s">
        <v>12886</v>
      </c>
    </row>
    <row r="862" spans="1:19" x14ac:dyDescent="0.25">
      <c r="A862" t="s">
        <v>4191</v>
      </c>
      <c r="B862" s="1">
        <v>45809</v>
      </c>
      <c r="C862" t="s">
        <v>12888</v>
      </c>
      <c r="D862" s="5">
        <v>0.81776620370370368</v>
      </c>
      <c r="E862">
        <v>152.85</v>
      </c>
      <c r="F862" t="s">
        <v>44</v>
      </c>
      <c r="G862" t="s">
        <v>561</v>
      </c>
      <c r="H862" t="s">
        <v>96</v>
      </c>
      <c r="I862" t="s">
        <v>91</v>
      </c>
      <c r="J862" t="s">
        <v>4192</v>
      </c>
      <c r="K862">
        <v>43</v>
      </c>
      <c r="L862" t="s">
        <v>37</v>
      </c>
      <c r="M862" t="s">
        <v>130</v>
      </c>
      <c r="N862" t="s">
        <v>112</v>
      </c>
      <c r="O862" t="s">
        <v>28</v>
      </c>
      <c r="P862" t="s">
        <v>31</v>
      </c>
      <c r="Q862">
        <v>0</v>
      </c>
      <c r="R862" t="s">
        <v>12883</v>
      </c>
      <c r="S862" t="s">
        <v>12886</v>
      </c>
    </row>
    <row r="863" spans="1:19" x14ac:dyDescent="0.25">
      <c r="A863" t="s">
        <v>10533</v>
      </c>
      <c r="B863" s="1">
        <v>45898</v>
      </c>
      <c r="C863" t="s">
        <v>12893</v>
      </c>
      <c r="D863" s="5">
        <v>0.76050925925925927</v>
      </c>
      <c r="E863">
        <v>152.83000000000001</v>
      </c>
      <c r="F863" t="s">
        <v>44</v>
      </c>
      <c r="G863" t="s">
        <v>4293</v>
      </c>
      <c r="H863" t="s">
        <v>71</v>
      </c>
      <c r="I863" t="s">
        <v>97</v>
      </c>
      <c r="J863" t="s">
        <v>10534</v>
      </c>
      <c r="K863">
        <v>34</v>
      </c>
      <c r="L863" t="s">
        <v>37</v>
      </c>
      <c r="M863" t="s">
        <v>23</v>
      </c>
      <c r="N863" t="s">
        <v>51</v>
      </c>
      <c r="O863" t="s">
        <v>28</v>
      </c>
      <c r="P863" t="s">
        <v>31</v>
      </c>
      <c r="Q863">
        <v>0</v>
      </c>
      <c r="R863" t="s">
        <v>12883</v>
      </c>
      <c r="S863" t="s">
        <v>12889</v>
      </c>
    </row>
    <row r="864" spans="1:19" x14ac:dyDescent="0.25">
      <c r="A864" t="s">
        <v>4144</v>
      </c>
      <c r="B864" s="1">
        <v>45844</v>
      </c>
      <c r="C864" t="s">
        <v>12885</v>
      </c>
      <c r="D864" s="5">
        <v>0.22186342592592592</v>
      </c>
      <c r="E864">
        <v>152.82</v>
      </c>
      <c r="F864" t="s">
        <v>44</v>
      </c>
      <c r="G864" t="s">
        <v>4145</v>
      </c>
      <c r="H864" t="s">
        <v>77</v>
      </c>
      <c r="I864" t="s">
        <v>38</v>
      </c>
      <c r="J864" t="s">
        <v>4146</v>
      </c>
      <c r="K864">
        <v>69</v>
      </c>
      <c r="L864" t="s">
        <v>49</v>
      </c>
      <c r="M864" t="s">
        <v>23</v>
      </c>
      <c r="N864" t="s">
        <v>105</v>
      </c>
      <c r="O864" t="s">
        <v>28</v>
      </c>
      <c r="P864" t="s">
        <v>31</v>
      </c>
      <c r="Q864">
        <v>0</v>
      </c>
      <c r="R864" t="s">
        <v>12883</v>
      </c>
      <c r="S864" t="s">
        <v>12884</v>
      </c>
    </row>
    <row r="865" spans="1:19" x14ac:dyDescent="0.25">
      <c r="A865" t="s">
        <v>6977</v>
      </c>
      <c r="B865" s="1">
        <v>45790</v>
      </c>
      <c r="C865" t="s">
        <v>12887</v>
      </c>
      <c r="D865" s="5">
        <v>0.66166666666666663</v>
      </c>
      <c r="E865">
        <v>152.15</v>
      </c>
      <c r="F865" t="s">
        <v>44</v>
      </c>
      <c r="G865" t="s">
        <v>6978</v>
      </c>
      <c r="H865" t="s">
        <v>57</v>
      </c>
      <c r="I865" t="s">
        <v>119</v>
      </c>
      <c r="J865" t="s">
        <v>6979</v>
      </c>
      <c r="K865">
        <v>53</v>
      </c>
      <c r="L865" t="s">
        <v>37</v>
      </c>
      <c r="M865" t="s">
        <v>146</v>
      </c>
      <c r="N865" t="s">
        <v>112</v>
      </c>
      <c r="O865" t="s">
        <v>28</v>
      </c>
      <c r="P865" t="s">
        <v>31</v>
      </c>
      <c r="Q865">
        <v>0</v>
      </c>
      <c r="R865" t="s">
        <v>12883</v>
      </c>
      <c r="S865" t="s">
        <v>12886</v>
      </c>
    </row>
    <row r="866" spans="1:19" x14ac:dyDescent="0.25">
      <c r="A866" t="s">
        <v>10843</v>
      </c>
      <c r="B866" s="1">
        <v>45873</v>
      </c>
      <c r="C866" t="s">
        <v>12893</v>
      </c>
      <c r="D866" s="5">
        <v>0.14964120370370371</v>
      </c>
      <c r="E866">
        <v>152.04</v>
      </c>
      <c r="F866" t="s">
        <v>44</v>
      </c>
      <c r="G866" t="s">
        <v>3708</v>
      </c>
      <c r="H866" t="s">
        <v>89</v>
      </c>
      <c r="I866" t="s">
        <v>38</v>
      </c>
      <c r="J866" t="s">
        <v>5620</v>
      </c>
      <c r="K866">
        <v>22</v>
      </c>
      <c r="L866" t="s">
        <v>25</v>
      </c>
      <c r="M866" t="s">
        <v>248</v>
      </c>
      <c r="N866" t="s">
        <v>84</v>
      </c>
      <c r="O866" t="s">
        <v>28</v>
      </c>
      <c r="P866" t="s">
        <v>31</v>
      </c>
      <c r="Q866">
        <v>0</v>
      </c>
      <c r="R866" t="s">
        <v>12883</v>
      </c>
      <c r="S866" t="s">
        <v>12892</v>
      </c>
    </row>
    <row r="867" spans="1:19" x14ac:dyDescent="0.25">
      <c r="A867" t="s">
        <v>3327</v>
      </c>
      <c r="B867" s="1">
        <v>45862</v>
      </c>
      <c r="C867" t="s">
        <v>12885</v>
      </c>
      <c r="D867" s="5">
        <v>0.66925925925925922</v>
      </c>
      <c r="E867">
        <v>151.96</v>
      </c>
      <c r="F867" t="s">
        <v>44</v>
      </c>
      <c r="G867" t="s">
        <v>1040</v>
      </c>
      <c r="H867" t="s">
        <v>22</v>
      </c>
      <c r="I867" t="s">
        <v>26</v>
      </c>
      <c r="J867" t="s">
        <v>3328</v>
      </c>
      <c r="K867">
        <v>108</v>
      </c>
      <c r="L867" t="s">
        <v>49</v>
      </c>
      <c r="M867" t="s">
        <v>110</v>
      </c>
      <c r="N867" t="s">
        <v>105</v>
      </c>
      <c r="O867" t="s">
        <v>28</v>
      </c>
      <c r="P867" t="s">
        <v>31</v>
      </c>
      <c r="Q867">
        <v>0</v>
      </c>
      <c r="R867" t="s">
        <v>12883</v>
      </c>
      <c r="S867" t="s">
        <v>12884</v>
      </c>
    </row>
    <row r="868" spans="1:19" x14ac:dyDescent="0.25">
      <c r="A868" t="s">
        <v>8144</v>
      </c>
      <c r="B868" s="1">
        <v>45826</v>
      </c>
      <c r="C868" t="s">
        <v>12888</v>
      </c>
      <c r="D868" s="5">
        <v>0.90079861111111115</v>
      </c>
      <c r="E868">
        <v>151.81</v>
      </c>
      <c r="F868" t="s">
        <v>44</v>
      </c>
      <c r="G868" t="s">
        <v>6978</v>
      </c>
      <c r="H868" t="s">
        <v>77</v>
      </c>
      <c r="I868" t="s">
        <v>110</v>
      </c>
      <c r="J868" t="s">
        <v>8145</v>
      </c>
      <c r="K868">
        <v>50</v>
      </c>
      <c r="L868" t="s">
        <v>49</v>
      </c>
      <c r="M868" t="s">
        <v>23</v>
      </c>
      <c r="N868" t="s">
        <v>51</v>
      </c>
      <c r="O868" t="s">
        <v>28</v>
      </c>
      <c r="P868" t="s">
        <v>31</v>
      </c>
      <c r="Q868">
        <v>0</v>
      </c>
      <c r="R868" t="s">
        <v>12883</v>
      </c>
      <c r="S868" t="s">
        <v>12886</v>
      </c>
    </row>
    <row r="869" spans="1:19" x14ac:dyDescent="0.25">
      <c r="A869" t="s">
        <v>7130</v>
      </c>
      <c r="B869" s="1">
        <v>45835</v>
      </c>
      <c r="C869" t="s">
        <v>12888</v>
      </c>
      <c r="D869" s="5">
        <v>0.46184027777777775</v>
      </c>
      <c r="E869">
        <v>151.75</v>
      </c>
      <c r="F869" t="s">
        <v>44</v>
      </c>
      <c r="G869" t="s">
        <v>2433</v>
      </c>
      <c r="H869" t="s">
        <v>124</v>
      </c>
      <c r="I869" t="s">
        <v>47</v>
      </c>
      <c r="J869" t="s">
        <v>7131</v>
      </c>
      <c r="K869">
        <v>33</v>
      </c>
      <c r="L869" t="s">
        <v>25</v>
      </c>
      <c r="M869" t="s">
        <v>26</v>
      </c>
      <c r="N869" t="s">
        <v>84</v>
      </c>
      <c r="O869" t="s">
        <v>28</v>
      </c>
      <c r="P869" t="s">
        <v>31</v>
      </c>
      <c r="Q869">
        <v>0</v>
      </c>
      <c r="R869" t="s">
        <v>12883</v>
      </c>
      <c r="S869" t="s">
        <v>12889</v>
      </c>
    </row>
    <row r="870" spans="1:19" x14ac:dyDescent="0.25">
      <c r="A870" t="s">
        <v>3820</v>
      </c>
      <c r="B870" s="1">
        <v>45796</v>
      </c>
      <c r="C870" t="s">
        <v>12887</v>
      </c>
      <c r="D870" s="5">
        <v>0.98016203703703708</v>
      </c>
      <c r="E870">
        <v>151.71</v>
      </c>
      <c r="F870" t="s">
        <v>44</v>
      </c>
      <c r="G870" t="s">
        <v>3821</v>
      </c>
      <c r="H870" t="s">
        <v>57</v>
      </c>
      <c r="I870" t="s">
        <v>47</v>
      </c>
      <c r="J870" t="s">
        <v>3822</v>
      </c>
      <c r="K870">
        <v>61</v>
      </c>
      <c r="L870" t="s">
        <v>25</v>
      </c>
      <c r="M870" t="s">
        <v>50</v>
      </c>
      <c r="N870" t="s">
        <v>105</v>
      </c>
      <c r="O870" t="s">
        <v>28</v>
      </c>
      <c r="P870" t="s">
        <v>31</v>
      </c>
      <c r="Q870">
        <v>0</v>
      </c>
      <c r="R870" t="s">
        <v>12883</v>
      </c>
      <c r="S870" t="s">
        <v>12884</v>
      </c>
    </row>
    <row r="871" spans="1:19" x14ac:dyDescent="0.25">
      <c r="A871" t="s">
        <v>10795</v>
      </c>
      <c r="B871" s="1">
        <v>45947</v>
      </c>
      <c r="C871" t="s">
        <v>12890</v>
      </c>
      <c r="D871" s="5">
        <v>0.87804398148148144</v>
      </c>
      <c r="E871">
        <v>151.68</v>
      </c>
      <c r="F871" t="s">
        <v>44</v>
      </c>
      <c r="G871" t="s">
        <v>3385</v>
      </c>
      <c r="H871" t="s">
        <v>71</v>
      </c>
      <c r="I871" t="s">
        <v>248</v>
      </c>
      <c r="J871" t="s">
        <v>10796</v>
      </c>
      <c r="K871">
        <v>37</v>
      </c>
      <c r="L871" t="s">
        <v>25</v>
      </c>
      <c r="M871" t="s">
        <v>248</v>
      </c>
      <c r="N871" t="s">
        <v>112</v>
      </c>
      <c r="O871" t="s">
        <v>113</v>
      </c>
      <c r="P871" t="s">
        <v>31</v>
      </c>
      <c r="Q871">
        <v>0</v>
      </c>
      <c r="R871" t="s">
        <v>12883</v>
      </c>
      <c r="S871" t="s">
        <v>12889</v>
      </c>
    </row>
    <row r="872" spans="1:19" x14ac:dyDescent="0.25">
      <c r="A872" t="s">
        <v>241</v>
      </c>
      <c r="B872" s="1">
        <v>45847</v>
      </c>
      <c r="C872" t="s">
        <v>12885</v>
      </c>
      <c r="D872" s="5">
        <v>0.72037037037037033</v>
      </c>
      <c r="E872">
        <v>151.63</v>
      </c>
      <c r="F872" t="s">
        <v>44</v>
      </c>
      <c r="G872" t="s">
        <v>242</v>
      </c>
      <c r="H872" t="s">
        <v>124</v>
      </c>
      <c r="I872" t="s">
        <v>91</v>
      </c>
      <c r="J872" t="s">
        <v>243</v>
      </c>
      <c r="K872">
        <v>44</v>
      </c>
      <c r="L872" t="s">
        <v>37</v>
      </c>
      <c r="M872" t="s">
        <v>50</v>
      </c>
      <c r="N872" t="s">
        <v>112</v>
      </c>
      <c r="O872" t="s">
        <v>28</v>
      </c>
      <c r="P872" t="s">
        <v>31</v>
      </c>
      <c r="Q872">
        <v>0</v>
      </c>
      <c r="R872" t="s">
        <v>12883</v>
      </c>
      <c r="S872" t="s">
        <v>12886</v>
      </c>
    </row>
    <row r="873" spans="1:19" x14ac:dyDescent="0.25">
      <c r="A873" t="s">
        <v>5950</v>
      </c>
      <c r="B873" s="1">
        <v>45835</v>
      </c>
      <c r="C873" t="s">
        <v>12888</v>
      </c>
      <c r="D873" s="5">
        <v>0.70523148148148151</v>
      </c>
      <c r="E873">
        <v>151.47999999999999</v>
      </c>
      <c r="F873" t="s">
        <v>44</v>
      </c>
      <c r="G873" t="s">
        <v>868</v>
      </c>
      <c r="H873" t="s">
        <v>64</v>
      </c>
      <c r="I873" t="s">
        <v>58</v>
      </c>
      <c r="J873" t="s">
        <v>5951</v>
      </c>
      <c r="K873">
        <v>57</v>
      </c>
      <c r="L873" t="s">
        <v>37</v>
      </c>
      <c r="M873" t="s">
        <v>23</v>
      </c>
      <c r="N873" t="s">
        <v>112</v>
      </c>
      <c r="O873" t="s">
        <v>28</v>
      </c>
      <c r="P873" t="s">
        <v>31</v>
      </c>
      <c r="Q873">
        <v>0</v>
      </c>
      <c r="R873" t="s">
        <v>12883</v>
      </c>
      <c r="S873" t="s">
        <v>12886</v>
      </c>
    </row>
    <row r="874" spans="1:19" x14ac:dyDescent="0.25">
      <c r="A874" t="s">
        <v>8477</v>
      </c>
      <c r="B874" s="1">
        <v>45853</v>
      </c>
      <c r="C874" t="s">
        <v>12885</v>
      </c>
      <c r="D874" s="5">
        <v>0.3301736111111111</v>
      </c>
      <c r="E874">
        <v>151.41999999999999</v>
      </c>
      <c r="F874" t="s">
        <v>44</v>
      </c>
      <c r="G874" t="s">
        <v>8478</v>
      </c>
      <c r="H874" t="s">
        <v>46</v>
      </c>
      <c r="I874" t="s">
        <v>35</v>
      </c>
      <c r="J874" t="s">
        <v>8479</v>
      </c>
      <c r="K874">
        <v>50</v>
      </c>
      <c r="L874" t="s">
        <v>49</v>
      </c>
      <c r="M874" t="s">
        <v>47</v>
      </c>
      <c r="N874" t="s">
        <v>51</v>
      </c>
      <c r="O874" t="s">
        <v>28</v>
      </c>
      <c r="P874" t="s">
        <v>31</v>
      </c>
      <c r="Q874">
        <v>0</v>
      </c>
      <c r="R874" t="s">
        <v>12883</v>
      </c>
      <c r="S874" t="s">
        <v>12886</v>
      </c>
    </row>
    <row r="875" spans="1:19" x14ac:dyDescent="0.25">
      <c r="A875" t="s">
        <v>5351</v>
      </c>
      <c r="B875" s="1">
        <v>45827</v>
      </c>
      <c r="C875" t="s">
        <v>12888</v>
      </c>
      <c r="D875" s="5">
        <v>0.19563657407407409</v>
      </c>
      <c r="E875">
        <v>151.34</v>
      </c>
      <c r="F875" t="s">
        <v>44</v>
      </c>
      <c r="G875" t="s">
        <v>787</v>
      </c>
      <c r="H875" t="s">
        <v>34</v>
      </c>
      <c r="I875" t="s">
        <v>119</v>
      </c>
      <c r="J875" t="s">
        <v>5352</v>
      </c>
      <c r="K875">
        <v>75</v>
      </c>
      <c r="L875" t="s">
        <v>25</v>
      </c>
      <c r="M875" t="s">
        <v>26</v>
      </c>
      <c r="N875" t="s">
        <v>84</v>
      </c>
      <c r="O875" t="s">
        <v>28</v>
      </c>
      <c r="P875" t="s">
        <v>31</v>
      </c>
      <c r="Q875">
        <v>0</v>
      </c>
      <c r="R875" t="s">
        <v>12883</v>
      </c>
      <c r="S875" t="s">
        <v>12884</v>
      </c>
    </row>
    <row r="876" spans="1:19" x14ac:dyDescent="0.25">
      <c r="A876" t="s">
        <v>155</v>
      </c>
      <c r="B876" s="1">
        <v>45821</v>
      </c>
      <c r="C876" t="s">
        <v>12888</v>
      </c>
      <c r="D876" s="5">
        <v>0.65649305555555559</v>
      </c>
      <c r="E876">
        <v>151.21</v>
      </c>
      <c r="F876" t="s">
        <v>44</v>
      </c>
      <c r="G876" t="s">
        <v>156</v>
      </c>
      <c r="H876" t="s">
        <v>77</v>
      </c>
      <c r="I876" t="s">
        <v>91</v>
      </c>
      <c r="J876" t="s">
        <v>157</v>
      </c>
      <c r="K876">
        <v>60</v>
      </c>
      <c r="L876" t="s">
        <v>49</v>
      </c>
      <c r="M876" t="s">
        <v>130</v>
      </c>
      <c r="N876" t="s">
        <v>39</v>
      </c>
      <c r="O876" t="s">
        <v>28</v>
      </c>
      <c r="P876" t="s">
        <v>31</v>
      </c>
      <c r="Q876">
        <v>0</v>
      </c>
      <c r="R876" t="s">
        <v>12883</v>
      </c>
      <c r="S876" t="s">
        <v>12884</v>
      </c>
    </row>
    <row r="877" spans="1:19" x14ac:dyDescent="0.25">
      <c r="A877" t="s">
        <v>4617</v>
      </c>
      <c r="B877" s="1">
        <v>45825</v>
      </c>
      <c r="C877" t="s">
        <v>12888</v>
      </c>
      <c r="D877" s="5">
        <v>0.29540509259259257</v>
      </c>
      <c r="E877">
        <v>151.1</v>
      </c>
      <c r="F877" t="s">
        <v>44</v>
      </c>
      <c r="G877" t="s">
        <v>2904</v>
      </c>
      <c r="H877" t="s">
        <v>57</v>
      </c>
      <c r="I877" t="s">
        <v>97</v>
      </c>
      <c r="J877" t="s">
        <v>4618</v>
      </c>
      <c r="K877">
        <v>75</v>
      </c>
      <c r="L877" t="s">
        <v>37</v>
      </c>
      <c r="M877" t="s">
        <v>248</v>
      </c>
      <c r="N877" t="s">
        <v>105</v>
      </c>
      <c r="O877" t="s">
        <v>28</v>
      </c>
      <c r="P877" t="s">
        <v>31</v>
      </c>
      <c r="Q877">
        <v>0</v>
      </c>
      <c r="R877" t="s">
        <v>12883</v>
      </c>
      <c r="S877" t="s">
        <v>12884</v>
      </c>
    </row>
    <row r="878" spans="1:19" x14ac:dyDescent="0.25">
      <c r="A878" t="s">
        <v>11273</v>
      </c>
      <c r="B878" s="1">
        <v>45840</v>
      </c>
      <c r="C878" t="s">
        <v>12885</v>
      </c>
      <c r="D878" s="5">
        <v>0.87105324074074075</v>
      </c>
      <c r="E878">
        <v>151.09</v>
      </c>
      <c r="F878" t="s">
        <v>44</v>
      </c>
      <c r="G878" t="s">
        <v>8430</v>
      </c>
      <c r="H878" t="s">
        <v>57</v>
      </c>
      <c r="I878" t="s">
        <v>35</v>
      </c>
      <c r="J878" t="s">
        <v>11274</v>
      </c>
      <c r="K878">
        <v>66</v>
      </c>
      <c r="L878" t="s">
        <v>49</v>
      </c>
      <c r="M878" t="s">
        <v>248</v>
      </c>
      <c r="N878" t="s">
        <v>105</v>
      </c>
      <c r="O878" t="s">
        <v>28</v>
      </c>
      <c r="P878" t="s">
        <v>31</v>
      </c>
      <c r="Q878">
        <v>0</v>
      </c>
      <c r="R878" t="s">
        <v>12883</v>
      </c>
      <c r="S878" t="s">
        <v>12884</v>
      </c>
    </row>
    <row r="879" spans="1:19" x14ac:dyDescent="0.25">
      <c r="A879" t="s">
        <v>10351</v>
      </c>
      <c r="B879" s="1">
        <v>45854</v>
      </c>
      <c r="C879" t="s">
        <v>12885</v>
      </c>
      <c r="D879" s="5">
        <v>0.81209490740740742</v>
      </c>
      <c r="E879">
        <v>150.97999999999999</v>
      </c>
      <c r="F879" t="s">
        <v>44</v>
      </c>
      <c r="G879" t="s">
        <v>1548</v>
      </c>
      <c r="H879" t="s">
        <v>34</v>
      </c>
      <c r="I879" t="s">
        <v>26</v>
      </c>
      <c r="J879" t="s">
        <v>10352</v>
      </c>
      <c r="K879">
        <v>51</v>
      </c>
      <c r="L879" t="s">
        <v>37</v>
      </c>
      <c r="M879" t="s">
        <v>146</v>
      </c>
      <c r="N879" t="s">
        <v>112</v>
      </c>
      <c r="O879" t="s">
        <v>28</v>
      </c>
      <c r="P879" t="s">
        <v>31</v>
      </c>
      <c r="Q879">
        <v>0</v>
      </c>
      <c r="R879" t="s">
        <v>12883</v>
      </c>
      <c r="S879" t="s">
        <v>12886</v>
      </c>
    </row>
    <row r="880" spans="1:19" x14ac:dyDescent="0.25">
      <c r="A880" t="s">
        <v>2542</v>
      </c>
      <c r="B880" s="1">
        <v>45797</v>
      </c>
      <c r="C880" t="s">
        <v>12887</v>
      </c>
      <c r="D880" s="5">
        <v>0.3576273148148148</v>
      </c>
      <c r="E880">
        <v>150.94999999999999</v>
      </c>
      <c r="F880" t="s">
        <v>44</v>
      </c>
      <c r="G880" t="s">
        <v>2543</v>
      </c>
      <c r="H880" t="s">
        <v>46</v>
      </c>
      <c r="I880" t="s">
        <v>50</v>
      </c>
      <c r="J880" t="s">
        <v>2544</v>
      </c>
      <c r="K880">
        <v>61</v>
      </c>
      <c r="L880" t="s">
        <v>49</v>
      </c>
      <c r="M880" t="s">
        <v>66</v>
      </c>
      <c r="N880" t="s">
        <v>39</v>
      </c>
      <c r="O880" t="s">
        <v>28</v>
      </c>
      <c r="P880" t="s">
        <v>31</v>
      </c>
      <c r="Q880">
        <v>0</v>
      </c>
      <c r="R880" t="s">
        <v>12883</v>
      </c>
      <c r="S880" t="s">
        <v>12884</v>
      </c>
    </row>
    <row r="881" spans="1:19" x14ac:dyDescent="0.25">
      <c r="A881" t="s">
        <v>6304</v>
      </c>
      <c r="B881" s="1">
        <v>45836</v>
      </c>
      <c r="C881" t="s">
        <v>12888</v>
      </c>
      <c r="D881" s="5">
        <v>0.47313657407407406</v>
      </c>
      <c r="E881">
        <v>150.84</v>
      </c>
      <c r="F881" t="s">
        <v>44</v>
      </c>
      <c r="G881" t="s">
        <v>3617</v>
      </c>
      <c r="H881" t="s">
        <v>71</v>
      </c>
      <c r="I881" t="s">
        <v>47</v>
      </c>
      <c r="J881" t="s">
        <v>6305</v>
      </c>
      <c r="K881">
        <v>67</v>
      </c>
      <c r="L881" t="s">
        <v>37</v>
      </c>
      <c r="M881" t="s">
        <v>119</v>
      </c>
      <c r="N881" t="s">
        <v>39</v>
      </c>
      <c r="O881" t="s">
        <v>28</v>
      </c>
      <c r="P881" t="s">
        <v>31</v>
      </c>
      <c r="Q881">
        <v>0</v>
      </c>
      <c r="R881" t="s">
        <v>12883</v>
      </c>
      <c r="S881" t="s">
        <v>12884</v>
      </c>
    </row>
    <row r="882" spans="1:19" x14ac:dyDescent="0.25">
      <c r="A882" t="s">
        <v>4503</v>
      </c>
      <c r="B882" s="1">
        <v>45838</v>
      </c>
      <c r="C882" t="s">
        <v>12888</v>
      </c>
      <c r="D882" s="5">
        <v>0.26960648148148147</v>
      </c>
      <c r="E882">
        <v>150.6</v>
      </c>
      <c r="F882" t="s">
        <v>44</v>
      </c>
      <c r="G882" t="s">
        <v>4504</v>
      </c>
      <c r="H882" t="s">
        <v>71</v>
      </c>
      <c r="I882" t="s">
        <v>97</v>
      </c>
      <c r="J882" t="s">
        <v>4505</v>
      </c>
      <c r="K882">
        <v>44</v>
      </c>
      <c r="L882" t="s">
        <v>49</v>
      </c>
      <c r="M882" t="s">
        <v>248</v>
      </c>
      <c r="N882" t="s">
        <v>84</v>
      </c>
      <c r="O882" t="s">
        <v>28</v>
      </c>
      <c r="P882" t="s">
        <v>31</v>
      </c>
      <c r="Q882">
        <v>0</v>
      </c>
      <c r="R882" t="s">
        <v>12883</v>
      </c>
      <c r="S882" t="s">
        <v>12886</v>
      </c>
    </row>
    <row r="883" spans="1:19" x14ac:dyDescent="0.25">
      <c r="A883" t="s">
        <v>4837</v>
      </c>
      <c r="B883" s="1">
        <v>45848</v>
      </c>
      <c r="C883" t="s">
        <v>12885</v>
      </c>
      <c r="D883" s="5">
        <v>0.42628472222222225</v>
      </c>
      <c r="E883">
        <v>150.38999999999999</v>
      </c>
      <c r="F883" t="s">
        <v>44</v>
      </c>
      <c r="G883" t="s">
        <v>4838</v>
      </c>
      <c r="H883" t="s">
        <v>89</v>
      </c>
      <c r="I883" t="s">
        <v>47</v>
      </c>
      <c r="J883" t="s">
        <v>4839</v>
      </c>
      <c r="K883">
        <v>67</v>
      </c>
      <c r="L883" t="s">
        <v>25</v>
      </c>
      <c r="M883" t="s">
        <v>248</v>
      </c>
      <c r="N883" t="s">
        <v>27</v>
      </c>
      <c r="O883" t="s">
        <v>28</v>
      </c>
      <c r="P883" t="s">
        <v>31</v>
      </c>
      <c r="Q883">
        <v>0</v>
      </c>
      <c r="R883" t="s">
        <v>12883</v>
      </c>
      <c r="S883" t="s">
        <v>12884</v>
      </c>
    </row>
    <row r="884" spans="1:19" x14ac:dyDescent="0.25">
      <c r="A884" t="s">
        <v>6047</v>
      </c>
      <c r="B884" s="1">
        <v>45883</v>
      </c>
      <c r="C884" t="s">
        <v>12893</v>
      </c>
      <c r="D884" s="5">
        <v>0.27317129629629627</v>
      </c>
      <c r="E884">
        <v>150.08000000000001</v>
      </c>
      <c r="F884" t="s">
        <v>44</v>
      </c>
      <c r="G884" t="s">
        <v>6048</v>
      </c>
      <c r="H884" t="s">
        <v>46</v>
      </c>
      <c r="I884" t="s">
        <v>38</v>
      </c>
      <c r="J884" t="s">
        <v>6049</v>
      </c>
      <c r="K884">
        <v>27</v>
      </c>
      <c r="L884" t="s">
        <v>25</v>
      </c>
      <c r="M884" t="s">
        <v>35</v>
      </c>
      <c r="N884" t="s">
        <v>105</v>
      </c>
      <c r="O884" t="s">
        <v>28</v>
      </c>
      <c r="P884" t="s">
        <v>31</v>
      </c>
      <c r="Q884">
        <v>0</v>
      </c>
      <c r="R884" t="s">
        <v>12883</v>
      </c>
      <c r="S884" t="s">
        <v>12889</v>
      </c>
    </row>
    <row r="885" spans="1:19" x14ac:dyDescent="0.25">
      <c r="A885" t="s">
        <v>11667</v>
      </c>
      <c r="B885" s="1">
        <v>45838</v>
      </c>
      <c r="C885" t="s">
        <v>12888</v>
      </c>
      <c r="D885" s="5">
        <v>0.96803240740740737</v>
      </c>
      <c r="E885">
        <v>150.03</v>
      </c>
      <c r="F885" t="s">
        <v>44</v>
      </c>
      <c r="G885" t="s">
        <v>5537</v>
      </c>
      <c r="H885" t="s">
        <v>64</v>
      </c>
      <c r="I885" t="s">
        <v>110</v>
      </c>
      <c r="J885" t="s">
        <v>11668</v>
      </c>
      <c r="K885">
        <v>49</v>
      </c>
      <c r="L885" t="s">
        <v>49</v>
      </c>
      <c r="M885" t="s">
        <v>146</v>
      </c>
      <c r="N885" t="s">
        <v>39</v>
      </c>
      <c r="O885" t="s">
        <v>28</v>
      </c>
      <c r="P885" t="s">
        <v>31</v>
      </c>
      <c r="Q885">
        <v>0</v>
      </c>
      <c r="R885" t="s">
        <v>12883</v>
      </c>
      <c r="S885" t="s">
        <v>12886</v>
      </c>
    </row>
    <row r="886" spans="1:19" x14ac:dyDescent="0.25">
      <c r="A886" t="s">
        <v>11440</v>
      </c>
      <c r="B886" s="1">
        <v>45956</v>
      </c>
      <c r="C886" t="s">
        <v>12890</v>
      </c>
      <c r="D886" s="5">
        <v>0.29144675925925928</v>
      </c>
      <c r="E886">
        <v>149.96</v>
      </c>
      <c r="F886" t="s">
        <v>44</v>
      </c>
      <c r="G886" t="s">
        <v>893</v>
      </c>
      <c r="H886" t="s">
        <v>46</v>
      </c>
      <c r="I886" t="s">
        <v>66</v>
      </c>
      <c r="J886" t="s">
        <v>11441</v>
      </c>
      <c r="K886">
        <v>71</v>
      </c>
      <c r="L886" t="s">
        <v>37</v>
      </c>
      <c r="M886" t="s">
        <v>146</v>
      </c>
      <c r="N886" t="s">
        <v>112</v>
      </c>
      <c r="O886" t="s">
        <v>28</v>
      </c>
      <c r="P886" t="s">
        <v>31</v>
      </c>
      <c r="Q886">
        <v>0</v>
      </c>
      <c r="R886" t="s">
        <v>12883</v>
      </c>
      <c r="S886" t="s">
        <v>12884</v>
      </c>
    </row>
    <row r="887" spans="1:19" x14ac:dyDescent="0.25">
      <c r="A887" t="s">
        <v>941</v>
      </c>
      <c r="B887" s="1">
        <v>45900</v>
      </c>
      <c r="C887" t="s">
        <v>12893</v>
      </c>
      <c r="D887" s="5">
        <v>0.50163194444444448</v>
      </c>
      <c r="E887">
        <v>149.94999999999999</v>
      </c>
      <c r="F887" t="s">
        <v>44</v>
      </c>
      <c r="G887" t="s">
        <v>145</v>
      </c>
      <c r="H887" t="s">
        <v>71</v>
      </c>
      <c r="I887" t="s">
        <v>66</v>
      </c>
      <c r="J887" t="s">
        <v>942</v>
      </c>
      <c r="K887">
        <v>73</v>
      </c>
      <c r="L887" t="s">
        <v>37</v>
      </c>
      <c r="M887" t="s">
        <v>23</v>
      </c>
      <c r="N887" t="s">
        <v>27</v>
      </c>
      <c r="O887" t="s">
        <v>28</v>
      </c>
      <c r="P887" t="s">
        <v>31</v>
      </c>
      <c r="Q887">
        <v>0</v>
      </c>
      <c r="R887" t="s">
        <v>12883</v>
      </c>
      <c r="S887" t="s">
        <v>12884</v>
      </c>
    </row>
    <row r="888" spans="1:19" x14ac:dyDescent="0.25">
      <c r="A888" t="s">
        <v>11444</v>
      </c>
      <c r="B888" s="1">
        <v>45796</v>
      </c>
      <c r="C888" t="s">
        <v>12887</v>
      </c>
      <c r="D888" s="5">
        <v>2.3425925925925926E-2</v>
      </c>
      <c r="E888">
        <v>149.93</v>
      </c>
      <c r="F888" t="s">
        <v>44</v>
      </c>
      <c r="G888" t="s">
        <v>4833</v>
      </c>
      <c r="H888" t="s">
        <v>34</v>
      </c>
      <c r="I888" t="s">
        <v>97</v>
      </c>
      <c r="J888" t="s">
        <v>11445</v>
      </c>
      <c r="K888">
        <v>34</v>
      </c>
      <c r="L888" t="s">
        <v>37</v>
      </c>
      <c r="M888" t="s">
        <v>66</v>
      </c>
      <c r="N888" t="s">
        <v>39</v>
      </c>
      <c r="O888" t="s">
        <v>28</v>
      </c>
      <c r="P888" t="s">
        <v>31</v>
      </c>
      <c r="Q888">
        <v>0</v>
      </c>
      <c r="R888" t="s">
        <v>12883</v>
      </c>
      <c r="S888" t="s">
        <v>12889</v>
      </c>
    </row>
    <row r="889" spans="1:19" x14ac:dyDescent="0.25">
      <c r="A889" t="s">
        <v>1858</v>
      </c>
      <c r="B889" s="1">
        <v>45957</v>
      </c>
      <c r="C889" t="s">
        <v>12890</v>
      </c>
      <c r="D889" s="5">
        <v>0.84280092592592593</v>
      </c>
      <c r="E889">
        <v>149.9</v>
      </c>
      <c r="F889" t="s">
        <v>44</v>
      </c>
      <c r="G889" t="s">
        <v>1859</v>
      </c>
      <c r="H889" t="s">
        <v>124</v>
      </c>
      <c r="I889" t="s">
        <v>58</v>
      </c>
      <c r="J889" t="s">
        <v>1860</v>
      </c>
      <c r="K889">
        <v>26</v>
      </c>
      <c r="L889" t="s">
        <v>49</v>
      </c>
      <c r="M889" t="s">
        <v>50</v>
      </c>
      <c r="N889" t="s">
        <v>27</v>
      </c>
      <c r="O889" t="s">
        <v>28</v>
      </c>
      <c r="P889" t="s">
        <v>31</v>
      </c>
      <c r="Q889">
        <v>0</v>
      </c>
      <c r="R889" t="s">
        <v>12883</v>
      </c>
      <c r="S889" t="s">
        <v>12889</v>
      </c>
    </row>
    <row r="890" spans="1:19" x14ac:dyDescent="0.25">
      <c r="A890" t="s">
        <v>6755</v>
      </c>
      <c r="B890" s="1">
        <v>45924</v>
      </c>
      <c r="C890" t="s">
        <v>12882</v>
      </c>
      <c r="D890" s="5">
        <v>0.2404513888888889</v>
      </c>
      <c r="E890">
        <v>149.84</v>
      </c>
      <c r="F890" t="s">
        <v>44</v>
      </c>
      <c r="G890" t="s">
        <v>4155</v>
      </c>
      <c r="H890" t="s">
        <v>64</v>
      </c>
      <c r="I890" t="s">
        <v>66</v>
      </c>
      <c r="J890" t="s">
        <v>6756</v>
      </c>
      <c r="K890">
        <v>74</v>
      </c>
      <c r="L890" t="s">
        <v>37</v>
      </c>
      <c r="M890" t="s">
        <v>146</v>
      </c>
      <c r="N890" t="s">
        <v>84</v>
      </c>
      <c r="O890" t="s">
        <v>28</v>
      </c>
      <c r="P890" t="s">
        <v>31</v>
      </c>
      <c r="Q890">
        <v>0</v>
      </c>
      <c r="R890" t="s">
        <v>12883</v>
      </c>
      <c r="S890" t="s">
        <v>12884</v>
      </c>
    </row>
    <row r="891" spans="1:19" x14ac:dyDescent="0.25">
      <c r="A891" t="s">
        <v>7329</v>
      </c>
      <c r="B891" s="1">
        <v>45790</v>
      </c>
      <c r="C891" t="s">
        <v>12887</v>
      </c>
      <c r="D891" s="5">
        <v>0.2807986111111111</v>
      </c>
      <c r="E891">
        <v>149.83000000000001</v>
      </c>
      <c r="F891" t="s">
        <v>44</v>
      </c>
      <c r="G891" t="s">
        <v>6165</v>
      </c>
      <c r="H891" t="s">
        <v>57</v>
      </c>
      <c r="I891" t="s">
        <v>35</v>
      </c>
      <c r="J891" t="s">
        <v>7330</v>
      </c>
      <c r="K891">
        <v>65</v>
      </c>
      <c r="L891" t="s">
        <v>37</v>
      </c>
      <c r="M891" t="s">
        <v>119</v>
      </c>
      <c r="N891" t="s">
        <v>51</v>
      </c>
      <c r="O891" t="s">
        <v>28</v>
      </c>
      <c r="P891" t="s">
        <v>31</v>
      </c>
      <c r="Q891">
        <v>1</v>
      </c>
      <c r="R891" t="s">
        <v>12891</v>
      </c>
      <c r="S891" t="s">
        <v>12884</v>
      </c>
    </row>
    <row r="892" spans="1:19" x14ac:dyDescent="0.25">
      <c r="A892" t="s">
        <v>3054</v>
      </c>
      <c r="B892" s="1">
        <v>45867</v>
      </c>
      <c r="C892" t="s">
        <v>12885</v>
      </c>
      <c r="D892" s="5">
        <v>0.64146990740740739</v>
      </c>
      <c r="E892">
        <v>149.81</v>
      </c>
      <c r="F892" t="s">
        <v>44</v>
      </c>
      <c r="G892" t="s">
        <v>3055</v>
      </c>
      <c r="H892" t="s">
        <v>57</v>
      </c>
      <c r="I892" t="s">
        <v>50</v>
      </c>
      <c r="J892" t="s">
        <v>3056</v>
      </c>
      <c r="K892">
        <v>53</v>
      </c>
      <c r="L892" t="s">
        <v>37</v>
      </c>
      <c r="M892" t="s">
        <v>38</v>
      </c>
      <c r="N892" t="s">
        <v>27</v>
      </c>
      <c r="O892" t="s">
        <v>28</v>
      </c>
      <c r="P892" t="s">
        <v>31</v>
      </c>
      <c r="Q892">
        <v>0</v>
      </c>
      <c r="R892" t="s">
        <v>12883</v>
      </c>
      <c r="S892" t="s">
        <v>12886</v>
      </c>
    </row>
    <row r="893" spans="1:19" x14ac:dyDescent="0.25">
      <c r="A893" t="s">
        <v>2506</v>
      </c>
      <c r="B893" s="1">
        <v>45901</v>
      </c>
      <c r="C893" t="s">
        <v>12882</v>
      </c>
      <c r="D893" s="5">
        <v>4.9872685185185187E-2</v>
      </c>
      <c r="E893">
        <v>149.63</v>
      </c>
      <c r="F893" t="s">
        <v>44</v>
      </c>
      <c r="G893" t="s">
        <v>2507</v>
      </c>
      <c r="H893" t="s">
        <v>89</v>
      </c>
      <c r="I893" t="s">
        <v>130</v>
      </c>
      <c r="J893" t="s">
        <v>2508</v>
      </c>
      <c r="K893">
        <v>28</v>
      </c>
      <c r="L893" t="s">
        <v>49</v>
      </c>
      <c r="M893" t="s">
        <v>26</v>
      </c>
      <c r="N893" t="s">
        <v>105</v>
      </c>
      <c r="O893" t="s">
        <v>28</v>
      </c>
      <c r="P893" t="s">
        <v>31</v>
      </c>
      <c r="Q893">
        <v>0</v>
      </c>
      <c r="R893" t="s">
        <v>12883</v>
      </c>
      <c r="S893" t="s">
        <v>12889</v>
      </c>
    </row>
    <row r="894" spans="1:19" x14ac:dyDescent="0.25">
      <c r="A894" t="s">
        <v>10987</v>
      </c>
      <c r="B894" s="1">
        <v>45882</v>
      </c>
      <c r="C894" t="s">
        <v>12893</v>
      </c>
      <c r="D894" s="5">
        <v>0.99344907407407412</v>
      </c>
      <c r="E894">
        <v>149.6</v>
      </c>
      <c r="F894" t="s">
        <v>44</v>
      </c>
      <c r="G894" t="s">
        <v>10988</v>
      </c>
      <c r="H894" t="s">
        <v>57</v>
      </c>
      <c r="I894" t="s">
        <v>50</v>
      </c>
      <c r="J894" t="s">
        <v>10989</v>
      </c>
      <c r="K894">
        <v>45</v>
      </c>
      <c r="L894" t="s">
        <v>25</v>
      </c>
      <c r="M894" t="s">
        <v>146</v>
      </c>
      <c r="N894" t="s">
        <v>39</v>
      </c>
      <c r="O894" t="s">
        <v>28</v>
      </c>
      <c r="P894" t="s">
        <v>31</v>
      </c>
      <c r="Q894">
        <v>0</v>
      </c>
      <c r="R894" t="s">
        <v>12883</v>
      </c>
      <c r="S894" t="s">
        <v>12886</v>
      </c>
    </row>
    <row r="895" spans="1:19" x14ac:dyDescent="0.25">
      <c r="A895" t="s">
        <v>3612</v>
      </c>
      <c r="B895" s="1">
        <v>45822</v>
      </c>
      <c r="C895" t="s">
        <v>12888</v>
      </c>
      <c r="D895" s="5">
        <v>0.28269675925925924</v>
      </c>
      <c r="E895">
        <v>149.54</v>
      </c>
      <c r="F895" t="s">
        <v>44</v>
      </c>
      <c r="G895" t="s">
        <v>903</v>
      </c>
      <c r="H895" t="s">
        <v>22</v>
      </c>
      <c r="I895" t="s">
        <v>110</v>
      </c>
      <c r="J895" t="s">
        <v>3613</v>
      </c>
      <c r="K895">
        <v>116</v>
      </c>
      <c r="L895" t="s">
        <v>49</v>
      </c>
      <c r="M895" t="s">
        <v>35</v>
      </c>
      <c r="N895" t="s">
        <v>84</v>
      </c>
      <c r="O895" t="s">
        <v>28</v>
      </c>
      <c r="P895" t="s">
        <v>31</v>
      </c>
      <c r="Q895">
        <v>0</v>
      </c>
      <c r="R895" t="s">
        <v>12883</v>
      </c>
      <c r="S895" t="s">
        <v>12884</v>
      </c>
    </row>
    <row r="896" spans="1:19" x14ac:dyDescent="0.25">
      <c r="A896" t="s">
        <v>8263</v>
      </c>
      <c r="B896" s="1">
        <v>45901</v>
      </c>
      <c r="C896" t="s">
        <v>12882</v>
      </c>
      <c r="D896" s="5">
        <v>0.79119212962962959</v>
      </c>
      <c r="E896">
        <v>149.5</v>
      </c>
      <c r="F896" t="s">
        <v>44</v>
      </c>
      <c r="G896" t="s">
        <v>2423</v>
      </c>
      <c r="H896" t="s">
        <v>89</v>
      </c>
      <c r="I896" t="s">
        <v>91</v>
      </c>
      <c r="J896" t="s">
        <v>3221</v>
      </c>
      <c r="K896">
        <v>36</v>
      </c>
      <c r="L896" t="s">
        <v>49</v>
      </c>
      <c r="M896" t="s">
        <v>58</v>
      </c>
      <c r="N896" t="s">
        <v>112</v>
      </c>
      <c r="O896" t="s">
        <v>28</v>
      </c>
      <c r="P896" t="s">
        <v>31</v>
      </c>
      <c r="Q896">
        <v>0</v>
      </c>
      <c r="R896" t="s">
        <v>12883</v>
      </c>
      <c r="S896" t="s">
        <v>12889</v>
      </c>
    </row>
    <row r="897" spans="1:19" x14ac:dyDescent="0.25">
      <c r="A897" t="s">
        <v>5187</v>
      </c>
      <c r="B897" s="1">
        <v>45815</v>
      </c>
      <c r="C897" t="s">
        <v>12888</v>
      </c>
      <c r="D897" s="5">
        <v>0.53293981481481478</v>
      </c>
      <c r="E897">
        <v>149.25</v>
      </c>
      <c r="F897" t="s">
        <v>44</v>
      </c>
      <c r="G897" t="s">
        <v>323</v>
      </c>
      <c r="H897" t="s">
        <v>64</v>
      </c>
      <c r="I897" t="s">
        <v>119</v>
      </c>
      <c r="J897" t="s">
        <v>5188</v>
      </c>
      <c r="K897">
        <v>68</v>
      </c>
      <c r="L897" t="s">
        <v>49</v>
      </c>
      <c r="M897" t="s">
        <v>23</v>
      </c>
      <c r="N897" t="s">
        <v>39</v>
      </c>
      <c r="O897" t="s">
        <v>28</v>
      </c>
      <c r="P897" t="s">
        <v>31</v>
      </c>
      <c r="Q897">
        <v>0</v>
      </c>
      <c r="R897" t="s">
        <v>12883</v>
      </c>
      <c r="S897" t="s">
        <v>12884</v>
      </c>
    </row>
    <row r="898" spans="1:19" x14ac:dyDescent="0.25">
      <c r="A898" t="s">
        <v>11407</v>
      </c>
      <c r="B898" s="1">
        <v>45949</v>
      </c>
      <c r="C898" t="s">
        <v>12890</v>
      </c>
      <c r="D898" s="5">
        <v>0.47381944444444446</v>
      </c>
      <c r="E898">
        <v>149.22999999999999</v>
      </c>
      <c r="F898" t="s">
        <v>44</v>
      </c>
      <c r="G898" t="s">
        <v>10433</v>
      </c>
      <c r="H898" t="s">
        <v>57</v>
      </c>
      <c r="I898" t="s">
        <v>38</v>
      </c>
      <c r="J898" t="s">
        <v>11408</v>
      </c>
      <c r="K898">
        <v>18</v>
      </c>
      <c r="L898" t="s">
        <v>25</v>
      </c>
      <c r="M898" t="s">
        <v>130</v>
      </c>
      <c r="N898" t="s">
        <v>51</v>
      </c>
      <c r="O898" t="s">
        <v>28</v>
      </c>
      <c r="P898" t="s">
        <v>31</v>
      </c>
      <c r="Q898">
        <v>0</v>
      </c>
      <c r="R898" t="s">
        <v>12883</v>
      </c>
      <c r="S898" t="s">
        <v>12892</v>
      </c>
    </row>
    <row r="899" spans="1:19" x14ac:dyDescent="0.25">
      <c r="A899" t="s">
        <v>1157</v>
      </c>
      <c r="B899" s="1">
        <v>45812</v>
      </c>
      <c r="C899" t="s">
        <v>12888</v>
      </c>
      <c r="D899" s="5">
        <v>0.48071759259259261</v>
      </c>
      <c r="E899">
        <v>149.12</v>
      </c>
      <c r="F899" t="s">
        <v>44</v>
      </c>
      <c r="G899" t="s">
        <v>1158</v>
      </c>
      <c r="H899" t="s">
        <v>71</v>
      </c>
      <c r="I899" t="s">
        <v>35</v>
      </c>
      <c r="J899" t="s">
        <v>1159</v>
      </c>
      <c r="K899">
        <v>70</v>
      </c>
      <c r="L899" t="s">
        <v>37</v>
      </c>
      <c r="M899" t="s">
        <v>119</v>
      </c>
      <c r="N899" t="s">
        <v>39</v>
      </c>
      <c r="O899" t="s">
        <v>28</v>
      </c>
      <c r="P899" t="s">
        <v>31</v>
      </c>
      <c r="Q899">
        <v>0</v>
      </c>
      <c r="R899" t="s">
        <v>12883</v>
      </c>
      <c r="S899" t="s">
        <v>12884</v>
      </c>
    </row>
    <row r="900" spans="1:19" x14ac:dyDescent="0.25">
      <c r="A900" t="s">
        <v>3092</v>
      </c>
      <c r="B900" s="1">
        <v>45847</v>
      </c>
      <c r="C900" t="s">
        <v>12885</v>
      </c>
      <c r="D900" s="5">
        <v>0.31893518518518521</v>
      </c>
      <c r="E900">
        <v>149.05000000000001</v>
      </c>
      <c r="F900" t="s">
        <v>44</v>
      </c>
      <c r="G900" t="s">
        <v>1153</v>
      </c>
      <c r="H900" t="s">
        <v>77</v>
      </c>
      <c r="I900" t="s">
        <v>66</v>
      </c>
      <c r="J900" t="s">
        <v>3093</v>
      </c>
      <c r="K900">
        <v>25</v>
      </c>
      <c r="L900" t="s">
        <v>37</v>
      </c>
      <c r="M900" t="s">
        <v>26</v>
      </c>
      <c r="N900" t="s">
        <v>112</v>
      </c>
      <c r="O900" t="s">
        <v>28</v>
      </c>
      <c r="P900" t="s">
        <v>31</v>
      </c>
      <c r="Q900">
        <v>0</v>
      </c>
      <c r="R900" t="s">
        <v>12883</v>
      </c>
      <c r="S900" t="s">
        <v>12889</v>
      </c>
    </row>
    <row r="901" spans="1:19" x14ac:dyDescent="0.25">
      <c r="A901" t="s">
        <v>1006</v>
      </c>
      <c r="B901" s="1">
        <v>45907</v>
      </c>
      <c r="C901" t="s">
        <v>12882</v>
      </c>
      <c r="D901" s="5">
        <v>0.1388888888888889</v>
      </c>
      <c r="E901">
        <v>148.97</v>
      </c>
      <c r="F901" t="s">
        <v>44</v>
      </c>
      <c r="G901" t="s">
        <v>1007</v>
      </c>
      <c r="H901" t="s">
        <v>57</v>
      </c>
      <c r="I901" t="s">
        <v>47</v>
      </c>
      <c r="J901" t="s">
        <v>1008</v>
      </c>
      <c r="K901">
        <v>65</v>
      </c>
      <c r="L901" t="s">
        <v>25</v>
      </c>
      <c r="M901" t="s">
        <v>248</v>
      </c>
      <c r="N901" t="s">
        <v>112</v>
      </c>
      <c r="O901" t="s">
        <v>28</v>
      </c>
      <c r="P901" t="s">
        <v>31</v>
      </c>
      <c r="Q901">
        <v>0</v>
      </c>
      <c r="R901" t="s">
        <v>12883</v>
      </c>
      <c r="S901" t="s">
        <v>12884</v>
      </c>
    </row>
    <row r="902" spans="1:19" x14ac:dyDescent="0.25">
      <c r="A902" t="s">
        <v>337</v>
      </c>
      <c r="B902" s="1">
        <v>45836</v>
      </c>
      <c r="C902" t="s">
        <v>12888</v>
      </c>
      <c r="D902" s="5">
        <v>0.10275462962962963</v>
      </c>
      <c r="E902">
        <v>148.94999999999999</v>
      </c>
      <c r="F902" t="s">
        <v>44</v>
      </c>
      <c r="G902" t="s">
        <v>338</v>
      </c>
      <c r="H902" t="s">
        <v>89</v>
      </c>
      <c r="I902" t="s">
        <v>97</v>
      </c>
      <c r="J902" t="s">
        <v>339</v>
      </c>
      <c r="K902">
        <v>18</v>
      </c>
      <c r="L902" t="s">
        <v>49</v>
      </c>
      <c r="M902" t="s">
        <v>248</v>
      </c>
      <c r="N902" t="s">
        <v>112</v>
      </c>
      <c r="O902" t="s">
        <v>28</v>
      </c>
      <c r="P902" t="s">
        <v>31</v>
      </c>
      <c r="Q902">
        <v>0</v>
      </c>
      <c r="R902" t="s">
        <v>12883</v>
      </c>
      <c r="S902" t="s">
        <v>12892</v>
      </c>
    </row>
    <row r="903" spans="1:19" x14ac:dyDescent="0.25">
      <c r="A903" t="s">
        <v>9179</v>
      </c>
      <c r="B903" s="1">
        <v>45883</v>
      </c>
      <c r="C903" t="s">
        <v>12893</v>
      </c>
      <c r="D903" s="5">
        <v>0.51383101851851853</v>
      </c>
      <c r="E903">
        <v>148.84</v>
      </c>
      <c r="F903" t="s">
        <v>44</v>
      </c>
      <c r="G903" t="s">
        <v>1632</v>
      </c>
      <c r="H903" t="s">
        <v>22</v>
      </c>
      <c r="I903" t="s">
        <v>38</v>
      </c>
      <c r="J903" t="s">
        <v>9180</v>
      </c>
      <c r="K903">
        <v>58</v>
      </c>
      <c r="L903" t="s">
        <v>49</v>
      </c>
      <c r="M903" t="s">
        <v>47</v>
      </c>
      <c r="N903" t="s">
        <v>112</v>
      </c>
      <c r="O903" t="s">
        <v>28</v>
      </c>
      <c r="P903" t="s">
        <v>31</v>
      </c>
      <c r="Q903">
        <v>0</v>
      </c>
      <c r="R903" t="s">
        <v>12883</v>
      </c>
      <c r="S903" t="s">
        <v>12886</v>
      </c>
    </row>
    <row r="904" spans="1:19" x14ac:dyDescent="0.25">
      <c r="A904" t="s">
        <v>2120</v>
      </c>
      <c r="B904" s="1">
        <v>45809</v>
      </c>
      <c r="C904" t="s">
        <v>12888</v>
      </c>
      <c r="D904" s="5">
        <v>0.99181712962962965</v>
      </c>
      <c r="E904">
        <v>148.66999999999999</v>
      </c>
      <c r="F904" t="s">
        <v>44</v>
      </c>
      <c r="G904" t="s">
        <v>2121</v>
      </c>
      <c r="H904" t="s">
        <v>71</v>
      </c>
      <c r="I904" t="s">
        <v>110</v>
      </c>
      <c r="J904" t="s">
        <v>2122</v>
      </c>
      <c r="K904">
        <v>41</v>
      </c>
      <c r="L904" t="s">
        <v>25</v>
      </c>
      <c r="M904" t="s">
        <v>146</v>
      </c>
      <c r="N904" t="s">
        <v>84</v>
      </c>
      <c r="O904" t="s">
        <v>28</v>
      </c>
      <c r="P904" t="s">
        <v>31</v>
      </c>
      <c r="Q904">
        <v>1</v>
      </c>
      <c r="R904" t="s">
        <v>12891</v>
      </c>
      <c r="S904" t="s">
        <v>12886</v>
      </c>
    </row>
    <row r="905" spans="1:19" x14ac:dyDescent="0.25">
      <c r="A905" t="s">
        <v>2620</v>
      </c>
      <c r="B905" s="1">
        <v>45867</v>
      </c>
      <c r="C905" t="s">
        <v>12885</v>
      </c>
      <c r="D905" s="5">
        <v>0.89565972222222223</v>
      </c>
      <c r="E905">
        <v>148.59</v>
      </c>
      <c r="F905" t="s">
        <v>44</v>
      </c>
      <c r="G905" t="s">
        <v>2621</v>
      </c>
      <c r="H905" t="s">
        <v>57</v>
      </c>
      <c r="I905" t="s">
        <v>97</v>
      </c>
      <c r="J905" t="s">
        <v>2622</v>
      </c>
      <c r="K905">
        <v>64</v>
      </c>
      <c r="L905" t="s">
        <v>37</v>
      </c>
      <c r="M905" t="s">
        <v>35</v>
      </c>
      <c r="N905" t="s">
        <v>27</v>
      </c>
      <c r="O905" t="s">
        <v>28</v>
      </c>
      <c r="P905" t="s">
        <v>31</v>
      </c>
      <c r="Q905">
        <v>0</v>
      </c>
      <c r="R905" t="s">
        <v>12883</v>
      </c>
      <c r="S905" t="s">
        <v>12884</v>
      </c>
    </row>
    <row r="906" spans="1:19" x14ac:dyDescent="0.25">
      <c r="A906" t="s">
        <v>6169</v>
      </c>
      <c r="B906" s="1">
        <v>45786</v>
      </c>
      <c r="C906" t="s">
        <v>12887</v>
      </c>
      <c r="D906" s="5">
        <v>0.57626157407407408</v>
      </c>
      <c r="E906">
        <v>148.44999999999999</v>
      </c>
      <c r="F906" t="s">
        <v>44</v>
      </c>
      <c r="G906" t="s">
        <v>787</v>
      </c>
      <c r="H906" t="s">
        <v>64</v>
      </c>
      <c r="I906" t="s">
        <v>110</v>
      </c>
      <c r="J906" t="s">
        <v>6170</v>
      </c>
      <c r="K906">
        <v>67</v>
      </c>
      <c r="L906" t="s">
        <v>37</v>
      </c>
      <c r="M906" t="s">
        <v>91</v>
      </c>
      <c r="N906" t="s">
        <v>105</v>
      </c>
      <c r="O906" t="s">
        <v>28</v>
      </c>
      <c r="P906" t="s">
        <v>31</v>
      </c>
      <c r="Q906">
        <v>0</v>
      </c>
      <c r="R906" t="s">
        <v>12883</v>
      </c>
      <c r="S906" t="s">
        <v>12884</v>
      </c>
    </row>
    <row r="907" spans="1:19" x14ac:dyDescent="0.25">
      <c r="A907" t="s">
        <v>20</v>
      </c>
      <c r="B907" s="1">
        <v>45912</v>
      </c>
      <c r="C907" t="s">
        <v>12882</v>
      </c>
      <c r="D907" s="5">
        <v>0.2011574074074074</v>
      </c>
      <c r="E907">
        <v>148.41</v>
      </c>
      <c r="F907" t="s">
        <v>44</v>
      </c>
      <c r="G907" t="s">
        <v>21</v>
      </c>
      <c r="H907" t="s">
        <v>22</v>
      </c>
      <c r="I907" t="s">
        <v>23</v>
      </c>
      <c r="J907" t="s">
        <v>24</v>
      </c>
      <c r="K907">
        <v>60</v>
      </c>
      <c r="L907" t="s">
        <v>25</v>
      </c>
      <c r="M907" t="s">
        <v>26</v>
      </c>
      <c r="N907" t="s">
        <v>27</v>
      </c>
      <c r="O907" t="s">
        <v>28</v>
      </c>
      <c r="P907" t="s">
        <v>31</v>
      </c>
      <c r="Q907">
        <v>0</v>
      </c>
      <c r="R907" t="s">
        <v>12883</v>
      </c>
      <c r="S907" t="s">
        <v>12884</v>
      </c>
    </row>
    <row r="908" spans="1:19" x14ac:dyDescent="0.25">
      <c r="A908" t="s">
        <v>9298</v>
      </c>
      <c r="B908" s="1">
        <v>45892</v>
      </c>
      <c r="C908" t="s">
        <v>12893</v>
      </c>
      <c r="D908" s="5">
        <v>0.4916550925925926</v>
      </c>
      <c r="E908">
        <v>148.32</v>
      </c>
      <c r="F908" t="s">
        <v>44</v>
      </c>
      <c r="G908" t="s">
        <v>9299</v>
      </c>
      <c r="H908" t="s">
        <v>64</v>
      </c>
      <c r="I908" t="s">
        <v>91</v>
      </c>
      <c r="J908" t="s">
        <v>9300</v>
      </c>
      <c r="K908">
        <v>43</v>
      </c>
      <c r="L908" t="s">
        <v>25</v>
      </c>
      <c r="M908" t="s">
        <v>23</v>
      </c>
      <c r="N908" t="s">
        <v>51</v>
      </c>
      <c r="O908" t="s">
        <v>28</v>
      </c>
      <c r="P908" t="s">
        <v>31</v>
      </c>
      <c r="Q908">
        <v>0</v>
      </c>
      <c r="R908" t="s">
        <v>12883</v>
      </c>
      <c r="S908" t="s">
        <v>12886</v>
      </c>
    </row>
    <row r="909" spans="1:19" x14ac:dyDescent="0.25">
      <c r="A909" t="s">
        <v>9454</v>
      </c>
      <c r="B909" s="1">
        <v>45795</v>
      </c>
      <c r="C909" t="s">
        <v>12887</v>
      </c>
      <c r="D909" s="5">
        <v>5.9560185185185188E-2</v>
      </c>
      <c r="E909">
        <v>148.22999999999999</v>
      </c>
      <c r="F909" t="s">
        <v>44</v>
      </c>
      <c r="G909" t="s">
        <v>9455</v>
      </c>
      <c r="H909" t="s">
        <v>64</v>
      </c>
      <c r="I909" t="s">
        <v>97</v>
      </c>
      <c r="J909" t="s">
        <v>9456</v>
      </c>
      <c r="K909">
        <v>25</v>
      </c>
      <c r="L909" t="s">
        <v>37</v>
      </c>
      <c r="M909" t="s">
        <v>38</v>
      </c>
      <c r="N909" t="s">
        <v>112</v>
      </c>
      <c r="O909" t="s">
        <v>28</v>
      </c>
      <c r="P909" t="s">
        <v>31</v>
      </c>
      <c r="Q909">
        <v>1</v>
      </c>
      <c r="R909" t="s">
        <v>12891</v>
      </c>
      <c r="S909" t="s">
        <v>12889</v>
      </c>
    </row>
    <row r="910" spans="1:19" x14ac:dyDescent="0.25">
      <c r="A910" t="s">
        <v>8697</v>
      </c>
      <c r="B910" s="1">
        <v>45782</v>
      </c>
      <c r="C910" t="s">
        <v>12887</v>
      </c>
      <c r="D910" s="5">
        <v>0.50050925925925926</v>
      </c>
      <c r="E910">
        <v>148.18</v>
      </c>
      <c r="F910" t="s">
        <v>44</v>
      </c>
      <c r="G910" t="s">
        <v>4590</v>
      </c>
      <c r="H910" t="s">
        <v>57</v>
      </c>
      <c r="I910" t="s">
        <v>97</v>
      </c>
      <c r="J910" t="s">
        <v>8698</v>
      </c>
      <c r="K910">
        <v>59</v>
      </c>
      <c r="L910" t="s">
        <v>25</v>
      </c>
      <c r="M910" t="s">
        <v>110</v>
      </c>
      <c r="N910" t="s">
        <v>51</v>
      </c>
      <c r="O910" t="s">
        <v>28</v>
      </c>
      <c r="P910" t="s">
        <v>31</v>
      </c>
      <c r="Q910">
        <v>0</v>
      </c>
      <c r="R910" t="s">
        <v>12883</v>
      </c>
      <c r="S910" t="s">
        <v>12886</v>
      </c>
    </row>
    <row r="911" spans="1:19" x14ac:dyDescent="0.25">
      <c r="A911" t="s">
        <v>7068</v>
      </c>
      <c r="B911" s="1">
        <v>45883</v>
      </c>
      <c r="C911" t="s">
        <v>12893</v>
      </c>
      <c r="D911" s="5">
        <v>0.62416666666666665</v>
      </c>
      <c r="E911">
        <v>148.16999999999999</v>
      </c>
      <c r="F911" t="s">
        <v>44</v>
      </c>
      <c r="G911" t="s">
        <v>7069</v>
      </c>
      <c r="H911" t="s">
        <v>34</v>
      </c>
      <c r="I911" t="s">
        <v>66</v>
      </c>
      <c r="J911" t="s">
        <v>7070</v>
      </c>
      <c r="K911">
        <v>31</v>
      </c>
      <c r="L911" t="s">
        <v>49</v>
      </c>
      <c r="M911" t="s">
        <v>58</v>
      </c>
      <c r="N911" t="s">
        <v>84</v>
      </c>
      <c r="O911" t="s">
        <v>28</v>
      </c>
      <c r="P911" t="s">
        <v>31</v>
      </c>
      <c r="Q911">
        <v>1</v>
      </c>
      <c r="R911" t="s">
        <v>12891</v>
      </c>
      <c r="S911" t="s">
        <v>12889</v>
      </c>
    </row>
    <row r="912" spans="1:19" x14ac:dyDescent="0.25">
      <c r="A912" t="s">
        <v>8001</v>
      </c>
      <c r="B912" s="1">
        <v>45813</v>
      </c>
      <c r="C912" t="s">
        <v>12888</v>
      </c>
      <c r="D912" s="5">
        <v>0.7732175925925926</v>
      </c>
      <c r="E912">
        <v>148.11000000000001</v>
      </c>
      <c r="F912" t="s">
        <v>44</v>
      </c>
      <c r="G912" t="s">
        <v>8002</v>
      </c>
      <c r="H912" t="s">
        <v>46</v>
      </c>
      <c r="I912" t="s">
        <v>47</v>
      </c>
      <c r="J912" t="s">
        <v>8003</v>
      </c>
      <c r="K912">
        <v>73</v>
      </c>
      <c r="L912" t="s">
        <v>49</v>
      </c>
      <c r="M912" t="s">
        <v>119</v>
      </c>
      <c r="N912" t="s">
        <v>105</v>
      </c>
      <c r="O912" t="s">
        <v>28</v>
      </c>
      <c r="P912" t="s">
        <v>31</v>
      </c>
      <c r="Q912">
        <v>0</v>
      </c>
      <c r="R912" t="s">
        <v>12883</v>
      </c>
      <c r="S912" t="s">
        <v>12884</v>
      </c>
    </row>
    <row r="913" spans="1:19" x14ac:dyDescent="0.25">
      <c r="A913" t="s">
        <v>10150</v>
      </c>
      <c r="B913" s="1">
        <v>45933</v>
      </c>
      <c r="C913" t="s">
        <v>12890</v>
      </c>
      <c r="D913" s="5">
        <v>0.66232638888888884</v>
      </c>
      <c r="E913">
        <v>147.94</v>
      </c>
      <c r="F913" t="s">
        <v>44</v>
      </c>
      <c r="G913" t="s">
        <v>5255</v>
      </c>
      <c r="H913" t="s">
        <v>124</v>
      </c>
      <c r="I913" t="s">
        <v>146</v>
      </c>
      <c r="J913" t="s">
        <v>10151</v>
      </c>
      <c r="K913">
        <v>33</v>
      </c>
      <c r="L913" t="s">
        <v>49</v>
      </c>
      <c r="M913" t="s">
        <v>248</v>
      </c>
      <c r="N913" t="s">
        <v>105</v>
      </c>
      <c r="O913" t="s">
        <v>28</v>
      </c>
      <c r="P913" t="s">
        <v>31</v>
      </c>
      <c r="Q913">
        <v>0</v>
      </c>
      <c r="R913" t="s">
        <v>12883</v>
      </c>
      <c r="S913" t="s">
        <v>12889</v>
      </c>
    </row>
    <row r="914" spans="1:19" x14ac:dyDescent="0.25">
      <c r="A914" t="s">
        <v>7160</v>
      </c>
      <c r="B914" s="1">
        <v>45866</v>
      </c>
      <c r="C914" t="s">
        <v>12885</v>
      </c>
      <c r="D914" s="5">
        <v>0.39765046296296297</v>
      </c>
      <c r="E914">
        <v>147.80000000000001</v>
      </c>
      <c r="F914" t="s">
        <v>44</v>
      </c>
      <c r="G914" t="s">
        <v>2999</v>
      </c>
      <c r="H914" t="s">
        <v>22</v>
      </c>
      <c r="I914" t="s">
        <v>35</v>
      </c>
      <c r="J914" t="s">
        <v>7161</v>
      </c>
      <c r="K914">
        <v>72</v>
      </c>
      <c r="L914" t="s">
        <v>49</v>
      </c>
      <c r="M914" t="s">
        <v>97</v>
      </c>
      <c r="N914" t="s">
        <v>27</v>
      </c>
      <c r="O914" t="s">
        <v>28</v>
      </c>
      <c r="P914" t="s">
        <v>31</v>
      </c>
      <c r="Q914">
        <v>0</v>
      </c>
      <c r="R914" t="s">
        <v>12883</v>
      </c>
      <c r="S914" t="s">
        <v>12884</v>
      </c>
    </row>
    <row r="915" spans="1:19" x14ac:dyDescent="0.25">
      <c r="A915" t="s">
        <v>5343</v>
      </c>
      <c r="B915" s="1">
        <v>45958</v>
      </c>
      <c r="C915" t="s">
        <v>12890</v>
      </c>
      <c r="D915" s="5">
        <v>0.41305555555555556</v>
      </c>
      <c r="E915">
        <v>147.38999999999999</v>
      </c>
      <c r="F915" t="s">
        <v>44</v>
      </c>
      <c r="G915" t="s">
        <v>1612</v>
      </c>
      <c r="H915" t="s">
        <v>34</v>
      </c>
      <c r="I915" t="s">
        <v>38</v>
      </c>
      <c r="J915" t="s">
        <v>5344</v>
      </c>
      <c r="K915">
        <v>29</v>
      </c>
      <c r="L915" t="s">
        <v>37</v>
      </c>
      <c r="M915" t="s">
        <v>248</v>
      </c>
      <c r="N915" t="s">
        <v>84</v>
      </c>
      <c r="O915" t="s">
        <v>28</v>
      </c>
      <c r="P915" t="s">
        <v>31</v>
      </c>
      <c r="Q915">
        <v>0</v>
      </c>
      <c r="R915" t="s">
        <v>12883</v>
      </c>
      <c r="S915" t="s">
        <v>12889</v>
      </c>
    </row>
    <row r="916" spans="1:19" x14ac:dyDescent="0.25">
      <c r="A916" t="s">
        <v>4531</v>
      </c>
      <c r="B916" s="1">
        <v>45928</v>
      </c>
      <c r="C916" t="s">
        <v>12882</v>
      </c>
      <c r="D916" s="5">
        <v>0.10488425925925926</v>
      </c>
      <c r="E916">
        <v>147.35</v>
      </c>
      <c r="F916" t="s">
        <v>44</v>
      </c>
      <c r="G916" t="s">
        <v>4532</v>
      </c>
      <c r="H916" t="s">
        <v>46</v>
      </c>
      <c r="I916" t="s">
        <v>58</v>
      </c>
      <c r="J916" t="s">
        <v>4533</v>
      </c>
      <c r="K916">
        <v>51</v>
      </c>
      <c r="L916" t="s">
        <v>25</v>
      </c>
      <c r="M916" t="s">
        <v>146</v>
      </c>
      <c r="N916" t="s">
        <v>105</v>
      </c>
      <c r="O916" t="s">
        <v>28</v>
      </c>
      <c r="P916" t="s">
        <v>31</v>
      </c>
      <c r="Q916">
        <v>0</v>
      </c>
      <c r="R916" t="s">
        <v>12883</v>
      </c>
      <c r="S916" t="s">
        <v>12886</v>
      </c>
    </row>
    <row r="917" spans="1:19" x14ac:dyDescent="0.25">
      <c r="A917" t="s">
        <v>6659</v>
      </c>
      <c r="B917" s="1">
        <v>45946</v>
      </c>
      <c r="C917" t="s">
        <v>12890</v>
      </c>
      <c r="D917" s="5">
        <v>0.14859953703703704</v>
      </c>
      <c r="E917">
        <v>147.06</v>
      </c>
      <c r="F917" t="s">
        <v>44</v>
      </c>
      <c r="G917" t="s">
        <v>318</v>
      </c>
      <c r="H917" t="s">
        <v>22</v>
      </c>
      <c r="I917" t="s">
        <v>38</v>
      </c>
      <c r="J917" t="s">
        <v>6660</v>
      </c>
      <c r="K917">
        <v>58</v>
      </c>
      <c r="L917" t="s">
        <v>37</v>
      </c>
      <c r="M917" t="s">
        <v>248</v>
      </c>
      <c r="N917" t="s">
        <v>27</v>
      </c>
      <c r="O917" t="s">
        <v>28</v>
      </c>
      <c r="P917" t="s">
        <v>31</v>
      </c>
      <c r="Q917">
        <v>0</v>
      </c>
      <c r="R917" t="s">
        <v>12883</v>
      </c>
      <c r="S917" t="s">
        <v>12886</v>
      </c>
    </row>
    <row r="918" spans="1:19" x14ac:dyDescent="0.25">
      <c r="A918" t="s">
        <v>11694</v>
      </c>
      <c r="B918" s="1">
        <v>45942</v>
      </c>
      <c r="C918" t="s">
        <v>12890</v>
      </c>
      <c r="D918" s="5">
        <v>0.42657407407407405</v>
      </c>
      <c r="E918">
        <v>147.01</v>
      </c>
      <c r="F918" t="s">
        <v>44</v>
      </c>
      <c r="G918" t="s">
        <v>5732</v>
      </c>
      <c r="H918" t="s">
        <v>124</v>
      </c>
      <c r="I918" t="s">
        <v>58</v>
      </c>
      <c r="J918" t="s">
        <v>11695</v>
      </c>
      <c r="K918">
        <v>30</v>
      </c>
      <c r="L918" t="s">
        <v>25</v>
      </c>
      <c r="M918" t="s">
        <v>47</v>
      </c>
      <c r="N918" t="s">
        <v>51</v>
      </c>
      <c r="O918" t="s">
        <v>28</v>
      </c>
      <c r="P918" t="s">
        <v>31</v>
      </c>
      <c r="Q918">
        <v>0</v>
      </c>
      <c r="R918" t="s">
        <v>12883</v>
      </c>
      <c r="S918" t="s">
        <v>12889</v>
      </c>
    </row>
    <row r="919" spans="1:19" x14ac:dyDescent="0.25">
      <c r="A919" t="s">
        <v>9901</v>
      </c>
      <c r="B919" s="1">
        <v>45822</v>
      </c>
      <c r="C919" t="s">
        <v>12888</v>
      </c>
      <c r="D919" s="5">
        <v>0.40535879629629629</v>
      </c>
      <c r="E919">
        <v>146.94999999999999</v>
      </c>
      <c r="F919" t="s">
        <v>44</v>
      </c>
      <c r="G919" t="s">
        <v>1799</v>
      </c>
      <c r="H919" t="s">
        <v>22</v>
      </c>
      <c r="I919" t="s">
        <v>50</v>
      </c>
      <c r="J919" t="s">
        <v>9902</v>
      </c>
      <c r="K919">
        <v>68</v>
      </c>
      <c r="L919" t="s">
        <v>37</v>
      </c>
      <c r="M919" t="s">
        <v>97</v>
      </c>
      <c r="N919" t="s">
        <v>51</v>
      </c>
      <c r="O919" t="s">
        <v>28</v>
      </c>
      <c r="P919" t="s">
        <v>31</v>
      </c>
      <c r="Q919">
        <v>0</v>
      </c>
      <c r="R919" t="s">
        <v>12883</v>
      </c>
      <c r="S919" t="s">
        <v>12884</v>
      </c>
    </row>
    <row r="920" spans="1:19" x14ac:dyDescent="0.25">
      <c r="A920" t="s">
        <v>6142</v>
      </c>
      <c r="B920" s="1">
        <v>45931</v>
      </c>
      <c r="C920" t="s">
        <v>12890</v>
      </c>
      <c r="D920" s="5">
        <v>0.6260648148148148</v>
      </c>
      <c r="E920">
        <v>146.84</v>
      </c>
      <c r="F920" t="s">
        <v>44</v>
      </c>
      <c r="G920" t="s">
        <v>6143</v>
      </c>
      <c r="H920" t="s">
        <v>64</v>
      </c>
      <c r="I920" t="s">
        <v>26</v>
      </c>
      <c r="J920" t="s">
        <v>6144</v>
      </c>
      <c r="K920">
        <v>31</v>
      </c>
      <c r="L920" t="s">
        <v>25</v>
      </c>
      <c r="M920" t="s">
        <v>58</v>
      </c>
      <c r="N920" t="s">
        <v>27</v>
      </c>
      <c r="O920" t="s">
        <v>28</v>
      </c>
      <c r="P920" t="s">
        <v>31</v>
      </c>
      <c r="Q920">
        <v>0</v>
      </c>
      <c r="R920" t="s">
        <v>12883</v>
      </c>
      <c r="S920" t="s">
        <v>12889</v>
      </c>
    </row>
    <row r="921" spans="1:19" x14ac:dyDescent="0.25">
      <c r="A921" t="s">
        <v>3188</v>
      </c>
      <c r="B921" s="1">
        <v>45942</v>
      </c>
      <c r="C921" t="s">
        <v>12890</v>
      </c>
      <c r="D921" s="5">
        <v>0.6166666666666667</v>
      </c>
      <c r="E921">
        <v>146.78</v>
      </c>
      <c r="F921" t="s">
        <v>44</v>
      </c>
      <c r="G921" t="s">
        <v>2635</v>
      </c>
      <c r="H921" t="s">
        <v>34</v>
      </c>
      <c r="I921" t="s">
        <v>248</v>
      </c>
      <c r="J921" t="s">
        <v>3189</v>
      </c>
      <c r="K921">
        <v>41</v>
      </c>
      <c r="L921" t="s">
        <v>49</v>
      </c>
      <c r="M921" t="s">
        <v>47</v>
      </c>
      <c r="N921" t="s">
        <v>27</v>
      </c>
      <c r="O921" t="s">
        <v>28</v>
      </c>
      <c r="P921" t="s">
        <v>31</v>
      </c>
      <c r="Q921">
        <v>0</v>
      </c>
      <c r="R921" t="s">
        <v>12883</v>
      </c>
      <c r="S921" t="s">
        <v>12886</v>
      </c>
    </row>
    <row r="922" spans="1:19" x14ac:dyDescent="0.25">
      <c r="A922" t="s">
        <v>7044</v>
      </c>
      <c r="B922" s="1">
        <v>45797</v>
      </c>
      <c r="C922" t="s">
        <v>12887</v>
      </c>
      <c r="D922" s="5">
        <v>0.27074074074074073</v>
      </c>
      <c r="E922">
        <v>146.78</v>
      </c>
      <c r="F922" t="s">
        <v>44</v>
      </c>
      <c r="G922" t="s">
        <v>1115</v>
      </c>
      <c r="H922" t="s">
        <v>96</v>
      </c>
      <c r="I922" t="s">
        <v>26</v>
      </c>
      <c r="J922" t="s">
        <v>7045</v>
      </c>
      <c r="K922">
        <v>67</v>
      </c>
      <c r="L922" t="s">
        <v>25</v>
      </c>
      <c r="M922" t="s">
        <v>47</v>
      </c>
      <c r="N922" t="s">
        <v>39</v>
      </c>
      <c r="O922" t="s">
        <v>28</v>
      </c>
      <c r="P922" t="s">
        <v>31</v>
      </c>
      <c r="Q922">
        <v>0</v>
      </c>
      <c r="R922" t="s">
        <v>12883</v>
      </c>
      <c r="S922" t="s">
        <v>12884</v>
      </c>
    </row>
    <row r="923" spans="1:19" x14ac:dyDescent="0.25">
      <c r="A923" t="s">
        <v>8878</v>
      </c>
      <c r="B923" s="1">
        <v>45932</v>
      </c>
      <c r="C923" t="s">
        <v>12890</v>
      </c>
      <c r="D923" s="5">
        <v>1.2905092592592593E-2</v>
      </c>
      <c r="E923">
        <v>146.69</v>
      </c>
      <c r="F923" t="s">
        <v>44</v>
      </c>
      <c r="G923" t="s">
        <v>1168</v>
      </c>
      <c r="H923" t="s">
        <v>96</v>
      </c>
      <c r="I923" t="s">
        <v>47</v>
      </c>
      <c r="J923" t="s">
        <v>8879</v>
      </c>
      <c r="K923">
        <v>71</v>
      </c>
      <c r="L923" t="s">
        <v>49</v>
      </c>
      <c r="M923" t="s">
        <v>38</v>
      </c>
      <c r="N923" t="s">
        <v>105</v>
      </c>
      <c r="O923" t="s">
        <v>28</v>
      </c>
      <c r="P923" t="s">
        <v>31</v>
      </c>
      <c r="Q923">
        <v>0</v>
      </c>
      <c r="R923" t="s">
        <v>12883</v>
      </c>
      <c r="S923" t="s">
        <v>12884</v>
      </c>
    </row>
    <row r="924" spans="1:19" x14ac:dyDescent="0.25">
      <c r="A924" t="s">
        <v>11827</v>
      </c>
      <c r="B924" s="1">
        <v>45807</v>
      </c>
      <c r="C924" t="s">
        <v>12887</v>
      </c>
      <c r="D924" s="5">
        <v>0.67136574074074074</v>
      </c>
      <c r="E924">
        <v>146.69</v>
      </c>
      <c r="F924" t="s">
        <v>44</v>
      </c>
      <c r="G924" t="s">
        <v>3981</v>
      </c>
      <c r="H924" t="s">
        <v>124</v>
      </c>
      <c r="I924" t="s">
        <v>119</v>
      </c>
      <c r="J924" t="s">
        <v>11828</v>
      </c>
      <c r="K924">
        <v>49</v>
      </c>
      <c r="L924" t="s">
        <v>49</v>
      </c>
      <c r="M924" t="s">
        <v>130</v>
      </c>
      <c r="N924" t="s">
        <v>84</v>
      </c>
      <c r="O924" t="s">
        <v>28</v>
      </c>
      <c r="P924" t="s">
        <v>31</v>
      </c>
      <c r="Q924">
        <v>0</v>
      </c>
      <c r="R924" t="s">
        <v>12883</v>
      </c>
      <c r="S924" t="s">
        <v>12886</v>
      </c>
    </row>
    <row r="925" spans="1:19" x14ac:dyDescent="0.25">
      <c r="A925" t="s">
        <v>4456</v>
      </c>
      <c r="B925" s="1">
        <v>45862</v>
      </c>
      <c r="C925" t="s">
        <v>12885</v>
      </c>
      <c r="D925" s="5">
        <v>0.11313657407407407</v>
      </c>
      <c r="E925">
        <v>146.54</v>
      </c>
      <c r="F925" t="s">
        <v>44</v>
      </c>
      <c r="G925" t="s">
        <v>2865</v>
      </c>
      <c r="H925" t="s">
        <v>124</v>
      </c>
      <c r="I925" t="s">
        <v>38</v>
      </c>
      <c r="J925" t="s">
        <v>3244</v>
      </c>
      <c r="K925">
        <v>45</v>
      </c>
      <c r="L925" t="s">
        <v>49</v>
      </c>
      <c r="M925" t="s">
        <v>91</v>
      </c>
      <c r="N925" t="s">
        <v>51</v>
      </c>
      <c r="O925" t="s">
        <v>28</v>
      </c>
      <c r="P925" t="s">
        <v>31</v>
      </c>
      <c r="Q925">
        <v>0</v>
      </c>
      <c r="R925" t="s">
        <v>12883</v>
      </c>
      <c r="S925" t="s">
        <v>12886</v>
      </c>
    </row>
    <row r="926" spans="1:19" x14ac:dyDescent="0.25">
      <c r="A926" t="s">
        <v>12468</v>
      </c>
      <c r="B926" s="1">
        <v>45851</v>
      </c>
      <c r="C926" t="s">
        <v>12885</v>
      </c>
      <c r="D926" s="5">
        <v>0.33766203703703701</v>
      </c>
      <c r="E926">
        <v>146.5</v>
      </c>
      <c r="F926" t="s">
        <v>44</v>
      </c>
      <c r="G926" t="s">
        <v>12469</v>
      </c>
      <c r="H926" t="s">
        <v>57</v>
      </c>
      <c r="I926" t="s">
        <v>130</v>
      </c>
      <c r="J926" t="s">
        <v>12470</v>
      </c>
      <c r="K926">
        <v>68</v>
      </c>
      <c r="L926" t="s">
        <v>49</v>
      </c>
      <c r="M926" t="s">
        <v>23</v>
      </c>
      <c r="N926" t="s">
        <v>84</v>
      </c>
      <c r="O926" t="s">
        <v>28</v>
      </c>
      <c r="P926" t="s">
        <v>31</v>
      </c>
      <c r="Q926">
        <v>1</v>
      </c>
      <c r="R926" t="s">
        <v>12891</v>
      </c>
      <c r="S926" t="s">
        <v>12884</v>
      </c>
    </row>
    <row r="927" spans="1:19" x14ac:dyDescent="0.25">
      <c r="A927" t="s">
        <v>1440</v>
      </c>
      <c r="B927" s="1">
        <v>45832</v>
      </c>
      <c r="C927" t="s">
        <v>12888</v>
      </c>
      <c r="D927" s="5">
        <v>0.86320601851851853</v>
      </c>
      <c r="E927">
        <v>146.24</v>
      </c>
      <c r="F927" t="s">
        <v>44</v>
      </c>
      <c r="G927" t="s">
        <v>1441</v>
      </c>
      <c r="H927" t="s">
        <v>34</v>
      </c>
      <c r="I927" t="s">
        <v>97</v>
      </c>
      <c r="J927" t="s">
        <v>1442</v>
      </c>
      <c r="K927">
        <v>26</v>
      </c>
      <c r="L927" t="s">
        <v>25</v>
      </c>
      <c r="M927" t="s">
        <v>97</v>
      </c>
      <c r="N927" t="s">
        <v>112</v>
      </c>
      <c r="O927" t="s">
        <v>113</v>
      </c>
      <c r="P927" t="s">
        <v>31</v>
      </c>
      <c r="Q927">
        <v>0</v>
      </c>
      <c r="R927" t="s">
        <v>12883</v>
      </c>
      <c r="S927" t="s">
        <v>12889</v>
      </c>
    </row>
    <row r="928" spans="1:19" x14ac:dyDescent="0.25">
      <c r="A928" t="s">
        <v>10677</v>
      </c>
      <c r="B928" s="1">
        <v>45882</v>
      </c>
      <c r="C928" t="s">
        <v>12893</v>
      </c>
      <c r="D928" s="5">
        <v>0.27278935185185182</v>
      </c>
      <c r="E928">
        <v>146.22</v>
      </c>
      <c r="F928" t="s">
        <v>44</v>
      </c>
      <c r="G928" t="s">
        <v>1480</v>
      </c>
      <c r="H928" t="s">
        <v>22</v>
      </c>
      <c r="I928" t="s">
        <v>35</v>
      </c>
      <c r="J928" t="s">
        <v>10678</v>
      </c>
      <c r="K928">
        <v>69</v>
      </c>
      <c r="L928" t="s">
        <v>49</v>
      </c>
      <c r="M928" t="s">
        <v>119</v>
      </c>
      <c r="N928" t="s">
        <v>51</v>
      </c>
      <c r="O928" t="s">
        <v>28</v>
      </c>
      <c r="P928" t="s">
        <v>31</v>
      </c>
      <c r="Q928">
        <v>0</v>
      </c>
      <c r="R928" t="s">
        <v>12883</v>
      </c>
      <c r="S928" t="s">
        <v>12884</v>
      </c>
    </row>
    <row r="929" spans="1:19" x14ac:dyDescent="0.25">
      <c r="A929" t="s">
        <v>5254</v>
      </c>
      <c r="B929" s="1">
        <v>45889</v>
      </c>
      <c r="C929" t="s">
        <v>12893</v>
      </c>
      <c r="D929" s="5">
        <v>0.99592592592592588</v>
      </c>
      <c r="E929">
        <v>146.13999999999999</v>
      </c>
      <c r="F929" t="s">
        <v>44</v>
      </c>
      <c r="G929" t="s">
        <v>5255</v>
      </c>
      <c r="H929" t="s">
        <v>124</v>
      </c>
      <c r="I929" t="s">
        <v>66</v>
      </c>
      <c r="J929" t="s">
        <v>5256</v>
      </c>
      <c r="K929">
        <v>27</v>
      </c>
      <c r="L929" t="s">
        <v>49</v>
      </c>
      <c r="M929" t="s">
        <v>26</v>
      </c>
      <c r="N929" t="s">
        <v>84</v>
      </c>
      <c r="O929" t="s">
        <v>28</v>
      </c>
      <c r="P929" t="s">
        <v>31</v>
      </c>
      <c r="Q929">
        <v>0</v>
      </c>
      <c r="R929" t="s">
        <v>12883</v>
      </c>
      <c r="S929" t="s">
        <v>12889</v>
      </c>
    </row>
    <row r="930" spans="1:19" x14ac:dyDescent="0.25">
      <c r="A930" t="s">
        <v>9666</v>
      </c>
      <c r="B930" s="1">
        <v>45812</v>
      </c>
      <c r="C930" t="s">
        <v>12888</v>
      </c>
      <c r="D930" s="5">
        <v>0.4987152777777778</v>
      </c>
      <c r="E930">
        <v>146.08000000000001</v>
      </c>
      <c r="F930" t="s">
        <v>44</v>
      </c>
      <c r="G930" t="s">
        <v>4421</v>
      </c>
      <c r="H930" t="s">
        <v>96</v>
      </c>
      <c r="I930" t="s">
        <v>26</v>
      </c>
      <c r="J930" t="s">
        <v>9667</v>
      </c>
      <c r="K930">
        <v>62</v>
      </c>
      <c r="L930" t="s">
        <v>37</v>
      </c>
      <c r="M930" t="s">
        <v>248</v>
      </c>
      <c r="N930" t="s">
        <v>84</v>
      </c>
      <c r="O930" t="s">
        <v>28</v>
      </c>
      <c r="P930" t="s">
        <v>31</v>
      </c>
      <c r="Q930">
        <v>0</v>
      </c>
      <c r="R930" t="s">
        <v>12883</v>
      </c>
      <c r="S930" t="s">
        <v>12884</v>
      </c>
    </row>
    <row r="931" spans="1:19" x14ac:dyDescent="0.25">
      <c r="A931" t="s">
        <v>9971</v>
      </c>
      <c r="B931" s="1">
        <v>45786</v>
      </c>
      <c r="C931" t="s">
        <v>12887</v>
      </c>
      <c r="D931" s="5">
        <v>3.8946759259259257E-2</v>
      </c>
      <c r="E931">
        <v>146.04</v>
      </c>
      <c r="F931" t="s">
        <v>44</v>
      </c>
      <c r="G931" t="s">
        <v>927</v>
      </c>
      <c r="H931" t="s">
        <v>89</v>
      </c>
      <c r="I931" t="s">
        <v>66</v>
      </c>
      <c r="J931" t="s">
        <v>9972</v>
      </c>
      <c r="K931">
        <v>32</v>
      </c>
      <c r="L931" t="s">
        <v>37</v>
      </c>
      <c r="M931" t="s">
        <v>58</v>
      </c>
      <c r="N931" t="s">
        <v>51</v>
      </c>
      <c r="O931" t="s">
        <v>28</v>
      </c>
      <c r="P931" t="s">
        <v>31</v>
      </c>
      <c r="Q931">
        <v>0</v>
      </c>
      <c r="R931" t="s">
        <v>12883</v>
      </c>
      <c r="S931" t="s">
        <v>12889</v>
      </c>
    </row>
    <row r="932" spans="1:19" x14ac:dyDescent="0.25">
      <c r="A932" t="s">
        <v>10568</v>
      </c>
      <c r="B932" s="1">
        <v>45821</v>
      </c>
      <c r="C932" t="s">
        <v>12888</v>
      </c>
      <c r="D932" s="5">
        <v>0.71894675925925922</v>
      </c>
      <c r="E932">
        <v>146.02000000000001</v>
      </c>
      <c r="F932" t="s">
        <v>44</v>
      </c>
      <c r="G932" t="s">
        <v>8870</v>
      </c>
      <c r="H932" t="s">
        <v>77</v>
      </c>
      <c r="I932" t="s">
        <v>47</v>
      </c>
      <c r="J932" t="s">
        <v>9759</v>
      </c>
      <c r="K932">
        <v>45</v>
      </c>
      <c r="L932" t="s">
        <v>37</v>
      </c>
      <c r="M932" t="s">
        <v>91</v>
      </c>
      <c r="N932" t="s">
        <v>112</v>
      </c>
      <c r="O932" t="s">
        <v>28</v>
      </c>
      <c r="P932" t="s">
        <v>31</v>
      </c>
      <c r="Q932">
        <v>0</v>
      </c>
      <c r="R932" t="s">
        <v>12883</v>
      </c>
      <c r="S932" t="s">
        <v>12886</v>
      </c>
    </row>
    <row r="933" spans="1:19" x14ac:dyDescent="0.25">
      <c r="A933" t="s">
        <v>6932</v>
      </c>
      <c r="B933" s="1">
        <v>45884</v>
      </c>
      <c r="C933" t="s">
        <v>12893</v>
      </c>
      <c r="D933" s="5">
        <v>0.91055555555555556</v>
      </c>
      <c r="E933">
        <v>145.85</v>
      </c>
      <c r="F933" t="s">
        <v>44</v>
      </c>
      <c r="G933" t="s">
        <v>5124</v>
      </c>
      <c r="H933" t="s">
        <v>124</v>
      </c>
      <c r="I933" t="s">
        <v>91</v>
      </c>
      <c r="J933" t="s">
        <v>6933</v>
      </c>
      <c r="K933">
        <v>31</v>
      </c>
      <c r="L933" t="s">
        <v>37</v>
      </c>
      <c r="M933" t="s">
        <v>58</v>
      </c>
      <c r="N933" t="s">
        <v>39</v>
      </c>
      <c r="O933" t="s">
        <v>28</v>
      </c>
      <c r="P933" t="s">
        <v>31</v>
      </c>
      <c r="Q933">
        <v>0</v>
      </c>
      <c r="R933" t="s">
        <v>12883</v>
      </c>
      <c r="S933" t="s">
        <v>12889</v>
      </c>
    </row>
    <row r="934" spans="1:19" x14ac:dyDescent="0.25">
      <c r="A934" t="s">
        <v>5406</v>
      </c>
      <c r="B934" s="1">
        <v>45917</v>
      </c>
      <c r="C934" t="s">
        <v>12882</v>
      </c>
      <c r="D934" s="5">
        <v>0.21140046296296297</v>
      </c>
      <c r="E934">
        <v>145.72</v>
      </c>
      <c r="F934" t="s">
        <v>44</v>
      </c>
      <c r="G934" t="s">
        <v>5407</v>
      </c>
      <c r="H934" t="s">
        <v>89</v>
      </c>
      <c r="I934" t="s">
        <v>119</v>
      </c>
      <c r="J934" t="s">
        <v>5408</v>
      </c>
      <c r="K934">
        <v>51</v>
      </c>
      <c r="L934" t="s">
        <v>25</v>
      </c>
      <c r="M934" t="s">
        <v>91</v>
      </c>
      <c r="N934" t="s">
        <v>51</v>
      </c>
      <c r="O934" t="s">
        <v>28</v>
      </c>
      <c r="P934" t="s">
        <v>31</v>
      </c>
      <c r="Q934">
        <v>0</v>
      </c>
      <c r="R934" t="s">
        <v>12883</v>
      </c>
      <c r="S934" t="s">
        <v>12886</v>
      </c>
    </row>
    <row r="935" spans="1:19" x14ac:dyDescent="0.25">
      <c r="A935" t="s">
        <v>9244</v>
      </c>
      <c r="B935" s="1">
        <v>45861</v>
      </c>
      <c r="C935" t="s">
        <v>12885</v>
      </c>
      <c r="D935" s="5">
        <v>9.4351851851851853E-2</v>
      </c>
      <c r="E935">
        <v>145.65</v>
      </c>
      <c r="F935" t="s">
        <v>44</v>
      </c>
      <c r="G935" t="s">
        <v>3643</v>
      </c>
      <c r="H935" t="s">
        <v>64</v>
      </c>
      <c r="I935" t="s">
        <v>248</v>
      </c>
      <c r="J935" t="s">
        <v>9245</v>
      </c>
      <c r="K935">
        <v>58</v>
      </c>
      <c r="L935" t="s">
        <v>49</v>
      </c>
      <c r="M935" t="s">
        <v>26</v>
      </c>
      <c r="N935" t="s">
        <v>84</v>
      </c>
      <c r="O935" t="s">
        <v>28</v>
      </c>
      <c r="P935" t="s">
        <v>31</v>
      </c>
      <c r="Q935">
        <v>0</v>
      </c>
      <c r="R935" t="s">
        <v>12883</v>
      </c>
      <c r="S935" t="s">
        <v>12886</v>
      </c>
    </row>
    <row r="936" spans="1:19" x14ac:dyDescent="0.25">
      <c r="A936" t="s">
        <v>11218</v>
      </c>
      <c r="B936" s="1">
        <v>45899</v>
      </c>
      <c r="C936" t="s">
        <v>12893</v>
      </c>
      <c r="D936" s="5">
        <v>0.67347222222222225</v>
      </c>
      <c r="E936">
        <v>145.63999999999999</v>
      </c>
      <c r="F936" t="s">
        <v>44</v>
      </c>
      <c r="G936" t="s">
        <v>11219</v>
      </c>
      <c r="H936" t="s">
        <v>96</v>
      </c>
      <c r="I936" t="s">
        <v>50</v>
      </c>
      <c r="J936" t="s">
        <v>11220</v>
      </c>
      <c r="K936">
        <v>19</v>
      </c>
      <c r="L936" t="s">
        <v>37</v>
      </c>
      <c r="M936" t="s">
        <v>97</v>
      </c>
      <c r="N936" t="s">
        <v>105</v>
      </c>
      <c r="O936" t="s">
        <v>28</v>
      </c>
      <c r="P936" t="s">
        <v>31</v>
      </c>
      <c r="Q936">
        <v>0</v>
      </c>
      <c r="R936" t="s">
        <v>12883</v>
      </c>
      <c r="S936" t="s">
        <v>12892</v>
      </c>
    </row>
    <row r="937" spans="1:19" x14ac:dyDescent="0.25">
      <c r="A937" t="s">
        <v>11856</v>
      </c>
      <c r="B937" s="1">
        <v>45923</v>
      </c>
      <c r="C937" t="s">
        <v>12882</v>
      </c>
      <c r="D937" s="5">
        <v>0.95215277777777774</v>
      </c>
      <c r="E937">
        <v>145.63</v>
      </c>
      <c r="F937" t="s">
        <v>44</v>
      </c>
      <c r="G937" t="s">
        <v>369</v>
      </c>
      <c r="H937" t="s">
        <v>89</v>
      </c>
      <c r="I937" t="s">
        <v>38</v>
      </c>
      <c r="J937" t="s">
        <v>11857</v>
      </c>
      <c r="K937">
        <v>18</v>
      </c>
      <c r="L937" t="s">
        <v>25</v>
      </c>
      <c r="M937" t="s">
        <v>97</v>
      </c>
      <c r="N937" t="s">
        <v>27</v>
      </c>
      <c r="O937" t="s">
        <v>28</v>
      </c>
      <c r="P937" t="s">
        <v>31</v>
      </c>
      <c r="Q937">
        <v>0</v>
      </c>
      <c r="R937" t="s">
        <v>12883</v>
      </c>
      <c r="S937" t="s">
        <v>12892</v>
      </c>
    </row>
    <row r="938" spans="1:19" x14ac:dyDescent="0.25">
      <c r="A938" t="s">
        <v>12648</v>
      </c>
      <c r="B938" s="1">
        <v>45865</v>
      </c>
      <c r="C938" t="s">
        <v>12885</v>
      </c>
      <c r="D938" s="5">
        <v>0.1603125</v>
      </c>
      <c r="E938">
        <v>145.56</v>
      </c>
      <c r="F938" t="s">
        <v>44</v>
      </c>
      <c r="G938" t="s">
        <v>7716</v>
      </c>
      <c r="H938" t="s">
        <v>71</v>
      </c>
      <c r="I938" t="s">
        <v>91</v>
      </c>
      <c r="J938" t="s">
        <v>12649</v>
      </c>
      <c r="K938">
        <v>48</v>
      </c>
      <c r="L938" t="s">
        <v>37</v>
      </c>
      <c r="M938" t="s">
        <v>110</v>
      </c>
      <c r="N938" t="s">
        <v>51</v>
      </c>
      <c r="O938" t="s">
        <v>28</v>
      </c>
      <c r="P938" t="s">
        <v>31</v>
      </c>
      <c r="Q938">
        <v>0</v>
      </c>
      <c r="R938" t="s">
        <v>12883</v>
      </c>
      <c r="S938" t="s">
        <v>12886</v>
      </c>
    </row>
    <row r="939" spans="1:19" x14ac:dyDescent="0.25">
      <c r="A939" t="s">
        <v>9172</v>
      </c>
      <c r="B939" s="1">
        <v>45903</v>
      </c>
      <c r="C939" t="s">
        <v>12882</v>
      </c>
      <c r="D939" s="5">
        <v>0.43428240740740742</v>
      </c>
      <c r="E939">
        <v>145.52000000000001</v>
      </c>
      <c r="F939" t="s">
        <v>44</v>
      </c>
      <c r="G939" t="s">
        <v>5566</v>
      </c>
      <c r="H939" t="s">
        <v>71</v>
      </c>
      <c r="I939" t="s">
        <v>248</v>
      </c>
      <c r="J939" t="s">
        <v>7478</v>
      </c>
      <c r="K939">
        <v>53</v>
      </c>
      <c r="L939" t="s">
        <v>25</v>
      </c>
      <c r="M939" t="s">
        <v>110</v>
      </c>
      <c r="N939" t="s">
        <v>27</v>
      </c>
      <c r="O939" t="s">
        <v>28</v>
      </c>
      <c r="P939" t="s">
        <v>31</v>
      </c>
      <c r="Q939">
        <v>0</v>
      </c>
      <c r="R939" t="s">
        <v>12883</v>
      </c>
      <c r="S939" t="s">
        <v>12886</v>
      </c>
    </row>
    <row r="940" spans="1:19" x14ac:dyDescent="0.25">
      <c r="A940" t="s">
        <v>11297</v>
      </c>
      <c r="B940" s="1">
        <v>45876</v>
      </c>
      <c r="C940" t="s">
        <v>12893</v>
      </c>
      <c r="D940" s="5">
        <v>0.71263888888888893</v>
      </c>
      <c r="E940">
        <v>145.46</v>
      </c>
      <c r="F940" t="s">
        <v>44</v>
      </c>
      <c r="G940" t="s">
        <v>1612</v>
      </c>
      <c r="H940" t="s">
        <v>22</v>
      </c>
      <c r="I940" t="s">
        <v>58</v>
      </c>
      <c r="J940" t="s">
        <v>4552</v>
      </c>
      <c r="K940">
        <v>71</v>
      </c>
      <c r="L940" t="s">
        <v>49</v>
      </c>
      <c r="M940" t="s">
        <v>119</v>
      </c>
      <c r="N940" t="s">
        <v>105</v>
      </c>
      <c r="O940" t="s">
        <v>28</v>
      </c>
      <c r="P940" t="s">
        <v>31</v>
      </c>
      <c r="Q940">
        <v>0</v>
      </c>
      <c r="R940" t="s">
        <v>12883</v>
      </c>
      <c r="S940" t="s">
        <v>12884</v>
      </c>
    </row>
    <row r="941" spans="1:19" x14ac:dyDescent="0.25">
      <c r="A941" t="s">
        <v>2498</v>
      </c>
      <c r="B941" s="1">
        <v>45929</v>
      </c>
      <c r="C941" t="s">
        <v>12882</v>
      </c>
      <c r="D941" s="5">
        <v>0.30214120370370373</v>
      </c>
      <c r="E941">
        <v>145.35</v>
      </c>
      <c r="F941" t="s">
        <v>44</v>
      </c>
      <c r="G941" t="s">
        <v>1622</v>
      </c>
      <c r="H941" t="s">
        <v>22</v>
      </c>
      <c r="I941" t="s">
        <v>146</v>
      </c>
      <c r="J941" t="s">
        <v>2499</v>
      </c>
      <c r="K941">
        <v>47</v>
      </c>
      <c r="L941" t="s">
        <v>49</v>
      </c>
      <c r="M941" t="s">
        <v>91</v>
      </c>
      <c r="N941" t="s">
        <v>105</v>
      </c>
      <c r="O941" t="s">
        <v>28</v>
      </c>
      <c r="P941" t="s">
        <v>31</v>
      </c>
      <c r="Q941">
        <v>0</v>
      </c>
      <c r="R941" t="s">
        <v>12883</v>
      </c>
      <c r="S941" t="s">
        <v>12886</v>
      </c>
    </row>
    <row r="942" spans="1:19" x14ac:dyDescent="0.25">
      <c r="A942" t="s">
        <v>4665</v>
      </c>
      <c r="B942" s="1">
        <v>45881</v>
      </c>
      <c r="C942" t="s">
        <v>12893</v>
      </c>
      <c r="D942" s="5">
        <v>0.8425231481481481</v>
      </c>
      <c r="E942">
        <v>145.35</v>
      </c>
      <c r="F942" t="s">
        <v>44</v>
      </c>
      <c r="G942" t="s">
        <v>868</v>
      </c>
      <c r="H942" t="s">
        <v>46</v>
      </c>
      <c r="I942" t="s">
        <v>47</v>
      </c>
      <c r="J942" t="s">
        <v>4666</v>
      </c>
      <c r="K942">
        <v>69</v>
      </c>
      <c r="L942" t="s">
        <v>25</v>
      </c>
      <c r="M942" t="s">
        <v>146</v>
      </c>
      <c r="N942" t="s">
        <v>51</v>
      </c>
      <c r="O942" t="s">
        <v>28</v>
      </c>
      <c r="P942" t="s">
        <v>31</v>
      </c>
      <c r="Q942">
        <v>0</v>
      </c>
      <c r="R942" t="s">
        <v>12883</v>
      </c>
      <c r="S942" t="s">
        <v>12884</v>
      </c>
    </row>
    <row r="943" spans="1:19" x14ac:dyDescent="0.25">
      <c r="A943" t="s">
        <v>10027</v>
      </c>
      <c r="B943" s="1">
        <v>45861</v>
      </c>
      <c r="C943" t="s">
        <v>12885</v>
      </c>
      <c r="D943" s="5">
        <v>0.93475694444444446</v>
      </c>
      <c r="E943">
        <v>145.24</v>
      </c>
      <c r="F943" t="s">
        <v>44</v>
      </c>
      <c r="G943" t="s">
        <v>423</v>
      </c>
      <c r="H943" t="s">
        <v>96</v>
      </c>
      <c r="I943" t="s">
        <v>110</v>
      </c>
      <c r="J943" t="s">
        <v>10028</v>
      </c>
      <c r="K943">
        <v>38</v>
      </c>
      <c r="L943" t="s">
        <v>49</v>
      </c>
      <c r="M943" t="s">
        <v>38</v>
      </c>
      <c r="N943" t="s">
        <v>105</v>
      </c>
      <c r="O943" t="s">
        <v>28</v>
      </c>
      <c r="P943" t="s">
        <v>31</v>
      </c>
      <c r="Q943">
        <v>0</v>
      </c>
      <c r="R943" t="s">
        <v>12883</v>
      </c>
      <c r="S943" t="s">
        <v>12889</v>
      </c>
    </row>
    <row r="944" spans="1:19" x14ac:dyDescent="0.25">
      <c r="A944" t="s">
        <v>4750</v>
      </c>
      <c r="B944" s="1">
        <v>45930</v>
      </c>
      <c r="C944" t="s">
        <v>12882</v>
      </c>
      <c r="D944" s="5">
        <v>0.56798611111111108</v>
      </c>
      <c r="E944">
        <v>145.22999999999999</v>
      </c>
      <c r="F944" t="s">
        <v>44</v>
      </c>
      <c r="G944" t="s">
        <v>4751</v>
      </c>
      <c r="H944" t="s">
        <v>71</v>
      </c>
      <c r="I944" t="s">
        <v>110</v>
      </c>
      <c r="J944" t="s">
        <v>4752</v>
      </c>
      <c r="K944">
        <v>58</v>
      </c>
      <c r="L944" t="s">
        <v>25</v>
      </c>
      <c r="M944" t="s">
        <v>97</v>
      </c>
      <c r="N944" t="s">
        <v>105</v>
      </c>
      <c r="O944" t="s">
        <v>28</v>
      </c>
      <c r="P944" t="s">
        <v>31</v>
      </c>
      <c r="Q944">
        <v>0</v>
      </c>
      <c r="R944" t="s">
        <v>12883</v>
      </c>
      <c r="S944" t="s">
        <v>12886</v>
      </c>
    </row>
    <row r="945" spans="1:19" x14ac:dyDescent="0.25">
      <c r="A945" t="s">
        <v>5848</v>
      </c>
      <c r="B945" s="1">
        <v>45916</v>
      </c>
      <c r="C945" t="s">
        <v>12882</v>
      </c>
      <c r="D945" s="5">
        <v>0.6650462962962963</v>
      </c>
      <c r="E945">
        <v>145.21</v>
      </c>
      <c r="F945" t="s">
        <v>44</v>
      </c>
      <c r="G945" t="s">
        <v>1627</v>
      </c>
      <c r="H945" t="s">
        <v>57</v>
      </c>
      <c r="I945" t="s">
        <v>97</v>
      </c>
      <c r="J945" t="s">
        <v>5849</v>
      </c>
      <c r="K945">
        <v>74</v>
      </c>
      <c r="L945" t="s">
        <v>25</v>
      </c>
      <c r="M945" t="s">
        <v>248</v>
      </c>
      <c r="N945" t="s">
        <v>112</v>
      </c>
      <c r="O945" t="s">
        <v>28</v>
      </c>
      <c r="P945" t="s">
        <v>31</v>
      </c>
      <c r="Q945">
        <v>0</v>
      </c>
      <c r="R945" t="s">
        <v>12883</v>
      </c>
      <c r="S945" t="s">
        <v>12884</v>
      </c>
    </row>
    <row r="946" spans="1:19" x14ac:dyDescent="0.25">
      <c r="A946" t="s">
        <v>7452</v>
      </c>
      <c r="B946" s="1">
        <v>45878</v>
      </c>
      <c r="C946" t="s">
        <v>12893</v>
      </c>
      <c r="D946" s="5">
        <v>0.11938657407407408</v>
      </c>
      <c r="E946">
        <v>145.16</v>
      </c>
      <c r="F946" t="s">
        <v>44</v>
      </c>
      <c r="G946" t="s">
        <v>1470</v>
      </c>
      <c r="H946" t="s">
        <v>57</v>
      </c>
      <c r="I946" t="s">
        <v>23</v>
      </c>
      <c r="J946" t="s">
        <v>7453</v>
      </c>
      <c r="K946">
        <v>24</v>
      </c>
      <c r="L946" t="s">
        <v>37</v>
      </c>
      <c r="M946" t="s">
        <v>119</v>
      </c>
      <c r="N946" t="s">
        <v>105</v>
      </c>
      <c r="O946" t="s">
        <v>28</v>
      </c>
      <c r="P946" t="s">
        <v>31</v>
      </c>
      <c r="Q946">
        <v>0</v>
      </c>
      <c r="R946" t="s">
        <v>12883</v>
      </c>
      <c r="S946" t="s">
        <v>12892</v>
      </c>
    </row>
    <row r="947" spans="1:19" x14ac:dyDescent="0.25">
      <c r="A947" t="s">
        <v>3946</v>
      </c>
      <c r="B947" s="1">
        <v>45837</v>
      </c>
      <c r="C947" t="s">
        <v>12888</v>
      </c>
      <c r="D947" s="5">
        <v>0.49572916666666667</v>
      </c>
      <c r="E947">
        <v>145.08000000000001</v>
      </c>
      <c r="F947" t="s">
        <v>44</v>
      </c>
      <c r="G947" t="s">
        <v>844</v>
      </c>
      <c r="H947" t="s">
        <v>46</v>
      </c>
      <c r="I947" t="s">
        <v>110</v>
      </c>
      <c r="J947" t="s">
        <v>3947</v>
      </c>
      <c r="K947">
        <v>19</v>
      </c>
      <c r="L947" t="s">
        <v>49</v>
      </c>
      <c r="M947" t="s">
        <v>35</v>
      </c>
      <c r="N947" t="s">
        <v>51</v>
      </c>
      <c r="O947" t="s">
        <v>28</v>
      </c>
      <c r="P947" t="s">
        <v>31</v>
      </c>
      <c r="Q947">
        <v>0</v>
      </c>
      <c r="R947" t="s">
        <v>12883</v>
      </c>
      <c r="S947" t="s">
        <v>12892</v>
      </c>
    </row>
    <row r="948" spans="1:19" x14ac:dyDescent="0.25">
      <c r="A948" t="s">
        <v>6052</v>
      </c>
      <c r="B948" s="1">
        <v>45913</v>
      </c>
      <c r="C948" t="s">
        <v>12882</v>
      </c>
      <c r="D948" s="5">
        <v>0.46826388888888887</v>
      </c>
      <c r="E948">
        <v>145.04</v>
      </c>
      <c r="F948" t="s">
        <v>44</v>
      </c>
      <c r="G948" t="s">
        <v>6053</v>
      </c>
      <c r="H948" t="s">
        <v>34</v>
      </c>
      <c r="I948" t="s">
        <v>47</v>
      </c>
      <c r="J948" t="s">
        <v>6054</v>
      </c>
      <c r="K948">
        <v>67</v>
      </c>
      <c r="L948" t="s">
        <v>49</v>
      </c>
      <c r="M948" t="s">
        <v>26</v>
      </c>
      <c r="N948" t="s">
        <v>84</v>
      </c>
      <c r="O948" t="s">
        <v>28</v>
      </c>
      <c r="P948" t="s">
        <v>31</v>
      </c>
      <c r="Q948">
        <v>0</v>
      </c>
      <c r="R948" t="s">
        <v>12883</v>
      </c>
      <c r="S948" t="s">
        <v>12884</v>
      </c>
    </row>
    <row r="949" spans="1:19" x14ac:dyDescent="0.25">
      <c r="A949" t="s">
        <v>9709</v>
      </c>
      <c r="B949" s="1">
        <v>45940</v>
      </c>
      <c r="C949" t="s">
        <v>12890</v>
      </c>
      <c r="D949" s="5">
        <v>0.58094907407407403</v>
      </c>
      <c r="E949">
        <v>145</v>
      </c>
      <c r="F949" t="s">
        <v>44</v>
      </c>
      <c r="G949" t="s">
        <v>4775</v>
      </c>
      <c r="H949" t="s">
        <v>22</v>
      </c>
      <c r="I949" t="s">
        <v>66</v>
      </c>
      <c r="J949" t="s">
        <v>9710</v>
      </c>
      <c r="K949">
        <v>21</v>
      </c>
      <c r="L949" t="s">
        <v>25</v>
      </c>
      <c r="M949" t="s">
        <v>47</v>
      </c>
      <c r="N949" t="s">
        <v>27</v>
      </c>
      <c r="O949" t="s">
        <v>28</v>
      </c>
      <c r="P949" t="s">
        <v>31</v>
      </c>
      <c r="Q949">
        <v>0</v>
      </c>
      <c r="R949" t="s">
        <v>12883</v>
      </c>
      <c r="S949" t="s">
        <v>12892</v>
      </c>
    </row>
    <row r="950" spans="1:19" x14ac:dyDescent="0.25">
      <c r="A950" t="s">
        <v>4241</v>
      </c>
      <c r="B950" s="1">
        <v>45818</v>
      </c>
      <c r="C950" t="s">
        <v>12888</v>
      </c>
      <c r="D950" s="5">
        <v>0.18172453703703703</v>
      </c>
      <c r="E950">
        <v>144.83000000000001</v>
      </c>
      <c r="F950" t="s">
        <v>44</v>
      </c>
      <c r="G950" t="s">
        <v>4242</v>
      </c>
      <c r="H950" t="s">
        <v>34</v>
      </c>
      <c r="I950" t="s">
        <v>58</v>
      </c>
      <c r="J950" t="s">
        <v>4243</v>
      </c>
      <c r="K950">
        <v>49</v>
      </c>
      <c r="L950" t="s">
        <v>49</v>
      </c>
      <c r="M950" t="s">
        <v>47</v>
      </c>
      <c r="N950" t="s">
        <v>39</v>
      </c>
      <c r="O950" t="s">
        <v>28</v>
      </c>
      <c r="P950" t="s">
        <v>31</v>
      </c>
      <c r="Q950">
        <v>0</v>
      </c>
      <c r="R950" t="s">
        <v>12883</v>
      </c>
      <c r="S950" t="s">
        <v>12886</v>
      </c>
    </row>
    <row r="951" spans="1:19" x14ac:dyDescent="0.25">
      <c r="A951" t="s">
        <v>12149</v>
      </c>
      <c r="B951" s="1">
        <v>45824</v>
      </c>
      <c r="C951" t="s">
        <v>12888</v>
      </c>
      <c r="D951" s="5">
        <v>0.9854398148148148</v>
      </c>
      <c r="E951">
        <v>144.76</v>
      </c>
      <c r="F951" t="s">
        <v>44</v>
      </c>
      <c r="G951" t="s">
        <v>839</v>
      </c>
      <c r="H951" t="s">
        <v>96</v>
      </c>
      <c r="I951" t="s">
        <v>50</v>
      </c>
      <c r="J951" t="s">
        <v>12150</v>
      </c>
      <c r="K951">
        <v>32</v>
      </c>
      <c r="L951" t="s">
        <v>37</v>
      </c>
      <c r="M951" t="s">
        <v>47</v>
      </c>
      <c r="N951" t="s">
        <v>112</v>
      </c>
      <c r="O951" t="s">
        <v>28</v>
      </c>
      <c r="P951" t="s">
        <v>31</v>
      </c>
      <c r="Q951">
        <v>0</v>
      </c>
      <c r="R951" t="s">
        <v>12883</v>
      </c>
      <c r="S951" t="s">
        <v>12889</v>
      </c>
    </row>
    <row r="952" spans="1:19" x14ac:dyDescent="0.25">
      <c r="A952" t="s">
        <v>2569</v>
      </c>
      <c r="B952" s="1">
        <v>45915</v>
      </c>
      <c r="C952" t="s">
        <v>12882</v>
      </c>
      <c r="D952" s="5">
        <v>0.91081018518518519</v>
      </c>
      <c r="E952">
        <v>144.56</v>
      </c>
      <c r="F952" t="s">
        <v>44</v>
      </c>
      <c r="G952" t="s">
        <v>2570</v>
      </c>
      <c r="H952" t="s">
        <v>46</v>
      </c>
      <c r="I952" t="s">
        <v>91</v>
      </c>
      <c r="J952" t="s">
        <v>2571</v>
      </c>
      <c r="K952">
        <v>64</v>
      </c>
      <c r="L952" t="s">
        <v>25</v>
      </c>
      <c r="M952" t="s">
        <v>91</v>
      </c>
      <c r="N952" t="s">
        <v>112</v>
      </c>
      <c r="O952" t="s">
        <v>113</v>
      </c>
      <c r="P952" t="s">
        <v>31</v>
      </c>
      <c r="Q952">
        <v>0</v>
      </c>
      <c r="R952" t="s">
        <v>12883</v>
      </c>
      <c r="S952" t="s">
        <v>12884</v>
      </c>
    </row>
    <row r="953" spans="1:19" x14ac:dyDescent="0.25">
      <c r="A953" t="s">
        <v>5196</v>
      </c>
      <c r="B953" s="1">
        <v>45933</v>
      </c>
      <c r="C953" t="s">
        <v>12890</v>
      </c>
      <c r="D953" s="5">
        <v>0.93334490740740739</v>
      </c>
      <c r="E953">
        <v>144.5</v>
      </c>
      <c r="F953" t="s">
        <v>44</v>
      </c>
      <c r="G953" t="s">
        <v>4473</v>
      </c>
      <c r="H953" t="s">
        <v>64</v>
      </c>
      <c r="I953" t="s">
        <v>91</v>
      </c>
      <c r="J953" t="s">
        <v>5197</v>
      </c>
      <c r="K953">
        <v>46</v>
      </c>
      <c r="L953" t="s">
        <v>25</v>
      </c>
      <c r="M953" t="s">
        <v>50</v>
      </c>
      <c r="N953" t="s">
        <v>39</v>
      </c>
      <c r="O953" t="s">
        <v>28</v>
      </c>
      <c r="P953" t="s">
        <v>31</v>
      </c>
      <c r="Q953">
        <v>0</v>
      </c>
      <c r="R953" t="s">
        <v>12883</v>
      </c>
      <c r="S953" t="s">
        <v>12886</v>
      </c>
    </row>
    <row r="954" spans="1:19" x14ac:dyDescent="0.25">
      <c r="A954" t="s">
        <v>4062</v>
      </c>
      <c r="B954" s="1">
        <v>45864</v>
      </c>
      <c r="C954" t="s">
        <v>12885</v>
      </c>
      <c r="D954" s="5">
        <v>0.27900462962962963</v>
      </c>
      <c r="E954">
        <v>144.49</v>
      </c>
      <c r="F954" t="s">
        <v>44</v>
      </c>
      <c r="G954" t="s">
        <v>486</v>
      </c>
      <c r="H954" t="s">
        <v>57</v>
      </c>
      <c r="I954" t="s">
        <v>130</v>
      </c>
      <c r="J954" t="s">
        <v>4063</v>
      </c>
      <c r="K954">
        <v>52</v>
      </c>
      <c r="L954" t="s">
        <v>25</v>
      </c>
      <c r="M954" t="s">
        <v>146</v>
      </c>
      <c r="N954" t="s">
        <v>112</v>
      </c>
      <c r="O954" t="s">
        <v>28</v>
      </c>
      <c r="P954" t="s">
        <v>31</v>
      </c>
      <c r="Q954">
        <v>0</v>
      </c>
      <c r="R954" t="s">
        <v>12883</v>
      </c>
      <c r="S954" t="s">
        <v>12886</v>
      </c>
    </row>
    <row r="955" spans="1:19" x14ac:dyDescent="0.25">
      <c r="A955" t="s">
        <v>8010</v>
      </c>
      <c r="B955" s="1">
        <v>45912</v>
      </c>
      <c r="C955" t="s">
        <v>12882</v>
      </c>
      <c r="D955" s="5">
        <v>0.45781250000000001</v>
      </c>
      <c r="E955">
        <v>144.44</v>
      </c>
      <c r="F955" t="s">
        <v>44</v>
      </c>
      <c r="G955" t="s">
        <v>763</v>
      </c>
      <c r="H955" t="s">
        <v>22</v>
      </c>
      <c r="I955" t="s">
        <v>248</v>
      </c>
      <c r="J955" t="s">
        <v>8011</v>
      </c>
      <c r="K955">
        <v>34</v>
      </c>
      <c r="L955" t="s">
        <v>25</v>
      </c>
      <c r="M955" t="s">
        <v>130</v>
      </c>
      <c r="N955" t="s">
        <v>27</v>
      </c>
      <c r="O955" t="s">
        <v>28</v>
      </c>
      <c r="P955" t="s">
        <v>31</v>
      </c>
      <c r="Q955">
        <v>0</v>
      </c>
      <c r="R955" t="s">
        <v>12883</v>
      </c>
      <c r="S955" t="s">
        <v>12889</v>
      </c>
    </row>
    <row r="956" spans="1:19" x14ac:dyDescent="0.25">
      <c r="A956" t="s">
        <v>6239</v>
      </c>
      <c r="B956" s="1">
        <v>45794</v>
      </c>
      <c r="C956" t="s">
        <v>12887</v>
      </c>
      <c r="D956" s="5">
        <v>0.31484953703703705</v>
      </c>
      <c r="E956">
        <v>144.24</v>
      </c>
      <c r="F956" t="s">
        <v>44</v>
      </c>
      <c r="G956" t="s">
        <v>3753</v>
      </c>
      <c r="H956" t="s">
        <v>96</v>
      </c>
      <c r="I956" t="s">
        <v>97</v>
      </c>
      <c r="J956" t="s">
        <v>6240</v>
      </c>
      <c r="K956">
        <v>72</v>
      </c>
      <c r="L956" t="s">
        <v>49</v>
      </c>
      <c r="M956" t="s">
        <v>23</v>
      </c>
      <c r="N956" t="s">
        <v>39</v>
      </c>
      <c r="O956" t="s">
        <v>28</v>
      </c>
      <c r="P956" t="s">
        <v>31</v>
      </c>
      <c r="Q956">
        <v>0</v>
      </c>
      <c r="R956" t="s">
        <v>12883</v>
      </c>
      <c r="S956" t="s">
        <v>12884</v>
      </c>
    </row>
    <row r="957" spans="1:19" x14ac:dyDescent="0.25">
      <c r="A957" t="s">
        <v>4569</v>
      </c>
      <c r="B957" s="1">
        <v>45922</v>
      </c>
      <c r="C957" t="s">
        <v>12882</v>
      </c>
      <c r="D957" s="5">
        <v>0.37942129629629628</v>
      </c>
      <c r="E957">
        <v>144.22</v>
      </c>
      <c r="F957" t="s">
        <v>44</v>
      </c>
      <c r="G957" t="s">
        <v>2918</v>
      </c>
      <c r="H957" t="s">
        <v>57</v>
      </c>
      <c r="I957" t="s">
        <v>26</v>
      </c>
      <c r="J957" t="s">
        <v>4570</v>
      </c>
      <c r="K957">
        <v>64</v>
      </c>
      <c r="L957" t="s">
        <v>49</v>
      </c>
      <c r="M957" t="s">
        <v>110</v>
      </c>
      <c r="N957" t="s">
        <v>51</v>
      </c>
      <c r="O957" t="s">
        <v>28</v>
      </c>
      <c r="P957" t="s">
        <v>31</v>
      </c>
      <c r="Q957">
        <v>0</v>
      </c>
      <c r="R957" t="s">
        <v>12883</v>
      </c>
      <c r="S957" t="s">
        <v>12884</v>
      </c>
    </row>
    <row r="958" spans="1:19" x14ac:dyDescent="0.25">
      <c r="A958" t="s">
        <v>3313</v>
      </c>
      <c r="B958" s="1">
        <v>45945</v>
      </c>
      <c r="C958" t="s">
        <v>12890</v>
      </c>
      <c r="D958" s="5">
        <v>0.63993055555555556</v>
      </c>
      <c r="E958">
        <v>144.06</v>
      </c>
      <c r="F958" t="s">
        <v>44</v>
      </c>
      <c r="G958" t="s">
        <v>3314</v>
      </c>
      <c r="H958" t="s">
        <v>77</v>
      </c>
      <c r="I958" t="s">
        <v>35</v>
      </c>
      <c r="J958" t="s">
        <v>1525</v>
      </c>
      <c r="K958">
        <v>75</v>
      </c>
      <c r="L958" t="s">
        <v>49</v>
      </c>
      <c r="M958" t="s">
        <v>91</v>
      </c>
      <c r="N958" t="s">
        <v>112</v>
      </c>
      <c r="O958" t="s">
        <v>28</v>
      </c>
      <c r="P958" t="s">
        <v>31</v>
      </c>
      <c r="Q958">
        <v>0</v>
      </c>
      <c r="R958" t="s">
        <v>12883</v>
      </c>
      <c r="S958" t="s">
        <v>12884</v>
      </c>
    </row>
    <row r="959" spans="1:19" x14ac:dyDescent="0.25">
      <c r="A959" t="s">
        <v>7485</v>
      </c>
      <c r="B959" s="1">
        <v>45831</v>
      </c>
      <c r="C959" t="s">
        <v>12888</v>
      </c>
      <c r="D959" s="5">
        <v>0.39603009259259259</v>
      </c>
      <c r="E959">
        <v>143.96</v>
      </c>
      <c r="F959" t="s">
        <v>44</v>
      </c>
      <c r="G959" t="s">
        <v>7486</v>
      </c>
      <c r="H959" t="s">
        <v>46</v>
      </c>
      <c r="I959" t="s">
        <v>47</v>
      </c>
      <c r="J959" t="s">
        <v>7487</v>
      </c>
      <c r="K959">
        <v>61</v>
      </c>
      <c r="L959" t="s">
        <v>25</v>
      </c>
      <c r="M959" t="s">
        <v>66</v>
      </c>
      <c r="N959" t="s">
        <v>105</v>
      </c>
      <c r="O959" t="s">
        <v>28</v>
      </c>
      <c r="P959" t="s">
        <v>31</v>
      </c>
      <c r="Q959">
        <v>0</v>
      </c>
      <c r="R959" t="s">
        <v>12883</v>
      </c>
      <c r="S959" t="s">
        <v>12884</v>
      </c>
    </row>
    <row r="960" spans="1:19" x14ac:dyDescent="0.25">
      <c r="A960" t="s">
        <v>6859</v>
      </c>
      <c r="B960" s="1">
        <v>45858</v>
      </c>
      <c r="C960" t="s">
        <v>12885</v>
      </c>
      <c r="D960" s="5">
        <v>5.9722222222222225E-3</v>
      </c>
      <c r="E960">
        <v>143.85</v>
      </c>
      <c r="F960" t="s">
        <v>44</v>
      </c>
      <c r="G960" t="s">
        <v>6860</v>
      </c>
      <c r="H960" t="s">
        <v>46</v>
      </c>
      <c r="I960" t="s">
        <v>146</v>
      </c>
      <c r="J960" t="s">
        <v>6861</v>
      </c>
      <c r="K960">
        <v>74</v>
      </c>
      <c r="L960" t="s">
        <v>49</v>
      </c>
      <c r="M960" t="s">
        <v>91</v>
      </c>
      <c r="N960" t="s">
        <v>39</v>
      </c>
      <c r="O960" t="s">
        <v>28</v>
      </c>
      <c r="P960" t="s">
        <v>31</v>
      </c>
      <c r="Q960">
        <v>0</v>
      </c>
      <c r="R960" t="s">
        <v>12883</v>
      </c>
      <c r="S960" t="s">
        <v>12884</v>
      </c>
    </row>
    <row r="961" spans="1:19" x14ac:dyDescent="0.25">
      <c r="A961" t="s">
        <v>6748</v>
      </c>
      <c r="B961" s="1">
        <v>45879</v>
      </c>
      <c r="C961" t="s">
        <v>12893</v>
      </c>
      <c r="D961" s="5">
        <v>0.55222222222222217</v>
      </c>
      <c r="E961">
        <v>143.81</v>
      </c>
      <c r="F961" t="s">
        <v>44</v>
      </c>
      <c r="G961" t="s">
        <v>1403</v>
      </c>
      <c r="H961" t="s">
        <v>22</v>
      </c>
      <c r="I961" t="s">
        <v>23</v>
      </c>
      <c r="J961" t="s">
        <v>2552</v>
      </c>
      <c r="K961">
        <v>58</v>
      </c>
      <c r="L961" t="s">
        <v>49</v>
      </c>
      <c r="M961" t="s">
        <v>91</v>
      </c>
      <c r="N961" t="s">
        <v>39</v>
      </c>
      <c r="O961" t="s">
        <v>28</v>
      </c>
      <c r="P961" t="s">
        <v>31</v>
      </c>
      <c r="Q961">
        <v>0</v>
      </c>
      <c r="R961" t="s">
        <v>12883</v>
      </c>
      <c r="S961" t="s">
        <v>12886</v>
      </c>
    </row>
    <row r="962" spans="1:19" x14ac:dyDescent="0.25">
      <c r="A962" t="s">
        <v>9962</v>
      </c>
      <c r="B962" s="1">
        <v>45868</v>
      </c>
      <c r="C962" t="s">
        <v>12885</v>
      </c>
      <c r="D962" s="5">
        <v>0.88321759259259258</v>
      </c>
      <c r="E962">
        <v>143.66999999999999</v>
      </c>
      <c r="F962" t="s">
        <v>44</v>
      </c>
      <c r="G962" t="s">
        <v>9963</v>
      </c>
      <c r="H962" t="s">
        <v>77</v>
      </c>
      <c r="I962" t="s">
        <v>130</v>
      </c>
      <c r="J962" t="s">
        <v>9964</v>
      </c>
      <c r="K962">
        <v>69</v>
      </c>
      <c r="L962" t="s">
        <v>25</v>
      </c>
      <c r="M962" t="s">
        <v>130</v>
      </c>
      <c r="N962" t="s">
        <v>112</v>
      </c>
      <c r="O962" t="s">
        <v>113</v>
      </c>
      <c r="P962" t="s">
        <v>31</v>
      </c>
      <c r="Q962">
        <v>0</v>
      </c>
      <c r="R962" t="s">
        <v>12883</v>
      </c>
      <c r="S962" t="s">
        <v>12884</v>
      </c>
    </row>
    <row r="963" spans="1:19" x14ac:dyDescent="0.25">
      <c r="A963" t="s">
        <v>8985</v>
      </c>
      <c r="B963" s="1">
        <v>45927</v>
      </c>
      <c r="C963" t="s">
        <v>12882</v>
      </c>
      <c r="D963" s="5">
        <v>0.24791666666666667</v>
      </c>
      <c r="E963">
        <v>143.6</v>
      </c>
      <c r="F963" t="s">
        <v>44</v>
      </c>
      <c r="G963" t="s">
        <v>8986</v>
      </c>
      <c r="H963" t="s">
        <v>77</v>
      </c>
      <c r="I963" t="s">
        <v>66</v>
      </c>
      <c r="J963" t="s">
        <v>8987</v>
      </c>
      <c r="K963">
        <v>25</v>
      </c>
      <c r="L963" t="s">
        <v>37</v>
      </c>
      <c r="M963" t="s">
        <v>130</v>
      </c>
      <c r="N963" t="s">
        <v>27</v>
      </c>
      <c r="O963" t="s">
        <v>28</v>
      </c>
      <c r="P963" t="s">
        <v>31</v>
      </c>
      <c r="Q963">
        <v>0</v>
      </c>
      <c r="R963" t="s">
        <v>12883</v>
      </c>
      <c r="S963" t="s">
        <v>12889</v>
      </c>
    </row>
    <row r="964" spans="1:19" x14ac:dyDescent="0.25">
      <c r="A964" t="s">
        <v>8399</v>
      </c>
      <c r="B964" s="1">
        <v>45955</v>
      </c>
      <c r="C964" t="s">
        <v>12890</v>
      </c>
      <c r="D964" s="5">
        <v>0.95690972222222226</v>
      </c>
      <c r="E964">
        <v>143.51</v>
      </c>
      <c r="F964" t="s">
        <v>44</v>
      </c>
      <c r="G964" t="s">
        <v>586</v>
      </c>
      <c r="H964" t="s">
        <v>96</v>
      </c>
      <c r="I964" t="s">
        <v>91</v>
      </c>
      <c r="J964" t="s">
        <v>8400</v>
      </c>
      <c r="K964">
        <v>49</v>
      </c>
      <c r="L964" t="s">
        <v>25</v>
      </c>
      <c r="M964" t="s">
        <v>97</v>
      </c>
      <c r="N964" t="s">
        <v>105</v>
      </c>
      <c r="O964" t="s">
        <v>28</v>
      </c>
      <c r="P964" t="s">
        <v>31</v>
      </c>
      <c r="Q964">
        <v>0</v>
      </c>
      <c r="R964" t="s">
        <v>12883</v>
      </c>
      <c r="S964" t="s">
        <v>12886</v>
      </c>
    </row>
    <row r="965" spans="1:19" x14ac:dyDescent="0.25">
      <c r="A965" t="s">
        <v>6147</v>
      </c>
      <c r="B965" s="1">
        <v>45934</v>
      </c>
      <c r="C965" t="s">
        <v>12890</v>
      </c>
      <c r="D965" s="5">
        <v>0.33591435185185187</v>
      </c>
      <c r="E965">
        <v>143.38</v>
      </c>
      <c r="F965" t="s">
        <v>44</v>
      </c>
      <c r="G965" t="s">
        <v>6148</v>
      </c>
      <c r="H965" t="s">
        <v>77</v>
      </c>
      <c r="I965" t="s">
        <v>35</v>
      </c>
      <c r="J965" t="s">
        <v>6149</v>
      </c>
      <c r="K965">
        <v>44</v>
      </c>
      <c r="L965" t="s">
        <v>49</v>
      </c>
      <c r="M965" t="s">
        <v>130</v>
      </c>
      <c r="N965" t="s">
        <v>27</v>
      </c>
      <c r="O965" t="s">
        <v>28</v>
      </c>
      <c r="P965" t="s">
        <v>31</v>
      </c>
      <c r="Q965">
        <v>0</v>
      </c>
      <c r="R965" t="s">
        <v>12883</v>
      </c>
      <c r="S965" t="s">
        <v>12886</v>
      </c>
    </row>
    <row r="966" spans="1:19" x14ac:dyDescent="0.25">
      <c r="A966" t="s">
        <v>3016</v>
      </c>
      <c r="B966" s="1">
        <v>45889</v>
      </c>
      <c r="C966" t="s">
        <v>12893</v>
      </c>
      <c r="D966" s="5">
        <v>6.1886574074074073E-2</v>
      </c>
      <c r="E966">
        <v>142.99</v>
      </c>
      <c r="F966" t="s">
        <v>44</v>
      </c>
      <c r="G966" t="s">
        <v>3017</v>
      </c>
      <c r="H966" t="s">
        <v>96</v>
      </c>
      <c r="I966" t="s">
        <v>97</v>
      </c>
      <c r="J966" t="s">
        <v>3018</v>
      </c>
      <c r="K966">
        <v>41</v>
      </c>
      <c r="L966" t="s">
        <v>37</v>
      </c>
      <c r="M966" t="s">
        <v>91</v>
      </c>
      <c r="N966" t="s">
        <v>84</v>
      </c>
      <c r="O966" t="s">
        <v>28</v>
      </c>
      <c r="P966" t="s">
        <v>31</v>
      </c>
      <c r="Q966">
        <v>0</v>
      </c>
      <c r="R966" t="s">
        <v>12883</v>
      </c>
      <c r="S966" t="s">
        <v>12886</v>
      </c>
    </row>
    <row r="967" spans="1:19" x14ac:dyDescent="0.25">
      <c r="A967" t="s">
        <v>8466</v>
      </c>
      <c r="B967" s="1">
        <v>45810</v>
      </c>
      <c r="C967" t="s">
        <v>12888</v>
      </c>
      <c r="D967" s="5">
        <v>0.54063657407407406</v>
      </c>
      <c r="E967">
        <v>142.9</v>
      </c>
      <c r="F967" t="s">
        <v>44</v>
      </c>
      <c r="G967" t="s">
        <v>3008</v>
      </c>
      <c r="H967" t="s">
        <v>57</v>
      </c>
      <c r="I967" t="s">
        <v>97</v>
      </c>
      <c r="J967" t="s">
        <v>8467</v>
      </c>
      <c r="K967">
        <v>19</v>
      </c>
      <c r="L967" t="s">
        <v>25</v>
      </c>
      <c r="M967" t="s">
        <v>58</v>
      </c>
      <c r="N967" t="s">
        <v>112</v>
      </c>
      <c r="O967" t="s">
        <v>28</v>
      </c>
      <c r="P967" t="s">
        <v>31</v>
      </c>
      <c r="Q967">
        <v>0</v>
      </c>
      <c r="R967" t="s">
        <v>12883</v>
      </c>
      <c r="S967" t="s">
        <v>12892</v>
      </c>
    </row>
    <row r="968" spans="1:19" x14ac:dyDescent="0.25">
      <c r="A968" t="s">
        <v>12134</v>
      </c>
      <c r="B968" s="1">
        <v>45800</v>
      </c>
      <c r="C968" t="s">
        <v>12887</v>
      </c>
      <c r="D968" s="5">
        <v>4.5925925925925926E-2</v>
      </c>
      <c r="E968">
        <v>142.79</v>
      </c>
      <c r="F968" t="s">
        <v>44</v>
      </c>
      <c r="G968" t="s">
        <v>3763</v>
      </c>
      <c r="H968" t="s">
        <v>57</v>
      </c>
      <c r="I968" t="s">
        <v>248</v>
      </c>
      <c r="J968" t="s">
        <v>12135</v>
      </c>
      <c r="K968">
        <v>61</v>
      </c>
      <c r="L968" t="s">
        <v>37</v>
      </c>
      <c r="M968" t="s">
        <v>97</v>
      </c>
      <c r="N968" t="s">
        <v>112</v>
      </c>
      <c r="O968" t="s">
        <v>28</v>
      </c>
      <c r="P968" t="s">
        <v>31</v>
      </c>
      <c r="Q968">
        <v>0</v>
      </c>
      <c r="R968" t="s">
        <v>12883</v>
      </c>
      <c r="S968" t="s">
        <v>12884</v>
      </c>
    </row>
    <row r="969" spans="1:19" x14ac:dyDescent="0.25">
      <c r="A969" t="s">
        <v>417</v>
      </c>
      <c r="B969" s="1">
        <v>45939</v>
      </c>
      <c r="C969" t="s">
        <v>12890</v>
      </c>
      <c r="D969" s="5">
        <v>0.62186342592592592</v>
      </c>
      <c r="E969">
        <v>142.78</v>
      </c>
      <c r="F969" t="s">
        <v>44</v>
      </c>
      <c r="G969" t="s">
        <v>418</v>
      </c>
      <c r="H969" t="s">
        <v>124</v>
      </c>
      <c r="I969" t="s">
        <v>91</v>
      </c>
      <c r="J969" t="s">
        <v>419</v>
      </c>
      <c r="K969">
        <v>37</v>
      </c>
      <c r="L969" t="s">
        <v>37</v>
      </c>
      <c r="M969" t="s">
        <v>35</v>
      </c>
      <c r="N969" t="s">
        <v>84</v>
      </c>
      <c r="O969" t="s">
        <v>28</v>
      </c>
      <c r="P969" t="s">
        <v>31</v>
      </c>
      <c r="Q969">
        <v>0</v>
      </c>
      <c r="R969" t="s">
        <v>12883</v>
      </c>
      <c r="S969" t="s">
        <v>12889</v>
      </c>
    </row>
    <row r="970" spans="1:19" x14ac:dyDescent="0.25">
      <c r="A970" t="s">
        <v>221</v>
      </c>
      <c r="B970" s="1">
        <v>45914</v>
      </c>
      <c r="C970" t="s">
        <v>12882</v>
      </c>
      <c r="D970" s="5">
        <v>0.63337962962962968</v>
      </c>
      <c r="E970">
        <v>142.72</v>
      </c>
      <c r="F970" t="s">
        <v>44</v>
      </c>
      <c r="G970" t="s">
        <v>222</v>
      </c>
      <c r="H970" t="s">
        <v>77</v>
      </c>
      <c r="I970" t="s">
        <v>97</v>
      </c>
      <c r="J970" t="s">
        <v>223</v>
      </c>
      <c r="K970">
        <v>38</v>
      </c>
      <c r="L970" t="s">
        <v>25</v>
      </c>
      <c r="M970" t="s">
        <v>146</v>
      </c>
      <c r="N970" t="s">
        <v>27</v>
      </c>
      <c r="O970" t="s">
        <v>28</v>
      </c>
      <c r="P970" t="s">
        <v>31</v>
      </c>
      <c r="Q970">
        <v>1</v>
      </c>
      <c r="R970" t="s">
        <v>12891</v>
      </c>
      <c r="S970" t="s">
        <v>12889</v>
      </c>
    </row>
    <row r="971" spans="1:19" x14ac:dyDescent="0.25">
      <c r="A971" t="s">
        <v>8642</v>
      </c>
      <c r="B971" s="1">
        <v>45927</v>
      </c>
      <c r="C971" t="s">
        <v>12882</v>
      </c>
      <c r="D971" s="5">
        <v>0.94212962962962965</v>
      </c>
      <c r="E971">
        <v>142.57</v>
      </c>
      <c r="F971" t="s">
        <v>44</v>
      </c>
      <c r="G971" t="s">
        <v>1427</v>
      </c>
      <c r="H971" t="s">
        <v>34</v>
      </c>
      <c r="I971" t="s">
        <v>26</v>
      </c>
      <c r="J971" t="s">
        <v>8643</v>
      </c>
      <c r="K971">
        <v>21</v>
      </c>
      <c r="L971" t="s">
        <v>37</v>
      </c>
      <c r="M971" t="s">
        <v>50</v>
      </c>
      <c r="N971" t="s">
        <v>51</v>
      </c>
      <c r="O971" t="s">
        <v>28</v>
      </c>
      <c r="P971" t="s">
        <v>31</v>
      </c>
      <c r="Q971">
        <v>0</v>
      </c>
      <c r="R971" t="s">
        <v>12883</v>
      </c>
      <c r="S971" t="s">
        <v>12892</v>
      </c>
    </row>
    <row r="972" spans="1:19" x14ac:dyDescent="0.25">
      <c r="A972" t="s">
        <v>1606</v>
      </c>
      <c r="B972" s="1">
        <v>45891</v>
      </c>
      <c r="C972" t="s">
        <v>12893</v>
      </c>
      <c r="D972" s="5">
        <v>0.56144675925925924</v>
      </c>
      <c r="E972">
        <v>142.54</v>
      </c>
      <c r="F972" t="s">
        <v>44</v>
      </c>
      <c r="G972" t="s">
        <v>1607</v>
      </c>
      <c r="H972" t="s">
        <v>71</v>
      </c>
      <c r="I972" t="s">
        <v>23</v>
      </c>
      <c r="J972" t="s">
        <v>1608</v>
      </c>
      <c r="K972">
        <v>45</v>
      </c>
      <c r="L972" t="s">
        <v>25</v>
      </c>
      <c r="M972" t="s">
        <v>248</v>
      </c>
      <c r="N972" t="s">
        <v>51</v>
      </c>
      <c r="O972" t="s">
        <v>28</v>
      </c>
      <c r="P972" t="s">
        <v>31</v>
      </c>
      <c r="Q972">
        <v>0</v>
      </c>
      <c r="R972" t="s">
        <v>12883</v>
      </c>
      <c r="S972" t="s">
        <v>12886</v>
      </c>
    </row>
    <row r="973" spans="1:19" x14ac:dyDescent="0.25">
      <c r="A973" t="s">
        <v>5736</v>
      </c>
      <c r="B973" s="1">
        <v>45852</v>
      </c>
      <c r="C973" t="s">
        <v>12885</v>
      </c>
      <c r="D973" s="5">
        <v>0.76718750000000002</v>
      </c>
      <c r="E973">
        <v>142.51</v>
      </c>
      <c r="F973" t="s">
        <v>44</v>
      </c>
      <c r="G973" t="s">
        <v>4833</v>
      </c>
      <c r="H973" t="s">
        <v>89</v>
      </c>
      <c r="I973" t="s">
        <v>97</v>
      </c>
      <c r="J973" t="s">
        <v>5737</v>
      </c>
      <c r="K973">
        <v>23</v>
      </c>
      <c r="L973" t="s">
        <v>37</v>
      </c>
      <c r="M973" t="s">
        <v>248</v>
      </c>
      <c r="N973" t="s">
        <v>51</v>
      </c>
      <c r="O973" t="s">
        <v>28</v>
      </c>
      <c r="P973" t="s">
        <v>31</v>
      </c>
      <c r="Q973">
        <v>0</v>
      </c>
      <c r="R973" t="s">
        <v>12883</v>
      </c>
      <c r="S973" t="s">
        <v>12892</v>
      </c>
    </row>
    <row r="974" spans="1:19" x14ac:dyDescent="0.25">
      <c r="A974" t="s">
        <v>12145</v>
      </c>
      <c r="B974" s="1">
        <v>45869</v>
      </c>
      <c r="C974" t="s">
        <v>12885</v>
      </c>
      <c r="D974" s="5">
        <v>0.25599537037037035</v>
      </c>
      <c r="E974">
        <v>142.35</v>
      </c>
      <c r="F974" t="s">
        <v>44</v>
      </c>
      <c r="G974" t="s">
        <v>7533</v>
      </c>
      <c r="H974" t="s">
        <v>77</v>
      </c>
      <c r="I974" t="s">
        <v>130</v>
      </c>
      <c r="J974" t="s">
        <v>12146</v>
      </c>
      <c r="K974">
        <v>41</v>
      </c>
      <c r="L974" t="s">
        <v>37</v>
      </c>
      <c r="M974" t="s">
        <v>35</v>
      </c>
      <c r="N974" t="s">
        <v>105</v>
      </c>
      <c r="O974" t="s">
        <v>28</v>
      </c>
      <c r="P974" t="s">
        <v>31</v>
      </c>
      <c r="Q974">
        <v>0</v>
      </c>
      <c r="R974" t="s">
        <v>12883</v>
      </c>
      <c r="S974" t="s">
        <v>12886</v>
      </c>
    </row>
    <row r="975" spans="1:19" x14ac:dyDescent="0.25">
      <c r="A975" t="s">
        <v>9202</v>
      </c>
      <c r="B975" s="1">
        <v>45899</v>
      </c>
      <c r="C975" t="s">
        <v>12893</v>
      </c>
      <c r="D975" s="5">
        <v>0.30539351851851854</v>
      </c>
      <c r="E975">
        <v>142.16</v>
      </c>
      <c r="F975" t="s">
        <v>44</v>
      </c>
      <c r="G975" t="s">
        <v>2805</v>
      </c>
      <c r="H975" t="s">
        <v>46</v>
      </c>
      <c r="I975" t="s">
        <v>97</v>
      </c>
      <c r="J975" t="s">
        <v>9203</v>
      </c>
      <c r="K975">
        <v>42</v>
      </c>
      <c r="L975" t="s">
        <v>25</v>
      </c>
      <c r="M975" t="s">
        <v>26</v>
      </c>
      <c r="N975" t="s">
        <v>51</v>
      </c>
      <c r="O975" t="s">
        <v>28</v>
      </c>
      <c r="P975" t="s">
        <v>31</v>
      </c>
      <c r="Q975">
        <v>0</v>
      </c>
      <c r="R975" t="s">
        <v>12883</v>
      </c>
      <c r="S975" t="s">
        <v>12886</v>
      </c>
    </row>
    <row r="976" spans="1:19" x14ac:dyDescent="0.25">
      <c r="A976" t="s">
        <v>11476</v>
      </c>
      <c r="B976" s="1">
        <v>45862</v>
      </c>
      <c r="C976" t="s">
        <v>12885</v>
      </c>
      <c r="D976" s="5">
        <v>0.69459490740740737</v>
      </c>
      <c r="E976">
        <v>142.15</v>
      </c>
      <c r="F976" t="s">
        <v>44</v>
      </c>
      <c r="G976" t="s">
        <v>5152</v>
      </c>
      <c r="H976" t="s">
        <v>77</v>
      </c>
      <c r="I976" t="s">
        <v>47</v>
      </c>
      <c r="J976" t="s">
        <v>11477</v>
      </c>
      <c r="K976">
        <v>60</v>
      </c>
      <c r="L976" t="s">
        <v>37</v>
      </c>
      <c r="M976" t="s">
        <v>38</v>
      </c>
      <c r="N976" t="s">
        <v>105</v>
      </c>
      <c r="O976" t="s">
        <v>28</v>
      </c>
      <c r="P976" t="s">
        <v>31</v>
      </c>
      <c r="Q976">
        <v>0</v>
      </c>
      <c r="R976" t="s">
        <v>12883</v>
      </c>
      <c r="S976" t="s">
        <v>12884</v>
      </c>
    </row>
    <row r="977" spans="1:19" x14ac:dyDescent="0.25">
      <c r="A977" t="s">
        <v>9953</v>
      </c>
      <c r="B977" s="1">
        <v>45910</v>
      </c>
      <c r="C977" t="s">
        <v>12882</v>
      </c>
      <c r="D977" s="5">
        <v>0.25144675925925924</v>
      </c>
      <c r="E977">
        <v>141.88</v>
      </c>
      <c r="F977" t="s">
        <v>44</v>
      </c>
      <c r="G977" t="s">
        <v>9954</v>
      </c>
      <c r="H977" t="s">
        <v>71</v>
      </c>
      <c r="I977" t="s">
        <v>50</v>
      </c>
      <c r="J977" t="s">
        <v>9955</v>
      </c>
      <c r="K977">
        <v>35</v>
      </c>
      <c r="L977" t="s">
        <v>25</v>
      </c>
      <c r="M977" t="s">
        <v>110</v>
      </c>
      <c r="N977" t="s">
        <v>105</v>
      </c>
      <c r="O977" t="s">
        <v>28</v>
      </c>
      <c r="P977" t="s">
        <v>31</v>
      </c>
      <c r="Q977">
        <v>0</v>
      </c>
      <c r="R977" t="s">
        <v>12883</v>
      </c>
      <c r="S977" t="s">
        <v>12889</v>
      </c>
    </row>
    <row r="978" spans="1:19" x14ac:dyDescent="0.25">
      <c r="A978" t="s">
        <v>6820</v>
      </c>
      <c r="B978" s="1">
        <v>45796</v>
      </c>
      <c r="C978" t="s">
        <v>12887</v>
      </c>
      <c r="D978" s="5">
        <v>0.44895833333333335</v>
      </c>
      <c r="E978">
        <v>141.83000000000001</v>
      </c>
      <c r="F978" t="s">
        <v>44</v>
      </c>
      <c r="G978" t="s">
        <v>824</v>
      </c>
      <c r="H978" t="s">
        <v>89</v>
      </c>
      <c r="I978" t="s">
        <v>38</v>
      </c>
      <c r="J978" t="s">
        <v>6821</v>
      </c>
      <c r="K978">
        <v>46</v>
      </c>
      <c r="L978" t="s">
        <v>49</v>
      </c>
      <c r="M978" t="s">
        <v>119</v>
      </c>
      <c r="N978" t="s">
        <v>27</v>
      </c>
      <c r="O978" t="s">
        <v>28</v>
      </c>
      <c r="P978" t="s">
        <v>31</v>
      </c>
      <c r="Q978">
        <v>0</v>
      </c>
      <c r="R978" t="s">
        <v>12883</v>
      </c>
      <c r="S978" t="s">
        <v>12886</v>
      </c>
    </row>
    <row r="979" spans="1:19" x14ac:dyDescent="0.25">
      <c r="A979" t="s">
        <v>8438</v>
      </c>
      <c r="B979" s="1">
        <v>45934</v>
      </c>
      <c r="C979" t="s">
        <v>12890</v>
      </c>
      <c r="D979" s="5">
        <v>0.44255787037037037</v>
      </c>
      <c r="E979">
        <v>141.79</v>
      </c>
      <c r="F979" t="s">
        <v>44</v>
      </c>
      <c r="G979" t="s">
        <v>1832</v>
      </c>
      <c r="H979" t="s">
        <v>64</v>
      </c>
      <c r="I979" t="s">
        <v>38</v>
      </c>
      <c r="J979" t="s">
        <v>8439</v>
      </c>
      <c r="K979">
        <v>32</v>
      </c>
      <c r="L979" t="s">
        <v>49</v>
      </c>
      <c r="M979" t="s">
        <v>119</v>
      </c>
      <c r="N979" t="s">
        <v>112</v>
      </c>
      <c r="O979" t="s">
        <v>28</v>
      </c>
      <c r="P979" t="s">
        <v>31</v>
      </c>
      <c r="Q979">
        <v>0</v>
      </c>
      <c r="R979" t="s">
        <v>12883</v>
      </c>
      <c r="S979" t="s">
        <v>12889</v>
      </c>
    </row>
    <row r="980" spans="1:19" x14ac:dyDescent="0.25">
      <c r="A980" t="s">
        <v>12228</v>
      </c>
      <c r="B980" s="1">
        <v>45941</v>
      </c>
      <c r="C980" t="s">
        <v>12890</v>
      </c>
      <c r="D980" s="5">
        <v>0.70666666666666667</v>
      </c>
      <c r="E980">
        <v>141.78</v>
      </c>
      <c r="F980" t="s">
        <v>44</v>
      </c>
      <c r="G980" t="s">
        <v>12229</v>
      </c>
      <c r="H980" t="s">
        <v>57</v>
      </c>
      <c r="I980" t="s">
        <v>35</v>
      </c>
      <c r="J980" t="s">
        <v>12230</v>
      </c>
      <c r="K980">
        <v>37</v>
      </c>
      <c r="L980" t="s">
        <v>37</v>
      </c>
      <c r="M980" t="s">
        <v>23</v>
      </c>
      <c r="N980" t="s">
        <v>51</v>
      </c>
      <c r="O980" t="s">
        <v>28</v>
      </c>
      <c r="P980" t="s">
        <v>31</v>
      </c>
      <c r="Q980">
        <v>0</v>
      </c>
      <c r="R980" t="s">
        <v>12883</v>
      </c>
      <c r="S980" t="s">
        <v>12889</v>
      </c>
    </row>
    <row r="981" spans="1:19" x14ac:dyDescent="0.25">
      <c r="A981" t="s">
        <v>9782</v>
      </c>
      <c r="B981" s="1">
        <v>45820</v>
      </c>
      <c r="C981" t="s">
        <v>12888</v>
      </c>
      <c r="D981" s="5">
        <v>0.69261574074074073</v>
      </c>
      <c r="E981">
        <v>141.77000000000001</v>
      </c>
      <c r="F981" t="s">
        <v>44</v>
      </c>
      <c r="G981" t="s">
        <v>2860</v>
      </c>
      <c r="H981" t="s">
        <v>89</v>
      </c>
      <c r="I981" t="s">
        <v>35</v>
      </c>
      <c r="J981" t="s">
        <v>9783</v>
      </c>
      <c r="K981">
        <v>34</v>
      </c>
      <c r="L981" t="s">
        <v>49</v>
      </c>
      <c r="M981" t="s">
        <v>130</v>
      </c>
      <c r="N981" t="s">
        <v>39</v>
      </c>
      <c r="O981" t="s">
        <v>28</v>
      </c>
      <c r="P981" t="s">
        <v>31</v>
      </c>
      <c r="Q981">
        <v>0</v>
      </c>
      <c r="R981" t="s">
        <v>12883</v>
      </c>
      <c r="S981" t="s">
        <v>12889</v>
      </c>
    </row>
    <row r="982" spans="1:19" x14ac:dyDescent="0.25">
      <c r="A982" t="s">
        <v>12098</v>
      </c>
      <c r="B982" s="1">
        <v>45871</v>
      </c>
      <c r="C982" t="s">
        <v>12893</v>
      </c>
      <c r="D982" s="5">
        <v>0.60315972222222225</v>
      </c>
      <c r="E982">
        <v>141.69</v>
      </c>
      <c r="F982" t="s">
        <v>44</v>
      </c>
      <c r="G982" t="s">
        <v>384</v>
      </c>
      <c r="H982" t="s">
        <v>124</v>
      </c>
      <c r="I982" t="s">
        <v>47</v>
      </c>
      <c r="J982" t="s">
        <v>12099</v>
      </c>
      <c r="K982">
        <v>51</v>
      </c>
      <c r="L982" t="s">
        <v>49</v>
      </c>
      <c r="M982" t="s">
        <v>23</v>
      </c>
      <c r="N982" t="s">
        <v>105</v>
      </c>
      <c r="O982" t="s">
        <v>28</v>
      </c>
      <c r="P982" t="s">
        <v>31</v>
      </c>
      <c r="Q982">
        <v>0</v>
      </c>
      <c r="R982" t="s">
        <v>12883</v>
      </c>
      <c r="S982" t="s">
        <v>12886</v>
      </c>
    </row>
    <row r="983" spans="1:19" x14ac:dyDescent="0.25">
      <c r="A983" t="s">
        <v>3269</v>
      </c>
      <c r="B983" s="1">
        <v>45866</v>
      </c>
      <c r="C983" t="s">
        <v>12885</v>
      </c>
      <c r="D983" s="5">
        <v>8.4884259259259257E-2</v>
      </c>
      <c r="E983">
        <v>141.63999999999999</v>
      </c>
      <c r="F983" t="s">
        <v>44</v>
      </c>
      <c r="G983" t="s">
        <v>3270</v>
      </c>
      <c r="H983" t="s">
        <v>124</v>
      </c>
      <c r="I983" t="s">
        <v>130</v>
      </c>
      <c r="J983" t="s">
        <v>3271</v>
      </c>
      <c r="K983">
        <v>19</v>
      </c>
      <c r="L983" t="s">
        <v>25</v>
      </c>
      <c r="M983" t="s">
        <v>91</v>
      </c>
      <c r="N983" t="s">
        <v>39</v>
      </c>
      <c r="O983" t="s">
        <v>28</v>
      </c>
      <c r="P983" t="s">
        <v>31</v>
      </c>
      <c r="Q983">
        <v>0</v>
      </c>
      <c r="R983" t="s">
        <v>12883</v>
      </c>
      <c r="S983" t="s">
        <v>12892</v>
      </c>
    </row>
    <row r="984" spans="1:19" x14ac:dyDescent="0.25">
      <c r="A984" t="s">
        <v>8621</v>
      </c>
      <c r="B984" s="1">
        <v>45925</v>
      </c>
      <c r="C984" t="s">
        <v>12882</v>
      </c>
      <c r="D984" s="5">
        <v>0.13675925925925925</v>
      </c>
      <c r="E984">
        <v>141.61000000000001</v>
      </c>
      <c r="F984" t="s">
        <v>44</v>
      </c>
      <c r="G984" t="s">
        <v>1143</v>
      </c>
      <c r="H984" t="s">
        <v>64</v>
      </c>
      <c r="I984" t="s">
        <v>119</v>
      </c>
      <c r="J984" t="s">
        <v>8622</v>
      </c>
      <c r="K984">
        <v>72</v>
      </c>
      <c r="L984" t="s">
        <v>49</v>
      </c>
      <c r="M984" t="s">
        <v>248</v>
      </c>
      <c r="N984" t="s">
        <v>51</v>
      </c>
      <c r="O984" t="s">
        <v>28</v>
      </c>
      <c r="P984" t="s">
        <v>31</v>
      </c>
      <c r="Q984">
        <v>0</v>
      </c>
      <c r="R984" t="s">
        <v>12883</v>
      </c>
      <c r="S984" t="s">
        <v>12884</v>
      </c>
    </row>
    <row r="985" spans="1:19" x14ac:dyDescent="0.25">
      <c r="A985" t="s">
        <v>10758</v>
      </c>
      <c r="B985" s="1">
        <v>45956</v>
      </c>
      <c r="C985" t="s">
        <v>12890</v>
      </c>
      <c r="D985" s="5">
        <v>0.9253703703703704</v>
      </c>
      <c r="E985">
        <v>141.58000000000001</v>
      </c>
      <c r="F985" t="s">
        <v>44</v>
      </c>
      <c r="G985" t="s">
        <v>3821</v>
      </c>
      <c r="H985" t="s">
        <v>124</v>
      </c>
      <c r="I985" t="s">
        <v>248</v>
      </c>
      <c r="J985" t="s">
        <v>10759</v>
      </c>
      <c r="K985">
        <v>27</v>
      </c>
      <c r="L985" t="s">
        <v>49</v>
      </c>
      <c r="M985" t="s">
        <v>91</v>
      </c>
      <c r="N985" t="s">
        <v>112</v>
      </c>
      <c r="O985" t="s">
        <v>28</v>
      </c>
      <c r="P985" t="s">
        <v>31</v>
      </c>
      <c r="Q985">
        <v>0</v>
      </c>
      <c r="R985" t="s">
        <v>12883</v>
      </c>
      <c r="S985" t="s">
        <v>12889</v>
      </c>
    </row>
    <row r="986" spans="1:19" x14ac:dyDescent="0.25">
      <c r="A986" t="s">
        <v>6655</v>
      </c>
      <c r="B986" s="1">
        <v>45840</v>
      </c>
      <c r="C986" t="s">
        <v>12885</v>
      </c>
      <c r="D986" s="5">
        <v>6.9641203703703705E-2</v>
      </c>
      <c r="E986">
        <v>141.51</v>
      </c>
      <c r="F986" t="s">
        <v>44</v>
      </c>
      <c r="G986" t="s">
        <v>4561</v>
      </c>
      <c r="H986" t="s">
        <v>64</v>
      </c>
      <c r="I986" t="s">
        <v>58</v>
      </c>
      <c r="J986" t="s">
        <v>6656</v>
      </c>
      <c r="K986">
        <v>38</v>
      </c>
      <c r="L986" t="s">
        <v>49</v>
      </c>
      <c r="M986" t="s">
        <v>119</v>
      </c>
      <c r="N986" t="s">
        <v>112</v>
      </c>
      <c r="O986" t="s">
        <v>28</v>
      </c>
      <c r="P986" t="s">
        <v>31</v>
      </c>
      <c r="Q986">
        <v>0</v>
      </c>
      <c r="R986" t="s">
        <v>12883</v>
      </c>
      <c r="S986" t="s">
        <v>12889</v>
      </c>
    </row>
    <row r="987" spans="1:19" x14ac:dyDescent="0.25">
      <c r="A987" t="s">
        <v>4232</v>
      </c>
      <c r="B987" s="1">
        <v>45791</v>
      </c>
      <c r="C987" t="s">
        <v>12887</v>
      </c>
      <c r="D987" s="5">
        <v>0.96150462962962968</v>
      </c>
      <c r="E987">
        <v>141.12</v>
      </c>
      <c r="F987" t="s">
        <v>44</v>
      </c>
      <c r="G987" t="s">
        <v>4233</v>
      </c>
      <c r="H987" t="s">
        <v>71</v>
      </c>
      <c r="I987" t="s">
        <v>23</v>
      </c>
      <c r="J987" t="s">
        <v>4234</v>
      </c>
      <c r="K987">
        <v>65</v>
      </c>
      <c r="L987" t="s">
        <v>25</v>
      </c>
      <c r="M987" t="s">
        <v>110</v>
      </c>
      <c r="N987" t="s">
        <v>39</v>
      </c>
      <c r="O987" t="s">
        <v>28</v>
      </c>
      <c r="P987" t="s">
        <v>31</v>
      </c>
      <c r="Q987">
        <v>0</v>
      </c>
      <c r="R987" t="s">
        <v>12883</v>
      </c>
      <c r="S987" t="s">
        <v>12884</v>
      </c>
    </row>
    <row r="988" spans="1:19" x14ac:dyDescent="0.25">
      <c r="A988" t="s">
        <v>9835</v>
      </c>
      <c r="B988" s="1">
        <v>45850</v>
      </c>
      <c r="C988" t="s">
        <v>12885</v>
      </c>
      <c r="D988" s="5">
        <v>0.60550925925925925</v>
      </c>
      <c r="E988">
        <v>141.1</v>
      </c>
      <c r="F988" t="s">
        <v>44</v>
      </c>
      <c r="G988" t="s">
        <v>1627</v>
      </c>
      <c r="H988" t="s">
        <v>71</v>
      </c>
      <c r="I988" t="s">
        <v>110</v>
      </c>
      <c r="J988" t="s">
        <v>9836</v>
      </c>
      <c r="K988">
        <v>32</v>
      </c>
      <c r="L988" t="s">
        <v>37</v>
      </c>
      <c r="M988" t="s">
        <v>66</v>
      </c>
      <c r="N988" t="s">
        <v>84</v>
      </c>
      <c r="O988" t="s">
        <v>28</v>
      </c>
      <c r="P988" t="s">
        <v>31</v>
      </c>
      <c r="Q988">
        <v>0</v>
      </c>
      <c r="R988" t="s">
        <v>12883</v>
      </c>
      <c r="S988" t="s">
        <v>12889</v>
      </c>
    </row>
    <row r="989" spans="1:19" x14ac:dyDescent="0.25">
      <c r="A989" t="s">
        <v>5380</v>
      </c>
      <c r="B989" s="1">
        <v>45820</v>
      </c>
      <c r="C989" t="s">
        <v>12888</v>
      </c>
      <c r="D989" s="5">
        <v>0.22438657407407409</v>
      </c>
      <c r="E989">
        <v>140.94</v>
      </c>
      <c r="F989" t="s">
        <v>44</v>
      </c>
      <c r="G989" t="s">
        <v>728</v>
      </c>
      <c r="H989" t="s">
        <v>89</v>
      </c>
      <c r="I989" t="s">
        <v>91</v>
      </c>
      <c r="J989" t="s">
        <v>5381</v>
      </c>
      <c r="K989">
        <v>64</v>
      </c>
      <c r="L989" t="s">
        <v>25</v>
      </c>
      <c r="M989" t="s">
        <v>248</v>
      </c>
      <c r="N989" t="s">
        <v>112</v>
      </c>
      <c r="O989" t="s">
        <v>28</v>
      </c>
      <c r="P989" t="s">
        <v>31</v>
      </c>
      <c r="Q989">
        <v>0</v>
      </c>
      <c r="R989" t="s">
        <v>12883</v>
      </c>
      <c r="S989" t="s">
        <v>12884</v>
      </c>
    </row>
    <row r="990" spans="1:19" x14ac:dyDescent="0.25">
      <c r="A990" t="s">
        <v>5429</v>
      </c>
      <c r="B990" s="1">
        <v>45862</v>
      </c>
      <c r="C990" t="s">
        <v>12885</v>
      </c>
      <c r="D990" s="5">
        <v>0.65554398148148152</v>
      </c>
      <c r="E990">
        <v>140.80000000000001</v>
      </c>
      <c r="F990" t="s">
        <v>44</v>
      </c>
      <c r="G990" t="s">
        <v>5430</v>
      </c>
      <c r="H990" t="s">
        <v>96</v>
      </c>
      <c r="I990" t="s">
        <v>58</v>
      </c>
      <c r="J990" t="s">
        <v>5431</v>
      </c>
      <c r="K990">
        <v>44</v>
      </c>
      <c r="L990" t="s">
        <v>49</v>
      </c>
      <c r="M990" t="s">
        <v>26</v>
      </c>
      <c r="N990" t="s">
        <v>39</v>
      </c>
      <c r="O990" t="s">
        <v>28</v>
      </c>
      <c r="P990" t="s">
        <v>31</v>
      </c>
      <c r="Q990">
        <v>0</v>
      </c>
      <c r="R990" t="s">
        <v>12883</v>
      </c>
      <c r="S990" t="s">
        <v>12886</v>
      </c>
    </row>
    <row r="991" spans="1:19" x14ac:dyDescent="0.25">
      <c r="A991" t="s">
        <v>9382</v>
      </c>
      <c r="B991" s="1">
        <v>45882</v>
      </c>
      <c r="C991" t="s">
        <v>12893</v>
      </c>
      <c r="D991" s="5">
        <v>3.695601851851852E-2</v>
      </c>
      <c r="E991">
        <v>140.69999999999999</v>
      </c>
      <c r="F991" t="s">
        <v>44</v>
      </c>
      <c r="G991" t="s">
        <v>8887</v>
      </c>
      <c r="H991" t="s">
        <v>71</v>
      </c>
      <c r="I991" t="s">
        <v>58</v>
      </c>
      <c r="J991" t="s">
        <v>9383</v>
      </c>
      <c r="K991">
        <v>66</v>
      </c>
      <c r="L991" t="s">
        <v>49</v>
      </c>
      <c r="M991" t="s">
        <v>110</v>
      </c>
      <c r="N991" t="s">
        <v>112</v>
      </c>
      <c r="O991" t="s">
        <v>28</v>
      </c>
      <c r="P991" t="s">
        <v>31</v>
      </c>
      <c r="Q991">
        <v>0</v>
      </c>
      <c r="R991" t="s">
        <v>12883</v>
      </c>
      <c r="S991" t="s">
        <v>12884</v>
      </c>
    </row>
    <row r="992" spans="1:19" x14ac:dyDescent="0.25">
      <c r="A992" t="s">
        <v>12717</v>
      </c>
      <c r="B992" s="1">
        <v>45952</v>
      </c>
      <c r="C992" t="s">
        <v>12890</v>
      </c>
      <c r="D992" s="5">
        <v>0.3074189814814815</v>
      </c>
      <c r="E992">
        <v>140.69</v>
      </c>
      <c r="F992" t="s">
        <v>44</v>
      </c>
      <c r="G992" t="s">
        <v>3595</v>
      </c>
      <c r="H992" t="s">
        <v>89</v>
      </c>
      <c r="I992" t="s">
        <v>146</v>
      </c>
      <c r="J992" t="s">
        <v>12718</v>
      </c>
      <c r="K992">
        <v>67</v>
      </c>
      <c r="L992" t="s">
        <v>49</v>
      </c>
      <c r="M992" t="s">
        <v>146</v>
      </c>
      <c r="N992" t="s">
        <v>39</v>
      </c>
      <c r="O992" t="s">
        <v>113</v>
      </c>
      <c r="P992" t="s">
        <v>31</v>
      </c>
      <c r="Q992">
        <v>0</v>
      </c>
      <c r="R992" t="s">
        <v>12883</v>
      </c>
      <c r="S992" t="s">
        <v>12884</v>
      </c>
    </row>
    <row r="993" spans="1:19" x14ac:dyDescent="0.25">
      <c r="A993" t="s">
        <v>6043</v>
      </c>
      <c r="B993" s="1">
        <v>45887</v>
      </c>
      <c r="C993" t="s">
        <v>12893</v>
      </c>
      <c r="D993" s="5">
        <v>0.4042013888888889</v>
      </c>
      <c r="E993">
        <v>140.55000000000001</v>
      </c>
      <c r="F993" t="s">
        <v>44</v>
      </c>
      <c r="G993" t="s">
        <v>5853</v>
      </c>
      <c r="H993" t="s">
        <v>124</v>
      </c>
      <c r="I993" t="s">
        <v>23</v>
      </c>
      <c r="J993" t="s">
        <v>6044</v>
      </c>
      <c r="K993">
        <v>33</v>
      </c>
      <c r="L993" t="s">
        <v>37</v>
      </c>
      <c r="M993" t="s">
        <v>66</v>
      </c>
      <c r="N993" t="s">
        <v>112</v>
      </c>
      <c r="O993" t="s">
        <v>28</v>
      </c>
      <c r="P993" t="s">
        <v>31</v>
      </c>
      <c r="Q993">
        <v>0</v>
      </c>
      <c r="R993" t="s">
        <v>12883</v>
      </c>
      <c r="S993" t="s">
        <v>12889</v>
      </c>
    </row>
    <row r="994" spans="1:19" x14ac:dyDescent="0.25">
      <c r="A994" t="s">
        <v>12629</v>
      </c>
      <c r="B994" s="1">
        <v>45914</v>
      </c>
      <c r="C994" t="s">
        <v>12882</v>
      </c>
      <c r="D994" s="5">
        <v>0.5685648148148148</v>
      </c>
      <c r="E994">
        <v>140.46</v>
      </c>
      <c r="F994" t="s">
        <v>44</v>
      </c>
      <c r="G994" t="s">
        <v>1336</v>
      </c>
      <c r="H994" t="s">
        <v>124</v>
      </c>
      <c r="I994" t="s">
        <v>248</v>
      </c>
      <c r="J994" t="s">
        <v>12630</v>
      </c>
      <c r="K994">
        <v>40</v>
      </c>
      <c r="L994" t="s">
        <v>49</v>
      </c>
      <c r="M994" t="s">
        <v>248</v>
      </c>
      <c r="N994" t="s">
        <v>27</v>
      </c>
      <c r="O994" t="s">
        <v>113</v>
      </c>
      <c r="P994" t="s">
        <v>31</v>
      </c>
      <c r="Q994">
        <v>0</v>
      </c>
      <c r="R994" t="s">
        <v>12883</v>
      </c>
      <c r="S994" t="s">
        <v>12886</v>
      </c>
    </row>
    <row r="995" spans="1:19" x14ac:dyDescent="0.25">
      <c r="A995" t="s">
        <v>6475</v>
      </c>
      <c r="B995" s="1">
        <v>45789</v>
      </c>
      <c r="C995" t="s">
        <v>12887</v>
      </c>
      <c r="D995" s="5">
        <v>0.8119791666666667</v>
      </c>
      <c r="E995">
        <v>140.44</v>
      </c>
      <c r="F995" t="s">
        <v>44</v>
      </c>
      <c r="G995" t="s">
        <v>1790</v>
      </c>
      <c r="H995" t="s">
        <v>71</v>
      </c>
      <c r="I995" t="s">
        <v>97</v>
      </c>
      <c r="J995" t="s">
        <v>6476</v>
      </c>
      <c r="K995">
        <v>24</v>
      </c>
      <c r="L995" t="s">
        <v>37</v>
      </c>
      <c r="M995" t="s">
        <v>248</v>
      </c>
      <c r="N995" t="s">
        <v>84</v>
      </c>
      <c r="O995" t="s">
        <v>28</v>
      </c>
      <c r="P995" t="s">
        <v>31</v>
      </c>
      <c r="Q995">
        <v>0</v>
      </c>
      <c r="R995" t="s">
        <v>12883</v>
      </c>
      <c r="S995" t="s">
        <v>12892</v>
      </c>
    </row>
    <row r="996" spans="1:19" x14ac:dyDescent="0.25">
      <c r="A996" t="s">
        <v>3976</v>
      </c>
      <c r="B996" s="1">
        <v>45936</v>
      </c>
      <c r="C996" t="s">
        <v>12890</v>
      </c>
      <c r="D996" s="5">
        <v>0.63236111111111115</v>
      </c>
      <c r="E996">
        <v>140.41</v>
      </c>
      <c r="F996" t="s">
        <v>44</v>
      </c>
      <c r="G996" t="s">
        <v>2190</v>
      </c>
      <c r="H996" t="s">
        <v>89</v>
      </c>
      <c r="I996" t="s">
        <v>130</v>
      </c>
      <c r="J996" t="s">
        <v>3977</v>
      </c>
      <c r="K996">
        <v>45</v>
      </c>
      <c r="L996" t="s">
        <v>49</v>
      </c>
      <c r="M996" t="s">
        <v>110</v>
      </c>
      <c r="N996" t="s">
        <v>39</v>
      </c>
      <c r="O996" t="s">
        <v>28</v>
      </c>
      <c r="P996" t="s">
        <v>31</v>
      </c>
      <c r="Q996">
        <v>0</v>
      </c>
      <c r="R996" t="s">
        <v>12883</v>
      </c>
      <c r="S996" t="s">
        <v>12886</v>
      </c>
    </row>
    <row r="997" spans="1:19" x14ac:dyDescent="0.25">
      <c r="A997" t="s">
        <v>1370</v>
      </c>
      <c r="B997" s="1">
        <v>45827</v>
      </c>
      <c r="C997" t="s">
        <v>12888</v>
      </c>
      <c r="D997" s="5">
        <v>0.96468750000000003</v>
      </c>
      <c r="E997">
        <v>140.30000000000001</v>
      </c>
      <c r="F997" t="s">
        <v>44</v>
      </c>
      <c r="G997" t="s">
        <v>1371</v>
      </c>
      <c r="H997" t="s">
        <v>46</v>
      </c>
      <c r="I997" t="s">
        <v>23</v>
      </c>
      <c r="J997" t="s">
        <v>1372</v>
      </c>
      <c r="K997">
        <v>45</v>
      </c>
      <c r="L997" t="s">
        <v>49</v>
      </c>
      <c r="M997" t="s">
        <v>97</v>
      </c>
      <c r="N997" t="s">
        <v>112</v>
      </c>
      <c r="O997" t="s">
        <v>28</v>
      </c>
      <c r="P997" t="s">
        <v>31</v>
      </c>
      <c r="Q997">
        <v>0</v>
      </c>
      <c r="R997" t="s">
        <v>12883</v>
      </c>
      <c r="S997" t="s">
        <v>12886</v>
      </c>
    </row>
    <row r="998" spans="1:19" x14ac:dyDescent="0.25">
      <c r="A998" t="s">
        <v>12641</v>
      </c>
      <c r="B998" s="1">
        <v>45932</v>
      </c>
      <c r="C998" t="s">
        <v>12890</v>
      </c>
      <c r="D998" s="5">
        <v>0.88733796296296297</v>
      </c>
      <c r="E998">
        <v>140.29</v>
      </c>
      <c r="F998" t="s">
        <v>44</v>
      </c>
      <c r="G998" t="s">
        <v>7785</v>
      </c>
      <c r="H998" t="s">
        <v>124</v>
      </c>
      <c r="I998" t="s">
        <v>66</v>
      </c>
      <c r="J998" t="s">
        <v>12642</v>
      </c>
      <c r="K998">
        <v>35</v>
      </c>
      <c r="L998" t="s">
        <v>25</v>
      </c>
      <c r="M998" t="s">
        <v>97</v>
      </c>
      <c r="N998" t="s">
        <v>39</v>
      </c>
      <c r="O998" t="s">
        <v>28</v>
      </c>
      <c r="P998" t="s">
        <v>31</v>
      </c>
      <c r="Q998">
        <v>0</v>
      </c>
      <c r="R998" t="s">
        <v>12883</v>
      </c>
      <c r="S998" t="s">
        <v>12889</v>
      </c>
    </row>
    <row r="999" spans="1:19" x14ac:dyDescent="0.25">
      <c r="A999" t="s">
        <v>2869</v>
      </c>
      <c r="B999" s="1">
        <v>45951</v>
      </c>
      <c r="C999" t="s">
        <v>12890</v>
      </c>
      <c r="D999" s="5">
        <v>0.47054398148148147</v>
      </c>
      <c r="E999">
        <v>140.21</v>
      </c>
      <c r="F999" t="s">
        <v>44</v>
      </c>
      <c r="G999" t="s">
        <v>888</v>
      </c>
      <c r="H999" t="s">
        <v>77</v>
      </c>
      <c r="I999" t="s">
        <v>146</v>
      </c>
      <c r="J999" t="s">
        <v>2870</v>
      </c>
      <c r="K999">
        <v>59</v>
      </c>
      <c r="L999" t="s">
        <v>25</v>
      </c>
      <c r="M999" t="s">
        <v>130</v>
      </c>
      <c r="N999" t="s">
        <v>39</v>
      </c>
      <c r="O999" t="s">
        <v>28</v>
      </c>
      <c r="P999" t="s">
        <v>31</v>
      </c>
      <c r="Q999">
        <v>0</v>
      </c>
      <c r="R999" t="s">
        <v>12883</v>
      </c>
      <c r="S999" t="s">
        <v>12886</v>
      </c>
    </row>
    <row r="1000" spans="1:19" x14ac:dyDescent="0.25">
      <c r="A1000" t="s">
        <v>11038</v>
      </c>
      <c r="B1000" s="1">
        <v>45948</v>
      </c>
      <c r="C1000" t="s">
        <v>12890</v>
      </c>
      <c r="D1000" s="5">
        <v>0.26981481481481484</v>
      </c>
      <c r="E1000">
        <v>140.19999999999999</v>
      </c>
      <c r="F1000" t="s">
        <v>44</v>
      </c>
      <c r="G1000" t="s">
        <v>1035</v>
      </c>
      <c r="H1000" t="s">
        <v>64</v>
      </c>
      <c r="I1000" t="s">
        <v>130</v>
      </c>
      <c r="J1000" t="s">
        <v>11039</v>
      </c>
      <c r="K1000">
        <v>56</v>
      </c>
      <c r="L1000" t="s">
        <v>37</v>
      </c>
      <c r="M1000" t="s">
        <v>119</v>
      </c>
      <c r="N1000" t="s">
        <v>84</v>
      </c>
      <c r="O1000" t="s">
        <v>28</v>
      </c>
      <c r="P1000" t="s">
        <v>31</v>
      </c>
      <c r="Q1000">
        <v>0</v>
      </c>
      <c r="R1000" t="s">
        <v>12883</v>
      </c>
      <c r="S1000" t="s">
        <v>12886</v>
      </c>
    </row>
    <row r="1001" spans="1:19" x14ac:dyDescent="0.25">
      <c r="A1001" t="s">
        <v>3797</v>
      </c>
      <c r="B1001" s="1">
        <v>45874</v>
      </c>
      <c r="C1001" t="s">
        <v>12893</v>
      </c>
      <c r="D1001" s="5">
        <v>0.62876157407407407</v>
      </c>
      <c r="E1001">
        <v>140.16</v>
      </c>
      <c r="F1001" t="s">
        <v>44</v>
      </c>
      <c r="G1001" t="s">
        <v>1637</v>
      </c>
      <c r="H1001" t="s">
        <v>124</v>
      </c>
      <c r="I1001" t="s">
        <v>146</v>
      </c>
      <c r="J1001" t="s">
        <v>3798</v>
      </c>
      <c r="K1001">
        <v>42</v>
      </c>
      <c r="L1001" t="s">
        <v>37</v>
      </c>
      <c r="M1001" t="s">
        <v>47</v>
      </c>
      <c r="N1001" t="s">
        <v>27</v>
      </c>
      <c r="O1001" t="s">
        <v>28</v>
      </c>
      <c r="P1001" t="s">
        <v>31</v>
      </c>
      <c r="Q1001">
        <v>1</v>
      </c>
      <c r="R1001" t="s">
        <v>12891</v>
      </c>
      <c r="S1001" t="s">
        <v>12886</v>
      </c>
    </row>
    <row r="1002" spans="1:19" x14ac:dyDescent="0.25">
      <c r="A1002" t="s">
        <v>8922</v>
      </c>
      <c r="B1002" s="1">
        <v>45906</v>
      </c>
      <c r="C1002" t="s">
        <v>12882</v>
      </c>
      <c r="D1002" s="5">
        <v>0.83565972222222218</v>
      </c>
      <c r="E1002">
        <v>140.13</v>
      </c>
      <c r="F1002" t="s">
        <v>44</v>
      </c>
      <c r="G1002" t="s">
        <v>505</v>
      </c>
      <c r="H1002" t="s">
        <v>46</v>
      </c>
      <c r="I1002" t="s">
        <v>47</v>
      </c>
      <c r="J1002" t="s">
        <v>8923</v>
      </c>
      <c r="K1002">
        <v>59</v>
      </c>
      <c r="L1002" t="s">
        <v>25</v>
      </c>
      <c r="M1002" t="s">
        <v>35</v>
      </c>
      <c r="N1002" t="s">
        <v>51</v>
      </c>
      <c r="O1002" t="s">
        <v>28</v>
      </c>
      <c r="P1002" t="s">
        <v>31</v>
      </c>
      <c r="Q1002">
        <v>0</v>
      </c>
      <c r="R1002" t="s">
        <v>12883</v>
      </c>
      <c r="S1002" t="s">
        <v>12886</v>
      </c>
    </row>
    <row r="1003" spans="1:19" x14ac:dyDescent="0.25">
      <c r="A1003" t="s">
        <v>5744</v>
      </c>
      <c r="B1003" s="1">
        <v>45935</v>
      </c>
      <c r="C1003" t="s">
        <v>12890</v>
      </c>
      <c r="D1003" s="5">
        <v>0.51322916666666663</v>
      </c>
      <c r="E1003">
        <v>140.1</v>
      </c>
      <c r="F1003" t="s">
        <v>44</v>
      </c>
      <c r="G1003" t="s">
        <v>4448</v>
      </c>
      <c r="H1003" t="s">
        <v>34</v>
      </c>
      <c r="I1003" t="s">
        <v>119</v>
      </c>
      <c r="J1003" t="s">
        <v>5745</v>
      </c>
      <c r="K1003">
        <v>19</v>
      </c>
      <c r="L1003" t="s">
        <v>37</v>
      </c>
      <c r="M1003" t="s">
        <v>91</v>
      </c>
      <c r="N1003" t="s">
        <v>39</v>
      </c>
      <c r="O1003" t="s">
        <v>28</v>
      </c>
      <c r="P1003" t="s">
        <v>31</v>
      </c>
      <c r="Q1003">
        <v>0</v>
      </c>
      <c r="R1003" t="s">
        <v>12883</v>
      </c>
      <c r="S1003" t="s">
        <v>12892</v>
      </c>
    </row>
    <row r="1004" spans="1:19" x14ac:dyDescent="0.25">
      <c r="A1004" t="s">
        <v>8358</v>
      </c>
      <c r="B1004" s="1">
        <v>45832</v>
      </c>
      <c r="C1004" t="s">
        <v>12888</v>
      </c>
      <c r="D1004" s="5">
        <v>5.8622685185185187E-2</v>
      </c>
      <c r="E1004">
        <v>139.96</v>
      </c>
      <c r="F1004" t="s">
        <v>44</v>
      </c>
      <c r="G1004" t="s">
        <v>2200</v>
      </c>
      <c r="H1004" t="s">
        <v>89</v>
      </c>
      <c r="I1004" t="s">
        <v>130</v>
      </c>
      <c r="J1004" t="s">
        <v>8359</v>
      </c>
      <c r="K1004">
        <v>50</v>
      </c>
      <c r="L1004" t="s">
        <v>37</v>
      </c>
      <c r="M1004" t="s">
        <v>119</v>
      </c>
      <c r="N1004" t="s">
        <v>105</v>
      </c>
      <c r="O1004" t="s">
        <v>28</v>
      </c>
      <c r="P1004" t="s">
        <v>31</v>
      </c>
      <c r="Q1004">
        <v>0</v>
      </c>
      <c r="R1004" t="s">
        <v>12883</v>
      </c>
      <c r="S1004" t="s">
        <v>12886</v>
      </c>
    </row>
    <row r="1005" spans="1:19" x14ac:dyDescent="0.25">
      <c r="A1005" t="s">
        <v>8537</v>
      </c>
      <c r="B1005" s="1">
        <v>45862</v>
      </c>
      <c r="C1005" t="s">
        <v>12885</v>
      </c>
      <c r="D1005" s="5">
        <v>0.45844907407407409</v>
      </c>
      <c r="E1005">
        <v>139.93</v>
      </c>
      <c r="F1005" t="s">
        <v>44</v>
      </c>
      <c r="G1005" t="s">
        <v>8538</v>
      </c>
      <c r="H1005" t="s">
        <v>77</v>
      </c>
      <c r="I1005" t="s">
        <v>91</v>
      </c>
      <c r="J1005" t="s">
        <v>8539</v>
      </c>
      <c r="K1005">
        <v>47</v>
      </c>
      <c r="L1005" t="s">
        <v>37</v>
      </c>
      <c r="M1005" t="s">
        <v>23</v>
      </c>
      <c r="N1005" t="s">
        <v>27</v>
      </c>
      <c r="O1005" t="s">
        <v>28</v>
      </c>
      <c r="P1005" t="s">
        <v>31</v>
      </c>
      <c r="Q1005">
        <v>0</v>
      </c>
      <c r="R1005" t="s">
        <v>12883</v>
      </c>
      <c r="S1005" t="s">
        <v>12886</v>
      </c>
    </row>
    <row r="1006" spans="1:19" x14ac:dyDescent="0.25">
      <c r="A1006" t="s">
        <v>2516</v>
      </c>
      <c r="B1006" s="1">
        <v>45903</v>
      </c>
      <c r="C1006" t="s">
        <v>12882</v>
      </c>
      <c r="D1006" s="5">
        <v>0.13218750000000001</v>
      </c>
      <c r="E1006">
        <v>139.91</v>
      </c>
      <c r="F1006" t="s">
        <v>44</v>
      </c>
      <c r="G1006" t="s">
        <v>1336</v>
      </c>
      <c r="H1006" t="s">
        <v>46</v>
      </c>
      <c r="I1006" t="s">
        <v>50</v>
      </c>
      <c r="J1006" t="s">
        <v>2517</v>
      </c>
      <c r="K1006">
        <v>71</v>
      </c>
      <c r="L1006" t="s">
        <v>49</v>
      </c>
      <c r="M1006" t="s">
        <v>50</v>
      </c>
      <c r="N1006" t="s">
        <v>51</v>
      </c>
      <c r="O1006" t="s">
        <v>113</v>
      </c>
      <c r="P1006" t="s">
        <v>31</v>
      </c>
      <c r="Q1006">
        <v>0</v>
      </c>
      <c r="R1006" t="s">
        <v>12883</v>
      </c>
      <c r="S1006" t="s">
        <v>12884</v>
      </c>
    </row>
    <row r="1007" spans="1:19" x14ac:dyDescent="0.25">
      <c r="A1007" t="s">
        <v>3594</v>
      </c>
      <c r="B1007" s="1">
        <v>45940</v>
      </c>
      <c r="C1007" t="s">
        <v>12890</v>
      </c>
      <c r="D1007" s="5">
        <v>3.3541666666666664E-2</v>
      </c>
      <c r="E1007">
        <v>139.72999999999999</v>
      </c>
      <c r="F1007" t="s">
        <v>44</v>
      </c>
      <c r="G1007" t="s">
        <v>3595</v>
      </c>
      <c r="H1007" t="s">
        <v>71</v>
      </c>
      <c r="I1007" t="s">
        <v>26</v>
      </c>
      <c r="J1007" t="s">
        <v>3596</v>
      </c>
      <c r="K1007">
        <v>69</v>
      </c>
      <c r="L1007" t="s">
        <v>25</v>
      </c>
      <c r="M1007" t="s">
        <v>146</v>
      </c>
      <c r="N1007" t="s">
        <v>84</v>
      </c>
      <c r="O1007" t="s">
        <v>28</v>
      </c>
      <c r="P1007" t="s">
        <v>31</v>
      </c>
      <c r="Q1007">
        <v>0</v>
      </c>
      <c r="R1007" t="s">
        <v>12883</v>
      </c>
      <c r="S1007" t="s">
        <v>12884</v>
      </c>
    </row>
    <row r="1008" spans="1:19" x14ac:dyDescent="0.25">
      <c r="A1008" t="s">
        <v>3197</v>
      </c>
      <c r="B1008" s="1">
        <v>45808</v>
      </c>
      <c r="C1008" t="s">
        <v>12887</v>
      </c>
      <c r="D1008" s="5">
        <v>7.8680555555555559E-2</v>
      </c>
      <c r="E1008">
        <v>139.69999999999999</v>
      </c>
      <c r="F1008" t="s">
        <v>44</v>
      </c>
      <c r="G1008" t="s">
        <v>1272</v>
      </c>
      <c r="H1008" t="s">
        <v>71</v>
      </c>
      <c r="I1008" t="s">
        <v>58</v>
      </c>
      <c r="J1008" t="s">
        <v>3198</v>
      </c>
      <c r="K1008">
        <v>31</v>
      </c>
      <c r="L1008" t="s">
        <v>49</v>
      </c>
      <c r="M1008" t="s">
        <v>66</v>
      </c>
      <c r="N1008" t="s">
        <v>105</v>
      </c>
      <c r="O1008" t="s">
        <v>28</v>
      </c>
      <c r="P1008" t="s">
        <v>31</v>
      </c>
      <c r="Q1008">
        <v>0</v>
      </c>
      <c r="R1008" t="s">
        <v>12883</v>
      </c>
      <c r="S1008" t="s">
        <v>12889</v>
      </c>
    </row>
    <row r="1009" spans="1:19" x14ac:dyDescent="0.25">
      <c r="A1009" t="s">
        <v>7815</v>
      </c>
      <c r="B1009" s="1">
        <v>45884</v>
      </c>
      <c r="C1009" t="s">
        <v>12893</v>
      </c>
      <c r="D1009" s="5">
        <v>0.24810185185185185</v>
      </c>
      <c r="E1009">
        <v>139.69999999999999</v>
      </c>
      <c r="F1009" t="s">
        <v>44</v>
      </c>
      <c r="G1009" t="s">
        <v>7816</v>
      </c>
      <c r="H1009" t="s">
        <v>89</v>
      </c>
      <c r="I1009" t="s">
        <v>146</v>
      </c>
      <c r="J1009" t="s">
        <v>7817</v>
      </c>
      <c r="K1009">
        <v>67</v>
      </c>
      <c r="L1009" t="s">
        <v>49</v>
      </c>
      <c r="M1009" t="s">
        <v>130</v>
      </c>
      <c r="N1009" t="s">
        <v>84</v>
      </c>
      <c r="O1009" t="s">
        <v>28</v>
      </c>
      <c r="P1009" t="s">
        <v>31</v>
      </c>
      <c r="Q1009">
        <v>0</v>
      </c>
      <c r="R1009" t="s">
        <v>12883</v>
      </c>
      <c r="S1009" t="s">
        <v>12884</v>
      </c>
    </row>
    <row r="1010" spans="1:19" x14ac:dyDescent="0.25">
      <c r="A1010" t="s">
        <v>10239</v>
      </c>
      <c r="B1010" s="1">
        <v>45879</v>
      </c>
      <c r="C1010" t="s">
        <v>12893</v>
      </c>
      <c r="D1010" s="5">
        <v>0.10770833333333334</v>
      </c>
      <c r="E1010">
        <v>139.66999999999999</v>
      </c>
      <c r="F1010" t="s">
        <v>44</v>
      </c>
      <c r="G1010" t="s">
        <v>3826</v>
      </c>
      <c r="H1010" t="s">
        <v>124</v>
      </c>
      <c r="I1010" t="s">
        <v>248</v>
      </c>
      <c r="J1010" t="s">
        <v>10240</v>
      </c>
      <c r="K1010">
        <v>61</v>
      </c>
      <c r="L1010" t="s">
        <v>25</v>
      </c>
      <c r="M1010" t="s">
        <v>97</v>
      </c>
      <c r="N1010" t="s">
        <v>51</v>
      </c>
      <c r="O1010" t="s">
        <v>28</v>
      </c>
      <c r="P1010" t="s">
        <v>31</v>
      </c>
      <c r="Q1010">
        <v>0</v>
      </c>
      <c r="R1010" t="s">
        <v>12883</v>
      </c>
      <c r="S1010" t="s">
        <v>12884</v>
      </c>
    </row>
    <row r="1011" spans="1:19" x14ac:dyDescent="0.25">
      <c r="A1011" t="s">
        <v>9055</v>
      </c>
      <c r="B1011" s="1">
        <v>45802</v>
      </c>
      <c r="C1011" t="s">
        <v>12887</v>
      </c>
      <c r="D1011" s="5">
        <v>0.6828819444444445</v>
      </c>
      <c r="E1011">
        <v>139.63999999999999</v>
      </c>
      <c r="F1011" t="s">
        <v>44</v>
      </c>
      <c r="G1011" t="s">
        <v>3065</v>
      </c>
      <c r="H1011" t="s">
        <v>89</v>
      </c>
      <c r="I1011" t="s">
        <v>66</v>
      </c>
      <c r="J1011" t="s">
        <v>9056</v>
      </c>
      <c r="K1011">
        <v>52</v>
      </c>
      <c r="L1011" t="s">
        <v>37</v>
      </c>
      <c r="M1011" t="s">
        <v>130</v>
      </c>
      <c r="N1011" t="s">
        <v>84</v>
      </c>
      <c r="O1011" t="s">
        <v>28</v>
      </c>
      <c r="P1011" t="s">
        <v>31</v>
      </c>
      <c r="Q1011">
        <v>0</v>
      </c>
      <c r="R1011" t="s">
        <v>12883</v>
      </c>
      <c r="S1011" t="s">
        <v>12886</v>
      </c>
    </row>
    <row r="1012" spans="1:19" x14ac:dyDescent="0.25">
      <c r="A1012" t="s">
        <v>9011</v>
      </c>
      <c r="B1012" s="1">
        <v>45823</v>
      </c>
      <c r="C1012" t="s">
        <v>12888</v>
      </c>
      <c r="D1012" s="5">
        <v>0.51460648148148147</v>
      </c>
      <c r="E1012">
        <v>139.38999999999999</v>
      </c>
      <c r="F1012" t="s">
        <v>44</v>
      </c>
      <c r="G1012" t="s">
        <v>763</v>
      </c>
      <c r="H1012" t="s">
        <v>77</v>
      </c>
      <c r="I1012" t="s">
        <v>50</v>
      </c>
      <c r="J1012" t="s">
        <v>9012</v>
      </c>
      <c r="K1012">
        <v>68</v>
      </c>
      <c r="L1012" t="s">
        <v>49</v>
      </c>
      <c r="M1012" t="s">
        <v>47</v>
      </c>
      <c r="N1012" t="s">
        <v>39</v>
      </c>
      <c r="O1012" t="s">
        <v>28</v>
      </c>
      <c r="P1012" t="s">
        <v>31</v>
      </c>
      <c r="Q1012">
        <v>0</v>
      </c>
      <c r="R1012" t="s">
        <v>12883</v>
      </c>
      <c r="S1012" t="s">
        <v>12884</v>
      </c>
    </row>
    <row r="1013" spans="1:19" x14ac:dyDescent="0.25">
      <c r="A1013" t="s">
        <v>6676</v>
      </c>
      <c r="B1013" s="1">
        <v>45866</v>
      </c>
      <c r="C1013" t="s">
        <v>12885</v>
      </c>
      <c r="D1013" s="5">
        <v>0.36582175925925925</v>
      </c>
      <c r="E1013">
        <v>139.37</v>
      </c>
      <c r="F1013" t="s">
        <v>44</v>
      </c>
      <c r="G1013" t="s">
        <v>6677</v>
      </c>
      <c r="H1013" t="s">
        <v>71</v>
      </c>
      <c r="I1013" t="s">
        <v>26</v>
      </c>
      <c r="J1013" t="s">
        <v>6678</v>
      </c>
      <c r="K1013">
        <v>65</v>
      </c>
      <c r="L1013" t="s">
        <v>37</v>
      </c>
      <c r="M1013" t="s">
        <v>35</v>
      </c>
      <c r="N1013" t="s">
        <v>51</v>
      </c>
      <c r="O1013" t="s">
        <v>28</v>
      </c>
      <c r="P1013" t="s">
        <v>31</v>
      </c>
      <c r="Q1013">
        <v>0</v>
      </c>
      <c r="R1013" t="s">
        <v>12883</v>
      </c>
      <c r="S1013" t="s">
        <v>12884</v>
      </c>
    </row>
    <row r="1014" spans="1:19" x14ac:dyDescent="0.25">
      <c r="A1014" t="s">
        <v>5089</v>
      </c>
      <c r="B1014" s="1">
        <v>45824</v>
      </c>
      <c r="C1014" t="s">
        <v>12888</v>
      </c>
      <c r="D1014" s="5">
        <v>6.8981481481481477E-2</v>
      </c>
      <c r="E1014">
        <v>139.33000000000001</v>
      </c>
      <c r="F1014" t="s">
        <v>44</v>
      </c>
      <c r="G1014" t="s">
        <v>4016</v>
      </c>
      <c r="H1014" t="s">
        <v>57</v>
      </c>
      <c r="I1014" t="s">
        <v>50</v>
      </c>
      <c r="J1014" t="s">
        <v>5090</v>
      </c>
      <c r="K1014">
        <v>60</v>
      </c>
      <c r="L1014" t="s">
        <v>49</v>
      </c>
      <c r="M1014" t="s">
        <v>130</v>
      </c>
      <c r="N1014" t="s">
        <v>105</v>
      </c>
      <c r="O1014" t="s">
        <v>28</v>
      </c>
      <c r="P1014" t="s">
        <v>31</v>
      </c>
      <c r="Q1014">
        <v>0</v>
      </c>
      <c r="R1014" t="s">
        <v>12883</v>
      </c>
      <c r="S1014" t="s">
        <v>12884</v>
      </c>
    </row>
    <row r="1015" spans="1:19" x14ac:dyDescent="0.25">
      <c r="A1015" t="s">
        <v>11505</v>
      </c>
      <c r="B1015" s="1">
        <v>45959</v>
      </c>
      <c r="C1015" t="s">
        <v>12890</v>
      </c>
      <c r="D1015" s="5">
        <v>0.3253240740740741</v>
      </c>
      <c r="E1015">
        <v>139.22999999999999</v>
      </c>
      <c r="F1015" t="s">
        <v>44</v>
      </c>
      <c r="G1015" t="s">
        <v>3065</v>
      </c>
      <c r="H1015" t="s">
        <v>22</v>
      </c>
      <c r="I1015" t="s">
        <v>66</v>
      </c>
      <c r="J1015" t="s">
        <v>11506</v>
      </c>
      <c r="K1015">
        <v>68</v>
      </c>
      <c r="L1015" t="s">
        <v>37</v>
      </c>
      <c r="M1015" t="s">
        <v>38</v>
      </c>
      <c r="N1015" t="s">
        <v>112</v>
      </c>
      <c r="O1015" t="s">
        <v>28</v>
      </c>
      <c r="P1015" t="s">
        <v>31</v>
      </c>
      <c r="Q1015">
        <v>0</v>
      </c>
      <c r="R1015" t="s">
        <v>12883</v>
      </c>
      <c r="S1015" t="s">
        <v>12884</v>
      </c>
    </row>
    <row r="1016" spans="1:19" x14ac:dyDescent="0.25">
      <c r="A1016" t="s">
        <v>12866</v>
      </c>
      <c r="B1016" s="1">
        <v>45849</v>
      </c>
      <c r="C1016" t="s">
        <v>12885</v>
      </c>
      <c r="D1016" s="5">
        <v>0.20693287037037036</v>
      </c>
      <c r="E1016">
        <v>139.22</v>
      </c>
      <c r="F1016" t="s">
        <v>44</v>
      </c>
      <c r="G1016" t="s">
        <v>12867</v>
      </c>
      <c r="H1016" t="s">
        <v>89</v>
      </c>
      <c r="I1016" t="s">
        <v>130</v>
      </c>
      <c r="J1016" t="s">
        <v>12868</v>
      </c>
      <c r="K1016">
        <v>47</v>
      </c>
      <c r="L1016" t="s">
        <v>25</v>
      </c>
      <c r="M1016" t="s">
        <v>26</v>
      </c>
      <c r="N1016" t="s">
        <v>27</v>
      </c>
      <c r="O1016" t="s">
        <v>28</v>
      </c>
      <c r="P1016" t="s">
        <v>31</v>
      </c>
      <c r="Q1016">
        <v>0</v>
      </c>
      <c r="R1016" t="s">
        <v>12883</v>
      </c>
      <c r="S1016" t="s">
        <v>12886</v>
      </c>
    </row>
    <row r="1017" spans="1:19" x14ac:dyDescent="0.25">
      <c r="A1017" t="s">
        <v>1330</v>
      </c>
      <c r="B1017" s="1">
        <v>45874</v>
      </c>
      <c r="C1017" t="s">
        <v>12893</v>
      </c>
      <c r="D1017" s="5">
        <v>0.22148148148148147</v>
      </c>
      <c r="E1017">
        <v>139.08000000000001</v>
      </c>
      <c r="F1017" t="s">
        <v>44</v>
      </c>
      <c r="G1017" t="s">
        <v>1331</v>
      </c>
      <c r="H1017" t="s">
        <v>96</v>
      </c>
      <c r="I1017" t="s">
        <v>47</v>
      </c>
      <c r="J1017" t="s">
        <v>1332</v>
      </c>
      <c r="K1017">
        <v>24</v>
      </c>
      <c r="L1017" t="s">
        <v>25</v>
      </c>
      <c r="M1017" t="s">
        <v>47</v>
      </c>
      <c r="N1017" t="s">
        <v>51</v>
      </c>
      <c r="O1017" t="s">
        <v>113</v>
      </c>
      <c r="P1017" t="s">
        <v>31</v>
      </c>
      <c r="Q1017">
        <v>0</v>
      </c>
      <c r="R1017" t="s">
        <v>12883</v>
      </c>
      <c r="S1017" t="s">
        <v>12892</v>
      </c>
    </row>
    <row r="1018" spans="1:19" x14ac:dyDescent="0.25">
      <c r="A1018" t="s">
        <v>10262</v>
      </c>
      <c r="B1018" s="1">
        <v>45945</v>
      </c>
      <c r="C1018" t="s">
        <v>12890</v>
      </c>
      <c r="D1018" s="5">
        <v>0.1975925925925926</v>
      </c>
      <c r="E1018">
        <v>139.01</v>
      </c>
      <c r="F1018" t="s">
        <v>44</v>
      </c>
      <c r="G1018" t="s">
        <v>1692</v>
      </c>
      <c r="H1018" t="s">
        <v>22</v>
      </c>
      <c r="I1018" t="s">
        <v>38</v>
      </c>
      <c r="J1018" t="s">
        <v>10263</v>
      </c>
      <c r="K1018">
        <v>14</v>
      </c>
      <c r="L1018" t="s">
        <v>25</v>
      </c>
      <c r="M1018" t="s">
        <v>47</v>
      </c>
      <c r="N1018" t="s">
        <v>84</v>
      </c>
      <c r="O1018" t="s">
        <v>28</v>
      </c>
      <c r="P1018" t="s">
        <v>31</v>
      </c>
      <c r="Q1018">
        <v>0</v>
      </c>
      <c r="R1018" t="s">
        <v>12883</v>
      </c>
      <c r="S1018" t="s">
        <v>12892</v>
      </c>
    </row>
    <row r="1019" spans="1:19" x14ac:dyDescent="0.25">
      <c r="A1019" t="s">
        <v>10389</v>
      </c>
      <c r="B1019" s="1">
        <v>45802</v>
      </c>
      <c r="C1019" t="s">
        <v>12887</v>
      </c>
      <c r="D1019" s="5">
        <v>0.94337962962962962</v>
      </c>
      <c r="E1019">
        <v>138.99</v>
      </c>
      <c r="F1019" t="s">
        <v>44</v>
      </c>
      <c r="G1019" t="s">
        <v>481</v>
      </c>
      <c r="H1019" t="s">
        <v>57</v>
      </c>
      <c r="I1019" t="s">
        <v>146</v>
      </c>
      <c r="J1019" t="s">
        <v>10390</v>
      </c>
      <c r="K1019">
        <v>52</v>
      </c>
      <c r="L1019" t="s">
        <v>37</v>
      </c>
      <c r="M1019" t="s">
        <v>23</v>
      </c>
      <c r="N1019" t="s">
        <v>105</v>
      </c>
      <c r="O1019" t="s">
        <v>28</v>
      </c>
      <c r="P1019" t="s">
        <v>31</v>
      </c>
      <c r="Q1019">
        <v>0</v>
      </c>
      <c r="R1019" t="s">
        <v>12883</v>
      </c>
      <c r="S1019" t="s">
        <v>12886</v>
      </c>
    </row>
    <row r="1020" spans="1:19" x14ac:dyDescent="0.25">
      <c r="A1020" t="s">
        <v>4089</v>
      </c>
      <c r="B1020" s="1">
        <v>45817</v>
      </c>
      <c r="C1020" t="s">
        <v>12888</v>
      </c>
      <c r="D1020" s="5">
        <v>0.40386574074074072</v>
      </c>
      <c r="E1020">
        <v>138.94999999999999</v>
      </c>
      <c r="F1020" t="s">
        <v>44</v>
      </c>
      <c r="G1020" t="s">
        <v>1030</v>
      </c>
      <c r="H1020" t="s">
        <v>124</v>
      </c>
      <c r="I1020" t="s">
        <v>110</v>
      </c>
      <c r="J1020" t="s">
        <v>4090</v>
      </c>
      <c r="K1020">
        <v>119</v>
      </c>
      <c r="L1020" t="s">
        <v>37</v>
      </c>
      <c r="M1020" t="s">
        <v>38</v>
      </c>
      <c r="N1020" t="s">
        <v>84</v>
      </c>
      <c r="O1020" t="s">
        <v>28</v>
      </c>
      <c r="P1020" t="s">
        <v>31</v>
      </c>
      <c r="Q1020">
        <v>0</v>
      </c>
      <c r="R1020" t="s">
        <v>12883</v>
      </c>
      <c r="S1020" t="s">
        <v>12884</v>
      </c>
    </row>
    <row r="1021" spans="1:19" x14ac:dyDescent="0.25">
      <c r="A1021" t="s">
        <v>9810</v>
      </c>
      <c r="B1021" s="1">
        <v>45858</v>
      </c>
      <c r="C1021" t="s">
        <v>12885</v>
      </c>
      <c r="D1021" s="5">
        <v>0.71065972222222218</v>
      </c>
      <c r="E1021">
        <v>138.93</v>
      </c>
      <c r="F1021" t="s">
        <v>44</v>
      </c>
      <c r="G1021" t="s">
        <v>1538</v>
      </c>
      <c r="H1021" t="s">
        <v>89</v>
      </c>
      <c r="I1021" t="s">
        <v>146</v>
      </c>
      <c r="J1021" t="s">
        <v>9811</v>
      </c>
      <c r="K1021">
        <v>45</v>
      </c>
      <c r="L1021" t="s">
        <v>37</v>
      </c>
      <c r="M1021" t="s">
        <v>146</v>
      </c>
      <c r="N1021" t="s">
        <v>39</v>
      </c>
      <c r="O1021" t="s">
        <v>113</v>
      </c>
      <c r="P1021" t="s">
        <v>31</v>
      </c>
      <c r="Q1021">
        <v>0</v>
      </c>
      <c r="R1021" t="s">
        <v>12883</v>
      </c>
      <c r="S1021" t="s">
        <v>12886</v>
      </c>
    </row>
    <row r="1022" spans="1:19" x14ac:dyDescent="0.25">
      <c r="A1022" t="s">
        <v>11761</v>
      </c>
      <c r="B1022" s="1">
        <v>45796</v>
      </c>
      <c r="C1022" t="s">
        <v>12887</v>
      </c>
      <c r="D1022" s="5">
        <v>0.30127314814814815</v>
      </c>
      <c r="E1022">
        <v>138.91</v>
      </c>
      <c r="F1022" t="s">
        <v>44</v>
      </c>
      <c r="G1022" t="s">
        <v>5045</v>
      </c>
      <c r="H1022" t="s">
        <v>46</v>
      </c>
      <c r="I1022" t="s">
        <v>119</v>
      </c>
      <c r="J1022" t="s">
        <v>11762</v>
      </c>
      <c r="K1022">
        <v>39</v>
      </c>
      <c r="L1022" t="s">
        <v>25</v>
      </c>
      <c r="M1022" t="s">
        <v>23</v>
      </c>
      <c r="N1022" t="s">
        <v>112</v>
      </c>
      <c r="O1022" t="s">
        <v>28</v>
      </c>
      <c r="P1022" t="s">
        <v>31</v>
      </c>
      <c r="Q1022">
        <v>0</v>
      </c>
      <c r="R1022" t="s">
        <v>12883</v>
      </c>
      <c r="S1022" t="s">
        <v>12889</v>
      </c>
    </row>
    <row r="1023" spans="1:19" x14ac:dyDescent="0.25">
      <c r="A1023" t="s">
        <v>7661</v>
      </c>
      <c r="B1023" s="1">
        <v>45915</v>
      </c>
      <c r="C1023" t="s">
        <v>12882</v>
      </c>
      <c r="D1023" s="5">
        <v>0.79401620370370374</v>
      </c>
      <c r="E1023">
        <v>138.83000000000001</v>
      </c>
      <c r="F1023" t="s">
        <v>44</v>
      </c>
      <c r="G1023" t="s">
        <v>5637</v>
      </c>
      <c r="H1023" t="s">
        <v>57</v>
      </c>
      <c r="I1023" t="s">
        <v>110</v>
      </c>
      <c r="J1023" t="s">
        <v>7662</v>
      </c>
      <c r="K1023">
        <v>66</v>
      </c>
      <c r="L1023" t="s">
        <v>49</v>
      </c>
      <c r="M1023" t="s">
        <v>26</v>
      </c>
      <c r="N1023" t="s">
        <v>51</v>
      </c>
      <c r="O1023" t="s">
        <v>28</v>
      </c>
      <c r="P1023" t="s">
        <v>31</v>
      </c>
      <c r="Q1023">
        <v>0</v>
      </c>
      <c r="R1023" t="s">
        <v>12883</v>
      </c>
      <c r="S1023" t="s">
        <v>12884</v>
      </c>
    </row>
    <row r="1024" spans="1:19" x14ac:dyDescent="0.25">
      <c r="A1024" t="s">
        <v>5823</v>
      </c>
      <c r="B1024" s="1">
        <v>45794</v>
      </c>
      <c r="C1024" t="s">
        <v>12887</v>
      </c>
      <c r="D1024" s="5">
        <v>0.52503472222222225</v>
      </c>
      <c r="E1024">
        <v>138.46</v>
      </c>
      <c r="F1024" t="s">
        <v>44</v>
      </c>
      <c r="G1024" t="s">
        <v>5824</v>
      </c>
      <c r="H1024" t="s">
        <v>22</v>
      </c>
      <c r="I1024" t="s">
        <v>119</v>
      </c>
      <c r="J1024" t="s">
        <v>5825</v>
      </c>
      <c r="K1024">
        <v>23</v>
      </c>
      <c r="L1024" t="s">
        <v>37</v>
      </c>
      <c r="M1024" t="s">
        <v>91</v>
      </c>
      <c r="N1024" t="s">
        <v>112</v>
      </c>
      <c r="O1024" t="s">
        <v>28</v>
      </c>
      <c r="P1024" t="s">
        <v>31</v>
      </c>
      <c r="Q1024">
        <v>0</v>
      </c>
      <c r="R1024" t="s">
        <v>12883</v>
      </c>
      <c r="S1024" t="s">
        <v>12892</v>
      </c>
    </row>
    <row r="1025" spans="1:19" x14ac:dyDescent="0.25">
      <c r="A1025" t="s">
        <v>7316</v>
      </c>
      <c r="B1025" s="1">
        <v>45945</v>
      </c>
      <c r="C1025" t="s">
        <v>12890</v>
      </c>
      <c r="D1025" s="5">
        <v>0.9156481481481481</v>
      </c>
      <c r="E1025">
        <v>138.30000000000001</v>
      </c>
      <c r="F1025" t="s">
        <v>44</v>
      </c>
      <c r="G1025" t="s">
        <v>7317</v>
      </c>
      <c r="H1025" t="s">
        <v>46</v>
      </c>
      <c r="I1025" t="s">
        <v>97</v>
      </c>
      <c r="J1025" t="s">
        <v>7318</v>
      </c>
      <c r="K1025">
        <v>70</v>
      </c>
      <c r="L1025" t="s">
        <v>25</v>
      </c>
      <c r="M1025" t="s">
        <v>130</v>
      </c>
      <c r="N1025" t="s">
        <v>27</v>
      </c>
      <c r="O1025" t="s">
        <v>28</v>
      </c>
      <c r="P1025" t="s">
        <v>31</v>
      </c>
      <c r="Q1025">
        <v>0</v>
      </c>
      <c r="R1025" t="s">
        <v>12883</v>
      </c>
      <c r="S1025" t="s">
        <v>12884</v>
      </c>
    </row>
    <row r="1026" spans="1:19" x14ac:dyDescent="0.25">
      <c r="A1026" t="s">
        <v>1882</v>
      </c>
      <c r="B1026" s="1">
        <v>45814</v>
      </c>
      <c r="C1026" t="s">
        <v>12888</v>
      </c>
      <c r="D1026" s="5">
        <v>5.590277777777778E-2</v>
      </c>
      <c r="E1026">
        <v>138.21</v>
      </c>
      <c r="F1026" t="s">
        <v>44</v>
      </c>
      <c r="G1026" t="s">
        <v>1883</v>
      </c>
      <c r="H1026" t="s">
        <v>124</v>
      </c>
      <c r="I1026" t="s">
        <v>97</v>
      </c>
      <c r="J1026" t="s">
        <v>1884</v>
      </c>
      <c r="K1026">
        <v>65</v>
      </c>
      <c r="L1026" t="s">
        <v>49</v>
      </c>
      <c r="M1026" t="s">
        <v>38</v>
      </c>
      <c r="N1026" t="s">
        <v>27</v>
      </c>
      <c r="O1026" t="s">
        <v>28</v>
      </c>
      <c r="P1026" t="s">
        <v>31</v>
      </c>
      <c r="Q1026">
        <v>0</v>
      </c>
      <c r="R1026" t="s">
        <v>12883</v>
      </c>
      <c r="S1026" t="s">
        <v>12884</v>
      </c>
    </row>
    <row r="1027" spans="1:19" x14ac:dyDescent="0.25">
      <c r="A1027" t="s">
        <v>9198</v>
      </c>
      <c r="B1027" s="1">
        <v>45946</v>
      </c>
      <c r="C1027" t="s">
        <v>12890</v>
      </c>
      <c r="D1027" s="5">
        <v>0.61085648148148153</v>
      </c>
      <c r="E1027">
        <v>138.21</v>
      </c>
      <c r="F1027" t="s">
        <v>44</v>
      </c>
      <c r="G1027" t="s">
        <v>768</v>
      </c>
      <c r="H1027" t="s">
        <v>34</v>
      </c>
      <c r="I1027" t="s">
        <v>130</v>
      </c>
      <c r="J1027" t="s">
        <v>9199</v>
      </c>
      <c r="K1027">
        <v>47</v>
      </c>
      <c r="L1027" t="s">
        <v>49</v>
      </c>
      <c r="M1027" t="s">
        <v>23</v>
      </c>
      <c r="N1027" t="s">
        <v>39</v>
      </c>
      <c r="O1027" t="s">
        <v>28</v>
      </c>
      <c r="P1027" t="s">
        <v>31</v>
      </c>
      <c r="Q1027">
        <v>0</v>
      </c>
      <c r="R1027" t="s">
        <v>12883</v>
      </c>
      <c r="S1027" t="s">
        <v>12886</v>
      </c>
    </row>
    <row r="1028" spans="1:19" x14ac:dyDescent="0.25">
      <c r="A1028" t="s">
        <v>11119</v>
      </c>
      <c r="B1028" s="1">
        <v>45940</v>
      </c>
      <c r="C1028" t="s">
        <v>12890</v>
      </c>
      <c r="D1028" s="5">
        <v>0.50620370370370371</v>
      </c>
      <c r="E1028">
        <v>137.97999999999999</v>
      </c>
      <c r="F1028" t="s">
        <v>44</v>
      </c>
      <c r="G1028" t="s">
        <v>5981</v>
      </c>
      <c r="H1028" t="s">
        <v>77</v>
      </c>
      <c r="I1028" t="s">
        <v>50</v>
      </c>
      <c r="J1028" t="s">
        <v>11120</v>
      </c>
      <c r="K1028">
        <v>59</v>
      </c>
      <c r="L1028" t="s">
        <v>37</v>
      </c>
      <c r="M1028" t="s">
        <v>91</v>
      </c>
      <c r="N1028" t="s">
        <v>84</v>
      </c>
      <c r="O1028" t="s">
        <v>28</v>
      </c>
      <c r="P1028" t="s">
        <v>31</v>
      </c>
      <c r="Q1028">
        <v>0</v>
      </c>
      <c r="R1028" t="s">
        <v>12883</v>
      </c>
      <c r="S1028" t="s">
        <v>12886</v>
      </c>
    </row>
    <row r="1029" spans="1:19" x14ac:dyDescent="0.25">
      <c r="A1029" t="s">
        <v>5528</v>
      </c>
      <c r="B1029" s="1">
        <v>45898</v>
      </c>
      <c r="C1029" t="s">
        <v>12893</v>
      </c>
      <c r="D1029" s="5">
        <v>0.2434375</v>
      </c>
      <c r="E1029">
        <v>137.62</v>
      </c>
      <c r="F1029" t="s">
        <v>44</v>
      </c>
      <c r="G1029" t="s">
        <v>318</v>
      </c>
      <c r="H1029" t="s">
        <v>34</v>
      </c>
      <c r="I1029" t="s">
        <v>97</v>
      </c>
      <c r="J1029" t="s">
        <v>5529</v>
      </c>
      <c r="K1029">
        <v>75</v>
      </c>
      <c r="L1029" t="s">
        <v>49</v>
      </c>
      <c r="M1029" t="s">
        <v>58</v>
      </c>
      <c r="N1029" t="s">
        <v>51</v>
      </c>
      <c r="O1029" t="s">
        <v>28</v>
      </c>
      <c r="P1029" t="s">
        <v>31</v>
      </c>
      <c r="Q1029">
        <v>0</v>
      </c>
      <c r="R1029" t="s">
        <v>12883</v>
      </c>
      <c r="S1029" t="s">
        <v>12884</v>
      </c>
    </row>
    <row r="1030" spans="1:19" x14ac:dyDescent="0.25">
      <c r="A1030" t="s">
        <v>2446</v>
      </c>
      <c r="B1030" s="1">
        <v>45920</v>
      </c>
      <c r="C1030" t="s">
        <v>12882</v>
      </c>
      <c r="D1030" s="5">
        <v>0.47965277777777776</v>
      </c>
      <c r="E1030">
        <v>137.59</v>
      </c>
      <c r="F1030" t="s">
        <v>44</v>
      </c>
      <c r="G1030" t="s">
        <v>2447</v>
      </c>
      <c r="H1030" t="s">
        <v>71</v>
      </c>
      <c r="I1030" t="s">
        <v>130</v>
      </c>
      <c r="J1030" t="s">
        <v>2448</v>
      </c>
      <c r="K1030">
        <v>55</v>
      </c>
      <c r="L1030" t="s">
        <v>25</v>
      </c>
      <c r="M1030" t="s">
        <v>119</v>
      </c>
      <c r="N1030" t="s">
        <v>27</v>
      </c>
      <c r="O1030" t="s">
        <v>28</v>
      </c>
      <c r="P1030" t="s">
        <v>31</v>
      </c>
      <c r="Q1030">
        <v>0</v>
      </c>
      <c r="R1030" t="s">
        <v>12883</v>
      </c>
      <c r="S1030" t="s">
        <v>12886</v>
      </c>
    </row>
    <row r="1031" spans="1:19" x14ac:dyDescent="0.25">
      <c r="A1031" t="s">
        <v>3552</v>
      </c>
      <c r="B1031" s="1">
        <v>45796</v>
      </c>
      <c r="C1031" t="s">
        <v>12887</v>
      </c>
      <c r="D1031" s="5">
        <v>0.8303356481481482</v>
      </c>
      <c r="E1031">
        <v>137.56</v>
      </c>
      <c r="F1031" t="s">
        <v>44</v>
      </c>
      <c r="G1031" t="s">
        <v>3553</v>
      </c>
      <c r="H1031" t="s">
        <v>77</v>
      </c>
      <c r="I1031" t="s">
        <v>38</v>
      </c>
      <c r="J1031" t="s">
        <v>3554</v>
      </c>
      <c r="K1031">
        <v>69</v>
      </c>
      <c r="L1031" t="s">
        <v>49</v>
      </c>
      <c r="M1031" t="s">
        <v>248</v>
      </c>
      <c r="N1031" t="s">
        <v>84</v>
      </c>
      <c r="O1031" t="s">
        <v>28</v>
      </c>
      <c r="P1031" t="s">
        <v>31</v>
      </c>
      <c r="Q1031">
        <v>0</v>
      </c>
      <c r="R1031" t="s">
        <v>12883</v>
      </c>
      <c r="S1031" t="s">
        <v>12884</v>
      </c>
    </row>
    <row r="1032" spans="1:19" x14ac:dyDescent="0.25">
      <c r="A1032" t="s">
        <v>12029</v>
      </c>
      <c r="B1032" s="1">
        <v>45956</v>
      </c>
      <c r="C1032" t="s">
        <v>12890</v>
      </c>
      <c r="D1032" s="5">
        <v>6.3761574074074068E-2</v>
      </c>
      <c r="E1032">
        <v>137.56</v>
      </c>
      <c r="F1032" t="s">
        <v>44</v>
      </c>
      <c r="G1032" t="s">
        <v>1911</v>
      </c>
      <c r="H1032" t="s">
        <v>64</v>
      </c>
      <c r="I1032" t="s">
        <v>38</v>
      </c>
      <c r="J1032" t="s">
        <v>12030</v>
      </c>
      <c r="K1032">
        <v>50</v>
      </c>
      <c r="L1032" t="s">
        <v>37</v>
      </c>
      <c r="M1032" t="s">
        <v>58</v>
      </c>
      <c r="N1032" t="s">
        <v>112</v>
      </c>
      <c r="O1032" t="s">
        <v>28</v>
      </c>
      <c r="P1032" t="s">
        <v>31</v>
      </c>
      <c r="Q1032">
        <v>0</v>
      </c>
      <c r="R1032" t="s">
        <v>12883</v>
      </c>
      <c r="S1032" t="s">
        <v>12886</v>
      </c>
    </row>
    <row r="1033" spans="1:19" x14ac:dyDescent="0.25">
      <c r="A1033" t="s">
        <v>610</v>
      </c>
      <c r="B1033" s="1">
        <v>45929</v>
      </c>
      <c r="C1033" t="s">
        <v>12882</v>
      </c>
      <c r="D1033" s="5">
        <v>0.23965277777777777</v>
      </c>
      <c r="E1033">
        <v>137.27000000000001</v>
      </c>
      <c r="F1033" t="s">
        <v>44</v>
      </c>
      <c r="G1033" t="s">
        <v>611</v>
      </c>
      <c r="H1033" t="s">
        <v>22</v>
      </c>
      <c r="I1033" t="s">
        <v>66</v>
      </c>
      <c r="J1033" t="s">
        <v>612</v>
      </c>
      <c r="K1033">
        <v>39</v>
      </c>
      <c r="L1033" t="s">
        <v>25</v>
      </c>
      <c r="M1033" t="s">
        <v>47</v>
      </c>
      <c r="N1033" t="s">
        <v>39</v>
      </c>
      <c r="O1033" t="s">
        <v>28</v>
      </c>
      <c r="P1033" t="s">
        <v>31</v>
      </c>
      <c r="Q1033">
        <v>0</v>
      </c>
      <c r="R1033" t="s">
        <v>12883</v>
      </c>
      <c r="S1033" t="s">
        <v>12889</v>
      </c>
    </row>
    <row r="1034" spans="1:19" x14ac:dyDescent="0.25">
      <c r="A1034" t="s">
        <v>8812</v>
      </c>
      <c r="B1034" s="1">
        <v>45868</v>
      </c>
      <c r="C1034" t="s">
        <v>12885</v>
      </c>
      <c r="D1034" s="5">
        <v>0.30010416666666667</v>
      </c>
      <c r="E1034">
        <v>137.16999999999999</v>
      </c>
      <c r="F1034" t="s">
        <v>44</v>
      </c>
      <c r="G1034" t="s">
        <v>7144</v>
      </c>
      <c r="H1034" t="s">
        <v>89</v>
      </c>
      <c r="I1034" t="s">
        <v>38</v>
      </c>
      <c r="J1034" t="s">
        <v>4853</v>
      </c>
      <c r="K1034">
        <v>23</v>
      </c>
      <c r="L1034" t="s">
        <v>49</v>
      </c>
      <c r="M1034" t="s">
        <v>97</v>
      </c>
      <c r="N1034" t="s">
        <v>27</v>
      </c>
      <c r="O1034" t="s">
        <v>28</v>
      </c>
      <c r="P1034" t="s">
        <v>31</v>
      </c>
      <c r="Q1034">
        <v>0</v>
      </c>
      <c r="R1034" t="s">
        <v>12883</v>
      </c>
      <c r="S1034" t="s">
        <v>12892</v>
      </c>
    </row>
    <row r="1035" spans="1:19" x14ac:dyDescent="0.25">
      <c r="A1035" t="s">
        <v>1276</v>
      </c>
      <c r="B1035" s="1">
        <v>45868</v>
      </c>
      <c r="C1035" t="s">
        <v>12885</v>
      </c>
      <c r="D1035" s="5">
        <v>0.84778935185185189</v>
      </c>
      <c r="E1035">
        <v>137.02000000000001</v>
      </c>
      <c r="F1035" t="s">
        <v>44</v>
      </c>
      <c r="G1035" t="s">
        <v>1277</v>
      </c>
      <c r="H1035" t="s">
        <v>22</v>
      </c>
      <c r="I1035" t="s">
        <v>146</v>
      </c>
      <c r="J1035" t="s">
        <v>1278</v>
      </c>
      <c r="K1035">
        <v>57</v>
      </c>
      <c r="L1035" t="s">
        <v>49</v>
      </c>
      <c r="M1035" t="s">
        <v>66</v>
      </c>
      <c r="N1035" t="s">
        <v>51</v>
      </c>
      <c r="O1035" t="s">
        <v>28</v>
      </c>
      <c r="P1035" t="s">
        <v>31</v>
      </c>
      <c r="Q1035">
        <v>0</v>
      </c>
      <c r="R1035" t="s">
        <v>12883</v>
      </c>
      <c r="S1035" t="s">
        <v>12886</v>
      </c>
    </row>
    <row r="1036" spans="1:19" x14ac:dyDescent="0.25">
      <c r="A1036" t="s">
        <v>3888</v>
      </c>
      <c r="B1036" s="1">
        <v>45831</v>
      </c>
      <c r="C1036" t="s">
        <v>12888</v>
      </c>
      <c r="D1036" s="5">
        <v>4.670138888888889E-2</v>
      </c>
      <c r="E1036">
        <v>136.86000000000001</v>
      </c>
      <c r="F1036" t="s">
        <v>44</v>
      </c>
      <c r="G1036" t="s">
        <v>3889</v>
      </c>
      <c r="H1036" t="s">
        <v>77</v>
      </c>
      <c r="I1036" t="s">
        <v>26</v>
      </c>
      <c r="J1036" t="s">
        <v>3890</v>
      </c>
      <c r="K1036">
        <v>36</v>
      </c>
      <c r="L1036" t="s">
        <v>49</v>
      </c>
      <c r="M1036" t="s">
        <v>97</v>
      </c>
      <c r="N1036" t="s">
        <v>112</v>
      </c>
      <c r="O1036" t="s">
        <v>28</v>
      </c>
      <c r="P1036" t="s">
        <v>31</v>
      </c>
      <c r="Q1036">
        <v>0</v>
      </c>
      <c r="R1036" t="s">
        <v>12883</v>
      </c>
      <c r="S1036" t="s">
        <v>12889</v>
      </c>
    </row>
    <row r="1037" spans="1:19" x14ac:dyDescent="0.25">
      <c r="A1037" t="s">
        <v>9701</v>
      </c>
      <c r="B1037" s="1">
        <v>45809</v>
      </c>
      <c r="C1037" t="s">
        <v>12888</v>
      </c>
      <c r="D1037" s="5">
        <v>0.84237268518518515</v>
      </c>
      <c r="E1037">
        <v>136.79</v>
      </c>
      <c r="F1037" t="s">
        <v>44</v>
      </c>
      <c r="G1037" t="s">
        <v>2418</v>
      </c>
      <c r="H1037" t="s">
        <v>96</v>
      </c>
      <c r="I1037" t="s">
        <v>38</v>
      </c>
      <c r="J1037" t="s">
        <v>9702</v>
      </c>
      <c r="K1037">
        <v>18</v>
      </c>
      <c r="L1037" t="s">
        <v>25</v>
      </c>
      <c r="M1037" t="s">
        <v>26</v>
      </c>
      <c r="N1037" t="s">
        <v>84</v>
      </c>
      <c r="O1037" t="s">
        <v>28</v>
      </c>
      <c r="P1037" t="s">
        <v>31</v>
      </c>
      <c r="Q1037">
        <v>0</v>
      </c>
      <c r="R1037" t="s">
        <v>12883</v>
      </c>
      <c r="S1037" t="s">
        <v>12892</v>
      </c>
    </row>
    <row r="1038" spans="1:19" x14ac:dyDescent="0.25">
      <c r="A1038" t="s">
        <v>7649</v>
      </c>
      <c r="B1038" s="1">
        <v>45891</v>
      </c>
      <c r="C1038" t="s">
        <v>12893</v>
      </c>
      <c r="D1038" s="5">
        <v>5.8402777777777776E-2</v>
      </c>
      <c r="E1038">
        <v>136.76</v>
      </c>
      <c r="F1038" t="s">
        <v>44</v>
      </c>
      <c r="G1038" t="s">
        <v>849</v>
      </c>
      <c r="H1038" t="s">
        <v>46</v>
      </c>
      <c r="I1038" t="s">
        <v>119</v>
      </c>
      <c r="J1038" t="s">
        <v>7650</v>
      </c>
      <c r="K1038">
        <v>60</v>
      </c>
      <c r="L1038" t="s">
        <v>37</v>
      </c>
      <c r="M1038" t="s">
        <v>35</v>
      </c>
      <c r="N1038" t="s">
        <v>105</v>
      </c>
      <c r="O1038" t="s">
        <v>28</v>
      </c>
      <c r="P1038" t="s">
        <v>31</v>
      </c>
      <c r="Q1038">
        <v>0</v>
      </c>
      <c r="R1038" t="s">
        <v>12883</v>
      </c>
      <c r="S1038" t="s">
        <v>12884</v>
      </c>
    </row>
    <row r="1039" spans="1:19" x14ac:dyDescent="0.25">
      <c r="A1039" t="s">
        <v>7862</v>
      </c>
      <c r="B1039" s="1">
        <v>45915</v>
      </c>
      <c r="C1039" t="s">
        <v>12882</v>
      </c>
      <c r="D1039" s="5">
        <v>0.18810185185185185</v>
      </c>
      <c r="E1039">
        <v>136.63999999999999</v>
      </c>
      <c r="F1039" t="s">
        <v>44</v>
      </c>
      <c r="G1039" t="s">
        <v>1553</v>
      </c>
      <c r="H1039" t="s">
        <v>71</v>
      </c>
      <c r="I1039" t="s">
        <v>119</v>
      </c>
      <c r="J1039" t="s">
        <v>7863</v>
      </c>
      <c r="K1039">
        <v>62</v>
      </c>
      <c r="L1039" t="s">
        <v>49</v>
      </c>
      <c r="M1039" t="s">
        <v>97</v>
      </c>
      <c r="N1039" t="s">
        <v>112</v>
      </c>
      <c r="O1039" t="s">
        <v>28</v>
      </c>
      <c r="P1039" t="s">
        <v>31</v>
      </c>
      <c r="Q1039">
        <v>0</v>
      </c>
      <c r="R1039" t="s">
        <v>12883</v>
      </c>
      <c r="S1039" t="s">
        <v>12884</v>
      </c>
    </row>
    <row r="1040" spans="1:19" x14ac:dyDescent="0.25">
      <c r="A1040" t="s">
        <v>3078</v>
      </c>
      <c r="B1040" s="1">
        <v>45824</v>
      </c>
      <c r="C1040" t="s">
        <v>12888</v>
      </c>
      <c r="D1040" s="5">
        <v>0.35344907407407405</v>
      </c>
      <c r="E1040">
        <v>136.62</v>
      </c>
      <c r="F1040" t="s">
        <v>44</v>
      </c>
      <c r="G1040" t="s">
        <v>3079</v>
      </c>
      <c r="H1040" t="s">
        <v>96</v>
      </c>
      <c r="I1040" t="s">
        <v>47</v>
      </c>
      <c r="J1040" t="s">
        <v>3080</v>
      </c>
      <c r="K1040">
        <v>68</v>
      </c>
      <c r="L1040" t="s">
        <v>37</v>
      </c>
      <c r="M1040" t="s">
        <v>58</v>
      </c>
      <c r="N1040" t="s">
        <v>105</v>
      </c>
      <c r="O1040" t="s">
        <v>28</v>
      </c>
      <c r="P1040" t="s">
        <v>31</v>
      </c>
      <c r="Q1040">
        <v>0</v>
      </c>
      <c r="R1040" t="s">
        <v>12883</v>
      </c>
      <c r="S1040" t="s">
        <v>12884</v>
      </c>
    </row>
    <row r="1041" spans="1:19" x14ac:dyDescent="0.25">
      <c r="A1041" t="s">
        <v>3305</v>
      </c>
      <c r="B1041" s="1">
        <v>45895</v>
      </c>
      <c r="C1041" t="s">
        <v>12893</v>
      </c>
      <c r="D1041" s="5">
        <v>1.5775462962962963E-2</v>
      </c>
      <c r="E1041">
        <v>136.59</v>
      </c>
      <c r="F1041" t="s">
        <v>44</v>
      </c>
      <c r="G1041" t="s">
        <v>2630</v>
      </c>
      <c r="H1041" t="s">
        <v>57</v>
      </c>
      <c r="I1041" t="s">
        <v>38</v>
      </c>
      <c r="J1041" t="s">
        <v>3306</v>
      </c>
      <c r="K1041">
        <v>62</v>
      </c>
      <c r="L1041" t="s">
        <v>49</v>
      </c>
      <c r="M1041" t="s">
        <v>66</v>
      </c>
      <c r="N1041" t="s">
        <v>51</v>
      </c>
      <c r="O1041" t="s">
        <v>28</v>
      </c>
      <c r="P1041" t="s">
        <v>31</v>
      </c>
      <c r="Q1041">
        <v>0</v>
      </c>
      <c r="R1041" t="s">
        <v>12883</v>
      </c>
      <c r="S1041" t="s">
        <v>12884</v>
      </c>
    </row>
    <row r="1042" spans="1:19" x14ac:dyDescent="0.25">
      <c r="A1042" t="s">
        <v>1812</v>
      </c>
      <c r="B1042" s="1">
        <v>45894</v>
      </c>
      <c r="C1042" t="s">
        <v>12893</v>
      </c>
      <c r="D1042" s="5">
        <v>0.50135416666666666</v>
      </c>
      <c r="E1042">
        <v>136.57</v>
      </c>
      <c r="F1042" t="s">
        <v>44</v>
      </c>
      <c r="G1042" t="s">
        <v>1813</v>
      </c>
      <c r="H1042" t="s">
        <v>96</v>
      </c>
      <c r="I1042" t="s">
        <v>58</v>
      </c>
      <c r="J1042" t="s">
        <v>1814</v>
      </c>
      <c r="K1042">
        <v>19</v>
      </c>
      <c r="L1042" t="s">
        <v>49</v>
      </c>
      <c r="M1042" t="s">
        <v>35</v>
      </c>
      <c r="N1042" t="s">
        <v>51</v>
      </c>
      <c r="O1042" t="s">
        <v>28</v>
      </c>
      <c r="P1042" t="s">
        <v>31</v>
      </c>
      <c r="Q1042">
        <v>0</v>
      </c>
      <c r="R1042" t="s">
        <v>12883</v>
      </c>
      <c r="S1042" t="s">
        <v>12892</v>
      </c>
    </row>
    <row r="1043" spans="1:19" x14ac:dyDescent="0.25">
      <c r="A1043" t="s">
        <v>8953</v>
      </c>
      <c r="B1043" s="1">
        <v>45890</v>
      </c>
      <c r="C1043" t="s">
        <v>12893</v>
      </c>
      <c r="D1043" s="5">
        <v>0.42255787037037035</v>
      </c>
      <c r="E1043">
        <v>136.43</v>
      </c>
      <c r="F1043" t="s">
        <v>44</v>
      </c>
      <c r="G1043" t="s">
        <v>3193</v>
      </c>
      <c r="H1043" t="s">
        <v>96</v>
      </c>
      <c r="I1043" t="s">
        <v>38</v>
      </c>
      <c r="J1043" t="s">
        <v>8954</v>
      </c>
      <c r="K1043">
        <v>19</v>
      </c>
      <c r="L1043" t="s">
        <v>37</v>
      </c>
      <c r="M1043" t="s">
        <v>248</v>
      </c>
      <c r="N1043" t="s">
        <v>39</v>
      </c>
      <c r="O1043" t="s">
        <v>28</v>
      </c>
      <c r="P1043" t="s">
        <v>31</v>
      </c>
      <c r="Q1043">
        <v>0</v>
      </c>
      <c r="R1043" t="s">
        <v>12883</v>
      </c>
      <c r="S1043" t="s">
        <v>12892</v>
      </c>
    </row>
    <row r="1044" spans="1:19" x14ac:dyDescent="0.25">
      <c r="A1044" t="s">
        <v>4787</v>
      </c>
      <c r="B1044" s="1">
        <v>45786</v>
      </c>
      <c r="C1044" t="s">
        <v>12887</v>
      </c>
      <c r="D1044" s="5">
        <v>0.86738425925925922</v>
      </c>
      <c r="E1044">
        <v>136.26</v>
      </c>
      <c r="F1044" t="s">
        <v>44</v>
      </c>
      <c r="G1044" t="s">
        <v>4788</v>
      </c>
      <c r="H1044" t="s">
        <v>34</v>
      </c>
      <c r="I1044" t="s">
        <v>26</v>
      </c>
      <c r="J1044" t="s">
        <v>4789</v>
      </c>
      <c r="K1044">
        <v>39</v>
      </c>
      <c r="L1044" t="s">
        <v>49</v>
      </c>
      <c r="M1044" t="s">
        <v>248</v>
      </c>
      <c r="N1044" t="s">
        <v>105</v>
      </c>
      <c r="O1044" t="s">
        <v>28</v>
      </c>
      <c r="P1044" t="s">
        <v>31</v>
      </c>
      <c r="Q1044">
        <v>0</v>
      </c>
      <c r="R1044" t="s">
        <v>12883</v>
      </c>
      <c r="S1044" t="s">
        <v>12889</v>
      </c>
    </row>
    <row r="1045" spans="1:19" x14ac:dyDescent="0.25">
      <c r="A1045" t="s">
        <v>3491</v>
      </c>
      <c r="B1045" s="1">
        <v>45907</v>
      </c>
      <c r="C1045" t="s">
        <v>12882</v>
      </c>
      <c r="D1045" s="5">
        <v>0.85975694444444439</v>
      </c>
      <c r="E1045">
        <v>136.19</v>
      </c>
      <c r="F1045" t="s">
        <v>44</v>
      </c>
      <c r="G1045" t="s">
        <v>2044</v>
      </c>
      <c r="H1045" t="s">
        <v>64</v>
      </c>
      <c r="I1045" t="s">
        <v>119</v>
      </c>
      <c r="J1045" t="s">
        <v>3492</v>
      </c>
      <c r="K1045">
        <v>27</v>
      </c>
      <c r="L1045" t="s">
        <v>49</v>
      </c>
      <c r="M1045" t="s">
        <v>119</v>
      </c>
      <c r="N1045" t="s">
        <v>105</v>
      </c>
      <c r="O1045" t="s">
        <v>113</v>
      </c>
      <c r="P1045" t="s">
        <v>31</v>
      </c>
      <c r="Q1045">
        <v>0</v>
      </c>
      <c r="R1045" t="s">
        <v>12883</v>
      </c>
      <c r="S1045" t="s">
        <v>12889</v>
      </c>
    </row>
    <row r="1046" spans="1:19" x14ac:dyDescent="0.25">
      <c r="A1046" t="s">
        <v>461</v>
      </c>
      <c r="B1046" s="1">
        <v>45892</v>
      </c>
      <c r="C1046" t="s">
        <v>12893</v>
      </c>
      <c r="D1046" s="5">
        <v>0.14675925925925926</v>
      </c>
      <c r="E1046">
        <v>136.12</v>
      </c>
      <c r="F1046" t="s">
        <v>44</v>
      </c>
      <c r="G1046" t="s">
        <v>462</v>
      </c>
      <c r="H1046" t="s">
        <v>124</v>
      </c>
      <c r="I1046" t="s">
        <v>248</v>
      </c>
      <c r="J1046" t="s">
        <v>463</v>
      </c>
      <c r="K1046">
        <v>72</v>
      </c>
      <c r="L1046" t="s">
        <v>49</v>
      </c>
      <c r="M1046" t="s">
        <v>23</v>
      </c>
      <c r="N1046" t="s">
        <v>112</v>
      </c>
      <c r="O1046" t="s">
        <v>28</v>
      </c>
      <c r="P1046" t="s">
        <v>31</v>
      </c>
      <c r="Q1046">
        <v>0</v>
      </c>
      <c r="R1046" t="s">
        <v>12883</v>
      </c>
      <c r="S1046" t="s">
        <v>12884</v>
      </c>
    </row>
    <row r="1047" spans="1:19" x14ac:dyDescent="0.25">
      <c r="A1047" t="s">
        <v>12449</v>
      </c>
      <c r="B1047" s="1">
        <v>45805</v>
      </c>
      <c r="C1047" t="s">
        <v>12887</v>
      </c>
      <c r="D1047" s="5">
        <v>0.58506944444444442</v>
      </c>
      <c r="E1047">
        <v>136.02000000000001</v>
      </c>
      <c r="F1047" t="s">
        <v>44</v>
      </c>
      <c r="G1047" t="s">
        <v>1224</v>
      </c>
      <c r="H1047" t="s">
        <v>124</v>
      </c>
      <c r="I1047" t="s">
        <v>91</v>
      </c>
      <c r="J1047" t="s">
        <v>12450</v>
      </c>
      <c r="K1047">
        <v>45</v>
      </c>
      <c r="L1047" t="s">
        <v>37</v>
      </c>
      <c r="M1047" t="s">
        <v>91</v>
      </c>
      <c r="N1047" t="s">
        <v>112</v>
      </c>
      <c r="O1047" t="s">
        <v>113</v>
      </c>
      <c r="P1047" t="s">
        <v>31</v>
      </c>
      <c r="Q1047">
        <v>0</v>
      </c>
      <c r="R1047" t="s">
        <v>12883</v>
      </c>
      <c r="S1047" t="s">
        <v>12886</v>
      </c>
    </row>
    <row r="1048" spans="1:19" x14ac:dyDescent="0.25">
      <c r="A1048" t="s">
        <v>4297</v>
      </c>
      <c r="B1048" s="1">
        <v>45851</v>
      </c>
      <c r="C1048" t="s">
        <v>12885</v>
      </c>
      <c r="D1048" s="5">
        <v>0.26928240740740739</v>
      </c>
      <c r="E1048">
        <v>135.96</v>
      </c>
      <c r="F1048" t="s">
        <v>44</v>
      </c>
      <c r="G1048" t="s">
        <v>1558</v>
      </c>
      <c r="H1048" t="s">
        <v>46</v>
      </c>
      <c r="I1048" t="s">
        <v>97</v>
      </c>
      <c r="J1048" t="s">
        <v>4298</v>
      </c>
      <c r="K1048">
        <v>56</v>
      </c>
      <c r="L1048" t="s">
        <v>25</v>
      </c>
      <c r="M1048" t="s">
        <v>50</v>
      </c>
      <c r="N1048" t="s">
        <v>112</v>
      </c>
      <c r="O1048" t="s">
        <v>28</v>
      </c>
      <c r="P1048" t="s">
        <v>31</v>
      </c>
      <c r="Q1048">
        <v>0</v>
      </c>
      <c r="R1048" t="s">
        <v>12883</v>
      </c>
      <c r="S1048" t="s">
        <v>12886</v>
      </c>
    </row>
    <row r="1049" spans="1:19" x14ac:dyDescent="0.25">
      <c r="A1049" t="s">
        <v>10630</v>
      </c>
      <c r="B1049" s="1">
        <v>45928</v>
      </c>
      <c r="C1049" t="s">
        <v>12882</v>
      </c>
      <c r="D1049" s="5">
        <v>0.63821759259259259</v>
      </c>
      <c r="E1049">
        <v>135.66999999999999</v>
      </c>
      <c r="F1049" t="s">
        <v>44</v>
      </c>
      <c r="G1049" t="s">
        <v>2363</v>
      </c>
      <c r="H1049" t="s">
        <v>22</v>
      </c>
      <c r="I1049" t="s">
        <v>26</v>
      </c>
      <c r="J1049" t="s">
        <v>10631</v>
      </c>
      <c r="K1049">
        <v>46</v>
      </c>
      <c r="L1049" t="s">
        <v>37</v>
      </c>
      <c r="M1049" t="s">
        <v>47</v>
      </c>
      <c r="N1049" t="s">
        <v>112</v>
      </c>
      <c r="O1049" t="s">
        <v>28</v>
      </c>
      <c r="P1049" t="s">
        <v>31</v>
      </c>
      <c r="Q1049">
        <v>0</v>
      </c>
      <c r="R1049" t="s">
        <v>12883</v>
      </c>
      <c r="S1049" t="s">
        <v>12886</v>
      </c>
    </row>
    <row r="1050" spans="1:19" x14ac:dyDescent="0.25">
      <c r="A1050" t="s">
        <v>5688</v>
      </c>
      <c r="B1050" s="1">
        <v>45781</v>
      </c>
      <c r="C1050" t="s">
        <v>12887</v>
      </c>
      <c r="D1050" s="5">
        <v>7.9965277777777774E-2</v>
      </c>
      <c r="E1050">
        <v>135.65</v>
      </c>
      <c r="F1050" t="s">
        <v>44</v>
      </c>
      <c r="G1050" t="s">
        <v>4421</v>
      </c>
      <c r="H1050" t="s">
        <v>96</v>
      </c>
      <c r="I1050" t="s">
        <v>146</v>
      </c>
      <c r="J1050" t="s">
        <v>5689</v>
      </c>
      <c r="K1050">
        <v>40</v>
      </c>
      <c r="L1050" t="s">
        <v>49</v>
      </c>
      <c r="M1050" t="s">
        <v>38</v>
      </c>
      <c r="N1050" t="s">
        <v>112</v>
      </c>
      <c r="O1050" t="s">
        <v>28</v>
      </c>
      <c r="P1050" t="s">
        <v>31</v>
      </c>
      <c r="Q1050">
        <v>0</v>
      </c>
      <c r="R1050" t="s">
        <v>12883</v>
      </c>
      <c r="S1050" t="s">
        <v>12886</v>
      </c>
    </row>
    <row r="1051" spans="1:19" x14ac:dyDescent="0.25">
      <c r="A1051" t="s">
        <v>11959</v>
      </c>
      <c r="B1051" s="1">
        <v>45930</v>
      </c>
      <c r="C1051" t="s">
        <v>12882</v>
      </c>
      <c r="D1051" s="5">
        <v>0.24704861111111112</v>
      </c>
      <c r="E1051">
        <v>135.59</v>
      </c>
      <c r="F1051" t="s">
        <v>44</v>
      </c>
      <c r="G1051" t="s">
        <v>1529</v>
      </c>
      <c r="H1051" t="s">
        <v>57</v>
      </c>
      <c r="I1051" t="s">
        <v>58</v>
      </c>
      <c r="J1051" t="s">
        <v>11960</v>
      </c>
      <c r="K1051">
        <v>38</v>
      </c>
      <c r="L1051" t="s">
        <v>49</v>
      </c>
      <c r="M1051" t="s">
        <v>66</v>
      </c>
      <c r="N1051" t="s">
        <v>51</v>
      </c>
      <c r="O1051" t="s">
        <v>28</v>
      </c>
      <c r="P1051" t="s">
        <v>31</v>
      </c>
      <c r="Q1051">
        <v>0</v>
      </c>
      <c r="R1051" t="s">
        <v>12883</v>
      </c>
      <c r="S1051" t="s">
        <v>12889</v>
      </c>
    </row>
    <row r="1052" spans="1:19" x14ac:dyDescent="0.25">
      <c r="A1052" t="s">
        <v>7168</v>
      </c>
      <c r="B1052" s="1">
        <v>45840</v>
      </c>
      <c r="C1052" t="s">
        <v>12885</v>
      </c>
      <c r="D1052" s="5">
        <v>0.52822916666666664</v>
      </c>
      <c r="E1052">
        <v>135.56</v>
      </c>
      <c r="F1052" t="s">
        <v>44</v>
      </c>
      <c r="G1052" t="s">
        <v>7169</v>
      </c>
      <c r="H1052" t="s">
        <v>89</v>
      </c>
      <c r="I1052" t="s">
        <v>58</v>
      </c>
      <c r="J1052" t="s">
        <v>7170</v>
      </c>
      <c r="K1052">
        <v>61</v>
      </c>
      <c r="L1052" t="s">
        <v>37</v>
      </c>
      <c r="M1052" t="s">
        <v>35</v>
      </c>
      <c r="N1052" t="s">
        <v>105</v>
      </c>
      <c r="O1052" t="s">
        <v>28</v>
      </c>
      <c r="P1052" t="s">
        <v>31</v>
      </c>
      <c r="Q1052">
        <v>0</v>
      </c>
      <c r="R1052" t="s">
        <v>12883</v>
      </c>
      <c r="S1052" t="s">
        <v>12884</v>
      </c>
    </row>
    <row r="1053" spans="1:19" x14ac:dyDescent="0.25">
      <c r="A1053" t="s">
        <v>7729</v>
      </c>
      <c r="B1053" s="1">
        <v>45901</v>
      </c>
      <c r="C1053" t="s">
        <v>12882</v>
      </c>
      <c r="D1053" s="5">
        <v>0.97168981481481487</v>
      </c>
      <c r="E1053">
        <v>135.56</v>
      </c>
      <c r="F1053" t="s">
        <v>44</v>
      </c>
      <c r="G1053" t="s">
        <v>2671</v>
      </c>
      <c r="H1053" t="s">
        <v>96</v>
      </c>
      <c r="I1053" t="s">
        <v>97</v>
      </c>
      <c r="J1053" t="s">
        <v>5986</v>
      </c>
      <c r="K1053">
        <v>64</v>
      </c>
      <c r="L1053" t="s">
        <v>37</v>
      </c>
      <c r="M1053" t="s">
        <v>146</v>
      </c>
      <c r="N1053" t="s">
        <v>39</v>
      </c>
      <c r="O1053" t="s">
        <v>28</v>
      </c>
      <c r="P1053" t="s">
        <v>31</v>
      </c>
      <c r="Q1053">
        <v>0</v>
      </c>
      <c r="R1053" t="s">
        <v>12883</v>
      </c>
      <c r="S1053" t="s">
        <v>12884</v>
      </c>
    </row>
    <row r="1054" spans="1:19" x14ac:dyDescent="0.25">
      <c r="A1054" t="s">
        <v>11892</v>
      </c>
      <c r="B1054" s="1">
        <v>45889</v>
      </c>
      <c r="C1054" t="s">
        <v>12893</v>
      </c>
      <c r="D1054" s="5">
        <v>0.2479513888888889</v>
      </c>
      <c r="E1054">
        <v>135.5</v>
      </c>
      <c r="F1054" t="s">
        <v>44</v>
      </c>
      <c r="G1054" t="s">
        <v>1138</v>
      </c>
      <c r="H1054" t="s">
        <v>57</v>
      </c>
      <c r="I1054" t="s">
        <v>91</v>
      </c>
      <c r="J1054" t="s">
        <v>11893</v>
      </c>
      <c r="K1054">
        <v>25</v>
      </c>
      <c r="L1054" t="s">
        <v>37</v>
      </c>
      <c r="M1054" t="s">
        <v>26</v>
      </c>
      <c r="N1054" t="s">
        <v>27</v>
      </c>
      <c r="O1054" t="s">
        <v>28</v>
      </c>
      <c r="P1054" t="s">
        <v>31</v>
      </c>
      <c r="Q1054">
        <v>0</v>
      </c>
      <c r="R1054" t="s">
        <v>12883</v>
      </c>
      <c r="S1054" t="s">
        <v>12889</v>
      </c>
    </row>
    <row r="1055" spans="1:19" x14ac:dyDescent="0.25">
      <c r="A1055" t="s">
        <v>4305</v>
      </c>
      <c r="B1055" s="1">
        <v>45877</v>
      </c>
      <c r="C1055" t="s">
        <v>12893</v>
      </c>
      <c r="D1055" s="5">
        <v>0.71141203703703704</v>
      </c>
      <c r="E1055">
        <v>135.47999999999999</v>
      </c>
      <c r="F1055" t="s">
        <v>44</v>
      </c>
      <c r="G1055" t="s">
        <v>4306</v>
      </c>
      <c r="H1055" t="s">
        <v>22</v>
      </c>
      <c r="I1055" t="s">
        <v>47</v>
      </c>
      <c r="J1055" t="s">
        <v>2345</v>
      </c>
      <c r="K1055">
        <v>91</v>
      </c>
      <c r="L1055" t="s">
        <v>49</v>
      </c>
      <c r="M1055" t="s">
        <v>38</v>
      </c>
      <c r="N1055" t="s">
        <v>105</v>
      </c>
      <c r="O1055" t="s">
        <v>28</v>
      </c>
      <c r="P1055" t="s">
        <v>31</v>
      </c>
      <c r="Q1055">
        <v>0</v>
      </c>
      <c r="R1055" t="s">
        <v>12883</v>
      </c>
      <c r="S1055" t="s">
        <v>12884</v>
      </c>
    </row>
    <row r="1056" spans="1:19" x14ac:dyDescent="0.25">
      <c r="A1056" t="s">
        <v>8242</v>
      </c>
      <c r="B1056" s="1">
        <v>45792</v>
      </c>
      <c r="C1056" t="s">
        <v>12887</v>
      </c>
      <c r="D1056" s="5">
        <v>0.96195601851851853</v>
      </c>
      <c r="E1056">
        <v>135.41999999999999</v>
      </c>
      <c r="F1056" t="s">
        <v>44</v>
      </c>
      <c r="G1056" t="s">
        <v>4732</v>
      </c>
      <c r="H1056" t="s">
        <v>124</v>
      </c>
      <c r="I1056" t="s">
        <v>50</v>
      </c>
      <c r="J1056" t="s">
        <v>8243</v>
      </c>
      <c r="K1056">
        <v>71</v>
      </c>
      <c r="L1056" t="s">
        <v>37</v>
      </c>
      <c r="M1056" t="s">
        <v>119</v>
      </c>
      <c r="N1056" t="s">
        <v>39</v>
      </c>
      <c r="O1056" t="s">
        <v>28</v>
      </c>
      <c r="P1056" t="s">
        <v>31</v>
      </c>
      <c r="Q1056">
        <v>0</v>
      </c>
      <c r="R1056" t="s">
        <v>12883</v>
      </c>
      <c r="S1056" t="s">
        <v>12884</v>
      </c>
    </row>
    <row r="1057" spans="1:19" x14ac:dyDescent="0.25">
      <c r="A1057" t="s">
        <v>5628</v>
      </c>
      <c r="B1057" s="1">
        <v>45915</v>
      </c>
      <c r="C1057" t="s">
        <v>12882</v>
      </c>
      <c r="D1057" s="5">
        <v>6.6631944444444438E-2</v>
      </c>
      <c r="E1057">
        <v>135.36000000000001</v>
      </c>
      <c r="F1057" t="s">
        <v>44</v>
      </c>
      <c r="G1057" t="s">
        <v>1823</v>
      </c>
      <c r="H1057" t="s">
        <v>64</v>
      </c>
      <c r="I1057" t="s">
        <v>97</v>
      </c>
      <c r="J1057" t="s">
        <v>5629</v>
      </c>
      <c r="K1057">
        <v>54</v>
      </c>
      <c r="L1057" t="s">
        <v>37</v>
      </c>
      <c r="M1057" t="s">
        <v>23</v>
      </c>
      <c r="N1057" t="s">
        <v>51</v>
      </c>
      <c r="O1057" t="s">
        <v>28</v>
      </c>
      <c r="P1057" t="s">
        <v>31</v>
      </c>
      <c r="Q1057">
        <v>0</v>
      </c>
      <c r="R1057" t="s">
        <v>12883</v>
      </c>
      <c r="S1057" t="s">
        <v>12886</v>
      </c>
    </row>
    <row r="1058" spans="1:19" x14ac:dyDescent="0.25">
      <c r="A1058" t="s">
        <v>12863</v>
      </c>
      <c r="B1058" s="1">
        <v>45846</v>
      </c>
      <c r="C1058" t="s">
        <v>12885</v>
      </c>
      <c r="D1058" s="5">
        <v>0.88719907407407406</v>
      </c>
      <c r="E1058">
        <v>135.06</v>
      </c>
      <c r="F1058" t="s">
        <v>44</v>
      </c>
      <c r="G1058" t="s">
        <v>1968</v>
      </c>
      <c r="H1058" t="s">
        <v>89</v>
      </c>
      <c r="I1058" t="s">
        <v>146</v>
      </c>
      <c r="J1058" t="s">
        <v>12864</v>
      </c>
      <c r="K1058">
        <v>57</v>
      </c>
      <c r="L1058" t="s">
        <v>37</v>
      </c>
      <c r="M1058" t="s">
        <v>91</v>
      </c>
      <c r="N1058" t="s">
        <v>27</v>
      </c>
      <c r="O1058" t="s">
        <v>28</v>
      </c>
      <c r="P1058" t="s">
        <v>31</v>
      </c>
      <c r="Q1058">
        <v>0</v>
      </c>
      <c r="R1058" t="s">
        <v>12883</v>
      </c>
      <c r="S1058" t="s">
        <v>12886</v>
      </c>
    </row>
    <row r="1059" spans="1:19" x14ac:dyDescent="0.25">
      <c r="A1059" t="s">
        <v>772</v>
      </c>
      <c r="B1059" s="1">
        <v>45946</v>
      </c>
      <c r="C1059" t="s">
        <v>12890</v>
      </c>
      <c r="D1059" s="5">
        <v>0.89021990740740742</v>
      </c>
      <c r="E1059">
        <v>135.05000000000001</v>
      </c>
      <c r="F1059" t="s">
        <v>44</v>
      </c>
      <c r="G1059" t="s">
        <v>21</v>
      </c>
      <c r="H1059" t="s">
        <v>71</v>
      </c>
      <c r="I1059" t="s">
        <v>110</v>
      </c>
      <c r="J1059" t="s">
        <v>773</v>
      </c>
      <c r="K1059">
        <v>30</v>
      </c>
      <c r="L1059" t="s">
        <v>49</v>
      </c>
      <c r="M1059" t="s">
        <v>248</v>
      </c>
      <c r="N1059" t="s">
        <v>84</v>
      </c>
      <c r="O1059" t="s">
        <v>28</v>
      </c>
      <c r="P1059" t="s">
        <v>31</v>
      </c>
      <c r="Q1059">
        <v>0</v>
      </c>
      <c r="R1059" t="s">
        <v>12883</v>
      </c>
      <c r="S1059" t="s">
        <v>12889</v>
      </c>
    </row>
    <row r="1060" spans="1:19" x14ac:dyDescent="0.25">
      <c r="A1060" t="s">
        <v>2823</v>
      </c>
      <c r="B1060" s="1">
        <v>45795</v>
      </c>
      <c r="C1060" t="s">
        <v>12887</v>
      </c>
      <c r="D1060" s="5">
        <v>0.28641203703703705</v>
      </c>
      <c r="E1060">
        <v>135.03</v>
      </c>
      <c r="F1060" t="s">
        <v>44</v>
      </c>
      <c r="G1060" t="s">
        <v>1451</v>
      </c>
      <c r="H1060" t="s">
        <v>96</v>
      </c>
      <c r="I1060" t="s">
        <v>50</v>
      </c>
      <c r="J1060" t="s">
        <v>2824</v>
      </c>
      <c r="K1060">
        <v>38</v>
      </c>
      <c r="L1060" t="s">
        <v>25</v>
      </c>
      <c r="M1060" t="s">
        <v>23</v>
      </c>
      <c r="N1060" t="s">
        <v>51</v>
      </c>
      <c r="O1060" t="s">
        <v>28</v>
      </c>
      <c r="P1060" t="s">
        <v>31</v>
      </c>
      <c r="Q1060">
        <v>0</v>
      </c>
      <c r="R1060" t="s">
        <v>12883</v>
      </c>
      <c r="S1060" t="s">
        <v>12889</v>
      </c>
    </row>
    <row r="1061" spans="1:19" x14ac:dyDescent="0.25">
      <c r="A1061" t="s">
        <v>5017</v>
      </c>
      <c r="B1061" s="1">
        <v>45835</v>
      </c>
      <c r="C1061" t="s">
        <v>12888</v>
      </c>
      <c r="D1061" s="5">
        <v>0.42782407407407408</v>
      </c>
      <c r="E1061">
        <v>134.99</v>
      </c>
      <c r="F1061" t="s">
        <v>44</v>
      </c>
      <c r="G1061" t="s">
        <v>1710</v>
      </c>
      <c r="H1061" t="s">
        <v>124</v>
      </c>
      <c r="I1061" t="s">
        <v>130</v>
      </c>
      <c r="J1061" t="s">
        <v>5018</v>
      </c>
      <c r="K1061">
        <v>72</v>
      </c>
      <c r="L1061" t="s">
        <v>37</v>
      </c>
      <c r="M1061" t="s">
        <v>97</v>
      </c>
      <c r="N1061" t="s">
        <v>105</v>
      </c>
      <c r="O1061" t="s">
        <v>28</v>
      </c>
      <c r="P1061" t="s">
        <v>31</v>
      </c>
      <c r="Q1061">
        <v>0</v>
      </c>
      <c r="R1061" t="s">
        <v>12883</v>
      </c>
      <c r="S1061" t="s">
        <v>12884</v>
      </c>
    </row>
    <row r="1062" spans="1:19" x14ac:dyDescent="0.25">
      <c r="A1062" t="s">
        <v>5590</v>
      </c>
      <c r="B1062" s="1">
        <v>45839</v>
      </c>
      <c r="C1062" t="s">
        <v>12885</v>
      </c>
      <c r="D1062" s="5">
        <v>0.79155092592592591</v>
      </c>
      <c r="E1062">
        <v>134.99</v>
      </c>
      <c r="F1062" t="s">
        <v>44</v>
      </c>
      <c r="G1062" t="s">
        <v>3216</v>
      </c>
      <c r="H1062" t="s">
        <v>34</v>
      </c>
      <c r="I1062" t="s">
        <v>146</v>
      </c>
      <c r="J1062" t="s">
        <v>5591</v>
      </c>
      <c r="K1062">
        <v>34</v>
      </c>
      <c r="L1062" t="s">
        <v>49</v>
      </c>
      <c r="M1062" t="s">
        <v>119</v>
      </c>
      <c r="N1062" t="s">
        <v>51</v>
      </c>
      <c r="O1062" t="s">
        <v>28</v>
      </c>
      <c r="P1062" t="s">
        <v>31</v>
      </c>
      <c r="Q1062">
        <v>0</v>
      </c>
      <c r="R1062" t="s">
        <v>12883</v>
      </c>
      <c r="S1062" t="s">
        <v>12889</v>
      </c>
    </row>
    <row r="1063" spans="1:19" x14ac:dyDescent="0.25">
      <c r="A1063" t="s">
        <v>2908</v>
      </c>
      <c r="B1063" s="1">
        <v>45859</v>
      </c>
      <c r="C1063" t="s">
        <v>12885</v>
      </c>
      <c r="D1063" s="5">
        <v>0.83140046296296299</v>
      </c>
      <c r="E1063">
        <v>134.97</v>
      </c>
      <c r="F1063" t="s">
        <v>44</v>
      </c>
      <c r="G1063" t="s">
        <v>2139</v>
      </c>
      <c r="H1063" t="s">
        <v>34</v>
      </c>
      <c r="I1063" t="s">
        <v>23</v>
      </c>
      <c r="J1063" t="s">
        <v>2909</v>
      </c>
      <c r="K1063">
        <v>32</v>
      </c>
      <c r="L1063" t="s">
        <v>37</v>
      </c>
      <c r="M1063" t="s">
        <v>119</v>
      </c>
      <c r="N1063" t="s">
        <v>27</v>
      </c>
      <c r="O1063" t="s">
        <v>28</v>
      </c>
      <c r="P1063" t="s">
        <v>31</v>
      </c>
      <c r="Q1063">
        <v>0</v>
      </c>
      <c r="R1063" t="s">
        <v>12883</v>
      </c>
      <c r="S1063" t="s">
        <v>12889</v>
      </c>
    </row>
    <row r="1064" spans="1:19" x14ac:dyDescent="0.25">
      <c r="A1064" t="s">
        <v>8562</v>
      </c>
      <c r="B1064" s="1">
        <v>45840</v>
      </c>
      <c r="C1064" t="s">
        <v>12885</v>
      </c>
      <c r="D1064" s="5">
        <v>0.80458333333333332</v>
      </c>
      <c r="E1064">
        <v>134.83000000000001</v>
      </c>
      <c r="F1064" t="s">
        <v>44</v>
      </c>
      <c r="G1064" t="s">
        <v>8563</v>
      </c>
      <c r="H1064" t="s">
        <v>96</v>
      </c>
      <c r="I1064" t="s">
        <v>146</v>
      </c>
      <c r="J1064" t="s">
        <v>8564</v>
      </c>
      <c r="K1064">
        <v>39</v>
      </c>
      <c r="L1064" t="s">
        <v>37</v>
      </c>
      <c r="M1064" t="s">
        <v>38</v>
      </c>
      <c r="N1064" t="s">
        <v>39</v>
      </c>
      <c r="O1064" t="s">
        <v>28</v>
      </c>
      <c r="P1064" t="s">
        <v>31</v>
      </c>
      <c r="Q1064">
        <v>0</v>
      </c>
      <c r="R1064" t="s">
        <v>12883</v>
      </c>
      <c r="S1064" t="s">
        <v>12889</v>
      </c>
    </row>
    <row r="1065" spans="1:19" x14ac:dyDescent="0.25">
      <c r="A1065" t="s">
        <v>2970</v>
      </c>
      <c r="B1065" s="1">
        <v>45824</v>
      </c>
      <c r="C1065" t="s">
        <v>12888</v>
      </c>
      <c r="D1065" s="5">
        <v>7.2766203703703708E-2</v>
      </c>
      <c r="E1065">
        <v>134.72999999999999</v>
      </c>
      <c r="F1065" t="s">
        <v>44</v>
      </c>
      <c r="G1065" t="s">
        <v>423</v>
      </c>
      <c r="H1065" t="s">
        <v>77</v>
      </c>
      <c r="I1065" t="s">
        <v>26</v>
      </c>
      <c r="J1065" t="s">
        <v>2971</v>
      </c>
      <c r="K1065">
        <v>71</v>
      </c>
      <c r="L1065" t="s">
        <v>25</v>
      </c>
      <c r="M1065" t="s">
        <v>146</v>
      </c>
      <c r="N1065" t="s">
        <v>112</v>
      </c>
      <c r="O1065" t="s">
        <v>28</v>
      </c>
      <c r="P1065" t="s">
        <v>31</v>
      </c>
      <c r="Q1065">
        <v>0</v>
      </c>
      <c r="R1065" t="s">
        <v>12883</v>
      </c>
      <c r="S1065" t="s">
        <v>12884</v>
      </c>
    </row>
    <row r="1066" spans="1:19" x14ac:dyDescent="0.25">
      <c r="A1066" t="s">
        <v>1577</v>
      </c>
      <c r="B1066" s="1">
        <v>45885</v>
      </c>
      <c r="C1066" t="s">
        <v>12893</v>
      </c>
      <c r="D1066" s="5">
        <v>0.2663773148148148</v>
      </c>
      <c r="E1066">
        <v>134.66999999999999</v>
      </c>
      <c r="F1066" t="s">
        <v>44</v>
      </c>
      <c r="G1066" t="s">
        <v>1578</v>
      </c>
      <c r="H1066" t="s">
        <v>77</v>
      </c>
      <c r="I1066" t="s">
        <v>91</v>
      </c>
      <c r="J1066" t="s">
        <v>1579</v>
      </c>
      <c r="K1066">
        <v>34</v>
      </c>
      <c r="L1066" t="s">
        <v>49</v>
      </c>
      <c r="M1066" t="s">
        <v>50</v>
      </c>
      <c r="N1066" t="s">
        <v>27</v>
      </c>
      <c r="O1066" t="s">
        <v>28</v>
      </c>
      <c r="P1066" t="s">
        <v>31</v>
      </c>
      <c r="Q1066">
        <v>0</v>
      </c>
      <c r="R1066" t="s">
        <v>12883</v>
      </c>
      <c r="S1066" t="s">
        <v>12889</v>
      </c>
    </row>
    <row r="1067" spans="1:19" x14ac:dyDescent="0.25">
      <c r="A1067" t="s">
        <v>10019</v>
      </c>
      <c r="B1067" s="1">
        <v>45791</v>
      </c>
      <c r="C1067" t="s">
        <v>12887</v>
      </c>
      <c r="D1067" s="5">
        <v>0.91521990740740744</v>
      </c>
      <c r="E1067">
        <v>134.6</v>
      </c>
      <c r="F1067" t="s">
        <v>44</v>
      </c>
      <c r="G1067" t="s">
        <v>1757</v>
      </c>
      <c r="H1067" t="s">
        <v>124</v>
      </c>
      <c r="I1067" t="s">
        <v>97</v>
      </c>
      <c r="J1067" t="s">
        <v>10020</v>
      </c>
      <c r="K1067">
        <v>47</v>
      </c>
      <c r="L1067" t="s">
        <v>25</v>
      </c>
      <c r="M1067" t="s">
        <v>50</v>
      </c>
      <c r="N1067" t="s">
        <v>39</v>
      </c>
      <c r="O1067" t="s">
        <v>28</v>
      </c>
      <c r="P1067" t="s">
        <v>31</v>
      </c>
      <c r="Q1067">
        <v>0</v>
      </c>
      <c r="R1067" t="s">
        <v>12883</v>
      </c>
      <c r="S1067" t="s">
        <v>12886</v>
      </c>
    </row>
    <row r="1068" spans="1:19" x14ac:dyDescent="0.25">
      <c r="A1068" t="s">
        <v>9446</v>
      </c>
      <c r="B1068" s="1">
        <v>45788</v>
      </c>
      <c r="C1068" t="s">
        <v>12887</v>
      </c>
      <c r="D1068" s="5">
        <v>0.74364583333333334</v>
      </c>
      <c r="E1068">
        <v>134.59</v>
      </c>
      <c r="F1068" t="s">
        <v>44</v>
      </c>
      <c r="G1068" t="s">
        <v>5412</v>
      </c>
      <c r="H1068" t="s">
        <v>89</v>
      </c>
      <c r="I1068" t="s">
        <v>130</v>
      </c>
      <c r="J1068" t="s">
        <v>9447</v>
      </c>
      <c r="K1068">
        <v>37</v>
      </c>
      <c r="L1068" t="s">
        <v>37</v>
      </c>
      <c r="M1068" t="s">
        <v>58</v>
      </c>
      <c r="N1068" t="s">
        <v>84</v>
      </c>
      <c r="O1068" t="s">
        <v>28</v>
      </c>
      <c r="P1068" t="s">
        <v>31</v>
      </c>
      <c r="Q1068">
        <v>0</v>
      </c>
      <c r="R1068" t="s">
        <v>12883</v>
      </c>
      <c r="S1068" t="s">
        <v>12889</v>
      </c>
    </row>
    <row r="1069" spans="1:19" x14ac:dyDescent="0.25">
      <c r="A1069" t="s">
        <v>10595</v>
      </c>
      <c r="B1069" s="1">
        <v>45854</v>
      </c>
      <c r="C1069" t="s">
        <v>12885</v>
      </c>
      <c r="D1069" s="5">
        <v>0.11863425925925926</v>
      </c>
      <c r="E1069">
        <v>134.55000000000001</v>
      </c>
      <c r="F1069" t="s">
        <v>44</v>
      </c>
      <c r="G1069" t="s">
        <v>3942</v>
      </c>
      <c r="H1069" t="s">
        <v>64</v>
      </c>
      <c r="I1069" t="s">
        <v>248</v>
      </c>
      <c r="J1069" t="s">
        <v>10596</v>
      </c>
      <c r="K1069">
        <v>45</v>
      </c>
      <c r="L1069" t="s">
        <v>37</v>
      </c>
      <c r="M1069" t="s">
        <v>119</v>
      </c>
      <c r="N1069" t="s">
        <v>51</v>
      </c>
      <c r="O1069" t="s">
        <v>28</v>
      </c>
      <c r="P1069" t="s">
        <v>31</v>
      </c>
      <c r="Q1069">
        <v>0</v>
      </c>
      <c r="R1069" t="s">
        <v>12883</v>
      </c>
      <c r="S1069" t="s">
        <v>12886</v>
      </c>
    </row>
    <row r="1070" spans="1:19" x14ac:dyDescent="0.25">
      <c r="A1070" t="s">
        <v>12300</v>
      </c>
      <c r="B1070" s="1">
        <v>45842</v>
      </c>
      <c r="C1070" t="s">
        <v>12885</v>
      </c>
      <c r="D1070" s="5">
        <v>0.87268518518518523</v>
      </c>
      <c r="E1070">
        <v>134.44</v>
      </c>
      <c r="F1070" t="s">
        <v>44</v>
      </c>
      <c r="G1070" t="s">
        <v>5152</v>
      </c>
      <c r="H1070" t="s">
        <v>96</v>
      </c>
      <c r="I1070" t="s">
        <v>38</v>
      </c>
      <c r="J1070" t="s">
        <v>12301</v>
      </c>
      <c r="K1070">
        <v>65</v>
      </c>
      <c r="L1070" t="s">
        <v>37</v>
      </c>
      <c r="M1070" t="s">
        <v>23</v>
      </c>
      <c r="N1070" t="s">
        <v>39</v>
      </c>
      <c r="O1070" t="s">
        <v>28</v>
      </c>
      <c r="P1070" t="s">
        <v>31</v>
      </c>
      <c r="Q1070">
        <v>0</v>
      </c>
      <c r="R1070" t="s">
        <v>12883</v>
      </c>
      <c r="S1070" t="s">
        <v>12884</v>
      </c>
    </row>
    <row r="1071" spans="1:19" x14ac:dyDescent="0.25">
      <c r="A1071" t="s">
        <v>7941</v>
      </c>
      <c r="B1071" s="1">
        <v>45888</v>
      </c>
      <c r="C1071" t="s">
        <v>12893</v>
      </c>
      <c r="D1071" s="5">
        <v>0.74873842592592588</v>
      </c>
      <c r="E1071">
        <v>134.37</v>
      </c>
      <c r="F1071" t="s">
        <v>44</v>
      </c>
      <c r="G1071" t="s">
        <v>531</v>
      </c>
      <c r="H1071" t="s">
        <v>89</v>
      </c>
      <c r="I1071" t="s">
        <v>50</v>
      </c>
      <c r="J1071" t="s">
        <v>7942</v>
      </c>
      <c r="K1071">
        <v>62</v>
      </c>
      <c r="L1071" t="s">
        <v>49</v>
      </c>
      <c r="M1071" t="s">
        <v>248</v>
      </c>
      <c r="N1071" t="s">
        <v>84</v>
      </c>
      <c r="O1071" t="s">
        <v>28</v>
      </c>
      <c r="P1071" t="s">
        <v>31</v>
      </c>
      <c r="Q1071">
        <v>0</v>
      </c>
      <c r="R1071" t="s">
        <v>12883</v>
      </c>
      <c r="S1071" t="s">
        <v>12884</v>
      </c>
    </row>
    <row r="1072" spans="1:19" x14ac:dyDescent="0.25">
      <c r="A1072" t="s">
        <v>5962</v>
      </c>
      <c r="B1072" s="1">
        <v>45941</v>
      </c>
      <c r="C1072" t="s">
        <v>12890</v>
      </c>
      <c r="D1072" s="5">
        <v>0.19824074074074075</v>
      </c>
      <c r="E1072">
        <v>134.33000000000001</v>
      </c>
      <c r="F1072" t="s">
        <v>44</v>
      </c>
      <c r="G1072" t="s">
        <v>5963</v>
      </c>
      <c r="H1072" t="s">
        <v>77</v>
      </c>
      <c r="I1072" t="s">
        <v>38</v>
      </c>
      <c r="J1072" t="s">
        <v>5964</v>
      </c>
      <c r="K1072">
        <v>37</v>
      </c>
      <c r="L1072" t="s">
        <v>49</v>
      </c>
      <c r="M1072" t="s">
        <v>23</v>
      </c>
      <c r="N1072" t="s">
        <v>105</v>
      </c>
      <c r="O1072" t="s">
        <v>28</v>
      </c>
      <c r="P1072" t="s">
        <v>31</v>
      </c>
      <c r="Q1072">
        <v>0</v>
      </c>
      <c r="R1072" t="s">
        <v>12883</v>
      </c>
      <c r="S1072" t="s">
        <v>12889</v>
      </c>
    </row>
    <row r="1073" spans="1:19" x14ac:dyDescent="0.25">
      <c r="A1073" t="s">
        <v>5085</v>
      </c>
      <c r="B1073" s="1">
        <v>45854</v>
      </c>
      <c r="C1073" t="s">
        <v>12885</v>
      </c>
      <c r="D1073" s="5">
        <v>0.14402777777777778</v>
      </c>
      <c r="E1073">
        <v>134.12</v>
      </c>
      <c r="F1073" t="s">
        <v>44</v>
      </c>
      <c r="G1073" t="s">
        <v>2244</v>
      </c>
      <c r="H1073" t="s">
        <v>89</v>
      </c>
      <c r="I1073" t="s">
        <v>50</v>
      </c>
      <c r="J1073" t="s">
        <v>5086</v>
      </c>
      <c r="K1073">
        <v>53</v>
      </c>
      <c r="L1073" t="s">
        <v>25</v>
      </c>
      <c r="M1073" t="s">
        <v>119</v>
      </c>
      <c r="N1073" t="s">
        <v>105</v>
      </c>
      <c r="O1073" t="s">
        <v>28</v>
      </c>
      <c r="P1073" t="s">
        <v>31</v>
      </c>
      <c r="Q1073">
        <v>0</v>
      </c>
      <c r="R1073" t="s">
        <v>12883</v>
      </c>
      <c r="S1073" t="s">
        <v>12886</v>
      </c>
    </row>
    <row r="1074" spans="1:19" x14ac:dyDescent="0.25">
      <c r="A1074" t="s">
        <v>4345</v>
      </c>
      <c r="B1074" s="1">
        <v>45909</v>
      </c>
      <c r="C1074" t="s">
        <v>12882</v>
      </c>
      <c r="D1074" s="5">
        <v>0.43699074074074074</v>
      </c>
      <c r="E1074">
        <v>134.07</v>
      </c>
      <c r="F1074" t="s">
        <v>44</v>
      </c>
      <c r="G1074" t="s">
        <v>423</v>
      </c>
      <c r="H1074" t="s">
        <v>89</v>
      </c>
      <c r="I1074" t="s">
        <v>130</v>
      </c>
      <c r="J1074" t="s">
        <v>4346</v>
      </c>
      <c r="K1074">
        <v>46</v>
      </c>
      <c r="L1074" t="s">
        <v>49</v>
      </c>
      <c r="M1074" t="s">
        <v>130</v>
      </c>
      <c r="N1074" t="s">
        <v>27</v>
      </c>
      <c r="O1074" t="s">
        <v>113</v>
      </c>
      <c r="P1074" t="s">
        <v>31</v>
      </c>
      <c r="Q1074">
        <v>0</v>
      </c>
      <c r="R1074" t="s">
        <v>12883</v>
      </c>
      <c r="S1074" t="s">
        <v>12886</v>
      </c>
    </row>
    <row r="1075" spans="1:19" x14ac:dyDescent="0.25">
      <c r="A1075" t="s">
        <v>605</v>
      </c>
      <c r="B1075" s="1">
        <v>45811</v>
      </c>
      <c r="C1075" t="s">
        <v>12888</v>
      </c>
      <c r="D1075" s="5">
        <v>0.90546296296296291</v>
      </c>
      <c r="E1075">
        <v>133.93</v>
      </c>
      <c r="F1075" t="s">
        <v>44</v>
      </c>
      <c r="G1075" t="s">
        <v>606</v>
      </c>
      <c r="H1075" t="s">
        <v>22</v>
      </c>
      <c r="I1075" t="s">
        <v>130</v>
      </c>
      <c r="J1075" t="s">
        <v>607</v>
      </c>
      <c r="K1075">
        <v>24</v>
      </c>
      <c r="L1075" t="s">
        <v>25</v>
      </c>
      <c r="M1075" t="s">
        <v>23</v>
      </c>
      <c r="N1075" t="s">
        <v>51</v>
      </c>
      <c r="O1075" t="s">
        <v>28</v>
      </c>
      <c r="P1075" t="s">
        <v>31</v>
      </c>
      <c r="Q1075">
        <v>0</v>
      </c>
      <c r="R1075" t="s">
        <v>12883</v>
      </c>
      <c r="S1075" t="s">
        <v>12892</v>
      </c>
    </row>
    <row r="1076" spans="1:19" x14ac:dyDescent="0.25">
      <c r="A1076" t="s">
        <v>1905</v>
      </c>
      <c r="B1076" s="1">
        <v>45859</v>
      </c>
      <c r="C1076" t="s">
        <v>12885</v>
      </c>
      <c r="D1076" s="5">
        <v>0.77760416666666665</v>
      </c>
      <c r="E1076">
        <v>133.86000000000001</v>
      </c>
      <c r="F1076" t="s">
        <v>44</v>
      </c>
      <c r="G1076" t="s">
        <v>1906</v>
      </c>
      <c r="H1076" t="s">
        <v>124</v>
      </c>
      <c r="I1076" t="s">
        <v>248</v>
      </c>
      <c r="J1076" t="s">
        <v>1907</v>
      </c>
      <c r="K1076">
        <v>50</v>
      </c>
      <c r="L1076" t="s">
        <v>25</v>
      </c>
      <c r="M1076" t="s">
        <v>119</v>
      </c>
      <c r="N1076" t="s">
        <v>105</v>
      </c>
      <c r="O1076" t="s">
        <v>28</v>
      </c>
      <c r="P1076" t="s">
        <v>31</v>
      </c>
      <c r="Q1076">
        <v>0</v>
      </c>
      <c r="R1076" t="s">
        <v>12883</v>
      </c>
      <c r="S1076" t="s">
        <v>12886</v>
      </c>
    </row>
    <row r="1077" spans="1:19" x14ac:dyDescent="0.25">
      <c r="A1077" t="s">
        <v>7164</v>
      </c>
      <c r="B1077" s="1">
        <v>45937</v>
      </c>
      <c r="C1077" t="s">
        <v>12890</v>
      </c>
      <c r="D1077" s="5">
        <v>0.43171296296296297</v>
      </c>
      <c r="E1077">
        <v>133.72999999999999</v>
      </c>
      <c r="F1077" t="s">
        <v>44</v>
      </c>
      <c r="G1077" t="s">
        <v>4246</v>
      </c>
      <c r="H1077" t="s">
        <v>71</v>
      </c>
      <c r="I1077" t="s">
        <v>26</v>
      </c>
      <c r="J1077" t="s">
        <v>7165</v>
      </c>
      <c r="K1077">
        <v>29</v>
      </c>
      <c r="L1077" t="s">
        <v>49</v>
      </c>
      <c r="M1077" t="s">
        <v>146</v>
      </c>
      <c r="N1077" t="s">
        <v>39</v>
      </c>
      <c r="O1077" t="s">
        <v>28</v>
      </c>
      <c r="P1077" t="s">
        <v>31</v>
      </c>
      <c r="Q1077">
        <v>0</v>
      </c>
      <c r="R1077" t="s">
        <v>12883</v>
      </c>
      <c r="S1077" t="s">
        <v>12889</v>
      </c>
    </row>
    <row r="1078" spans="1:19" x14ac:dyDescent="0.25">
      <c r="A1078" t="s">
        <v>10493</v>
      </c>
      <c r="B1078" s="1">
        <v>45850</v>
      </c>
      <c r="C1078" t="s">
        <v>12885</v>
      </c>
      <c r="D1078" s="5">
        <v>0.17690972222222223</v>
      </c>
      <c r="E1078">
        <v>133.69</v>
      </c>
      <c r="F1078" t="s">
        <v>44</v>
      </c>
      <c r="G1078" t="s">
        <v>3040</v>
      </c>
      <c r="H1078" t="s">
        <v>46</v>
      </c>
      <c r="I1078" t="s">
        <v>91</v>
      </c>
      <c r="J1078" t="s">
        <v>10494</v>
      </c>
      <c r="K1078">
        <v>28</v>
      </c>
      <c r="L1078" t="s">
        <v>25</v>
      </c>
      <c r="M1078" t="s">
        <v>50</v>
      </c>
      <c r="N1078" t="s">
        <v>39</v>
      </c>
      <c r="O1078" t="s">
        <v>28</v>
      </c>
      <c r="P1078" t="s">
        <v>31</v>
      </c>
      <c r="Q1078">
        <v>0</v>
      </c>
      <c r="R1078" t="s">
        <v>12883</v>
      </c>
      <c r="S1078" t="s">
        <v>12889</v>
      </c>
    </row>
    <row r="1079" spans="1:19" x14ac:dyDescent="0.25">
      <c r="A1079" t="s">
        <v>4323</v>
      </c>
      <c r="B1079" s="1">
        <v>45782</v>
      </c>
      <c r="C1079" t="s">
        <v>12887</v>
      </c>
      <c r="D1079" s="5">
        <v>0.75875000000000004</v>
      </c>
      <c r="E1079">
        <v>133.68</v>
      </c>
      <c r="F1079" t="s">
        <v>44</v>
      </c>
      <c r="G1079" t="s">
        <v>4324</v>
      </c>
      <c r="H1079" t="s">
        <v>64</v>
      </c>
      <c r="I1079" t="s">
        <v>66</v>
      </c>
      <c r="J1079" t="s">
        <v>4325</v>
      </c>
      <c r="K1079">
        <v>35</v>
      </c>
      <c r="L1079" t="s">
        <v>37</v>
      </c>
      <c r="M1079" t="s">
        <v>248</v>
      </c>
      <c r="N1079" t="s">
        <v>51</v>
      </c>
      <c r="O1079" t="s">
        <v>28</v>
      </c>
      <c r="P1079" t="s">
        <v>31</v>
      </c>
      <c r="Q1079">
        <v>0</v>
      </c>
      <c r="R1079" t="s">
        <v>12883</v>
      </c>
      <c r="S1079" t="s">
        <v>12889</v>
      </c>
    </row>
    <row r="1080" spans="1:19" x14ac:dyDescent="0.25">
      <c r="A1080" t="s">
        <v>3897</v>
      </c>
      <c r="B1080" s="1">
        <v>45814</v>
      </c>
      <c r="C1080" t="s">
        <v>12888</v>
      </c>
      <c r="D1080" s="5">
        <v>0.52445601851851853</v>
      </c>
      <c r="E1080">
        <v>133.41</v>
      </c>
      <c r="F1080" t="s">
        <v>44</v>
      </c>
      <c r="G1080" t="s">
        <v>2918</v>
      </c>
      <c r="H1080" t="s">
        <v>34</v>
      </c>
      <c r="I1080" t="s">
        <v>47</v>
      </c>
      <c r="J1080" t="s">
        <v>3898</v>
      </c>
      <c r="K1080">
        <v>64</v>
      </c>
      <c r="L1080" t="s">
        <v>37</v>
      </c>
      <c r="M1080" t="s">
        <v>146</v>
      </c>
      <c r="N1080" t="s">
        <v>105</v>
      </c>
      <c r="O1080" t="s">
        <v>28</v>
      </c>
      <c r="P1080" t="s">
        <v>31</v>
      </c>
      <c r="Q1080">
        <v>0</v>
      </c>
      <c r="R1080" t="s">
        <v>12883</v>
      </c>
      <c r="S1080" t="s">
        <v>12884</v>
      </c>
    </row>
    <row r="1081" spans="1:19" x14ac:dyDescent="0.25">
      <c r="A1081" t="s">
        <v>4631</v>
      </c>
      <c r="B1081" s="1">
        <v>45872</v>
      </c>
      <c r="C1081" t="s">
        <v>12893</v>
      </c>
      <c r="D1081" s="5">
        <v>0.4129976851851852</v>
      </c>
      <c r="E1081">
        <v>133.13</v>
      </c>
      <c r="F1081" t="s">
        <v>44</v>
      </c>
      <c r="G1081" t="s">
        <v>937</v>
      </c>
      <c r="H1081" t="s">
        <v>96</v>
      </c>
      <c r="I1081" t="s">
        <v>66</v>
      </c>
      <c r="J1081" t="s">
        <v>4632</v>
      </c>
      <c r="K1081">
        <v>52</v>
      </c>
      <c r="L1081" t="s">
        <v>37</v>
      </c>
      <c r="M1081" t="s">
        <v>26</v>
      </c>
      <c r="N1081" t="s">
        <v>39</v>
      </c>
      <c r="O1081" t="s">
        <v>28</v>
      </c>
      <c r="P1081" t="s">
        <v>31</v>
      </c>
      <c r="Q1081">
        <v>0</v>
      </c>
      <c r="R1081" t="s">
        <v>12883</v>
      </c>
      <c r="S1081" t="s">
        <v>12886</v>
      </c>
    </row>
    <row r="1082" spans="1:19" x14ac:dyDescent="0.25">
      <c r="A1082" t="s">
        <v>11823</v>
      </c>
      <c r="B1082" s="1">
        <v>45950</v>
      </c>
      <c r="C1082" t="s">
        <v>12890</v>
      </c>
      <c r="D1082" s="5">
        <v>0.16708333333333333</v>
      </c>
      <c r="E1082">
        <v>133.1</v>
      </c>
      <c r="F1082" t="s">
        <v>44</v>
      </c>
      <c r="G1082" t="s">
        <v>2575</v>
      </c>
      <c r="H1082" t="s">
        <v>64</v>
      </c>
      <c r="I1082" t="s">
        <v>130</v>
      </c>
      <c r="J1082" t="s">
        <v>11824</v>
      </c>
      <c r="K1082">
        <v>32</v>
      </c>
      <c r="L1082" t="s">
        <v>49</v>
      </c>
      <c r="M1082" t="s">
        <v>50</v>
      </c>
      <c r="N1082" t="s">
        <v>105</v>
      </c>
      <c r="O1082" t="s">
        <v>28</v>
      </c>
      <c r="P1082" t="s">
        <v>31</v>
      </c>
      <c r="Q1082">
        <v>0</v>
      </c>
      <c r="R1082" t="s">
        <v>12883</v>
      </c>
      <c r="S1082" t="s">
        <v>12889</v>
      </c>
    </row>
    <row r="1083" spans="1:19" x14ac:dyDescent="0.25">
      <c r="A1083" t="s">
        <v>8382</v>
      </c>
      <c r="B1083" s="1">
        <v>45870</v>
      </c>
      <c r="C1083" t="s">
        <v>12893</v>
      </c>
      <c r="D1083" s="5">
        <v>0.36282407407407408</v>
      </c>
      <c r="E1083">
        <v>132.97999999999999</v>
      </c>
      <c r="F1083" t="s">
        <v>44</v>
      </c>
      <c r="G1083" t="s">
        <v>8383</v>
      </c>
      <c r="H1083" t="s">
        <v>124</v>
      </c>
      <c r="I1083" t="s">
        <v>50</v>
      </c>
      <c r="J1083" t="s">
        <v>8384</v>
      </c>
      <c r="K1083">
        <v>71</v>
      </c>
      <c r="L1083" t="s">
        <v>49</v>
      </c>
      <c r="M1083" t="s">
        <v>248</v>
      </c>
      <c r="N1083" t="s">
        <v>112</v>
      </c>
      <c r="O1083" t="s">
        <v>28</v>
      </c>
      <c r="P1083" t="s">
        <v>31</v>
      </c>
      <c r="Q1083">
        <v>0</v>
      </c>
      <c r="R1083" t="s">
        <v>12883</v>
      </c>
      <c r="S1083" t="s">
        <v>12884</v>
      </c>
    </row>
    <row r="1084" spans="1:19" x14ac:dyDescent="0.25">
      <c r="A1084" t="s">
        <v>11223</v>
      </c>
      <c r="B1084" s="1">
        <v>45846</v>
      </c>
      <c r="C1084" t="s">
        <v>12885</v>
      </c>
      <c r="D1084" s="5">
        <v>0.27142361111111113</v>
      </c>
      <c r="E1084">
        <v>132.91999999999999</v>
      </c>
      <c r="F1084" t="s">
        <v>44</v>
      </c>
      <c r="G1084" t="s">
        <v>4443</v>
      </c>
      <c r="H1084" t="s">
        <v>64</v>
      </c>
      <c r="I1084" t="s">
        <v>35</v>
      </c>
      <c r="J1084" t="s">
        <v>11224</v>
      </c>
      <c r="K1084">
        <v>20</v>
      </c>
      <c r="L1084" t="s">
        <v>25</v>
      </c>
      <c r="M1084" t="s">
        <v>110</v>
      </c>
      <c r="N1084" t="s">
        <v>105</v>
      </c>
      <c r="O1084" t="s">
        <v>28</v>
      </c>
      <c r="P1084" t="s">
        <v>31</v>
      </c>
      <c r="Q1084">
        <v>0</v>
      </c>
      <c r="R1084" t="s">
        <v>12883</v>
      </c>
      <c r="S1084" t="s">
        <v>12892</v>
      </c>
    </row>
    <row r="1085" spans="1:19" x14ac:dyDescent="0.25">
      <c r="A1085" t="s">
        <v>7212</v>
      </c>
      <c r="B1085" s="1">
        <v>45900</v>
      </c>
      <c r="C1085" t="s">
        <v>12893</v>
      </c>
      <c r="D1085" s="5">
        <v>0.8334259259259259</v>
      </c>
      <c r="E1085">
        <v>132.81</v>
      </c>
      <c r="F1085" t="s">
        <v>44</v>
      </c>
      <c r="G1085" t="s">
        <v>7213</v>
      </c>
      <c r="H1085" t="s">
        <v>22</v>
      </c>
      <c r="I1085" t="s">
        <v>47</v>
      </c>
      <c r="J1085" t="s">
        <v>7214</v>
      </c>
      <c r="K1085">
        <v>45</v>
      </c>
      <c r="L1085" t="s">
        <v>37</v>
      </c>
      <c r="M1085" t="s">
        <v>119</v>
      </c>
      <c r="N1085" t="s">
        <v>39</v>
      </c>
      <c r="O1085" t="s">
        <v>28</v>
      </c>
      <c r="P1085" t="s">
        <v>31</v>
      </c>
      <c r="Q1085">
        <v>0</v>
      </c>
      <c r="R1085" t="s">
        <v>12883</v>
      </c>
      <c r="S1085" t="s">
        <v>12886</v>
      </c>
    </row>
    <row r="1086" spans="1:19" x14ac:dyDescent="0.25">
      <c r="A1086" t="s">
        <v>10367</v>
      </c>
      <c r="B1086" s="1">
        <v>45834</v>
      </c>
      <c r="C1086" t="s">
        <v>12888</v>
      </c>
      <c r="D1086" s="5">
        <v>0.10021990740740741</v>
      </c>
      <c r="E1086">
        <v>132.49</v>
      </c>
      <c r="F1086" t="s">
        <v>44</v>
      </c>
      <c r="G1086" t="s">
        <v>3375</v>
      </c>
      <c r="H1086" t="s">
        <v>64</v>
      </c>
      <c r="I1086" t="s">
        <v>119</v>
      </c>
      <c r="J1086" t="s">
        <v>10368</v>
      </c>
      <c r="K1086">
        <v>70</v>
      </c>
      <c r="L1086" t="s">
        <v>49</v>
      </c>
      <c r="M1086" t="s">
        <v>110</v>
      </c>
      <c r="N1086" t="s">
        <v>39</v>
      </c>
      <c r="O1086" t="s">
        <v>28</v>
      </c>
      <c r="P1086" t="s">
        <v>31</v>
      </c>
      <c r="Q1086">
        <v>0</v>
      </c>
      <c r="R1086" t="s">
        <v>12883</v>
      </c>
      <c r="S1086" t="s">
        <v>12884</v>
      </c>
    </row>
    <row r="1087" spans="1:19" x14ac:dyDescent="0.25">
      <c r="A1087" t="s">
        <v>12510</v>
      </c>
      <c r="B1087" s="1">
        <v>45810</v>
      </c>
      <c r="C1087" t="s">
        <v>12888</v>
      </c>
      <c r="D1087" s="5">
        <v>0.21372685185185186</v>
      </c>
      <c r="E1087">
        <v>132.47999999999999</v>
      </c>
      <c r="F1087" t="s">
        <v>44</v>
      </c>
      <c r="G1087" t="s">
        <v>349</v>
      </c>
      <c r="H1087" t="s">
        <v>77</v>
      </c>
      <c r="I1087" t="s">
        <v>26</v>
      </c>
      <c r="J1087" t="s">
        <v>12511</v>
      </c>
      <c r="K1087">
        <v>36</v>
      </c>
      <c r="L1087" t="s">
        <v>49</v>
      </c>
      <c r="M1087" t="s">
        <v>23</v>
      </c>
      <c r="N1087" t="s">
        <v>27</v>
      </c>
      <c r="O1087" t="s">
        <v>28</v>
      </c>
      <c r="P1087" t="s">
        <v>31</v>
      </c>
      <c r="Q1087">
        <v>0</v>
      </c>
      <c r="R1087" t="s">
        <v>12883</v>
      </c>
      <c r="S1087" t="s">
        <v>12889</v>
      </c>
    </row>
    <row r="1088" spans="1:19" x14ac:dyDescent="0.25">
      <c r="A1088" t="s">
        <v>3700</v>
      </c>
      <c r="B1088" s="1">
        <v>45865</v>
      </c>
      <c r="C1088" t="s">
        <v>12885</v>
      </c>
      <c r="D1088" s="5">
        <v>0.53358796296296296</v>
      </c>
      <c r="E1088">
        <v>132.35</v>
      </c>
      <c r="F1088" t="s">
        <v>44</v>
      </c>
      <c r="G1088" t="s">
        <v>1007</v>
      </c>
      <c r="H1088" t="s">
        <v>89</v>
      </c>
      <c r="I1088" t="s">
        <v>66</v>
      </c>
      <c r="J1088" t="s">
        <v>1819</v>
      </c>
      <c r="K1088">
        <v>45</v>
      </c>
      <c r="L1088" t="s">
        <v>49</v>
      </c>
      <c r="M1088" t="s">
        <v>58</v>
      </c>
      <c r="N1088" t="s">
        <v>112</v>
      </c>
      <c r="O1088" t="s">
        <v>28</v>
      </c>
      <c r="P1088" t="s">
        <v>31</v>
      </c>
      <c r="Q1088">
        <v>0</v>
      </c>
      <c r="R1088" t="s">
        <v>12883</v>
      </c>
      <c r="S1088" t="s">
        <v>12886</v>
      </c>
    </row>
    <row r="1089" spans="1:19" x14ac:dyDescent="0.25">
      <c r="A1089" t="s">
        <v>7561</v>
      </c>
      <c r="B1089" s="1">
        <v>45898</v>
      </c>
      <c r="C1089" t="s">
        <v>12893</v>
      </c>
      <c r="D1089" s="5">
        <v>0.94182870370370375</v>
      </c>
      <c r="E1089">
        <v>132.29</v>
      </c>
      <c r="F1089" t="s">
        <v>44</v>
      </c>
      <c r="G1089" t="s">
        <v>232</v>
      </c>
      <c r="H1089" t="s">
        <v>89</v>
      </c>
      <c r="I1089" t="s">
        <v>146</v>
      </c>
      <c r="J1089" t="s">
        <v>7562</v>
      </c>
      <c r="K1089">
        <v>30</v>
      </c>
      <c r="L1089" t="s">
        <v>37</v>
      </c>
      <c r="M1089" t="s">
        <v>248</v>
      </c>
      <c r="N1089" t="s">
        <v>51</v>
      </c>
      <c r="O1089" t="s">
        <v>28</v>
      </c>
      <c r="P1089" t="s">
        <v>31</v>
      </c>
      <c r="Q1089">
        <v>0</v>
      </c>
      <c r="R1089" t="s">
        <v>12883</v>
      </c>
      <c r="S1089" t="s">
        <v>12889</v>
      </c>
    </row>
    <row r="1090" spans="1:19" x14ac:dyDescent="0.25">
      <c r="A1090" t="s">
        <v>7981</v>
      </c>
      <c r="B1090" s="1">
        <v>45931</v>
      </c>
      <c r="C1090" t="s">
        <v>12890</v>
      </c>
      <c r="D1090" s="5">
        <v>0.81903935185185184</v>
      </c>
      <c r="E1090">
        <v>132.29</v>
      </c>
      <c r="F1090" t="s">
        <v>44</v>
      </c>
      <c r="G1090" t="s">
        <v>5295</v>
      </c>
      <c r="H1090" t="s">
        <v>57</v>
      </c>
      <c r="I1090" t="s">
        <v>47</v>
      </c>
      <c r="J1090" t="s">
        <v>7982</v>
      </c>
      <c r="K1090">
        <v>30</v>
      </c>
      <c r="L1090" t="s">
        <v>49</v>
      </c>
      <c r="M1090" t="s">
        <v>35</v>
      </c>
      <c r="N1090" t="s">
        <v>105</v>
      </c>
      <c r="O1090" t="s">
        <v>28</v>
      </c>
      <c r="P1090" t="s">
        <v>31</v>
      </c>
      <c r="Q1090">
        <v>0</v>
      </c>
      <c r="R1090" t="s">
        <v>12883</v>
      </c>
      <c r="S1090" t="s">
        <v>12889</v>
      </c>
    </row>
    <row r="1091" spans="1:19" x14ac:dyDescent="0.25">
      <c r="A1091" t="s">
        <v>9570</v>
      </c>
      <c r="B1091" s="1">
        <v>45930</v>
      </c>
      <c r="C1091" t="s">
        <v>12882</v>
      </c>
      <c r="D1091" s="5">
        <v>0.5302662037037037</v>
      </c>
      <c r="E1091">
        <v>132.26</v>
      </c>
      <c r="F1091" t="s">
        <v>44</v>
      </c>
      <c r="G1091" t="s">
        <v>959</v>
      </c>
      <c r="H1091" t="s">
        <v>22</v>
      </c>
      <c r="I1091" t="s">
        <v>38</v>
      </c>
      <c r="J1091" t="s">
        <v>9571</v>
      </c>
      <c r="K1091">
        <v>67</v>
      </c>
      <c r="L1091" t="s">
        <v>37</v>
      </c>
      <c r="M1091" t="s">
        <v>91</v>
      </c>
      <c r="N1091" t="s">
        <v>105</v>
      </c>
      <c r="O1091" t="s">
        <v>28</v>
      </c>
      <c r="P1091" t="s">
        <v>31</v>
      </c>
      <c r="Q1091">
        <v>0</v>
      </c>
      <c r="R1091" t="s">
        <v>12883</v>
      </c>
      <c r="S1091" t="s">
        <v>12884</v>
      </c>
    </row>
    <row r="1092" spans="1:19" x14ac:dyDescent="0.25">
      <c r="A1092" t="s">
        <v>8093</v>
      </c>
      <c r="B1092" s="1">
        <v>45932</v>
      </c>
      <c r="C1092" t="s">
        <v>12890</v>
      </c>
      <c r="D1092" s="5">
        <v>0.15375</v>
      </c>
      <c r="E1092">
        <v>132.22</v>
      </c>
      <c r="F1092" t="s">
        <v>44</v>
      </c>
      <c r="G1092" t="s">
        <v>8094</v>
      </c>
      <c r="H1092" t="s">
        <v>89</v>
      </c>
      <c r="I1092" t="s">
        <v>35</v>
      </c>
      <c r="J1092" t="s">
        <v>8095</v>
      </c>
      <c r="K1092">
        <v>34</v>
      </c>
      <c r="L1092" t="s">
        <v>37</v>
      </c>
      <c r="M1092" t="s">
        <v>97</v>
      </c>
      <c r="N1092" t="s">
        <v>39</v>
      </c>
      <c r="O1092" t="s">
        <v>28</v>
      </c>
      <c r="P1092" t="s">
        <v>31</v>
      </c>
      <c r="Q1092">
        <v>0</v>
      </c>
      <c r="R1092" t="s">
        <v>12883</v>
      </c>
      <c r="S1092" t="s">
        <v>12889</v>
      </c>
    </row>
    <row r="1093" spans="1:19" x14ac:dyDescent="0.25">
      <c r="A1093" t="s">
        <v>4954</v>
      </c>
      <c r="B1093" s="1">
        <v>45801</v>
      </c>
      <c r="C1093" t="s">
        <v>12887</v>
      </c>
      <c r="D1093" s="5">
        <v>0.56807870370370372</v>
      </c>
      <c r="E1093">
        <v>132.16999999999999</v>
      </c>
      <c r="F1093" t="s">
        <v>44</v>
      </c>
      <c r="G1093" t="s">
        <v>3035</v>
      </c>
      <c r="H1093" t="s">
        <v>96</v>
      </c>
      <c r="I1093" t="s">
        <v>110</v>
      </c>
      <c r="J1093" t="s">
        <v>4955</v>
      </c>
      <c r="K1093">
        <v>60</v>
      </c>
      <c r="L1093" t="s">
        <v>25</v>
      </c>
      <c r="M1093" t="s">
        <v>47</v>
      </c>
      <c r="N1093" t="s">
        <v>51</v>
      </c>
      <c r="O1093" t="s">
        <v>28</v>
      </c>
      <c r="P1093" t="s">
        <v>31</v>
      </c>
      <c r="Q1093">
        <v>0</v>
      </c>
      <c r="R1093" t="s">
        <v>12883</v>
      </c>
      <c r="S1093" t="s">
        <v>12884</v>
      </c>
    </row>
    <row r="1094" spans="1:19" x14ac:dyDescent="0.25">
      <c r="A1094" t="s">
        <v>2670</v>
      </c>
      <c r="B1094" s="1">
        <v>45848</v>
      </c>
      <c r="C1094" t="s">
        <v>12885</v>
      </c>
      <c r="D1094" s="5">
        <v>0.30015046296296294</v>
      </c>
      <c r="E1094">
        <v>132.16</v>
      </c>
      <c r="F1094" t="s">
        <v>44</v>
      </c>
      <c r="G1094" t="s">
        <v>2671</v>
      </c>
      <c r="H1094" t="s">
        <v>71</v>
      </c>
      <c r="I1094" t="s">
        <v>50</v>
      </c>
      <c r="J1094" t="s">
        <v>2672</v>
      </c>
      <c r="K1094">
        <v>31</v>
      </c>
      <c r="L1094" t="s">
        <v>37</v>
      </c>
      <c r="M1094" t="s">
        <v>97</v>
      </c>
      <c r="N1094" t="s">
        <v>51</v>
      </c>
      <c r="O1094" t="s">
        <v>28</v>
      </c>
      <c r="P1094" t="s">
        <v>31</v>
      </c>
      <c r="Q1094">
        <v>0</v>
      </c>
      <c r="R1094" t="s">
        <v>12883</v>
      </c>
      <c r="S1094" t="s">
        <v>12889</v>
      </c>
    </row>
    <row r="1095" spans="1:19" x14ac:dyDescent="0.25">
      <c r="A1095" t="s">
        <v>7254</v>
      </c>
      <c r="B1095" s="1">
        <v>45926</v>
      </c>
      <c r="C1095" t="s">
        <v>12882</v>
      </c>
      <c r="D1095" s="5">
        <v>0.38591435185185186</v>
      </c>
      <c r="E1095">
        <v>132.16</v>
      </c>
      <c r="F1095" t="s">
        <v>44</v>
      </c>
      <c r="G1095" t="s">
        <v>536</v>
      </c>
      <c r="H1095" t="s">
        <v>57</v>
      </c>
      <c r="I1095" t="s">
        <v>50</v>
      </c>
      <c r="J1095" t="s">
        <v>7255</v>
      </c>
      <c r="K1095">
        <v>115</v>
      </c>
      <c r="L1095" t="s">
        <v>25</v>
      </c>
      <c r="M1095" t="s">
        <v>119</v>
      </c>
      <c r="N1095" t="s">
        <v>84</v>
      </c>
      <c r="O1095" t="s">
        <v>28</v>
      </c>
      <c r="P1095" t="s">
        <v>31</v>
      </c>
      <c r="Q1095">
        <v>0</v>
      </c>
      <c r="R1095" t="s">
        <v>12883</v>
      </c>
      <c r="S1095" t="s">
        <v>12884</v>
      </c>
    </row>
    <row r="1096" spans="1:19" x14ac:dyDescent="0.25">
      <c r="A1096" t="s">
        <v>7416</v>
      </c>
      <c r="B1096" s="1">
        <v>45854</v>
      </c>
      <c r="C1096" t="s">
        <v>12885</v>
      </c>
      <c r="D1096" s="5">
        <v>0.81159722222222219</v>
      </c>
      <c r="E1096">
        <v>132.13999999999999</v>
      </c>
      <c r="F1096" t="s">
        <v>44</v>
      </c>
      <c r="G1096" t="s">
        <v>1115</v>
      </c>
      <c r="H1096" t="s">
        <v>57</v>
      </c>
      <c r="I1096" t="s">
        <v>91</v>
      </c>
      <c r="J1096" t="s">
        <v>7417</v>
      </c>
      <c r="K1096">
        <v>24</v>
      </c>
      <c r="L1096" t="s">
        <v>37</v>
      </c>
      <c r="M1096" t="s">
        <v>35</v>
      </c>
      <c r="N1096" t="s">
        <v>84</v>
      </c>
      <c r="O1096" t="s">
        <v>28</v>
      </c>
      <c r="P1096" t="s">
        <v>31</v>
      </c>
      <c r="Q1096">
        <v>0</v>
      </c>
      <c r="R1096" t="s">
        <v>12883</v>
      </c>
      <c r="S1096" t="s">
        <v>12892</v>
      </c>
    </row>
    <row r="1097" spans="1:19" x14ac:dyDescent="0.25">
      <c r="A1097" t="s">
        <v>1281</v>
      </c>
      <c r="B1097" s="1">
        <v>45897</v>
      </c>
      <c r="C1097" t="s">
        <v>12893</v>
      </c>
      <c r="D1097" s="5">
        <v>0.42980324074074072</v>
      </c>
      <c r="E1097">
        <v>132.13</v>
      </c>
      <c r="F1097" t="s">
        <v>44</v>
      </c>
      <c r="G1097" t="s">
        <v>1282</v>
      </c>
      <c r="H1097" t="s">
        <v>22</v>
      </c>
      <c r="I1097" t="s">
        <v>47</v>
      </c>
      <c r="J1097" t="s">
        <v>1283</v>
      </c>
      <c r="K1097">
        <v>37</v>
      </c>
      <c r="L1097" t="s">
        <v>49</v>
      </c>
      <c r="M1097" t="s">
        <v>66</v>
      </c>
      <c r="N1097" t="s">
        <v>39</v>
      </c>
      <c r="O1097" t="s">
        <v>28</v>
      </c>
      <c r="P1097" t="s">
        <v>31</v>
      </c>
      <c r="Q1097">
        <v>0</v>
      </c>
      <c r="R1097" t="s">
        <v>12883</v>
      </c>
      <c r="S1097" t="s">
        <v>12889</v>
      </c>
    </row>
    <row r="1098" spans="1:19" x14ac:dyDescent="0.25">
      <c r="A1098" t="s">
        <v>2689</v>
      </c>
      <c r="B1098" s="1">
        <v>45922</v>
      </c>
      <c r="C1098" t="s">
        <v>12882</v>
      </c>
      <c r="D1098" s="5">
        <v>0.10185185185185185</v>
      </c>
      <c r="E1098">
        <v>132.08000000000001</v>
      </c>
      <c r="F1098" t="s">
        <v>44</v>
      </c>
      <c r="G1098" t="s">
        <v>1874</v>
      </c>
      <c r="H1098" t="s">
        <v>22</v>
      </c>
      <c r="I1098" t="s">
        <v>58</v>
      </c>
      <c r="J1098" t="s">
        <v>2690</v>
      </c>
      <c r="K1098">
        <v>30</v>
      </c>
      <c r="L1098" t="s">
        <v>37</v>
      </c>
      <c r="M1098" t="s">
        <v>97</v>
      </c>
      <c r="N1098" t="s">
        <v>51</v>
      </c>
      <c r="O1098" t="s">
        <v>28</v>
      </c>
      <c r="P1098" t="s">
        <v>31</v>
      </c>
      <c r="Q1098">
        <v>1</v>
      </c>
      <c r="R1098" t="s">
        <v>12891</v>
      </c>
      <c r="S1098" t="s">
        <v>12889</v>
      </c>
    </row>
    <row r="1099" spans="1:19" x14ac:dyDescent="0.25">
      <c r="A1099" t="s">
        <v>11379</v>
      </c>
      <c r="B1099" s="1">
        <v>45839</v>
      </c>
      <c r="C1099" t="s">
        <v>12885</v>
      </c>
      <c r="D1099" s="5">
        <v>0.82832175925925922</v>
      </c>
      <c r="E1099">
        <v>132.04</v>
      </c>
      <c r="F1099" t="s">
        <v>44</v>
      </c>
      <c r="G1099" t="s">
        <v>11253</v>
      </c>
      <c r="H1099" t="s">
        <v>46</v>
      </c>
      <c r="I1099" t="s">
        <v>91</v>
      </c>
      <c r="J1099" t="s">
        <v>11380</v>
      </c>
      <c r="K1099">
        <v>34</v>
      </c>
      <c r="L1099" t="s">
        <v>37</v>
      </c>
      <c r="M1099" t="s">
        <v>248</v>
      </c>
      <c r="N1099" t="s">
        <v>84</v>
      </c>
      <c r="O1099" t="s">
        <v>28</v>
      </c>
      <c r="P1099" t="s">
        <v>31</v>
      </c>
      <c r="Q1099">
        <v>0</v>
      </c>
      <c r="R1099" t="s">
        <v>12883</v>
      </c>
      <c r="S1099" t="s">
        <v>12889</v>
      </c>
    </row>
    <row r="1100" spans="1:19" x14ac:dyDescent="0.25">
      <c r="A1100" t="s">
        <v>3473</v>
      </c>
      <c r="B1100" s="1">
        <v>45840</v>
      </c>
      <c r="C1100" t="s">
        <v>12885</v>
      </c>
      <c r="D1100" s="5">
        <v>0.80684027777777778</v>
      </c>
      <c r="E1100">
        <v>131.87</v>
      </c>
      <c r="F1100" t="s">
        <v>44</v>
      </c>
      <c r="G1100" t="s">
        <v>3474</v>
      </c>
      <c r="H1100" t="s">
        <v>89</v>
      </c>
      <c r="I1100" t="s">
        <v>130</v>
      </c>
      <c r="J1100" t="s">
        <v>3475</v>
      </c>
      <c r="K1100">
        <v>29</v>
      </c>
      <c r="L1100" t="s">
        <v>37</v>
      </c>
      <c r="M1100" t="s">
        <v>91</v>
      </c>
      <c r="N1100" t="s">
        <v>112</v>
      </c>
      <c r="O1100" t="s">
        <v>28</v>
      </c>
      <c r="P1100" t="s">
        <v>31</v>
      </c>
      <c r="Q1100">
        <v>0</v>
      </c>
      <c r="R1100" t="s">
        <v>12883</v>
      </c>
      <c r="S1100" t="s">
        <v>12889</v>
      </c>
    </row>
    <row r="1101" spans="1:19" x14ac:dyDescent="0.25">
      <c r="A1101" t="s">
        <v>9026</v>
      </c>
      <c r="B1101" s="1">
        <v>45905</v>
      </c>
      <c r="C1101" t="s">
        <v>12882</v>
      </c>
      <c r="D1101" s="5">
        <v>0.87318287037037035</v>
      </c>
      <c r="E1101">
        <v>131.75</v>
      </c>
      <c r="F1101" t="s">
        <v>44</v>
      </c>
      <c r="G1101" t="s">
        <v>3385</v>
      </c>
      <c r="H1101" t="s">
        <v>71</v>
      </c>
      <c r="I1101" t="s">
        <v>66</v>
      </c>
      <c r="J1101" t="s">
        <v>9027</v>
      </c>
      <c r="K1101">
        <v>40</v>
      </c>
      <c r="L1101" t="s">
        <v>49</v>
      </c>
      <c r="M1101" t="s">
        <v>248</v>
      </c>
      <c r="N1101" t="s">
        <v>27</v>
      </c>
      <c r="O1101" t="s">
        <v>28</v>
      </c>
      <c r="P1101" t="s">
        <v>31</v>
      </c>
      <c r="Q1101">
        <v>0</v>
      </c>
      <c r="R1101" t="s">
        <v>12883</v>
      </c>
      <c r="S1101" t="s">
        <v>12886</v>
      </c>
    </row>
    <row r="1102" spans="1:19" x14ac:dyDescent="0.25">
      <c r="A1102" t="s">
        <v>6618</v>
      </c>
      <c r="B1102" s="1">
        <v>45949</v>
      </c>
      <c r="C1102" t="s">
        <v>12890</v>
      </c>
      <c r="D1102" s="5">
        <v>9.6134259259259253E-2</v>
      </c>
      <c r="E1102">
        <v>131.72999999999999</v>
      </c>
      <c r="F1102" t="s">
        <v>44</v>
      </c>
      <c r="G1102" t="s">
        <v>5067</v>
      </c>
      <c r="H1102" t="s">
        <v>57</v>
      </c>
      <c r="I1102" t="s">
        <v>146</v>
      </c>
      <c r="J1102" t="s">
        <v>6619</v>
      </c>
      <c r="K1102">
        <v>72</v>
      </c>
      <c r="L1102" t="s">
        <v>25</v>
      </c>
      <c r="M1102" t="s">
        <v>110</v>
      </c>
      <c r="N1102" t="s">
        <v>105</v>
      </c>
      <c r="O1102" t="s">
        <v>28</v>
      </c>
      <c r="P1102" t="s">
        <v>31</v>
      </c>
      <c r="Q1102">
        <v>0</v>
      </c>
      <c r="R1102" t="s">
        <v>12883</v>
      </c>
      <c r="S1102" t="s">
        <v>12884</v>
      </c>
    </row>
    <row r="1103" spans="1:19" x14ac:dyDescent="0.25">
      <c r="A1103" t="s">
        <v>9670</v>
      </c>
      <c r="B1103" s="1">
        <v>45789</v>
      </c>
      <c r="C1103" t="s">
        <v>12887</v>
      </c>
      <c r="D1103" s="5">
        <v>0.35716435185185186</v>
      </c>
      <c r="E1103">
        <v>131.58000000000001</v>
      </c>
      <c r="F1103" t="s">
        <v>44</v>
      </c>
      <c r="G1103" t="s">
        <v>898</v>
      </c>
      <c r="H1103" t="s">
        <v>89</v>
      </c>
      <c r="I1103" t="s">
        <v>66</v>
      </c>
      <c r="J1103" t="s">
        <v>9671</v>
      </c>
      <c r="K1103">
        <v>60</v>
      </c>
      <c r="L1103" t="s">
        <v>37</v>
      </c>
      <c r="M1103" t="s">
        <v>248</v>
      </c>
      <c r="N1103" t="s">
        <v>84</v>
      </c>
      <c r="O1103" t="s">
        <v>28</v>
      </c>
      <c r="P1103" t="s">
        <v>31</v>
      </c>
      <c r="Q1103">
        <v>0</v>
      </c>
      <c r="R1103" t="s">
        <v>12883</v>
      </c>
      <c r="S1103" t="s">
        <v>12884</v>
      </c>
    </row>
    <row r="1104" spans="1:19" x14ac:dyDescent="0.25">
      <c r="A1104" t="s">
        <v>6643</v>
      </c>
      <c r="B1104" s="1">
        <v>45858</v>
      </c>
      <c r="C1104" t="s">
        <v>12885</v>
      </c>
      <c r="D1104" s="5">
        <v>0.35395833333333332</v>
      </c>
      <c r="E1104">
        <v>131.56</v>
      </c>
      <c r="F1104" t="s">
        <v>44</v>
      </c>
      <c r="G1104" t="s">
        <v>5537</v>
      </c>
      <c r="H1104" t="s">
        <v>71</v>
      </c>
      <c r="I1104" t="s">
        <v>26</v>
      </c>
      <c r="J1104" t="s">
        <v>6644</v>
      </c>
      <c r="K1104">
        <v>51</v>
      </c>
      <c r="L1104" t="s">
        <v>49</v>
      </c>
      <c r="M1104" t="s">
        <v>58</v>
      </c>
      <c r="N1104" t="s">
        <v>84</v>
      </c>
      <c r="O1104" t="s">
        <v>28</v>
      </c>
      <c r="P1104" t="s">
        <v>31</v>
      </c>
      <c r="Q1104">
        <v>0</v>
      </c>
      <c r="R1104" t="s">
        <v>12883</v>
      </c>
      <c r="S1104" t="s">
        <v>12886</v>
      </c>
    </row>
    <row r="1105" spans="1:19" x14ac:dyDescent="0.25">
      <c r="A1105" t="s">
        <v>6516</v>
      </c>
      <c r="B1105" s="1">
        <v>45869</v>
      </c>
      <c r="C1105" t="s">
        <v>12885</v>
      </c>
      <c r="D1105" s="5">
        <v>0.80188657407407404</v>
      </c>
      <c r="E1105">
        <v>131.51</v>
      </c>
      <c r="F1105" t="s">
        <v>44</v>
      </c>
      <c r="G1105" t="s">
        <v>4421</v>
      </c>
      <c r="H1105" t="s">
        <v>89</v>
      </c>
      <c r="I1105" t="s">
        <v>38</v>
      </c>
      <c r="J1105" t="s">
        <v>6517</v>
      </c>
      <c r="K1105">
        <v>71</v>
      </c>
      <c r="L1105" t="s">
        <v>37</v>
      </c>
      <c r="M1105" t="s">
        <v>146</v>
      </c>
      <c r="N1105" t="s">
        <v>27</v>
      </c>
      <c r="O1105" t="s">
        <v>28</v>
      </c>
      <c r="P1105" t="s">
        <v>31</v>
      </c>
      <c r="Q1105">
        <v>0</v>
      </c>
      <c r="R1105" t="s">
        <v>12883</v>
      </c>
      <c r="S1105" t="s">
        <v>12884</v>
      </c>
    </row>
    <row r="1106" spans="1:19" x14ac:dyDescent="0.25">
      <c r="A1106" t="s">
        <v>8362</v>
      </c>
      <c r="B1106" s="1">
        <v>45922</v>
      </c>
      <c r="C1106" t="s">
        <v>12882</v>
      </c>
      <c r="D1106" s="5">
        <v>0.26791666666666669</v>
      </c>
      <c r="E1106">
        <v>131.38999999999999</v>
      </c>
      <c r="F1106" t="s">
        <v>44</v>
      </c>
      <c r="G1106" t="s">
        <v>5201</v>
      </c>
      <c r="H1106" t="s">
        <v>46</v>
      </c>
      <c r="I1106" t="s">
        <v>58</v>
      </c>
      <c r="J1106" t="s">
        <v>8363</v>
      </c>
      <c r="K1106">
        <v>68</v>
      </c>
      <c r="L1106" t="s">
        <v>37</v>
      </c>
      <c r="M1106" t="s">
        <v>47</v>
      </c>
      <c r="N1106" t="s">
        <v>105</v>
      </c>
      <c r="O1106" t="s">
        <v>28</v>
      </c>
      <c r="P1106" t="s">
        <v>31</v>
      </c>
      <c r="Q1106">
        <v>0</v>
      </c>
      <c r="R1106" t="s">
        <v>12883</v>
      </c>
      <c r="S1106" t="s">
        <v>12884</v>
      </c>
    </row>
    <row r="1107" spans="1:19" x14ac:dyDescent="0.25">
      <c r="A1107" t="s">
        <v>11757</v>
      </c>
      <c r="B1107" s="1">
        <v>45932</v>
      </c>
      <c r="C1107" t="s">
        <v>12890</v>
      </c>
      <c r="D1107" s="5">
        <v>0.98635416666666664</v>
      </c>
      <c r="E1107">
        <v>131.13</v>
      </c>
      <c r="F1107" t="s">
        <v>44</v>
      </c>
      <c r="G1107" t="s">
        <v>8023</v>
      </c>
      <c r="H1107" t="s">
        <v>124</v>
      </c>
      <c r="I1107" t="s">
        <v>23</v>
      </c>
      <c r="J1107" t="s">
        <v>11758</v>
      </c>
      <c r="K1107">
        <v>55</v>
      </c>
      <c r="L1107" t="s">
        <v>37</v>
      </c>
      <c r="M1107" t="s">
        <v>91</v>
      </c>
      <c r="N1107" t="s">
        <v>51</v>
      </c>
      <c r="O1107" t="s">
        <v>28</v>
      </c>
      <c r="P1107" t="s">
        <v>31</v>
      </c>
      <c r="Q1107">
        <v>0</v>
      </c>
      <c r="R1107" t="s">
        <v>12883</v>
      </c>
      <c r="S1107" t="s">
        <v>12886</v>
      </c>
    </row>
    <row r="1108" spans="1:19" x14ac:dyDescent="0.25">
      <c r="A1108" t="s">
        <v>10922</v>
      </c>
      <c r="B1108" s="1">
        <v>45787</v>
      </c>
      <c r="C1108" t="s">
        <v>12887</v>
      </c>
      <c r="D1108" s="5">
        <v>0.52532407407407411</v>
      </c>
      <c r="E1108">
        <v>131.06</v>
      </c>
      <c r="F1108" t="s">
        <v>44</v>
      </c>
      <c r="G1108" t="s">
        <v>601</v>
      </c>
      <c r="H1108" t="s">
        <v>124</v>
      </c>
      <c r="I1108" t="s">
        <v>50</v>
      </c>
      <c r="J1108" t="s">
        <v>10923</v>
      </c>
      <c r="K1108">
        <v>27</v>
      </c>
      <c r="L1108" t="s">
        <v>25</v>
      </c>
      <c r="M1108" t="s">
        <v>119</v>
      </c>
      <c r="N1108" t="s">
        <v>27</v>
      </c>
      <c r="O1108" t="s">
        <v>28</v>
      </c>
      <c r="P1108" t="s">
        <v>31</v>
      </c>
      <c r="Q1108">
        <v>0</v>
      </c>
      <c r="R1108" t="s">
        <v>12883</v>
      </c>
      <c r="S1108" t="s">
        <v>12889</v>
      </c>
    </row>
    <row r="1109" spans="1:19" x14ac:dyDescent="0.25">
      <c r="A1109" t="s">
        <v>6359</v>
      </c>
      <c r="B1109" s="1">
        <v>45862</v>
      </c>
      <c r="C1109" t="s">
        <v>12885</v>
      </c>
      <c r="D1109" s="5">
        <v>0.77961805555555552</v>
      </c>
      <c r="E1109">
        <v>131.04</v>
      </c>
      <c r="F1109" t="s">
        <v>44</v>
      </c>
      <c r="G1109" t="s">
        <v>6360</v>
      </c>
      <c r="H1109" t="s">
        <v>96</v>
      </c>
      <c r="I1109" t="s">
        <v>23</v>
      </c>
      <c r="J1109" t="s">
        <v>6361</v>
      </c>
      <c r="K1109">
        <v>37</v>
      </c>
      <c r="L1109" t="s">
        <v>49</v>
      </c>
      <c r="M1109" t="s">
        <v>130</v>
      </c>
      <c r="N1109" t="s">
        <v>51</v>
      </c>
      <c r="O1109" t="s">
        <v>28</v>
      </c>
      <c r="P1109" t="s">
        <v>31</v>
      </c>
      <c r="Q1109">
        <v>0</v>
      </c>
      <c r="R1109" t="s">
        <v>12883</v>
      </c>
      <c r="S1109" t="s">
        <v>12889</v>
      </c>
    </row>
    <row r="1110" spans="1:19" x14ac:dyDescent="0.25">
      <c r="A1110" t="s">
        <v>6479</v>
      </c>
      <c r="B1110" s="1">
        <v>45891</v>
      </c>
      <c r="C1110" t="s">
        <v>12893</v>
      </c>
      <c r="D1110" s="5">
        <v>0.65460648148148148</v>
      </c>
      <c r="E1110">
        <v>130.94999999999999</v>
      </c>
      <c r="F1110" t="s">
        <v>44</v>
      </c>
      <c r="G1110" t="s">
        <v>2580</v>
      </c>
      <c r="H1110" t="s">
        <v>71</v>
      </c>
      <c r="I1110" t="s">
        <v>110</v>
      </c>
      <c r="J1110" t="s">
        <v>6480</v>
      </c>
      <c r="K1110">
        <v>39</v>
      </c>
      <c r="L1110" t="s">
        <v>25</v>
      </c>
      <c r="M1110" t="s">
        <v>38</v>
      </c>
      <c r="N1110" t="s">
        <v>105</v>
      </c>
      <c r="O1110" t="s">
        <v>28</v>
      </c>
      <c r="P1110" t="s">
        <v>31</v>
      </c>
      <c r="Q1110">
        <v>0</v>
      </c>
      <c r="R1110" t="s">
        <v>12883</v>
      </c>
      <c r="S1110" t="s">
        <v>12889</v>
      </c>
    </row>
    <row r="1111" spans="1:19" x14ac:dyDescent="0.25">
      <c r="A1111" t="s">
        <v>7060</v>
      </c>
      <c r="B1111" s="1">
        <v>45948</v>
      </c>
      <c r="C1111" t="s">
        <v>12890</v>
      </c>
      <c r="D1111" s="5">
        <v>0.54629629629629628</v>
      </c>
      <c r="E1111">
        <v>130.86000000000001</v>
      </c>
      <c r="F1111" t="s">
        <v>44</v>
      </c>
      <c r="G1111" t="s">
        <v>3225</v>
      </c>
      <c r="H1111" t="s">
        <v>124</v>
      </c>
      <c r="I1111" t="s">
        <v>66</v>
      </c>
      <c r="J1111" t="s">
        <v>7061</v>
      </c>
      <c r="K1111">
        <v>46</v>
      </c>
      <c r="L1111" t="s">
        <v>25</v>
      </c>
      <c r="M1111" t="s">
        <v>66</v>
      </c>
      <c r="N1111" t="s">
        <v>105</v>
      </c>
      <c r="O1111" t="s">
        <v>113</v>
      </c>
      <c r="P1111" t="s">
        <v>31</v>
      </c>
      <c r="Q1111">
        <v>0</v>
      </c>
      <c r="R1111" t="s">
        <v>12883</v>
      </c>
      <c r="S1111" t="s">
        <v>12886</v>
      </c>
    </row>
    <row r="1112" spans="1:19" x14ac:dyDescent="0.25">
      <c r="A1112" t="s">
        <v>10689</v>
      </c>
      <c r="B1112" s="1">
        <v>45838</v>
      </c>
      <c r="C1112" t="s">
        <v>12888</v>
      </c>
      <c r="D1112" s="5">
        <v>0.84615740740740741</v>
      </c>
      <c r="E1112">
        <v>130.79</v>
      </c>
      <c r="F1112" t="s">
        <v>44</v>
      </c>
      <c r="G1112" t="s">
        <v>1480</v>
      </c>
      <c r="H1112" t="s">
        <v>89</v>
      </c>
      <c r="I1112" t="s">
        <v>35</v>
      </c>
      <c r="J1112" t="s">
        <v>10690</v>
      </c>
      <c r="K1112">
        <v>46</v>
      </c>
      <c r="L1112" t="s">
        <v>49</v>
      </c>
      <c r="M1112" t="s">
        <v>38</v>
      </c>
      <c r="N1112" t="s">
        <v>112</v>
      </c>
      <c r="O1112" t="s">
        <v>28</v>
      </c>
      <c r="P1112" t="s">
        <v>31</v>
      </c>
      <c r="Q1112">
        <v>0</v>
      </c>
      <c r="R1112" t="s">
        <v>12883</v>
      </c>
      <c r="S1112" t="s">
        <v>12886</v>
      </c>
    </row>
    <row r="1113" spans="1:19" x14ac:dyDescent="0.25">
      <c r="A1113" t="s">
        <v>11547</v>
      </c>
      <c r="B1113" s="1">
        <v>45932</v>
      </c>
      <c r="C1113" t="s">
        <v>12890</v>
      </c>
      <c r="D1113" s="5">
        <v>4.1388888888888892E-2</v>
      </c>
      <c r="E1113">
        <v>130.77000000000001</v>
      </c>
      <c r="F1113" t="s">
        <v>44</v>
      </c>
      <c r="G1113" t="s">
        <v>3708</v>
      </c>
      <c r="H1113" t="s">
        <v>22</v>
      </c>
      <c r="I1113" t="s">
        <v>23</v>
      </c>
      <c r="J1113" t="s">
        <v>11548</v>
      </c>
      <c r="K1113">
        <v>60</v>
      </c>
      <c r="L1113" t="s">
        <v>49</v>
      </c>
      <c r="M1113" t="s">
        <v>66</v>
      </c>
      <c r="N1113" t="s">
        <v>39</v>
      </c>
      <c r="O1113" t="s">
        <v>28</v>
      </c>
      <c r="P1113" t="s">
        <v>31</v>
      </c>
      <c r="Q1113">
        <v>0</v>
      </c>
      <c r="R1113" t="s">
        <v>12883</v>
      </c>
      <c r="S1113" t="s">
        <v>12884</v>
      </c>
    </row>
    <row r="1114" spans="1:19" x14ac:dyDescent="0.25">
      <c r="A1114" t="s">
        <v>1940</v>
      </c>
      <c r="B1114" s="1">
        <v>45954</v>
      </c>
      <c r="C1114" t="s">
        <v>12890</v>
      </c>
      <c r="D1114" s="5">
        <v>0.86927083333333333</v>
      </c>
      <c r="E1114">
        <v>130.74</v>
      </c>
      <c r="F1114" t="s">
        <v>44</v>
      </c>
      <c r="G1114" t="s">
        <v>394</v>
      </c>
      <c r="H1114" t="s">
        <v>64</v>
      </c>
      <c r="I1114" t="s">
        <v>35</v>
      </c>
      <c r="J1114" t="s">
        <v>1941</v>
      </c>
      <c r="K1114">
        <v>18</v>
      </c>
      <c r="L1114" t="s">
        <v>37</v>
      </c>
      <c r="M1114" t="s">
        <v>130</v>
      </c>
      <c r="N1114" t="s">
        <v>39</v>
      </c>
      <c r="O1114" t="s">
        <v>28</v>
      </c>
      <c r="P1114" t="s">
        <v>31</v>
      </c>
      <c r="Q1114">
        <v>0</v>
      </c>
      <c r="R1114" t="s">
        <v>12883</v>
      </c>
      <c r="S1114" t="s">
        <v>12892</v>
      </c>
    </row>
    <row r="1115" spans="1:19" x14ac:dyDescent="0.25">
      <c r="A1115" t="s">
        <v>12569</v>
      </c>
      <c r="B1115" s="1">
        <v>45918</v>
      </c>
      <c r="C1115" t="s">
        <v>12882</v>
      </c>
      <c r="D1115" s="5">
        <v>0.66972222222222222</v>
      </c>
      <c r="E1115">
        <v>130.71</v>
      </c>
      <c r="F1115" t="s">
        <v>44</v>
      </c>
      <c r="G1115" t="s">
        <v>5115</v>
      </c>
      <c r="H1115" t="s">
        <v>89</v>
      </c>
      <c r="I1115" t="s">
        <v>119</v>
      </c>
      <c r="J1115" t="s">
        <v>12570</v>
      </c>
      <c r="K1115">
        <v>58</v>
      </c>
      <c r="L1115" t="s">
        <v>37</v>
      </c>
      <c r="M1115" t="s">
        <v>119</v>
      </c>
      <c r="N1115" t="s">
        <v>39</v>
      </c>
      <c r="O1115" t="s">
        <v>113</v>
      </c>
      <c r="P1115" t="s">
        <v>31</v>
      </c>
      <c r="Q1115">
        <v>0</v>
      </c>
      <c r="R1115" t="s">
        <v>12883</v>
      </c>
      <c r="S1115" t="s">
        <v>12886</v>
      </c>
    </row>
    <row r="1116" spans="1:19" x14ac:dyDescent="0.25">
      <c r="A1116" t="s">
        <v>11690</v>
      </c>
      <c r="B1116" s="1">
        <v>45866</v>
      </c>
      <c r="C1116" t="s">
        <v>12885</v>
      </c>
      <c r="D1116" s="5">
        <v>0.31569444444444444</v>
      </c>
      <c r="E1116">
        <v>130.66999999999999</v>
      </c>
      <c r="F1116" t="s">
        <v>44</v>
      </c>
      <c r="G1116" t="s">
        <v>1729</v>
      </c>
      <c r="H1116" t="s">
        <v>34</v>
      </c>
      <c r="I1116" t="s">
        <v>50</v>
      </c>
      <c r="J1116" t="s">
        <v>11691</v>
      </c>
      <c r="K1116">
        <v>21</v>
      </c>
      <c r="L1116" t="s">
        <v>37</v>
      </c>
      <c r="M1116" t="s">
        <v>26</v>
      </c>
      <c r="N1116" t="s">
        <v>27</v>
      </c>
      <c r="O1116" t="s">
        <v>28</v>
      </c>
      <c r="P1116" t="s">
        <v>31</v>
      </c>
      <c r="Q1116">
        <v>1</v>
      </c>
      <c r="R1116" t="s">
        <v>12891</v>
      </c>
      <c r="S1116" t="s">
        <v>12892</v>
      </c>
    </row>
    <row r="1117" spans="1:19" x14ac:dyDescent="0.25">
      <c r="A1117" t="s">
        <v>8354</v>
      </c>
      <c r="B1117" s="1">
        <v>45931</v>
      </c>
      <c r="C1117" t="s">
        <v>12890</v>
      </c>
      <c r="D1117" s="5">
        <v>0.53883101851851856</v>
      </c>
      <c r="E1117">
        <v>130.63999999999999</v>
      </c>
      <c r="F1117" t="s">
        <v>44</v>
      </c>
      <c r="G1117" t="s">
        <v>7486</v>
      </c>
      <c r="H1117" t="s">
        <v>124</v>
      </c>
      <c r="I1117" t="s">
        <v>50</v>
      </c>
      <c r="J1117" t="s">
        <v>8355</v>
      </c>
      <c r="K1117">
        <v>43</v>
      </c>
      <c r="L1117" t="s">
        <v>37</v>
      </c>
      <c r="M1117" t="s">
        <v>50</v>
      </c>
      <c r="N1117" t="s">
        <v>105</v>
      </c>
      <c r="O1117" t="s">
        <v>113</v>
      </c>
      <c r="P1117" t="s">
        <v>31</v>
      </c>
      <c r="Q1117">
        <v>0</v>
      </c>
      <c r="R1117" t="s">
        <v>12883</v>
      </c>
      <c r="S1117" t="s">
        <v>12886</v>
      </c>
    </row>
    <row r="1118" spans="1:19" x14ac:dyDescent="0.25">
      <c r="A1118" t="s">
        <v>6400</v>
      </c>
      <c r="B1118" s="1">
        <v>45940</v>
      </c>
      <c r="C1118" t="s">
        <v>12890</v>
      </c>
      <c r="D1118" s="5">
        <v>0.57138888888888884</v>
      </c>
      <c r="E1118">
        <v>130.56</v>
      </c>
      <c r="F1118" t="s">
        <v>44</v>
      </c>
      <c r="G1118" t="s">
        <v>6300</v>
      </c>
      <c r="H1118" t="s">
        <v>77</v>
      </c>
      <c r="I1118" t="s">
        <v>248</v>
      </c>
      <c r="J1118" t="s">
        <v>6401</v>
      </c>
      <c r="K1118">
        <v>18</v>
      </c>
      <c r="L1118" t="s">
        <v>49</v>
      </c>
      <c r="M1118" t="s">
        <v>110</v>
      </c>
      <c r="N1118" t="s">
        <v>39</v>
      </c>
      <c r="O1118" t="s">
        <v>28</v>
      </c>
      <c r="P1118" t="s">
        <v>31</v>
      </c>
      <c r="Q1118">
        <v>0</v>
      </c>
      <c r="R1118" t="s">
        <v>12883</v>
      </c>
      <c r="S1118" t="s">
        <v>12892</v>
      </c>
    </row>
    <row r="1119" spans="1:19" x14ac:dyDescent="0.25">
      <c r="A1119" t="s">
        <v>7439</v>
      </c>
      <c r="B1119" s="1">
        <v>45900</v>
      </c>
      <c r="C1119" t="s">
        <v>12893</v>
      </c>
      <c r="D1119" s="5">
        <v>0.77788194444444447</v>
      </c>
      <c r="E1119">
        <v>130.53</v>
      </c>
      <c r="F1119" t="s">
        <v>44</v>
      </c>
      <c r="G1119" t="s">
        <v>2781</v>
      </c>
      <c r="H1119" t="s">
        <v>96</v>
      </c>
      <c r="I1119" t="s">
        <v>38</v>
      </c>
      <c r="J1119" t="s">
        <v>7440</v>
      </c>
      <c r="K1119">
        <v>20</v>
      </c>
      <c r="L1119" t="s">
        <v>37</v>
      </c>
      <c r="M1119" t="s">
        <v>58</v>
      </c>
      <c r="N1119" t="s">
        <v>39</v>
      </c>
      <c r="O1119" t="s">
        <v>28</v>
      </c>
      <c r="P1119" t="s">
        <v>31</v>
      </c>
      <c r="Q1119">
        <v>0</v>
      </c>
      <c r="R1119" t="s">
        <v>12883</v>
      </c>
      <c r="S1119" t="s">
        <v>12892</v>
      </c>
    </row>
    <row r="1120" spans="1:19" x14ac:dyDescent="0.25">
      <c r="A1120" t="s">
        <v>12257</v>
      </c>
      <c r="B1120" s="1">
        <v>45852</v>
      </c>
      <c r="C1120" t="s">
        <v>12885</v>
      </c>
      <c r="D1120" s="5">
        <v>0.4791435185185185</v>
      </c>
      <c r="E1120">
        <v>130.47</v>
      </c>
      <c r="F1120" t="s">
        <v>44</v>
      </c>
      <c r="G1120" t="s">
        <v>9614</v>
      </c>
      <c r="H1120" t="s">
        <v>89</v>
      </c>
      <c r="I1120" t="s">
        <v>110</v>
      </c>
      <c r="J1120" t="s">
        <v>12258</v>
      </c>
      <c r="K1120">
        <v>53</v>
      </c>
      <c r="L1120" t="s">
        <v>37</v>
      </c>
      <c r="M1120" t="s">
        <v>58</v>
      </c>
      <c r="N1120" t="s">
        <v>105</v>
      </c>
      <c r="O1120" t="s">
        <v>28</v>
      </c>
      <c r="P1120" t="s">
        <v>31</v>
      </c>
      <c r="Q1120">
        <v>0</v>
      </c>
      <c r="R1120" t="s">
        <v>12883</v>
      </c>
      <c r="S1120" t="s">
        <v>12886</v>
      </c>
    </row>
    <row r="1121" spans="1:19" x14ac:dyDescent="0.25">
      <c r="A1121" t="s">
        <v>5459</v>
      </c>
      <c r="B1121" s="1">
        <v>45957</v>
      </c>
      <c r="C1121" t="s">
        <v>12890</v>
      </c>
      <c r="D1121" s="5">
        <v>0.91093749999999996</v>
      </c>
      <c r="E1121">
        <v>130.46</v>
      </c>
      <c r="F1121" t="s">
        <v>44</v>
      </c>
      <c r="G1121" t="s">
        <v>3748</v>
      </c>
      <c r="H1121" t="s">
        <v>57</v>
      </c>
      <c r="I1121" t="s">
        <v>47</v>
      </c>
      <c r="J1121" t="s">
        <v>5460</v>
      </c>
      <c r="K1121">
        <v>64</v>
      </c>
      <c r="L1121" t="s">
        <v>25</v>
      </c>
      <c r="M1121" t="s">
        <v>26</v>
      </c>
      <c r="N1121" t="s">
        <v>112</v>
      </c>
      <c r="O1121" t="s">
        <v>28</v>
      </c>
      <c r="P1121" t="s">
        <v>31</v>
      </c>
      <c r="Q1121">
        <v>0</v>
      </c>
      <c r="R1121" t="s">
        <v>12883</v>
      </c>
      <c r="S1121" t="s">
        <v>12884</v>
      </c>
    </row>
    <row r="1122" spans="1:19" x14ac:dyDescent="0.25">
      <c r="A1122" t="s">
        <v>5647</v>
      </c>
      <c r="B1122" s="1">
        <v>45803</v>
      </c>
      <c r="C1122" t="s">
        <v>12887</v>
      </c>
      <c r="D1122" s="5">
        <v>0.82800925925925928</v>
      </c>
      <c r="E1122">
        <v>130.41</v>
      </c>
      <c r="F1122" t="s">
        <v>44</v>
      </c>
      <c r="G1122" t="s">
        <v>5648</v>
      </c>
      <c r="H1122" t="s">
        <v>89</v>
      </c>
      <c r="I1122" t="s">
        <v>23</v>
      </c>
      <c r="J1122" t="s">
        <v>5649</v>
      </c>
      <c r="K1122">
        <v>57</v>
      </c>
      <c r="L1122" t="s">
        <v>37</v>
      </c>
      <c r="M1122" t="s">
        <v>97</v>
      </c>
      <c r="N1122" t="s">
        <v>39</v>
      </c>
      <c r="O1122" t="s">
        <v>28</v>
      </c>
      <c r="P1122" t="s">
        <v>31</v>
      </c>
      <c r="Q1122">
        <v>0</v>
      </c>
      <c r="R1122" t="s">
        <v>12883</v>
      </c>
      <c r="S1122" t="s">
        <v>12886</v>
      </c>
    </row>
    <row r="1123" spans="1:19" x14ac:dyDescent="0.25">
      <c r="A1123" t="s">
        <v>9717</v>
      </c>
      <c r="B1123" s="1">
        <v>45924</v>
      </c>
      <c r="C1123" t="s">
        <v>12882</v>
      </c>
      <c r="D1123" s="5">
        <v>0.69238425925925928</v>
      </c>
      <c r="E1123">
        <v>130.37</v>
      </c>
      <c r="F1123" t="s">
        <v>44</v>
      </c>
      <c r="G1123" t="s">
        <v>1813</v>
      </c>
      <c r="H1123" t="s">
        <v>22</v>
      </c>
      <c r="I1123" t="s">
        <v>248</v>
      </c>
      <c r="J1123" t="s">
        <v>9718</v>
      </c>
      <c r="K1123">
        <v>40</v>
      </c>
      <c r="L1123" t="s">
        <v>25</v>
      </c>
      <c r="M1123" t="s">
        <v>66</v>
      </c>
      <c r="N1123" t="s">
        <v>51</v>
      </c>
      <c r="O1123" t="s">
        <v>28</v>
      </c>
      <c r="P1123" t="s">
        <v>31</v>
      </c>
      <c r="Q1123">
        <v>0</v>
      </c>
      <c r="R1123" t="s">
        <v>12883</v>
      </c>
      <c r="S1123" t="s">
        <v>12886</v>
      </c>
    </row>
    <row r="1124" spans="1:19" x14ac:dyDescent="0.25">
      <c r="A1124" t="s">
        <v>6412</v>
      </c>
      <c r="B1124" s="1">
        <v>45940</v>
      </c>
      <c r="C1124" t="s">
        <v>12890</v>
      </c>
      <c r="D1124" s="5">
        <v>0.21219907407407407</v>
      </c>
      <c r="E1124">
        <v>130.36000000000001</v>
      </c>
      <c r="F1124" t="s">
        <v>44</v>
      </c>
      <c r="G1124" t="s">
        <v>2721</v>
      </c>
      <c r="H1124" t="s">
        <v>64</v>
      </c>
      <c r="I1124" t="s">
        <v>35</v>
      </c>
      <c r="J1124" t="s">
        <v>6413</v>
      </c>
      <c r="K1124">
        <v>40</v>
      </c>
      <c r="L1124" t="s">
        <v>37</v>
      </c>
      <c r="M1124" t="s">
        <v>110</v>
      </c>
      <c r="N1124" t="s">
        <v>112</v>
      </c>
      <c r="O1124" t="s">
        <v>28</v>
      </c>
      <c r="P1124" t="s">
        <v>31</v>
      </c>
      <c r="Q1124">
        <v>0</v>
      </c>
      <c r="R1124" t="s">
        <v>12883</v>
      </c>
      <c r="S1124" t="s">
        <v>12886</v>
      </c>
    </row>
    <row r="1125" spans="1:19" x14ac:dyDescent="0.25">
      <c r="A1125" t="s">
        <v>9822</v>
      </c>
      <c r="B1125" s="1">
        <v>45784</v>
      </c>
      <c r="C1125" t="s">
        <v>12887</v>
      </c>
      <c r="D1125" s="5">
        <v>0.57929398148148148</v>
      </c>
      <c r="E1125">
        <v>130.35</v>
      </c>
      <c r="F1125" t="s">
        <v>44</v>
      </c>
      <c r="G1125" t="s">
        <v>9823</v>
      </c>
      <c r="H1125" t="s">
        <v>22</v>
      </c>
      <c r="I1125" t="s">
        <v>130</v>
      </c>
      <c r="J1125" t="s">
        <v>9824</v>
      </c>
      <c r="K1125">
        <v>59</v>
      </c>
      <c r="L1125" t="s">
        <v>25</v>
      </c>
      <c r="M1125" t="s">
        <v>66</v>
      </c>
      <c r="N1125" t="s">
        <v>39</v>
      </c>
      <c r="O1125" t="s">
        <v>28</v>
      </c>
      <c r="P1125" t="s">
        <v>31</v>
      </c>
      <c r="Q1125">
        <v>0</v>
      </c>
      <c r="R1125" t="s">
        <v>12883</v>
      </c>
      <c r="S1125" t="s">
        <v>12886</v>
      </c>
    </row>
    <row r="1126" spans="1:19" x14ac:dyDescent="0.25">
      <c r="A1126" t="s">
        <v>10634</v>
      </c>
      <c r="B1126" s="1">
        <v>45892</v>
      </c>
      <c r="C1126" t="s">
        <v>12893</v>
      </c>
      <c r="D1126" s="5">
        <v>0.52722222222222226</v>
      </c>
      <c r="E1126">
        <v>130.35</v>
      </c>
      <c r="F1126" t="s">
        <v>44</v>
      </c>
      <c r="G1126" t="s">
        <v>8478</v>
      </c>
      <c r="H1126" t="s">
        <v>96</v>
      </c>
      <c r="I1126" t="s">
        <v>23</v>
      </c>
      <c r="J1126" t="s">
        <v>10635</v>
      </c>
      <c r="K1126">
        <v>18</v>
      </c>
      <c r="L1126" t="s">
        <v>25</v>
      </c>
      <c r="M1126" t="s">
        <v>130</v>
      </c>
      <c r="N1126" t="s">
        <v>105</v>
      </c>
      <c r="O1126" t="s">
        <v>28</v>
      </c>
      <c r="P1126" t="s">
        <v>31</v>
      </c>
      <c r="Q1126">
        <v>0</v>
      </c>
      <c r="R1126" t="s">
        <v>12883</v>
      </c>
      <c r="S1126" t="s">
        <v>12892</v>
      </c>
    </row>
    <row r="1127" spans="1:19" x14ac:dyDescent="0.25">
      <c r="A1127" t="s">
        <v>931</v>
      </c>
      <c r="B1127" s="1">
        <v>45855</v>
      </c>
      <c r="C1127" t="s">
        <v>12885</v>
      </c>
      <c r="D1127" s="5">
        <v>0.51538194444444441</v>
      </c>
      <c r="E1127">
        <v>130.15</v>
      </c>
      <c r="F1127" t="s">
        <v>44</v>
      </c>
      <c r="G1127" t="s">
        <v>932</v>
      </c>
      <c r="H1127" t="s">
        <v>64</v>
      </c>
      <c r="I1127" t="s">
        <v>38</v>
      </c>
      <c r="J1127" t="s">
        <v>933</v>
      </c>
      <c r="K1127">
        <v>23</v>
      </c>
      <c r="L1127" t="s">
        <v>25</v>
      </c>
      <c r="M1127" t="s">
        <v>50</v>
      </c>
      <c r="N1127" t="s">
        <v>84</v>
      </c>
      <c r="O1127" t="s">
        <v>28</v>
      </c>
      <c r="P1127" t="s">
        <v>31</v>
      </c>
      <c r="Q1127">
        <v>0</v>
      </c>
      <c r="R1127" t="s">
        <v>12883</v>
      </c>
      <c r="S1127" t="s">
        <v>12892</v>
      </c>
    </row>
    <row r="1128" spans="1:19" x14ac:dyDescent="0.25">
      <c r="A1128" t="s">
        <v>1954</v>
      </c>
      <c r="B1128" s="1">
        <v>45956</v>
      </c>
      <c r="C1128" t="s">
        <v>12890</v>
      </c>
      <c r="D1128" s="5">
        <v>0.2315625</v>
      </c>
      <c r="E1128">
        <v>130.15</v>
      </c>
      <c r="F1128" t="s">
        <v>44</v>
      </c>
      <c r="G1128" t="s">
        <v>1593</v>
      </c>
      <c r="H1128" t="s">
        <v>34</v>
      </c>
      <c r="I1128" t="s">
        <v>130</v>
      </c>
      <c r="J1128" t="s">
        <v>1955</v>
      </c>
      <c r="K1128">
        <v>67</v>
      </c>
      <c r="L1128" t="s">
        <v>49</v>
      </c>
      <c r="M1128" t="s">
        <v>35</v>
      </c>
      <c r="N1128" t="s">
        <v>51</v>
      </c>
      <c r="O1128" t="s">
        <v>28</v>
      </c>
      <c r="P1128" t="s">
        <v>31</v>
      </c>
      <c r="Q1128">
        <v>0</v>
      </c>
      <c r="R1128" t="s">
        <v>12883</v>
      </c>
      <c r="S1128" t="s">
        <v>12884</v>
      </c>
    </row>
    <row r="1129" spans="1:19" x14ac:dyDescent="0.25">
      <c r="A1129" t="s">
        <v>7435</v>
      </c>
      <c r="B1129" s="1">
        <v>45847</v>
      </c>
      <c r="C1129" t="s">
        <v>12885</v>
      </c>
      <c r="D1129" s="5">
        <v>0.63155092592592588</v>
      </c>
      <c r="E1129">
        <v>129.96</v>
      </c>
      <c r="F1129" t="s">
        <v>44</v>
      </c>
      <c r="G1129" t="s">
        <v>5624</v>
      </c>
      <c r="H1129" t="s">
        <v>96</v>
      </c>
      <c r="I1129" t="s">
        <v>50</v>
      </c>
      <c r="J1129" t="s">
        <v>7436</v>
      </c>
      <c r="K1129">
        <v>50</v>
      </c>
      <c r="L1129" t="s">
        <v>37</v>
      </c>
      <c r="M1129" t="s">
        <v>26</v>
      </c>
      <c r="N1129" t="s">
        <v>112</v>
      </c>
      <c r="O1129" t="s">
        <v>28</v>
      </c>
      <c r="P1129" t="s">
        <v>31</v>
      </c>
      <c r="Q1129">
        <v>0</v>
      </c>
      <c r="R1129" t="s">
        <v>12883</v>
      </c>
      <c r="S1129" t="s">
        <v>12886</v>
      </c>
    </row>
    <row r="1130" spans="1:19" x14ac:dyDescent="0.25">
      <c r="A1130" t="s">
        <v>5561</v>
      </c>
      <c r="B1130" s="1">
        <v>45867</v>
      </c>
      <c r="C1130" t="s">
        <v>12885</v>
      </c>
      <c r="D1130" s="5">
        <v>0.1870023148148148</v>
      </c>
      <c r="E1130">
        <v>129.88999999999999</v>
      </c>
      <c r="F1130" t="s">
        <v>44</v>
      </c>
      <c r="G1130" t="s">
        <v>2062</v>
      </c>
      <c r="H1130" t="s">
        <v>77</v>
      </c>
      <c r="I1130" t="s">
        <v>26</v>
      </c>
      <c r="J1130" t="s">
        <v>5562</v>
      </c>
      <c r="K1130">
        <v>53</v>
      </c>
      <c r="L1130" t="s">
        <v>25</v>
      </c>
      <c r="M1130" t="s">
        <v>38</v>
      </c>
      <c r="N1130" t="s">
        <v>105</v>
      </c>
      <c r="O1130" t="s">
        <v>28</v>
      </c>
      <c r="P1130" t="s">
        <v>31</v>
      </c>
      <c r="Q1130">
        <v>0</v>
      </c>
      <c r="R1130" t="s">
        <v>12883</v>
      </c>
      <c r="S1130" t="s">
        <v>12886</v>
      </c>
    </row>
    <row r="1131" spans="1:19" x14ac:dyDescent="0.25">
      <c r="A1131" t="s">
        <v>267</v>
      </c>
      <c r="B1131" s="1">
        <v>45785</v>
      </c>
      <c r="C1131" t="s">
        <v>12887</v>
      </c>
      <c r="D1131" s="5">
        <v>0.70819444444444446</v>
      </c>
      <c r="E1131">
        <v>129.81</v>
      </c>
      <c r="F1131" t="s">
        <v>44</v>
      </c>
      <c r="G1131" t="s">
        <v>171</v>
      </c>
      <c r="H1131" t="s">
        <v>64</v>
      </c>
      <c r="I1131" t="s">
        <v>130</v>
      </c>
      <c r="J1131" t="s">
        <v>268</v>
      </c>
      <c r="K1131">
        <v>69</v>
      </c>
      <c r="L1131" t="s">
        <v>37</v>
      </c>
      <c r="M1131" t="s">
        <v>47</v>
      </c>
      <c r="N1131" t="s">
        <v>27</v>
      </c>
      <c r="O1131" t="s">
        <v>28</v>
      </c>
      <c r="P1131" t="s">
        <v>31</v>
      </c>
      <c r="Q1131">
        <v>0</v>
      </c>
      <c r="R1131" t="s">
        <v>12883</v>
      </c>
      <c r="S1131" t="s">
        <v>12884</v>
      </c>
    </row>
    <row r="1132" spans="1:19" x14ac:dyDescent="0.25">
      <c r="A1132" t="s">
        <v>813</v>
      </c>
      <c r="B1132" s="1">
        <v>45840</v>
      </c>
      <c r="C1132" t="s">
        <v>12885</v>
      </c>
      <c r="D1132" s="5">
        <v>0.50519675925925922</v>
      </c>
      <c r="E1132">
        <v>129.76</v>
      </c>
      <c r="F1132" t="s">
        <v>44</v>
      </c>
      <c r="G1132" t="s">
        <v>814</v>
      </c>
      <c r="H1132" t="s">
        <v>96</v>
      </c>
      <c r="I1132" t="s">
        <v>38</v>
      </c>
      <c r="J1132" t="s">
        <v>815</v>
      </c>
      <c r="K1132">
        <v>31</v>
      </c>
      <c r="L1132" t="s">
        <v>37</v>
      </c>
      <c r="M1132" t="s">
        <v>50</v>
      </c>
      <c r="N1132" t="s">
        <v>84</v>
      </c>
      <c r="O1132" t="s">
        <v>28</v>
      </c>
      <c r="P1132" t="s">
        <v>31</v>
      </c>
      <c r="Q1132">
        <v>0</v>
      </c>
      <c r="R1132" t="s">
        <v>12883</v>
      </c>
      <c r="S1132" t="s">
        <v>12889</v>
      </c>
    </row>
    <row r="1133" spans="1:19" x14ac:dyDescent="0.25">
      <c r="A1133" t="s">
        <v>5814</v>
      </c>
      <c r="B1133" s="1">
        <v>45866</v>
      </c>
      <c r="C1133" t="s">
        <v>12885</v>
      </c>
      <c r="D1133" s="5">
        <v>0.62581018518518516</v>
      </c>
      <c r="E1133">
        <v>129.66999999999999</v>
      </c>
      <c r="F1133" t="s">
        <v>44</v>
      </c>
      <c r="G1133" t="s">
        <v>5815</v>
      </c>
      <c r="H1133" t="s">
        <v>46</v>
      </c>
      <c r="I1133" t="s">
        <v>146</v>
      </c>
      <c r="J1133" t="s">
        <v>5816</v>
      </c>
      <c r="K1133">
        <v>18</v>
      </c>
      <c r="L1133" t="s">
        <v>25</v>
      </c>
      <c r="M1133" t="s">
        <v>47</v>
      </c>
      <c r="N1133" t="s">
        <v>27</v>
      </c>
      <c r="O1133" t="s">
        <v>28</v>
      </c>
      <c r="P1133" t="s">
        <v>31</v>
      </c>
      <c r="Q1133">
        <v>0</v>
      </c>
      <c r="R1133" t="s">
        <v>12883</v>
      </c>
      <c r="S1133" t="s">
        <v>12892</v>
      </c>
    </row>
    <row r="1134" spans="1:19" x14ac:dyDescent="0.25">
      <c r="A1134" t="s">
        <v>2334</v>
      </c>
      <c r="B1134" s="1">
        <v>45935</v>
      </c>
      <c r="C1134" t="s">
        <v>12890</v>
      </c>
      <c r="D1134" s="5">
        <v>0.12097222222222222</v>
      </c>
      <c r="E1134">
        <v>129.51</v>
      </c>
      <c r="F1134" t="s">
        <v>44</v>
      </c>
      <c r="G1134" t="s">
        <v>2335</v>
      </c>
      <c r="H1134" t="s">
        <v>124</v>
      </c>
      <c r="I1134" t="s">
        <v>50</v>
      </c>
      <c r="J1134" t="s">
        <v>2336</v>
      </c>
      <c r="K1134">
        <v>48</v>
      </c>
      <c r="L1134" t="s">
        <v>49</v>
      </c>
      <c r="M1134" t="s">
        <v>119</v>
      </c>
      <c r="N1134" t="s">
        <v>84</v>
      </c>
      <c r="O1134" t="s">
        <v>28</v>
      </c>
      <c r="P1134" t="s">
        <v>31</v>
      </c>
      <c r="Q1134">
        <v>0</v>
      </c>
      <c r="R1134" t="s">
        <v>12883</v>
      </c>
      <c r="S1134" t="s">
        <v>12886</v>
      </c>
    </row>
    <row r="1135" spans="1:19" x14ac:dyDescent="0.25">
      <c r="A1135" t="s">
        <v>4652</v>
      </c>
      <c r="B1135" s="1">
        <v>45818</v>
      </c>
      <c r="C1135" t="s">
        <v>12888</v>
      </c>
      <c r="D1135" s="5">
        <v>0.94203703703703701</v>
      </c>
      <c r="E1135">
        <v>129.44999999999999</v>
      </c>
      <c r="F1135" t="s">
        <v>44</v>
      </c>
      <c r="G1135" t="s">
        <v>2181</v>
      </c>
      <c r="H1135" t="s">
        <v>64</v>
      </c>
      <c r="I1135" t="s">
        <v>50</v>
      </c>
      <c r="J1135" t="s">
        <v>4653</v>
      </c>
      <c r="K1135">
        <v>64</v>
      </c>
      <c r="L1135" t="s">
        <v>49</v>
      </c>
      <c r="M1135" t="s">
        <v>91</v>
      </c>
      <c r="N1135" t="s">
        <v>39</v>
      </c>
      <c r="O1135" t="s">
        <v>28</v>
      </c>
      <c r="P1135" t="s">
        <v>31</v>
      </c>
      <c r="Q1135">
        <v>0</v>
      </c>
      <c r="R1135" t="s">
        <v>12883</v>
      </c>
      <c r="S1135" t="s">
        <v>12884</v>
      </c>
    </row>
    <row r="1136" spans="1:19" x14ac:dyDescent="0.25">
      <c r="A1136" t="s">
        <v>9786</v>
      </c>
      <c r="B1136" s="1">
        <v>45799</v>
      </c>
      <c r="C1136" t="s">
        <v>12887</v>
      </c>
      <c r="D1136" s="5">
        <v>0.30981481481481482</v>
      </c>
      <c r="E1136">
        <v>129.37</v>
      </c>
      <c r="F1136" t="s">
        <v>44</v>
      </c>
      <c r="G1136" t="s">
        <v>7808</v>
      </c>
      <c r="H1136" t="s">
        <v>57</v>
      </c>
      <c r="I1136" t="s">
        <v>26</v>
      </c>
      <c r="J1136" t="s">
        <v>9787</v>
      </c>
      <c r="K1136">
        <v>49</v>
      </c>
      <c r="L1136" t="s">
        <v>49</v>
      </c>
      <c r="M1136" t="s">
        <v>248</v>
      </c>
      <c r="N1136" t="s">
        <v>105</v>
      </c>
      <c r="O1136" t="s">
        <v>28</v>
      </c>
      <c r="P1136" t="s">
        <v>31</v>
      </c>
      <c r="Q1136">
        <v>0</v>
      </c>
      <c r="R1136" t="s">
        <v>12883</v>
      </c>
      <c r="S1136" t="s">
        <v>12886</v>
      </c>
    </row>
    <row r="1137" spans="1:19" x14ac:dyDescent="0.25">
      <c r="A1137" t="s">
        <v>10278</v>
      </c>
      <c r="B1137" s="1">
        <v>45911</v>
      </c>
      <c r="C1137" t="s">
        <v>12882</v>
      </c>
      <c r="D1137" s="5">
        <v>0.17332175925925927</v>
      </c>
      <c r="E1137">
        <v>129.15</v>
      </c>
      <c r="F1137" t="s">
        <v>44</v>
      </c>
      <c r="G1137" t="s">
        <v>2707</v>
      </c>
      <c r="H1137" t="s">
        <v>46</v>
      </c>
      <c r="I1137" t="s">
        <v>23</v>
      </c>
      <c r="J1137" t="s">
        <v>10279</v>
      </c>
      <c r="K1137">
        <v>41</v>
      </c>
      <c r="L1137" t="s">
        <v>25</v>
      </c>
      <c r="M1137" t="s">
        <v>130</v>
      </c>
      <c r="N1137" t="s">
        <v>105</v>
      </c>
      <c r="O1137" t="s">
        <v>28</v>
      </c>
      <c r="P1137" t="s">
        <v>31</v>
      </c>
      <c r="Q1137">
        <v>0</v>
      </c>
      <c r="R1137" t="s">
        <v>12883</v>
      </c>
      <c r="S1137" t="s">
        <v>12886</v>
      </c>
    </row>
    <row r="1138" spans="1:19" x14ac:dyDescent="0.25">
      <c r="A1138" t="s">
        <v>4643</v>
      </c>
      <c r="B1138" s="1">
        <v>45890</v>
      </c>
      <c r="C1138" t="s">
        <v>12893</v>
      </c>
      <c r="D1138" s="5">
        <v>0.677337962962963</v>
      </c>
      <c r="E1138">
        <v>128.91999999999999</v>
      </c>
      <c r="F1138" t="s">
        <v>44</v>
      </c>
      <c r="G1138" t="s">
        <v>3696</v>
      </c>
      <c r="H1138" t="s">
        <v>89</v>
      </c>
      <c r="I1138" t="s">
        <v>38</v>
      </c>
      <c r="J1138" t="s">
        <v>4644</v>
      </c>
      <c r="K1138">
        <v>20</v>
      </c>
      <c r="L1138" t="s">
        <v>25</v>
      </c>
      <c r="M1138" t="s">
        <v>119</v>
      </c>
      <c r="N1138" t="s">
        <v>51</v>
      </c>
      <c r="O1138" t="s">
        <v>28</v>
      </c>
      <c r="P1138" t="s">
        <v>31</v>
      </c>
      <c r="Q1138">
        <v>0</v>
      </c>
      <c r="R1138" t="s">
        <v>12883</v>
      </c>
      <c r="S1138" t="s">
        <v>12892</v>
      </c>
    </row>
    <row r="1139" spans="1:19" x14ac:dyDescent="0.25">
      <c r="A1139" t="s">
        <v>11570</v>
      </c>
      <c r="B1139" s="1">
        <v>45845</v>
      </c>
      <c r="C1139" t="s">
        <v>12885</v>
      </c>
      <c r="D1139" s="5">
        <v>0.61645833333333333</v>
      </c>
      <c r="E1139">
        <v>128.71</v>
      </c>
      <c r="F1139" t="s">
        <v>44</v>
      </c>
      <c r="G1139" t="s">
        <v>5368</v>
      </c>
      <c r="H1139" t="s">
        <v>124</v>
      </c>
      <c r="I1139" t="s">
        <v>146</v>
      </c>
      <c r="J1139" t="s">
        <v>11571</v>
      </c>
      <c r="K1139">
        <v>71</v>
      </c>
      <c r="L1139" t="s">
        <v>49</v>
      </c>
      <c r="M1139" t="s">
        <v>38</v>
      </c>
      <c r="N1139" t="s">
        <v>112</v>
      </c>
      <c r="O1139" t="s">
        <v>28</v>
      </c>
      <c r="P1139" t="s">
        <v>31</v>
      </c>
      <c r="Q1139">
        <v>0</v>
      </c>
      <c r="R1139" t="s">
        <v>12883</v>
      </c>
      <c r="S1139" t="s">
        <v>12884</v>
      </c>
    </row>
    <row r="1140" spans="1:19" x14ac:dyDescent="0.25">
      <c r="A1140" t="s">
        <v>3379</v>
      </c>
      <c r="B1140" s="1">
        <v>45788</v>
      </c>
      <c r="C1140" t="s">
        <v>12887</v>
      </c>
      <c r="D1140" s="5">
        <v>0.52849537037037042</v>
      </c>
      <c r="E1140">
        <v>128.63999999999999</v>
      </c>
      <c r="F1140" t="s">
        <v>44</v>
      </c>
      <c r="G1140" t="s">
        <v>3380</v>
      </c>
      <c r="H1140" t="s">
        <v>64</v>
      </c>
      <c r="I1140" t="s">
        <v>119</v>
      </c>
      <c r="J1140" t="s">
        <v>3381</v>
      </c>
      <c r="K1140">
        <v>61</v>
      </c>
      <c r="L1140" t="s">
        <v>49</v>
      </c>
      <c r="M1140" t="s">
        <v>58</v>
      </c>
      <c r="N1140" t="s">
        <v>51</v>
      </c>
      <c r="O1140" t="s">
        <v>28</v>
      </c>
      <c r="P1140" t="s">
        <v>31</v>
      </c>
      <c r="Q1140">
        <v>0</v>
      </c>
      <c r="R1140" t="s">
        <v>12883</v>
      </c>
      <c r="S1140" t="s">
        <v>12884</v>
      </c>
    </row>
    <row r="1141" spans="1:19" x14ac:dyDescent="0.25">
      <c r="A1141" t="s">
        <v>12296</v>
      </c>
      <c r="B1141" s="1">
        <v>45787</v>
      </c>
      <c r="C1141" t="s">
        <v>12887</v>
      </c>
      <c r="D1141" s="5">
        <v>0.83195601851851853</v>
      </c>
      <c r="E1141">
        <v>128.63999999999999</v>
      </c>
      <c r="F1141" t="s">
        <v>44</v>
      </c>
      <c r="G1141" t="s">
        <v>3660</v>
      </c>
      <c r="H1141" t="s">
        <v>77</v>
      </c>
      <c r="I1141" t="s">
        <v>91</v>
      </c>
      <c r="J1141" t="s">
        <v>12297</v>
      </c>
      <c r="K1141">
        <v>72</v>
      </c>
      <c r="L1141" t="s">
        <v>49</v>
      </c>
      <c r="M1141" t="s">
        <v>35</v>
      </c>
      <c r="N1141" t="s">
        <v>39</v>
      </c>
      <c r="O1141" t="s">
        <v>28</v>
      </c>
      <c r="P1141" t="s">
        <v>31</v>
      </c>
      <c r="Q1141">
        <v>0</v>
      </c>
      <c r="R1141" t="s">
        <v>12883</v>
      </c>
      <c r="S1141" t="s">
        <v>12884</v>
      </c>
    </row>
    <row r="1142" spans="1:19" x14ac:dyDescent="0.25">
      <c r="A1142" t="s">
        <v>170</v>
      </c>
      <c r="B1142" s="1">
        <v>45903</v>
      </c>
      <c r="C1142" t="s">
        <v>12882</v>
      </c>
      <c r="D1142" s="5">
        <v>0.24283564814814815</v>
      </c>
      <c r="E1142">
        <v>128.44999999999999</v>
      </c>
      <c r="F1142" t="s">
        <v>44</v>
      </c>
      <c r="G1142" t="s">
        <v>171</v>
      </c>
      <c r="H1142" t="s">
        <v>77</v>
      </c>
      <c r="I1142" t="s">
        <v>97</v>
      </c>
      <c r="J1142" t="s">
        <v>172</v>
      </c>
      <c r="K1142">
        <v>22</v>
      </c>
      <c r="L1142" t="s">
        <v>49</v>
      </c>
      <c r="M1142" t="s">
        <v>146</v>
      </c>
      <c r="N1142" t="s">
        <v>51</v>
      </c>
      <c r="O1142" t="s">
        <v>28</v>
      </c>
      <c r="P1142" t="s">
        <v>31</v>
      </c>
      <c r="Q1142">
        <v>0</v>
      </c>
      <c r="R1142" t="s">
        <v>12883</v>
      </c>
      <c r="S1142" t="s">
        <v>12892</v>
      </c>
    </row>
    <row r="1143" spans="1:19" x14ac:dyDescent="0.25">
      <c r="A1143" t="s">
        <v>8542</v>
      </c>
      <c r="B1143" s="1">
        <v>45825</v>
      </c>
      <c r="C1143" t="s">
        <v>12888</v>
      </c>
      <c r="D1143" s="5">
        <v>0.88268518518518524</v>
      </c>
      <c r="E1143">
        <v>128.43</v>
      </c>
      <c r="F1143" t="s">
        <v>44</v>
      </c>
      <c r="G1143" t="s">
        <v>5653</v>
      </c>
      <c r="H1143" t="s">
        <v>57</v>
      </c>
      <c r="I1143" t="s">
        <v>47</v>
      </c>
      <c r="J1143" t="s">
        <v>8543</v>
      </c>
      <c r="K1143">
        <v>68</v>
      </c>
      <c r="L1143" t="s">
        <v>37</v>
      </c>
      <c r="M1143" t="s">
        <v>35</v>
      </c>
      <c r="N1143" t="s">
        <v>105</v>
      </c>
      <c r="O1143" t="s">
        <v>28</v>
      </c>
      <c r="P1143" t="s">
        <v>31</v>
      </c>
      <c r="Q1143">
        <v>0</v>
      </c>
      <c r="R1143" t="s">
        <v>12883</v>
      </c>
      <c r="S1143" t="s">
        <v>12884</v>
      </c>
    </row>
    <row r="1144" spans="1:19" x14ac:dyDescent="0.25">
      <c r="A1144" t="s">
        <v>8941</v>
      </c>
      <c r="B1144" s="1">
        <v>45842</v>
      </c>
      <c r="C1144" t="s">
        <v>12885</v>
      </c>
      <c r="D1144" s="5">
        <v>1.8854166666666668E-2</v>
      </c>
      <c r="E1144">
        <v>128.18</v>
      </c>
      <c r="F1144" t="s">
        <v>44</v>
      </c>
      <c r="G1144" t="s">
        <v>472</v>
      </c>
      <c r="H1144" t="s">
        <v>64</v>
      </c>
      <c r="I1144" t="s">
        <v>58</v>
      </c>
      <c r="J1144" t="s">
        <v>8942</v>
      </c>
      <c r="K1144">
        <v>47</v>
      </c>
      <c r="L1144" t="s">
        <v>49</v>
      </c>
      <c r="M1144" t="s">
        <v>58</v>
      </c>
      <c r="N1144" t="s">
        <v>39</v>
      </c>
      <c r="O1144" t="s">
        <v>113</v>
      </c>
      <c r="P1144" t="s">
        <v>31</v>
      </c>
      <c r="Q1144">
        <v>0</v>
      </c>
      <c r="R1144" t="s">
        <v>12883</v>
      </c>
      <c r="S1144" t="s">
        <v>12886</v>
      </c>
    </row>
    <row r="1145" spans="1:19" x14ac:dyDescent="0.25">
      <c r="A1145" t="s">
        <v>373</v>
      </c>
      <c r="B1145" s="1">
        <v>45826</v>
      </c>
      <c r="C1145" t="s">
        <v>12888</v>
      </c>
      <c r="D1145" s="5">
        <v>0.74527777777777782</v>
      </c>
      <c r="E1145">
        <v>128.13999999999999</v>
      </c>
      <c r="F1145" t="s">
        <v>44</v>
      </c>
      <c r="G1145" t="s">
        <v>374</v>
      </c>
      <c r="H1145" t="s">
        <v>71</v>
      </c>
      <c r="I1145" t="s">
        <v>38</v>
      </c>
      <c r="J1145" t="s">
        <v>375</v>
      </c>
      <c r="K1145">
        <v>36</v>
      </c>
      <c r="L1145" t="s">
        <v>25</v>
      </c>
      <c r="M1145" t="s">
        <v>50</v>
      </c>
      <c r="N1145" t="s">
        <v>39</v>
      </c>
      <c r="O1145" t="s">
        <v>28</v>
      </c>
      <c r="P1145" t="s">
        <v>31</v>
      </c>
      <c r="Q1145">
        <v>1</v>
      </c>
      <c r="R1145" t="s">
        <v>12891</v>
      </c>
      <c r="S1145" t="s">
        <v>12889</v>
      </c>
    </row>
    <row r="1146" spans="1:19" x14ac:dyDescent="0.25">
      <c r="A1146" t="s">
        <v>7780</v>
      </c>
      <c r="B1146" s="1">
        <v>45877</v>
      </c>
      <c r="C1146" t="s">
        <v>12893</v>
      </c>
      <c r="D1146" s="5">
        <v>0.11201388888888889</v>
      </c>
      <c r="E1146">
        <v>128.11000000000001</v>
      </c>
      <c r="F1146" t="s">
        <v>44</v>
      </c>
      <c r="G1146" t="s">
        <v>2126</v>
      </c>
      <c r="H1146" t="s">
        <v>57</v>
      </c>
      <c r="I1146" t="s">
        <v>119</v>
      </c>
      <c r="J1146" t="s">
        <v>7781</v>
      </c>
      <c r="K1146">
        <v>65</v>
      </c>
      <c r="L1146" t="s">
        <v>37</v>
      </c>
      <c r="M1146" t="s">
        <v>97</v>
      </c>
      <c r="N1146" t="s">
        <v>51</v>
      </c>
      <c r="O1146" t="s">
        <v>28</v>
      </c>
      <c r="P1146" t="s">
        <v>31</v>
      </c>
      <c r="Q1146">
        <v>0</v>
      </c>
      <c r="R1146" t="s">
        <v>12883</v>
      </c>
      <c r="S1146" t="s">
        <v>12884</v>
      </c>
    </row>
    <row r="1147" spans="1:19" x14ac:dyDescent="0.25">
      <c r="A1147" t="s">
        <v>3521</v>
      </c>
      <c r="B1147" s="1">
        <v>45899</v>
      </c>
      <c r="C1147" t="s">
        <v>12893</v>
      </c>
      <c r="D1147" s="5">
        <v>0.9521412037037037</v>
      </c>
      <c r="E1147">
        <v>128.1</v>
      </c>
      <c r="F1147" t="s">
        <v>44</v>
      </c>
      <c r="G1147" t="s">
        <v>2282</v>
      </c>
      <c r="H1147" t="s">
        <v>71</v>
      </c>
      <c r="I1147" t="s">
        <v>146</v>
      </c>
      <c r="J1147" t="s">
        <v>3522</v>
      </c>
      <c r="K1147">
        <v>18</v>
      </c>
      <c r="L1147" t="s">
        <v>49</v>
      </c>
      <c r="M1147" t="s">
        <v>91</v>
      </c>
      <c r="N1147" t="s">
        <v>39</v>
      </c>
      <c r="O1147" t="s">
        <v>28</v>
      </c>
      <c r="P1147" t="s">
        <v>31</v>
      </c>
      <c r="Q1147">
        <v>0</v>
      </c>
      <c r="R1147" t="s">
        <v>12883</v>
      </c>
      <c r="S1147" t="s">
        <v>12892</v>
      </c>
    </row>
    <row r="1148" spans="1:19" x14ac:dyDescent="0.25">
      <c r="A1148" t="s">
        <v>4118</v>
      </c>
      <c r="B1148" s="1">
        <v>45810</v>
      </c>
      <c r="C1148" t="s">
        <v>12888</v>
      </c>
      <c r="D1148" s="5">
        <v>0.92497685185185186</v>
      </c>
      <c r="E1148">
        <v>127.94</v>
      </c>
      <c r="F1148" t="s">
        <v>44</v>
      </c>
      <c r="G1148" t="s">
        <v>1563</v>
      </c>
      <c r="H1148" t="s">
        <v>124</v>
      </c>
      <c r="I1148" t="s">
        <v>146</v>
      </c>
      <c r="J1148" t="s">
        <v>4119</v>
      </c>
      <c r="K1148">
        <v>51</v>
      </c>
      <c r="L1148" t="s">
        <v>49</v>
      </c>
      <c r="M1148" t="s">
        <v>130</v>
      </c>
      <c r="N1148" t="s">
        <v>27</v>
      </c>
      <c r="O1148" t="s">
        <v>28</v>
      </c>
      <c r="P1148" t="s">
        <v>31</v>
      </c>
      <c r="Q1148">
        <v>0</v>
      </c>
      <c r="R1148" t="s">
        <v>12883</v>
      </c>
      <c r="S1148" t="s">
        <v>12886</v>
      </c>
    </row>
    <row r="1149" spans="1:19" x14ac:dyDescent="0.25">
      <c r="A1149" t="s">
        <v>7957</v>
      </c>
      <c r="B1149" s="1">
        <v>45807</v>
      </c>
      <c r="C1149" t="s">
        <v>12887</v>
      </c>
      <c r="D1149" s="5">
        <v>0.17770833333333333</v>
      </c>
      <c r="E1149">
        <v>127.91</v>
      </c>
      <c r="F1149" t="s">
        <v>44</v>
      </c>
      <c r="G1149" t="s">
        <v>663</v>
      </c>
      <c r="H1149" t="s">
        <v>124</v>
      </c>
      <c r="I1149" t="s">
        <v>248</v>
      </c>
      <c r="J1149" t="s">
        <v>4711</v>
      </c>
      <c r="K1149">
        <v>34</v>
      </c>
      <c r="L1149" t="s">
        <v>49</v>
      </c>
      <c r="M1149" t="s">
        <v>248</v>
      </c>
      <c r="N1149" t="s">
        <v>39</v>
      </c>
      <c r="O1149" t="s">
        <v>113</v>
      </c>
      <c r="P1149" t="s">
        <v>31</v>
      </c>
      <c r="Q1149">
        <v>0</v>
      </c>
      <c r="R1149" t="s">
        <v>12883</v>
      </c>
      <c r="S1149" t="s">
        <v>12889</v>
      </c>
    </row>
    <row r="1150" spans="1:19" x14ac:dyDescent="0.25">
      <c r="A1150" t="s">
        <v>11795</v>
      </c>
      <c r="B1150" s="1">
        <v>45906</v>
      </c>
      <c r="C1150" t="s">
        <v>12882</v>
      </c>
      <c r="D1150" s="5">
        <v>0.66153935185185186</v>
      </c>
      <c r="E1150">
        <v>127.63</v>
      </c>
      <c r="F1150" t="s">
        <v>44</v>
      </c>
      <c r="G1150" t="s">
        <v>3860</v>
      </c>
      <c r="H1150" t="s">
        <v>22</v>
      </c>
      <c r="I1150" t="s">
        <v>50</v>
      </c>
      <c r="J1150" t="s">
        <v>11796</v>
      </c>
      <c r="K1150">
        <v>15</v>
      </c>
      <c r="L1150" t="s">
        <v>37</v>
      </c>
      <c r="M1150" t="s">
        <v>38</v>
      </c>
      <c r="N1150" t="s">
        <v>105</v>
      </c>
      <c r="O1150" t="s">
        <v>28</v>
      </c>
      <c r="P1150" t="s">
        <v>31</v>
      </c>
      <c r="Q1150">
        <v>0</v>
      </c>
      <c r="R1150" t="s">
        <v>12883</v>
      </c>
      <c r="S1150" t="s">
        <v>12892</v>
      </c>
    </row>
    <row r="1151" spans="1:19" x14ac:dyDescent="0.25">
      <c r="A1151" t="s">
        <v>12813</v>
      </c>
      <c r="B1151" s="1">
        <v>45871</v>
      </c>
      <c r="C1151" t="s">
        <v>12893</v>
      </c>
      <c r="D1151" s="5">
        <v>0.29056712962962961</v>
      </c>
      <c r="E1151">
        <v>127.62</v>
      </c>
      <c r="F1151" t="s">
        <v>44</v>
      </c>
      <c r="G1151" t="s">
        <v>2580</v>
      </c>
      <c r="H1151" t="s">
        <v>124</v>
      </c>
      <c r="I1151" t="s">
        <v>110</v>
      </c>
      <c r="J1151" t="s">
        <v>12814</v>
      </c>
      <c r="K1151">
        <v>46</v>
      </c>
      <c r="L1151" t="s">
        <v>37</v>
      </c>
      <c r="M1151" t="s">
        <v>130</v>
      </c>
      <c r="N1151" t="s">
        <v>39</v>
      </c>
      <c r="O1151" t="s">
        <v>28</v>
      </c>
      <c r="P1151" t="s">
        <v>31</v>
      </c>
      <c r="Q1151">
        <v>0</v>
      </c>
      <c r="R1151" t="s">
        <v>12883</v>
      </c>
      <c r="S1151" t="s">
        <v>12886</v>
      </c>
    </row>
    <row r="1152" spans="1:19" x14ac:dyDescent="0.25">
      <c r="A1152" t="s">
        <v>451</v>
      </c>
      <c r="B1152" s="1">
        <v>45875</v>
      </c>
      <c r="C1152" t="s">
        <v>12893</v>
      </c>
      <c r="D1152" s="5">
        <v>0.39283564814814814</v>
      </c>
      <c r="E1152">
        <v>127.54</v>
      </c>
      <c r="F1152" t="s">
        <v>44</v>
      </c>
      <c r="G1152" t="s">
        <v>452</v>
      </c>
      <c r="H1152" t="s">
        <v>77</v>
      </c>
      <c r="I1152" t="s">
        <v>23</v>
      </c>
      <c r="J1152" t="s">
        <v>453</v>
      </c>
      <c r="K1152">
        <v>38</v>
      </c>
      <c r="L1152" t="s">
        <v>49</v>
      </c>
      <c r="M1152" t="s">
        <v>119</v>
      </c>
      <c r="N1152" t="s">
        <v>105</v>
      </c>
      <c r="O1152" t="s">
        <v>28</v>
      </c>
      <c r="P1152" t="s">
        <v>31</v>
      </c>
      <c r="Q1152">
        <v>0</v>
      </c>
      <c r="R1152" t="s">
        <v>12883</v>
      </c>
      <c r="S1152" t="s">
        <v>12889</v>
      </c>
    </row>
    <row r="1153" spans="1:19" x14ac:dyDescent="0.25">
      <c r="A1153" t="s">
        <v>8634</v>
      </c>
      <c r="B1153" s="1">
        <v>45839</v>
      </c>
      <c r="C1153" t="s">
        <v>12885</v>
      </c>
      <c r="D1153" s="5">
        <v>0.53601851851851856</v>
      </c>
      <c r="E1153">
        <v>127.49</v>
      </c>
      <c r="F1153" t="s">
        <v>44</v>
      </c>
      <c r="G1153" t="s">
        <v>4072</v>
      </c>
      <c r="H1153" t="s">
        <v>22</v>
      </c>
      <c r="I1153" t="s">
        <v>23</v>
      </c>
      <c r="J1153" t="s">
        <v>8635</v>
      </c>
      <c r="K1153">
        <v>74</v>
      </c>
      <c r="L1153" t="s">
        <v>25</v>
      </c>
      <c r="M1153" t="s">
        <v>38</v>
      </c>
      <c r="N1153" t="s">
        <v>51</v>
      </c>
      <c r="O1153" t="s">
        <v>28</v>
      </c>
      <c r="P1153" t="s">
        <v>31</v>
      </c>
      <c r="Q1153">
        <v>0</v>
      </c>
      <c r="R1153" t="s">
        <v>12883</v>
      </c>
      <c r="S1153" t="s">
        <v>12884</v>
      </c>
    </row>
    <row r="1154" spans="1:19" x14ac:dyDescent="0.25">
      <c r="A1154" t="s">
        <v>9186</v>
      </c>
      <c r="B1154" s="1">
        <v>45868</v>
      </c>
      <c r="C1154" t="s">
        <v>12885</v>
      </c>
      <c r="D1154" s="5">
        <v>0.84004629629629635</v>
      </c>
      <c r="E1154">
        <v>127.48</v>
      </c>
      <c r="F1154" t="s">
        <v>44</v>
      </c>
      <c r="G1154" t="s">
        <v>3008</v>
      </c>
      <c r="H1154" t="s">
        <v>46</v>
      </c>
      <c r="I1154" t="s">
        <v>130</v>
      </c>
      <c r="J1154" t="s">
        <v>9187</v>
      </c>
      <c r="K1154">
        <v>73</v>
      </c>
      <c r="L1154" t="s">
        <v>37</v>
      </c>
      <c r="M1154" t="s">
        <v>50</v>
      </c>
      <c r="N1154" t="s">
        <v>112</v>
      </c>
      <c r="O1154" t="s">
        <v>28</v>
      </c>
      <c r="P1154" t="s">
        <v>31</v>
      </c>
      <c r="Q1154">
        <v>0</v>
      </c>
      <c r="R1154" t="s">
        <v>12883</v>
      </c>
      <c r="S1154" t="s">
        <v>12884</v>
      </c>
    </row>
    <row r="1155" spans="1:19" x14ac:dyDescent="0.25">
      <c r="A1155" t="s">
        <v>3083</v>
      </c>
      <c r="B1155" s="1">
        <v>45815</v>
      </c>
      <c r="C1155" t="s">
        <v>12888</v>
      </c>
      <c r="D1155" s="5">
        <v>0.37344907407407407</v>
      </c>
      <c r="E1155">
        <v>127.42</v>
      </c>
      <c r="F1155" t="s">
        <v>44</v>
      </c>
      <c r="G1155" t="s">
        <v>1110</v>
      </c>
      <c r="H1155" t="s">
        <v>22</v>
      </c>
      <c r="I1155" t="s">
        <v>47</v>
      </c>
      <c r="J1155" t="s">
        <v>3084</v>
      </c>
      <c r="K1155">
        <v>18</v>
      </c>
      <c r="L1155" t="s">
        <v>37</v>
      </c>
      <c r="M1155" t="s">
        <v>91</v>
      </c>
      <c r="N1155" t="s">
        <v>27</v>
      </c>
      <c r="O1155" t="s">
        <v>28</v>
      </c>
      <c r="P1155" t="s">
        <v>31</v>
      </c>
      <c r="Q1155">
        <v>0</v>
      </c>
      <c r="R1155" t="s">
        <v>12883</v>
      </c>
      <c r="S1155" t="s">
        <v>12892</v>
      </c>
    </row>
    <row r="1156" spans="1:19" x14ac:dyDescent="0.25">
      <c r="A1156" t="s">
        <v>12485</v>
      </c>
      <c r="B1156" s="1">
        <v>45850</v>
      </c>
      <c r="C1156" t="s">
        <v>12885</v>
      </c>
      <c r="D1156" s="5">
        <v>0.83035879629629628</v>
      </c>
      <c r="E1156">
        <v>127.35</v>
      </c>
      <c r="F1156" t="s">
        <v>44</v>
      </c>
      <c r="G1156" t="s">
        <v>1252</v>
      </c>
      <c r="H1156" t="s">
        <v>64</v>
      </c>
      <c r="I1156" t="s">
        <v>47</v>
      </c>
      <c r="J1156" t="s">
        <v>12486</v>
      </c>
      <c r="K1156">
        <v>53</v>
      </c>
      <c r="L1156" t="s">
        <v>49</v>
      </c>
      <c r="M1156" t="s">
        <v>130</v>
      </c>
      <c r="N1156" t="s">
        <v>112</v>
      </c>
      <c r="O1156" t="s">
        <v>28</v>
      </c>
      <c r="P1156" t="s">
        <v>31</v>
      </c>
      <c r="Q1156">
        <v>0</v>
      </c>
      <c r="R1156" t="s">
        <v>12883</v>
      </c>
      <c r="S1156" t="s">
        <v>12886</v>
      </c>
    </row>
    <row r="1157" spans="1:19" x14ac:dyDescent="0.25">
      <c r="A1157" t="s">
        <v>10811</v>
      </c>
      <c r="B1157" s="1">
        <v>45895</v>
      </c>
      <c r="C1157" t="s">
        <v>12893</v>
      </c>
      <c r="D1157" s="5">
        <v>0.50335648148148149</v>
      </c>
      <c r="E1157">
        <v>127.1</v>
      </c>
      <c r="F1157" t="s">
        <v>44</v>
      </c>
      <c r="G1157" t="s">
        <v>8383</v>
      </c>
      <c r="H1157" t="s">
        <v>71</v>
      </c>
      <c r="I1157" t="s">
        <v>97</v>
      </c>
      <c r="J1157" t="s">
        <v>10743</v>
      </c>
      <c r="K1157">
        <v>49</v>
      </c>
      <c r="L1157" t="s">
        <v>37</v>
      </c>
      <c r="M1157" t="s">
        <v>91</v>
      </c>
      <c r="N1157" t="s">
        <v>84</v>
      </c>
      <c r="O1157" t="s">
        <v>28</v>
      </c>
      <c r="P1157" t="s">
        <v>31</v>
      </c>
      <c r="Q1157">
        <v>0</v>
      </c>
      <c r="R1157" t="s">
        <v>12883</v>
      </c>
      <c r="S1157" t="s">
        <v>12886</v>
      </c>
    </row>
    <row r="1158" spans="1:19" x14ac:dyDescent="0.25">
      <c r="A1158" t="s">
        <v>12741</v>
      </c>
      <c r="B1158" s="1">
        <v>45889</v>
      </c>
      <c r="C1158" t="s">
        <v>12893</v>
      </c>
      <c r="D1158" s="5">
        <v>0.53623842592592597</v>
      </c>
      <c r="E1158">
        <v>127.05</v>
      </c>
      <c r="F1158" t="s">
        <v>44</v>
      </c>
      <c r="G1158" t="s">
        <v>6677</v>
      </c>
      <c r="H1158" t="s">
        <v>46</v>
      </c>
      <c r="I1158" t="s">
        <v>66</v>
      </c>
      <c r="J1158" t="s">
        <v>12742</v>
      </c>
      <c r="K1158">
        <v>28</v>
      </c>
      <c r="L1158" t="s">
        <v>37</v>
      </c>
      <c r="M1158" t="s">
        <v>130</v>
      </c>
      <c r="N1158" t="s">
        <v>112</v>
      </c>
      <c r="O1158" t="s">
        <v>28</v>
      </c>
      <c r="P1158" t="s">
        <v>31</v>
      </c>
      <c r="Q1158">
        <v>0</v>
      </c>
      <c r="R1158" t="s">
        <v>12883</v>
      </c>
      <c r="S1158" t="s">
        <v>12889</v>
      </c>
    </row>
    <row r="1159" spans="1:19" x14ac:dyDescent="0.25">
      <c r="A1159" t="s">
        <v>10638</v>
      </c>
      <c r="B1159" s="1">
        <v>45865</v>
      </c>
      <c r="C1159" t="s">
        <v>12885</v>
      </c>
      <c r="D1159" s="5">
        <v>0.10953703703703704</v>
      </c>
      <c r="E1159">
        <v>127.03</v>
      </c>
      <c r="F1159" t="s">
        <v>44</v>
      </c>
      <c r="G1159" t="s">
        <v>5368</v>
      </c>
      <c r="H1159" t="s">
        <v>96</v>
      </c>
      <c r="I1159" t="s">
        <v>23</v>
      </c>
      <c r="J1159" t="s">
        <v>10639</v>
      </c>
      <c r="K1159">
        <v>59</v>
      </c>
      <c r="L1159" t="s">
        <v>25</v>
      </c>
      <c r="M1159" t="s">
        <v>35</v>
      </c>
      <c r="N1159" t="s">
        <v>39</v>
      </c>
      <c r="O1159" t="s">
        <v>28</v>
      </c>
      <c r="P1159" t="s">
        <v>31</v>
      </c>
      <c r="Q1159">
        <v>0</v>
      </c>
      <c r="R1159" t="s">
        <v>12883</v>
      </c>
      <c r="S1159" t="s">
        <v>12886</v>
      </c>
    </row>
    <row r="1160" spans="1:19" x14ac:dyDescent="0.25">
      <c r="A1160" t="s">
        <v>565</v>
      </c>
      <c r="B1160" s="1">
        <v>45784</v>
      </c>
      <c r="C1160" t="s">
        <v>12887</v>
      </c>
      <c r="D1160" s="5">
        <v>0.48675925925925928</v>
      </c>
      <c r="E1160">
        <v>126.85</v>
      </c>
      <c r="F1160" t="s">
        <v>44</v>
      </c>
      <c r="G1160" t="s">
        <v>566</v>
      </c>
      <c r="H1160" t="s">
        <v>124</v>
      </c>
      <c r="I1160" t="s">
        <v>50</v>
      </c>
      <c r="J1160" t="s">
        <v>567</v>
      </c>
      <c r="K1160">
        <v>47</v>
      </c>
      <c r="L1160" t="s">
        <v>49</v>
      </c>
      <c r="M1160" t="s">
        <v>26</v>
      </c>
      <c r="N1160" t="s">
        <v>105</v>
      </c>
      <c r="O1160" t="s">
        <v>28</v>
      </c>
      <c r="P1160" t="s">
        <v>31</v>
      </c>
      <c r="Q1160">
        <v>0</v>
      </c>
      <c r="R1160" t="s">
        <v>12883</v>
      </c>
      <c r="S1160" t="s">
        <v>12886</v>
      </c>
    </row>
    <row r="1161" spans="1:19" x14ac:dyDescent="0.25">
      <c r="A1161" t="s">
        <v>4911</v>
      </c>
      <c r="B1161" s="1">
        <v>45872</v>
      </c>
      <c r="C1161" t="s">
        <v>12893</v>
      </c>
      <c r="D1161" s="5">
        <v>0.42743055555555554</v>
      </c>
      <c r="E1161">
        <v>126.68</v>
      </c>
      <c r="F1161" t="s">
        <v>44</v>
      </c>
      <c r="G1161" t="s">
        <v>4246</v>
      </c>
      <c r="H1161" t="s">
        <v>124</v>
      </c>
      <c r="I1161" t="s">
        <v>130</v>
      </c>
      <c r="J1161" t="s">
        <v>4912</v>
      </c>
      <c r="K1161">
        <v>25</v>
      </c>
      <c r="L1161" t="s">
        <v>25</v>
      </c>
      <c r="M1161" t="s">
        <v>58</v>
      </c>
      <c r="N1161" t="s">
        <v>84</v>
      </c>
      <c r="O1161" t="s">
        <v>28</v>
      </c>
      <c r="P1161" t="s">
        <v>31</v>
      </c>
      <c r="Q1161">
        <v>1</v>
      </c>
      <c r="R1161" t="s">
        <v>12891</v>
      </c>
      <c r="S1161" t="s">
        <v>12889</v>
      </c>
    </row>
    <row r="1162" spans="1:19" x14ac:dyDescent="0.25">
      <c r="A1162" t="s">
        <v>3007</v>
      </c>
      <c r="B1162" s="1">
        <v>45805</v>
      </c>
      <c r="C1162" t="s">
        <v>12887</v>
      </c>
      <c r="D1162" s="5">
        <v>0.79527777777777775</v>
      </c>
      <c r="E1162">
        <v>126.02</v>
      </c>
      <c r="F1162" t="s">
        <v>44</v>
      </c>
      <c r="G1162" t="s">
        <v>3008</v>
      </c>
      <c r="H1162" t="s">
        <v>71</v>
      </c>
      <c r="I1162" t="s">
        <v>58</v>
      </c>
      <c r="J1162" t="s">
        <v>3009</v>
      </c>
      <c r="K1162">
        <v>74</v>
      </c>
      <c r="L1162" t="s">
        <v>25</v>
      </c>
      <c r="M1162" t="s">
        <v>110</v>
      </c>
      <c r="N1162" t="s">
        <v>51</v>
      </c>
      <c r="O1162" t="s">
        <v>28</v>
      </c>
      <c r="P1162" t="s">
        <v>31</v>
      </c>
      <c r="Q1162">
        <v>0</v>
      </c>
      <c r="R1162" t="s">
        <v>12883</v>
      </c>
      <c r="S1162" t="s">
        <v>12884</v>
      </c>
    </row>
    <row r="1163" spans="1:19" x14ac:dyDescent="0.25">
      <c r="A1163" t="s">
        <v>10778</v>
      </c>
      <c r="B1163" s="1">
        <v>45786</v>
      </c>
      <c r="C1163" t="s">
        <v>12887</v>
      </c>
      <c r="D1163" s="5">
        <v>0.41030092592592593</v>
      </c>
      <c r="E1163">
        <v>125.82</v>
      </c>
      <c r="F1163" t="s">
        <v>44</v>
      </c>
      <c r="G1163" t="s">
        <v>7242</v>
      </c>
      <c r="H1163" t="s">
        <v>124</v>
      </c>
      <c r="I1163" t="s">
        <v>130</v>
      </c>
      <c r="J1163" t="s">
        <v>10779</v>
      </c>
      <c r="K1163">
        <v>51</v>
      </c>
      <c r="L1163" t="s">
        <v>49</v>
      </c>
      <c r="M1163" t="s">
        <v>91</v>
      </c>
      <c r="N1163" t="s">
        <v>51</v>
      </c>
      <c r="O1163" t="s">
        <v>28</v>
      </c>
      <c r="P1163" t="s">
        <v>31</v>
      </c>
      <c r="Q1163">
        <v>0</v>
      </c>
      <c r="R1163" t="s">
        <v>12883</v>
      </c>
      <c r="S1163" t="s">
        <v>12886</v>
      </c>
    </row>
    <row r="1164" spans="1:19" x14ac:dyDescent="0.25">
      <c r="A1164" t="s">
        <v>7866</v>
      </c>
      <c r="B1164" s="1">
        <v>45880</v>
      </c>
      <c r="C1164" t="s">
        <v>12893</v>
      </c>
      <c r="D1164" s="5">
        <v>0.36857638888888888</v>
      </c>
      <c r="E1164">
        <v>125.79</v>
      </c>
      <c r="F1164" t="s">
        <v>44</v>
      </c>
      <c r="G1164" t="s">
        <v>5124</v>
      </c>
      <c r="H1164" t="s">
        <v>34</v>
      </c>
      <c r="I1164" t="s">
        <v>97</v>
      </c>
      <c r="J1164" t="s">
        <v>7867</v>
      </c>
      <c r="K1164">
        <v>73</v>
      </c>
      <c r="L1164" t="s">
        <v>37</v>
      </c>
      <c r="M1164" t="s">
        <v>35</v>
      </c>
      <c r="N1164" t="s">
        <v>27</v>
      </c>
      <c r="O1164" t="s">
        <v>28</v>
      </c>
      <c r="P1164" t="s">
        <v>31</v>
      </c>
      <c r="Q1164">
        <v>0</v>
      </c>
      <c r="R1164" t="s">
        <v>12883</v>
      </c>
      <c r="S1164" t="s">
        <v>12884</v>
      </c>
    </row>
    <row r="1165" spans="1:19" x14ac:dyDescent="0.25">
      <c r="A1165" t="s">
        <v>2795</v>
      </c>
      <c r="B1165" s="1">
        <v>45805</v>
      </c>
      <c r="C1165" t="s">
        <v>12887</v>
      </c>
      <c r="D1165" s="5">
        <v>0.44946759259259261</v>
      </c>
      <c r="E1165">
        <v>125.75</v>
      </c>
      <c r="F1165" t="s">
        <v>44</v>
      </c>
      <c r="G1165" t="s">
        <v>2317</v>
      </c>
      <c r="H1165" t="s">
        <v>77</v>
      </c>
      <c r="I1165" t="s">
        <v>97</v>
      </c>
      <c r="J1165" t="s">
        <v>2796</v>
      </c>
      <c r="K1165">
        <v>55</v>
      </c>
      <c r="L1165" t="s">
        <v>49</v>
      </c>
      <c r="M1165" t="s">
        <v>248</v>
      </c>
      <c r="N1165" t="s">
        <v>112</v>
      </c>
      <c r="O1165" t="s">
        <v>28</v>
      </c>
      <c r="P1165" t="s">
        <v>31</v>
      </c>
      <c r="Q1165">
        <v>0</v>
      </c>
      <c r="R1165" t="s">
        <v>12883</v>
      </c>
      <c r="S1165" t="s">
        <v>12886</v>
      </c>
    </row>
    <row r="1166" spans="1:19" x14ac:dyDescent="0.25">
      <c r="A1166" t="s">
        <v>8310</v>
      </c>
      <c r="B1166" s="1">
        <v>45845</v>
      </c>
      <c r="C1166" t="s">
        <v>12885</v>
      </c>
      <c r="D1166" s="5">
        <v>0.88953703703703701</v>
      </c>
      <c r="E1166">
        <v>125.43</v>
      </c>
      <c r="F1166" t="s">
        <v>44</v>
      </c>
      <c r="G1166" t="s">
        <v>7275</v>
      </c>
      <c r="H1166" t="s">
        <v>22</v>
      </c>
      <c r="I1166" t="s">
        <v>50</v>
      </c>
      <c r="J1166" t="s">
        <v>8311</v>
      </c>
      <c r="K1166">
        <v>54</v>
      </c>
      <c r="L1166" t="s">
        <v>25</v>
      </c>
      <c r="M1166" t="s">
        <v>50</v>
      </c>
      <c r="N1166" t="s">
        <v>51</v>
      </c>
      <c r="O1166" t="s">
        <v>113</v>
      </c>
      <c r="P1166" t="s">
        <v>31</v>
      </c>
      <c r="Q1166">
        <v>0</v>
      </c>
      <c r="R1166" t="s">
        <v>12883</v>
      </c>
      <c r="S1166" t="s">
        <v>12886</v>
      </c>
    </row>
    <row r="1167" spans="1:19" x14ac:dyDescent="0.25">
      <c r="A1167" t="s">
        <v>10055</v>
      </c>
      <c r="B1167" s="1">
        <v>45909</v>
      </c>
      <c r="C1167" t="s">
        <v>12882</v>
      </c>
      <c r="D1167" s="5">
        <v>6.5104166666666671E-2</v>
      </c>
      <c r="E1167">
        <v>125.33</v>
      </c>
      <c r="F1167" t="s">
        <v>44</v>
      </c>
      <c r="G1167" t="s">
        <v>5246</v>
      </c>
      <c r="H1167" t="s">
        <v>71</v>
      </c>
      <c r="I1167" t="s">
        <v>50</v>
      </c>
      <c r="J1167" t="s">
        <v>10056</v>
      </c>
      <c r="K1167">
        <v>44</v>
      </c>
      <c r="L1167" t="s">
        <v>25</v>
      </c>
      <c r="M1167" t="s">
        <v>91</v>
      </c>
      <c r="N1167" t="s">
        <v>84</v>
      </c>
      <c r="O1167" t="s">
        <v>28</v>
      </c>
      <c r="P1167" t="s">
        <v>31</v>
      </c>
      <c r="Q1167">
        <v>0</v>
      </c>
      <c r="R1167" t="s">
        <v>12883</v>
      </c>
      <c r="S1167" t="s">
        <v>12886</v>
      </c>
    </row>
    <row r="1168" spans="1:19" x14ac:dyDescent="0.25">
      <c r="A1168" t="s">
        <v>848</v>
      </c>
      <c r="B1168" s="1">
        <v>45855</v>
      </c>
      <c r="C1168" t="s">
        <v>12885</v>
      </c>
      <c r="D1168" s="5">
        <v>0.49841435185185184</v>
      </c>
      <c r="E1168">
        <v>125.19</v>
      </c>
      <c r="F1168" t="s">
        <v>44</v>
      </c>
      <c r="G1168" t="s">
        <v>849</v>
      </c>
      <c r="H1168" t="s">
        <v>57</v>
      </c>
      <c r="I1168" t="s">
        <v>119</v>
      </c>
      <c r="J1168" t="s">
        <v>850</v>
      </c>
      <c r="K1168">
        <v>58</v>
      </c>
      <c r="L1168" t="s">
        <v>37</v>
      </c>
      <c r="M1168" t="s">
        <v>97</v>
      </c>
      <c r="N1168" t="s">
        <v>105</v>
      </c>
      <c r="O1168" t="s">
        <v>28</v>
      </c>
      <c r="P1168" t="s">
        <v>31</v>
      </c>
      <c r="Q1168">
        <v>0</v>
      </c>
      <c r="R1168" t="s">
        <v>12883</v>
      </c>
      <c r="S1168" t="s">
        <v>12886</v>
      </c>
    </row>
    <row r="1169" spans="1:19" x14ac:dyDescent="0.25">
      <c r="A1169" t="s">
        <v>9733</v>
      </c>
      <c r="B1169" s="1">
        <v>45843</v>
      </c>
      <c r="C1169" t="s">
        <v>12885</v>
      </c>
      <c r="D1169" s="5">
        <v>0.11469907407407408</v>
      </c>
      <c r="E1169">
        <v>125.16</v>
      </c>
      <c r="F1169" t="s">
        <v>44</v>
      </c>
      <c r="G1169" t="s">
        <v>6703</v>
      </c>
      <c r="H1169" t="s">
        <v>124</v>
      </c>
      <c r="I1169" t="s">
        <v>119</v>
      </c>
      <c r="J1169" t="s">
        <v>9734</v>
      </c>
      <c r="K1169">
        <v>21</v>
      </c>
      <c r="L1169" t="s">
        <v>25</v>
      </c>
      <c r="M1169" t="s">
        <v>91</v>
      </c>
      <c r="N1169" t="s">
        <v>39</v>
      </c>
      <c r="O1169" t="s">
        <v>28</v>
      </c>
      <c r="P1169" t="s">
        <v>31</v>
      </c>
      <c r="Q1169">
        <v>0</v>
      </c>
      <c r="R1169" t="s">
        <v>12883</v>
      </c>
      <c r="S1169" t="s">
        <v>12892</v>
      </c>
    </row>
    <row r="1170" spans="1:19" x14ac:dyDescent="0.25">
      <c r="A1170" t="s">
        <v>11155</v>
      </c>
      <c r="B1170" s="1">
        <v>45835</v>
      </c>
      <c r="C1170" t="s">
        <v>12888</v>
      </c>
      <c r="D1170" s="5">
        <v>0.63520833333333337</v>
      </c>
      <c r="E1170">
        <v>125.07</v>
      </c>
      <c r="F1170" t="s">
        <v>44</v>
      </c>
      <c r="G1170" t="s">
        <v>3088</v>
      </c>
      <c r="H1170" t="s">
        <v>34</v>
      </c>
      <c r="I1170" t="s">
        <v>26</v>
      </c>
      <c r="J1170" t="s">
        <v>11156</v>
      </c>
      <c r="K1170">
        <v>71</v>
      </c>
      <c r="L1170" t="s">
        <v>49</v>
      </c>
      <c r="M1170" t="s">
        <v>66</v>
      </c>
      <c r="N1170" t="s">
        <v>112</v>
      </c>
      <c r="O1170" t="s">
        <v>28</v>
      </c>
      <c r="P1170" t="s">
        <v>31</v>
      </c>
      <c r="Q1170">
        <v>1</v>
      </c>
      <c r="R1170" t="s">
        <v>12891</v>
      </c>
      <c r="S1170" t="s">
        <v>12884</v>
      </c>
    </row>
    <row r="1171" spans="1:19" x14ac:dyDescent="0.25">
      <c r="A1171" t="s">
        <v>12204</v>
      </c>
      <c r="B1171" s="1">
        <v>45863</v>
      </c>
      <c r="C1171" t="s">
        <v>12885</v>
      </c>
      <c r="D1171" s="5">
        <v>8.3159722222222218E-2</v>
      </c>
      <c r="E1171">
        <v>124.99</v>
      </c>
      <c r="F1171" t="s">
        <v>44</v>
      </c>
      <c r="G1171" t="s">
        <v>4053</v>
      </c>
      <c r="H1171" t="s">
        <v>64</v>
      </c>
      <c r="I1171" t="s">
        <v>47</v>
      </c>
      <c r="J1171" t="s">
        <v>12205</v>
      </c>
      <c r="K1171">
        <v>22</v>
      </c>
      <c r="L1171" t="s">
        <v>49</v>
      </c>
      <c r="M1171" t="s">
        <v>50</v>
      </c>
      <c r="N1171" t="s">
        <v>105</v>
      </c>
      <c r="O1171" t="s">
        <v>28</v>
      </c>
      <c r="P1171" t="s">
        <v>31</v>
      </c>
      <c r="Q1171">
        <v>0</v>
      </c>
      <c r="R1171" t="s">
        <v>12883</v>
      </c>
      <c r="S1171" t="s">
        <v>12892</v>
      </c>
    </row>
    <row r="1172" spans="1:19" x14ac:dyDescent="0.25">
      <c r="A1172" t="s">
        <v>5397</v>
      </c>
      <c r="B1172" s="1">
        <v>45837</v>
      </c>
      <c r="C1172" t="s">
        <v>12888</v>
      </c>
      <c r="D1172" s="5">
        <v>0.52143518518518517</v>
      </c>
      <c r="E1172">
        <v>124.96</v>
      </c>
      <c r="F1172" t="s">
        <v>44</v>
      </c>
      <c r="G1172" t="s">
        <v>4788</v>
      </c>
      <c r="H1172" t="s">
        <v>22</v>
      </c>
      <c r="I1172" t="s">
        <v>66</v>
      </c>
      <c r="J1172" t="s">
        <v>5398</v>
      </c>
      <c r="K1172">
        <v>25</v>
      </c>
      <c r="L1172" t="s">
        <v>25</v>
      </c>
      <c r="M1172" t="s">
        <v>130</v>
      </c>
      <c r="N1172" t="s">
        <v>27</v>
      </c>
      <c r="O1172" t="s">
        <v>28</v>
      </c>
      <c r="P1172" t="s">
        <v>31</v>
      </c>
      <c r="Q1172">
        <v>1</v>
      </c>
      <c r="R1172" t="s">
        <v>12891</v>
      </c>
      <c r="S1172" t="s">
        <v>12889</v>
      </c>
    </row>
    <row r="1173" spans="1:19" x14ac:dyDescent="0.25">
      <c r="A1173" t="s">
        <v>9438</v>
      </c>
      <c r="B1173" s="1">
        <v>45959</v>
      </c>
      <c r="C1173" t="s">
        <v>12890</v>
      </c>
      <c r="D1173" s="5">
        <v>0.35605324074074074</v>
      </c>
      <c r="E1173">
        <v>124.96</v>
      </c>
      <c r="F1173" t="s">
        <v>44</v>
      </c>
      <c r="G1173" t="s">
        <v>3166</v>
      </c>
      <c r="H1173" t="s">
        <v>22</v>
      </c>
      <c r="I1173" t="s">
        <v>26</v>
      </c>
      <c r="J1173" t="s">
        <v>9439</v>
      </c>
      <c r="K1173">
        <v>53</v>
      </c>
      <c r="L1173" t="s">
        <v>25</v>
      </c>
      <c r="M1173" t="s">
        <v>248</v>
      </c>
      <c r="N1173" t="s">
        <v>39</v>
      </c>
      <c r="O1173" t="s">
        <v>28</v>
      </c>
      <c r="P1173" t="s">
        <v>31</v>
      </c>
      <c r="Q1173">
        <v>0</v>
      </c>
      <c r="R1173" t="s">
        <v>12883</v>
      </c>
      <c r="S1173" t="s">
        <v>12886</v>
      </c>
    </row>
    <row r="1174" spans="1:19" x14ac:dyDescent="0.25">
      <c r="A1174" t="s">
        <v>12821</v>
      </c>
      <c r="B1174" s="1">
        <v>45828</v>
      </c>
      <c r="C1174" t="s">
        <v>12888</v>
      </c>
      <c r="D1174" s="5">
        <v>7.3067129629629635E-2</v>
      </c>
      <c r="E1174">
        <v>124.8</v>
      </c>
      <c r="F1174" t="s">
        <v>44</v>
      </c>
      <c r="G1174" t="s">
        <v>418</v>
      </c>
      <c r="H1174" t="s">
        <v>77</v>
      </c>
      <c r="I1174" t="s">
        <v>146</v>
      </c>
      <c r="J1174" t="s">
        <v>12822</v>
      </c>
      <c r="K1174">
        <v>37</v>
      </c>
      <c r="L1174" t="s">
        <v>49</v>
      </c>
      <c r="M1174" t="s">
        <v>23</v>
      </c>
      <c r="N1174" t="s">
        <v>105</v>
      </c>
      <c r="O1174" t="s">
        <v>28</v>
      </c>
      <c r="P1174" t="s">
        <v>31</v>
      </c>
      <c r="Q1174">
        <v>0</v>
      </c>
      <c r="R1174" t="s">
        <v>12883</v>
      </c>
      <c r="S1174" t="s">
        <v>12889</v>
      </c>
    </row>
    <row r="1175" spans="1:19" x14ac:dyDescent="0.25">
      <c r="A1175" t="s">
        <v>5236</v>
      </c>
      <c r="B1175" s="1">
        <v>45798</v>
      </c>
      <c r="C1175" t="s">
        <v>12887</v>
      </c>
      <c r="D1175" s="5">
        <v>0.33836805555555555</v>
      </c>
      <c r="E1175">
        <v>124.53</v>
      </c>
      <c r="F1175" t="s">
        <v>44</v>
      </c>
      <c r="G1175" t="s">
        <v>5237</v>
      </c>
      <c r="H1175" t="s">
        <v>71</v>
      </c>
      <c r="I1175" t="s">
        <v>248</v>
      </c>
      <c r="J1175" t="s">
        <v>5238</v>
      </c>
      <c r="K1175">
        <v>71</v>
      </c>
      <c r="L1175" t="s">
        <v>37</v>
      </c>
      <c r="M1175" t="s">
        <v>47</v>
      </c>
      <c r="N1175" t="s">
        <v>105</v>
      </c>
      <c r="O1175" t="s">
        <v>28</v>
      </c>
      <c r="P1175" t="s">
        <v>31</v>
      </c>
      <c r="Q1175">
        <v>0</v>
      </c>
      <c r="R1175" t="s">
        <v>12883</v>
      </c>
      <c r="S1175" t="s">
        <v>12884</v>
      </c>
    </row>
    <row r="1176" spans="1:19" x14ac:dyDescent="0.25">
      <c r="A1176" t="s">
        <v>1479</v>
      </c>
      <c r="B1176" s="1">
        <v>45947</v>
      </c>
      <c r="C1176" t="s">
        <v>12890</v>
      </c>
      <c r="D1176" s="5">
        <v>0.6761921296296296</v>
      </c>
      <c r="E1176">
        <v>124.51</v>
      </c>
      <c r="F1176" t="s">
        <v>44</v>
      </c>
      <c r="G1176" t="s">
        <v>1480</v>
      </c>
      <c r="H1176" t="s">
        <v>71</v>
      </c>
      <c r="I1176" t="s">
        <v>146</v>
      </c>
      <c r="J1176" t="s">
        <v>1481</v>
      </c>
      <c r="K1176">
        <v>29</v>
      </c>
      <c r="L1176" t="s">
        <v>25</v>
      </c>
      <c r="M1176" t="s">
        <v>50</v>
      </c>
      <c r="N1176" t="s">
        <v>84</v>
      </c>
      <c r="O1176" t="s">
        <v>28</v>
      </c>
      <c r="P1176" t="s">
        <v>31</v>
      </c>
      <c r="Q1176">
        <v>0</v>
      </c>
      <c r="R1176" t="s">
        <v>12883</v>
      </c>
      <c r="S1176" t="s">
        <v>12889</v>
      </c>
    </row>
    <row r="1177" spans="1:19" x14ac:dyDescent="0.25">
      <c r="A1177" t="s">
        <v>8193</v>
      </c>
      <c r="B1177" s="1">
        <v>45945</v>
      </c>
      <c r="C1177" t="s">
        <v>12890</v>
      </c>
      <c r="D1177" s="5">
        <v>0.80940972222222218</v>
      </c>
      <c r="E1177">
        <v>124.38</v>
      </c>
      <c r="F1177" t="s">
        <v>44</v>
      </c>
      <c r="G1177" t="s">
        <v>1451</v>
      </c>
      <c r="H1177" t="s">
        <v>96</v>
      </c>
      <c r="I1177" t="s">
        <v>248</v>
      </c>
      <c r="J1177" t="s">
        <v>8194</v>
      </c>
      <c r="K1177">
        <v>52</v>
      </c>
      <c r="L1177" t="s">
        <v>37</v>
      </c>
      <c r="M1177" t="s">
        <v>91</v>
      </c>
      <c r="N1177" t="s">
        <v>112</v>
      </c>
      <c r="O1177" t="s">
        <v>28</v>
      </c>
      <c r="P1177" t="s">
        <v>31</v>
      </c>
      <c r="Q1177">
        <v>0</v>
      </c>
      <c r="R1177" t="s">
        <v>12883</v>
      </c>
      <c r="S1177" t="s">
        <v>12886</v>
      </c>
    </row>
    <row r="1178" spans="1:19" x14ac:dyDescent="0.25">
      <c r="A1178" t="s">
        <v>6287</v>
      </c>
      <c r="B1178" s="1">
        <v>45901</v>
      </c>
      <c r="C1178" t="s">
        <v>12882</v>
      </c>
      <c r="D1178" s="5">
        <v>0.90358796296296295</v>
      </c>
      <c r="E1178">
        <v>124.07</v>
      </c>
      <c r="F1178" t="s">
        <v>44</v>
      </c>
      <c r="G1178" t="s">
        <v>3691</v>
      </c>
      <c r="H1178" t="s">
        <v>77</v>
      </c>
      <c r="I1178" t="s">
        <v>97</v>
      </c>
      <c r="J1178" t="s">
        <v>6288</v>
      </c>
      <c r="K1178">
        <v>24</v>
      </c>
      <c r="L1178" t="s">
        <v>25</v>
      </c>
      <c r="M1178" t="s">
        <v>146</v>
      </c>
      <c r="N1178" t="s">
        <v>51</v>
      </c>
      <c r="O1178" t="s">
        <v>28</v>
      </c>
      <c r="P1178" t="s">
        <v>31</v>
      </c>
      <c r="Q1178">
        <v>0</v>
      </c>
      <c r="R1178" t="s">
        <v>12883</v>
      </c>
      <c r="S1178" t="s">
        <v>12892</v>
      </c>
    </row>
    <row r="1179" spans="1:19" x14ac:dyDescent="0.25">
      <c r="A1179" t="s">
        <v>6908</v>
      </c>
      <c r="B1179" s="1">
        <v>45874</v>
      </c>
      <c r="C1179" t="s">
        <v>12893</v>
      </c>
      <c r="D1179" s="5">
        <v>0.16125</v>
      </c>
      <c r="E1179">
        <v>124.04</v>
      </c>
      <c r="F1179" t="s">
        <v>44</v>
      </c>
      <c r="G1179" t="s">
        <v>927</v>
      </c>
      <c r="H1179" t="s">
        <v>46</v>
      </c>
      <c r="I1179" t="s">
        <v>26</v>
      </c>
      <c r="J1179" t="s">
        <v>6909</v>
      </c>
      <c r="K1179">
        <v>47</v>
      </c>
      <c r="L1179" t="s">
        <v>25</v>
      </c>
      <c r="M1179" t="s">
        <v>146</v>
      </c>
      <c r="N1179" t="s">
        <v>105</v>
      </c>
      <c r="O1179" t="s">
        <v>28</v>
      </c>
      <c r="P1179" t="s">
        <v>31</v>
      </c>
      <c r="Q1179">
        <v>0</v>
      </c>
      <c r="R1179" t="s">
        <v>12883</v>
      </c>
      <c r="S1179" t="s">
        <v>12886</v>
      </c>
    </row>
    <row r="1180" spans="1:19" x14ac:dyDescent="0.25">
      <c r="A1180" t="s">
        <v>1641</v>
      </c>
      <c r="B1180" s="1">
        <v>45947</v>
      </c>
      <c r="C1180" t="s">
        <v>12890</v>
      </c>
      <c r="D1180" s="5">
        <v>0.66122685185185182</v>
      </c>
      <c r="E1180">
        <v>123.91</v>
      </c>
      <c r="F1180" t="s">
        <v>44</v>
      </c>
      <c r="G1180" t="s">
        <v>1642</v>
      </c>
      <c r="H1180" t="s">
        <v>124</v>
      </c>
      <c r="I1180" t="s">
        <v>146</v>
      </c>
      <c r="J1180" t="s">
        <v>1643</v>
      </c>
      <c r="K1180">
        <v>36</v>
      </c>
      <c r="L1180" t="s">
        <v>49</v>
      </c>
      <c r="M1180" t="s">
        <v>66</v>
      </c>
      <c r="N1180" t="s">
        <v>39</v>
      </c>
      <c r="O1180" t="s">
        <v>28</v>
      </c>
      <c r="P1180" t="s">
        <v>31</v>
      </c>
      <c r="Q1180">
        <v>0</v>
      </c>
      <c r="R1180" t="s">
        <v>12883</v>
      </c>
      <c r="S1180" t="s">
        <v>12889</v>
      </c>
    </row>
    <row r="1181" spans="1:19" x14ac:dyDescent="0.25">
      <c r="A1181" t="s">
        <v>7370</v>
      </c>
      <c r="B1181" s="1">
        <v>45843</v>
      </c>
      <c r="C1181" t="s">
        <v>12885</v>
      </c>
      <c r="D1181" s="5">
        <v>0.86780092592592595</v>
      </c>
      <c r="E1181">
        <v>123.78</v>
      </c>
      <c r="F1181" t="s">
        <v>44</v>
      </c>
      <c r="G1181" t="s">
        <v>1301</v>
      </c>
      <c r="H1181" t="s">
        <v>64</v>
      </c>
      <c r="I1181" t="s">
        <v>146</v>
      </c>
      <c r="J1181" t="s">
        <v>7371</v>
      </c>
      <c r="K1181">
        <v>66</v>
      </c>
      <c r="L1181" t="s">
        <v>25</v>
      </c>
      <c r="M1181" t="s">
        <v>26</v>
      </c>
      <c r="N1181" t="s">
        <v>105</v>
      </c>
      <c r="O1181" t="s">
        <v>28</v>
      </c>
      <c r="P1181" t="s">
        <v>31</v>
      </c>
      <c r="Q1181">
        <v>0</v>
      </c>
      <c r="R1181" t="s">
        <v>12883</v>
      </c>
      <c r="S1181" t="s">
        <v>12884</v>
      </c>
    </row>
    <row r="1182" spans="1:19" x14ac:dyDescent="0.25">
      <c r="A1182" t="s">
        <v>12433</v>
      </c>
      <c r="B1182" s="1">
        <v>45916</v>
      </c>
      <c r="C1182" t="s">
        <v>12882</v>
      </c>
      <c r="D1182" s="5">
        <v>9.4583333333333339E-2</v>
      </c>
      <c r="E1182">
        <v>123.78</v>
      </c>
      <c r="F1182" t="s">
        <v>44</v>
      </c>
      <c r="G1182" t="s">
        <v>4491</v>
      </c>
      <c r="H1182" t="s">
        <v>22</v>
      </c>
      <c r="I1182" t="s">
        <v>26</v>
      </c>
      <c r="J1182" t="s">
        <v>12434</v>
      </c>
      <c r="K1182">
        <v>37</v>
      </c>
      <c r="L1182" t="s">
        <v>25</v>
      </c>
      <c r="M1182" t="s">
        <v>66</v>
      </c>
      <c r="N1182" t="s">
        <v>27</v>
      </c>
      <c r="O1182" t="s">
        <v>28</v>
      </c>
      <c r="P1182" t="s">
        <v>31</v>
      </c>
      <c r="Q1182">
        <v>0</v>
      </c>
      <c r="R1182" t="s">
        <v>12883</v>
      </c>
      <c r="S1182" t="s">
        <v>12889</v>
      </c>
    </row>
    <row r="1183" spans="1:19" x14ac:dyDescent="0.25">
      <c r="A1183" t="s">
        <v>1930</v>
      </c>
      <c r="B1183" s="1">
        <v>45838</v>
      </c>
      <c r="C1183" t="s">
        <v>12888</v>
      </c>
      <c r="D1183" s="5">
        <v>0.66293981481481479</v>
      </c>
      <c r="E1183">
        <v>123.74</v>
      </c>
      <c r="F1183" t="s">
        <v>44</v>
      </c>
      <c r="G1183" t="s">
        <v>1931</v>
      </c>
      <c r="H1183" t="s">
        <v>77</v>
      </c>
      <c r="I1183" t="s">
        <v>50</v>
      </c>
      <c r="J1183" t="s">
        <v>1932</v>
      </c>
      <c r="K1183">
        <v>24</v>
      </c>
      <c r="L1183" t="s">
        <v>49</v>
      </c>
      <c r="M1183" t="s">
        <v>58</v>
      </c>
      <c r="N1183" t="s">
        <v>51</v>
      </c>
      <c r="O1183" t="s">
        <v>28</v>
      </c>
      <c r="P1183" t="s">
        <v>31</v>
      </c>
      <c r="Q1183">
        <v>0</v>
      </c>
      <c r="R1183" t="s">
        <v>12883</v>
      </c>
      <c r="S1183" t="s">
        <v>12892</v>
      </c>
    </row>
    <row r="1184" spans="1:19" x14ac:dyDescent="0.25">
      <c r="A1184" t="s">
        <v>12553</v>
      </c>
      <c r="B1184" s="1">
        <v>45842</v>
      </c>
      <c r="C1184" t="s">
        <v>12885</v>
      </c>
      <c r="D1184" s="5">
        <v>0.31306712962962963</v>
      </c>
      <c r="E1184">
        <v>123.69</v>
      </c>
      <c r="F1184" t="s">
        <v>44</v>
      </c>
      <c r="G1184" t="s">
        <v>9168</v>
      </c>
      <c r="H1184" t="s">
        <v>46</v>
      </c>
      <c r="I1184" t="s">
        <v>50</v>
      </c>
      <c r="J1184" t="s">
        <v>12554</v>
      </c>
      <c r="K1184">
        <v>44</v>
      </c>
      <c r="L1184" t="s">
        <v>25</v>
      </c>
      <c r="M1184" t="s">
        <v>248</v>
      </c>
      <c r="N1184" t="s">
        <v>105</v>
      </c>
      <c r="O1184" t="s">
        <v>28</v>
      </c>
      <c r="P1184" t="s">
        <v>31</v>
      </c>
      <c r="Q1184">
        <v>0</v>
      </c>
      <c r="R1184" t="s">
        <v>12883</v>
      </c>
      <c r="S1184" t="s">
        <v>12886</v>
      </c>
    </row>
    <row r="1185" spans="1:19" x14ac:dyDescent="0.25">
      <c r="A1185" t="s">
        <v>3482</v>
      </c>
      <c r="B1185" s="1">
        <v>45791</v>
      </c>
      <c r="C1185" t="s">
        <v>12887</v>
      </c>
      <c r="D1185" s="5">
        <v>0.42663194444444447</v>
      </c>
      <c r="E1185">
        <v>123.63</v>
      </c>
      <c r="F1185" t="s">
        <v>44</v>
      </c>
      <c r="G1185" t="s">
        <v>3483</v>
      </c>
      <c r="H1185" t="s">
        <v>71</v>
      </c>
      <c r="I1185" t="s">
        <v>66</v>
      </c>
      <c r="J1185" t="s">
        <v>3484</v>
      </c>
      <c r="K1185">
        <v>72</v>
      </c>
      <c r="L1185" t="s">
        <v>25</v>
      </c>
      <c r="M1185" t="s">
        <v>130</v>
      </c>
      <c r="N1185" t="s">
        <v>27</v>
      </c>
      <c r="O1185" t="s">
        <v>28</v>
      </c>
      <c r="P1185" t="s">
        <v>31</v>
      </c>
      <c r="Q1185">
        <v>0</v>
      </c>
      <c r="R1185" t="s">
        <v>12883</v>
      </c>
      <c r="S1185" t="s">
        <v>12884</v>
      </c>
    </row>
    <row r="1186" spans="1:19" x14ac:dyDescent="0.25">
      <c r="A1186" t="s">
        <v>11163</v>
      </c>
      <c r="B1186" s="1">
        <v>45814</v>
      </c>
      <c r="C1186" t="s">
        <v>12888</v>
      </c>
      <c r="D1186" s="5">
        <v>0.36461805555555554</v>
      </c>
      <c r="E1186">
        <v>123.59</v>
      </c>
      <c r="F1186" t="s">
        <v>44</v>
      </c>
      <c r="G1186" t="s">
        <v>2671</v>
      </c>
      <c r="H1186" t="s">
        <v>71</v>
      </c>
      <c r="I1186" t="s">
        <v>58</v>
      </c>
      <c r="J1186" t="s">
        <v>11164</v>
      </c>
      <c r="K1186">
        <v>75</v>
      </c>
      <c r="L1186" t="s">
        <v>25</v>
      </c>
      <c r="M1186" t="s">
        <v>23</v>
      </c>
      <c r="N1186" t="s">
        <v>105</v>
      </c>
      <c r="O1186" t="s">
        <v>28</v>
      </c>
      <c r="P1186" t="s">
        <v>31</v>
      </c>
      <c r="Q1186">
        <v>0</v>
      </c>
      <c r="R1186" t="s">
        <v>12883</v>
      </c>
      <c r="S1186" t="s">
        <v>12884</v>
      </c>
    </row>
    <row r="1187" spans="1:19" x14ac:dyDescent="0.25">
      <c r="A1187" t="s">
        <v>1878</v>
      </c>
      <c r="B1187" s="1">
        <v>45910</v>
      </c>
      <c r="C1187" t="s">
        <v>12882</v>
      </c>
      <c r="D1187" s="5">
        <v>3.4976851851851849E-2</v>
      </c>
      <c r="E1187">
        <v>123.55</v>
      </c>
      <c r="F1187" t="s">
        <v>44</v>
      </c>
      <c r="G1187" t="s">
        <v>1509</v>
      </c>
      <c r="H1187" t="s">
        <v>22</v>
      </c>
      <c r="I1187" t="s">
        <v>110</v>
      </c>
      <c r="J1187" t="s">
        <v>1879</v>
      </c>
      <c r="K1187">
        <v>44</v>
      </c>
      <c r="L1187" t="s">
        <v>49</v>
      </c>
      <c r="M1187" t="s">
        <v>110</v>
      </c>
      <c r="N1187" t="s">
        <v>112</v>
      </c>
      <c r="O1187" t="s">
        <v>113</v>
      </c>
      <c r="P1187" t="s">
        <v>31</v>
      </c>
      <c r="Q1187">
        <v>0</v>
      </c>
      <c r="R1187" t="s">
        <v>12883</v>
      </c>
      <c r="S1187" t="s">
        <v>12886</v>
      </c>
    </row>
    <row r="1188" spans="1:19" x14ac:dyDescent="0.25">
      <c r="A1188" t="s">
        <v>3265</v>
      </c>
      <c r="B1188" s="1">
        <v>45865</v>
      </c>
      <c r="C1188" t="s">
        <v>12885</v>
      </c>
      <c r="D1188" s="5">
        <v>0.20333333333333334</v>
      </c>
      <c r="E1188">
        <v>123.38</v>
      </c>
      <c r="F1188" t="s">
        <v>44</v>
      </c>
      <c r="G1188" t="s">
        <v>3266</v>
      </c>
      <c r="H1188" t="s">
        <v>22</v>
      </c>
      <c r="I1188" t="s">
        <v>97</v>
      </c>
      <c r="J1188" t="s">
        <v>602</v>
      </c>
      <c r="K1188">
        <v>53</v>
      </c>
      <c r="L1188" t="s">
        <v>37</v>
      </c>
      <c r="M1188" t="s">
        <v>26</v>
      </c>
      <c r="N1188" t="s">
        <v>84</v>
      </c>
      <c r="O1188" t="s">
        <v>28</v>
      </c>
      <c r="P1188" t="s">
        <v>31</v>
      </c>
      <c r="Q1188">
        <v>0</v>
      </c>
      <c r="R1188" t="s">
        <v>12883</v>
      </c>
      <c r="S1188" t="s">
        <v>12886</v>
      </c>
    </row>
    <row r="1189" spans="1:19" x14ac:dyDescent="0.25">
      <c r="A1189" t="s">
        <v>10251</v>
      </c>
      <c r="B1189" s="1">
        <v>45855</v>
      </c>
      <c r="C1189" t="s">
        <v>12885</v>
      </c>
      <c r="D1189" s="5">
        <v>0.75819444444444439</v>
      </c>
      <c r="E1189">
        <v>123.3</v>
      </c>
      <c r="F1189" t="s">
        <v>44</v>
      </c>
      <c r="G1189" t="s">
        <v>2438</v>
      </c>
      <c r="H1189" t="s">
        <v>124</v>
      </c>
      <c r="I1189" t="s">
        <v>35</v>
      </c>
      <c r="J1189" t="s">
        <v>3027</v>
      </c>
      <c r="K1189">
        <v>40</v>
      </c>
      <c r="L1189" t="s">
        <v>49</v>
      </c>
      <c r="M1189" t="s">
        <v>23</v>
      </c>
      <c r="N1189" t="s">
        <v>105</v>
      </c>
      <c r="O1189" t="s">
        <v>28</v>
      </c>
      <c r="P1189" t="s">
        <v>31</v>
      </c>
      <c r="Q1189">
        <v>0</v>
      </c>
      <c r="R1189" t="s">
        <v>12883</v>
      </c>
      <c r="S1189" t="s">
        <v>12886</v>
      </c>
    </row>
    <row r="1190" spans="1:19" x14ac:dyDescent="0.25">
      <c r="A1190" t="s">
        <v>6719</v>
      </c>
      <c r="B1190" s="1">
        <v>45820</v>
      </c>
      <c r="C1190" t="s">
        <v>12888</v>
      </c>
      <c r="D1190" s="5">
        <v>6.4039351851851847E-2</v>
      </c>
      <c r="E1190">
        <v>123.26</v>
      </c>
      <c r="F1190" t="s">
        <v>44</v>
      </c>
      <c r="G1190" t="s">
        <v>323</v>
      </c>
      <c r="H1190" t="s">
        <v>46</v>
      </c>
      <c r="I1190" t="s">
        <v>35</v>
      </c>
      <c r="J1190" t="s">
        <v>6720</v>
      </c>
      <c r="K1190">
        <v>51</v>
      </c>
      <c r="L1190" t="s">
        <v>25</v>
      </c>
      <c r="M1190" t="s">
        <v>35</v>
      </c>
      <c r="N1190" t="s">
        <v>105</v>
      </c>
      <c r="O1190" t="s">
        <v>113</v>
      </c>
      <c r="P1190" t="s">
        <v>31</v>
      </c>
      <c r="Q1190">
        <v>0</v>
      </c>
      <c r="R1190" t="s">
        <v>12883</v>
      </c>
      <c r="S1190" t="s">
        <v>12886</v>
      </c>
    </row>
    <row r="1191" spans="1:19" x14ac:dyDescent="0.25">
      <c r="A1191" t="s">
        <v>3464</v>
      </c>
      <c r="B1191" s="1">
        <v>45924</v>
      </c>
      <c r="C1191" t="s">
        <v>12882</v>
      </c>
      <c r="D1191" s="5">
        <v>0.52417824074074071</v>
      </c>
      <c r="E1191">
        <v>123.17</v>
      </c>
      <c r="F1191" t="s">
        <v>44</v>
      </c>
      <c r="G1191" t="s">
        <v>2810</v>
      </c>
      <c r="H1191" t="s">
        <v>46</v>
      </c>
      <c r="I1191" t="s">
        <v>130</v>
      </c>
      <c r="J1191" t="s">
        <v>3465</v>
      </c>
      <c r="K1191">
        <v>43</v>
      </c>
      <c r="L1191" t="s">
        <v>25</v>
      </c>
      <c r="M1191" t="s">
        <v>119</v>
      </c>
      <c r="N1191" t="s">
        <v>112</v>
      </c>
      <c r="O1191" t="s">
        <v>28</v>
      </c>
      <c r="P1191" t="s">
        <v>31</v>
      </c>
      <c r="Q1191">
        <v>0</v>
      </c>
      <c r="R1191" t="s">
        <v>12883</v>
      </c>
      <c r="S1191" t="s">
        <v>12886</v>
      </c>
    </row>
    <row r="1192" spans="1:19" x14ac:dyDescent="0.25">
      <c r="A1192" t="s">
        <v>12534</v>
      </c>
      <c r="B1192" s="1">
        <v>45846</v>
      </c>
      <c r="C1192" t="s">
        <v>12885</v>
      </c>
      <c r="D1192" s="5">
        <v>6.5462962962962959E-2</v>
      </c>
      <c r="E1192">
        <v>123.1</v>
      </c>
      <c r="F1192" t="s">
        <v>44</v>
      </c>
      <c r="G1192" t="s">
        <v>1224</v>
      </c>
      <c r="H1192" t="s">
        <v>64</v>
      </c>
      <c r="I1192" t="s">
        <v>110</v>
      </c>
      <c r="J1192" t="s">
        <v>10620</v>
      </c>
      <c r="K1192">
        <v>26</v>
      </c>
      <c r="L1192" t="s">
        <v>25</v>
      </c>
      <c r="M1192" t="s">
        <v>248</v>
      </c>
      <c r="N1192" t="s">
        <v>39</v>
      </c>
      <c r="O1192" t="s">
        <v>28</v>
      </c>
      <c r="P1192" t="s">
        <v>31</v>
      </c>
      <c r="Q1192">
        <v>0</v>
      </c>
      <c r="R1192" t="s">
        <v>12883</v>
      </c>
      <c r="S1192" t="s">
        <v>12889</v>
      </c>
    </row>
    <row r="1193" spans="1:19" x14ac:dyDescent="0.25">
      <c r="A1193" t="s">
        <v>7841</v>
      </c>
      <c r="B1193" s="1">
        <v>45792</v>
      </c>
      <c r="C1193" t="s">
        <v>12887</v>
      </c>
      <c r="D1193" s="5">
        <v>0.10991898148148148</v>
      </c>
      <c r="E1193">
        <v>123.01</v>
      </c>
      <c r="F1193" t="s">
        <v>44</v>
      </c>
      <c r="G1193" t="s">
        <v>1002</v>
      </c>
      <c r="H1193" t="s">
        <v>57</v>
      </c>
      <c r="I1193" t="s">
        <v>23</v>
      </c>
      <c r="J1193" t="s">
        <v>7842</v>
      </c>
      <c r="K1193">
        <v>67</v>
      </c>
      <c r="L1193" t="s">
        <v>37</v>
      </c>
      <c r="M1193" t="s">
        <v>91</v>
      </c>
      <c r="N1193" t="s">
        <v>27</v>
      </c>
      <c r="O1193" t="s">
        <v>28</v>
      </c>
      <c r="P1193" t="s">
        <v>31</v>
      </c>
      <c r="Q1193">
        <v>0</v>
      </c>
      <c r="R1193" t="s">
        <v>12883</v>
      </c>
      <c r="S1193" t="s">
        <v>12884</v>
      </c>
    </row>
    <row r="1194" spans="1:19" x14ac:dyDescent="0.25">
      <c r="A1194" t="s">
        <v>5520</v>
      </c>
      <c r="B1194" s="1">
        <v>45799</v>
      </c>
      <c r="C1194" t="s">
        <v>12887</v>
      </c>
      <c r="D1194" s="5">
        <v>0.78790509259259256</v>
      </c>
      <c r="E1194">
        <v>122.99</v>
      </c>
      <c r="F1194" t="s">
        <v>44</v>
      </c>
      <c r="G1194" t="s">
        <v>3934</v>
      </c>
      <c r="H1194" t="s">
        <v>57</v>
      </c>
      <c r="I1194" t="s">
        <v>91</v>
      </c>
      <c r="J1194" t="s">
        <v>5521</v>
      </c>
      <c r="K1194">
        <v>29</v>
      </c>
      <c r="L1194" t="s">
        <v>37</v>
      </c>
      <c r="M1194" t="s">
        <v>58</v>
      </c>
      <c r="N1194" t="s">
        <v>51</v>
      </c>
      <c r="O1194" t="s">
        <v>28</v>
      </c>
      <c r="P1194" t="s">
        <v>31</v>
      </c>
      <c r="Q1194">
        <v>0</v>
      </c>
      <c r="R1194" t="s">
        <v>12883</v>
      </c>
      <c r="S1194" t="s">
        <v>12889</v>
      </c>
    </row>
    <row r="1195" spans="1:19" x14ac:dyDescent="0.25">
      <c r="A1195" t="s">
        <v>6332</v>
      </c>
      <c r="B1195" s="1">
        <v>45815</v>
      </c>
      <c r="C1195" t="s">
        <v>12888</v>
      </c>
      <c r="D1195" s="5">
        <v>0.22011574074074075</v>
      </c>
      <c r="E1195">
        <v>122.9</v>
      </c>
      <c r="F1195" t="s">
        <v>44</v>
      </c>
      <c r="G1195" t="s">
        <v>3617</v>
      </c>
      <c r="H1195" t="s">
        <v>34</v>
      </c>
      <c r="I1195" t="s">
        <v>91</v>
      </c>
      <c r="J1195" t="s">
        <v>6333</v>
      </c>
      <c r="K1195">
        <v>23</v>
      </c>
      <c r="L1195" t="s">
        <v>25</v>
      </c>
      <c r="M1195" t="s">
        <v>50</v>
      </c>
      <c r="N1195" t="s">
        <v>27</v>
      </c>
      <c r="O1195" t="s">
        <v>28</v>
      </c>
      <c r="P1195" t="s">
        <v>31</v>
      </c>
      <c r="Q1195">
        <v>0</v>
      </c>
      <c r="R1195" t="s">
        <v>12883</v>
      </c>
      <c r="S1195" t="s">
        <v>12892</v>
      </c>
    </row>
    <row r="1196" spans="1:19" x14ac:dyDescent="0.25">
      <c r="A1196" t="s">
        <v>12059</v>
      </c>
      <c r="B1196" s="1">
        <v>45876</v>
      </c>
      <c r="C1196" t="s">
        <v>12893</v>
      </c>
      <c r="D1196" s="5">
        <v>0.36062499999999997</v>
      </c>
      <c r="E1196">
        <v>122.8</v>
      </c>
      <c r="F1196" t="s">
        <v>44</v>
      </c>
      <c r="G1196" t="s">
        <v>6213</v>
      </c>
      <c r="H1196" t="s">
        <v>64</v>
      </c>
      <c r="I1196" t="s">
        <v>97</v>
      </c>
      <c r="J1196" t="s">
        <v>12060</v>
      </c>
      <c r="K1196">
        <v>32</v>
      </c>
      <c r="L1196" t="s">
        <v>49</v>
      </c>
      <c r="M1196" t="s">
        <v>110</v>
      </c>
      <c r="N1196" t="s">
        <v>51</v>
      </c>
      <c r="O1196" t="s">
        <v>28</v>
      </c>
      <c r="P1196" t="s">
        <v>31</v>
      </c>
      <c r="Q1196">
        <v>1</v>
      </c>
      <c r="R1196" t="s">
        <v>12891</v>
      </c>
      <c r="S1196" t="s">
        <v>12889</v>
      </c>
    </row>
    <row r="1197" spans="1:19" x14ac:dyDescent="0.25">
      <c r="A1197" t="s">
        <v>2061</v>
      </c>
      <c r="B1197" s="1">
        <v>45909</v>
      </c>
      <c r="C1197" t="s">
        <v>12882</v>
      </c>
      <c r="D1197" s="5">
        <v>0.22628472222222223</v>
      </c>
      <c r="E1197">
        <v>122.65</v>
      </c>
      <c r="F1197" t="s">
        <v>44</v>
      </c>
      <c r="G1197" t="s">
        <v>2062</v>
      </c>
      <c r="H1197" t="s">
        <v>22</v>
      </c>
      <c r="I1197" t="s">
        <v>58</v>
      </c>
      <c r="J1197" t="s">
        <v>2063</v>
      </c>
      <c r="K1197">
        <v>46</v>
      </c>
      <c r="L1197" t="s">
        <v>49</v>
      </c>
      <c r="M1197" t="s">
        <v>58</v>
      </c>
      <c r="N1197" t="s">
        <v>27</v>
      </c>
      <c r="O1197" t="s">
        <v>113</v>
      </c>
      <c r="P1197" t="s">
        <v>31</v>
      </c>
      <c r="Q1197">
        <v>1</v>
      </c>
      <c r="R1197" t="s">
        <v>12891</v>
      </c>
      <c r="S1197" t="s">
        <v>12886</v>
      </c>
    </row>
    <row r="1198" spans="1:19" x14ac:dyDescent="0.25">
      <c r="A1198" t="s">
        <v>853</v>
      </c>
      <c r="B1198" s="1">
        <v>45883</v>
      </c>
      <c r="C1198" t="s">
        <v>12893</v>
      </c>
      <c r="D1198" s="5">
        <v>0.97822916666666671</v>
      </c>
      <c r="E1198">
        <v>122.61</v>
      </c>
      <c r="F1198" t="s">
        <v>44</v>
      </c>
      <c r="G1198" t="s">
        <v>854</v>
      </c>
      <c r="H1198" t="s">
        <v>22</v>
      </c>
      <c r="I1198" t="s">
        <v>66</v>
      </c>
      <c r="J1198" t="s">
        <v>855</v>
      </c>
      <c r="K1198">
        <v>30</v>
      </c>
      <c r="L1198" t="s">
        <v>37</v>
      </c>
      <c r="M1198" t="s">
        <v>119</v>
      </c>
      <c r="N1198" t="s">
        <v>51</v>
      </c>
      <c r="O1198" t="s">
        <v>28</v>
      </c>
      <c r="P1198" t="s">
        <v>31</v>
      </c>
      <c r="Q1198">
        <v>0</v>
      </c>
      <c r="R1198" t="s">
        <v>12883</v>
      </c>
      <c r="S1198" t="s">
        <v>12889</v>
      </c>
    </row>
    <row r="1199" spans="1:19" x14ac:dyDescent="0.25">
      <c r="A1199" t="s">
        <v>1775</v>
      </c>
      <c r="B1199" s="1">
        <v>45942</v>
      </c>
      <c r="C1199" t="s">
        <v>12890</v>
      </c>
      <c r="D1199" s="5">
        <v>0.1155324074074074</v>
      </c>
      <c r="E1199">
        <v>122.59</v>
      </c>
      <c r="F1199" t="s">
        <v>44</v>
      </c>
      <c r="G1199" t="s">
        <v>1776</v>
      </c>
      <c r="H1199" t="s">
        <v>46</v>
      </c>
      <c r="I1199" t="s">
        <v>38</v>
      </c>
      <c r="J1199" t="s">
        <v>1777</v>
      </c>
      <c r="K1199">
        <v>26</v>
      </c>
      <c r="L1199" t="s">
        <v>37</v>
      </c>
      <c r="M1199" t="s">
        <v>35</v>
      </c>
      <c r="N1199" t="s">
        <v>51</v>
      </c>
      <c r="O1199" t="s">
        <v>28</v>
      </c>
      <c r="P1199" t="s">
        <v>31</v>
      </c>
      <c r="Q1199">
        <v>0</v>
      </c>
      <c r="R1199" t="s">
        <v>12883</v>
      </c>
      <c r="S1199" t="s">
        <v>12889</v>
      </c>
    </row>
    <row r="1200" spans="1:19" x14ac:dyDescent="0.25">
      <c r="A1200" t="s">
        <v>9344</v>
      </c>
      <c r="B1200" s="1">
        <v>45949</v>
      </c>
      <c r="C1200" t="s">
        <v>12890</v>
      </c>
      <c r="D1200" s="5">
        <v>0.43994212962962964</v>
      </c>
      <c r="E1200">
        <v>122.49</v>
      </c>
      <c r="F1200" t="s">
        <v>44</v>
      </c>
      <c r="G1200" t="s">
        <v>207</v>
      </c>
      <c r="H1200" t="s">
        <v>34</v>
      </c>
      <c r="I1200" t="s">
        <v>35</v>
      </c>
      <c r="J1200" t="s">
        <v>9345</v>
      </c>
      <c r="K1200">
        <v>97</v>
      </c>
      <c r="L1200" t="s">
        <v>37</v>
      </c>
      <c r="M1200" t="s">
        <v>66</v>
      </c>
      <c r="N1200" t="s">
        <v>112</v>
      </c>
      <c r="O1200" t="s">
        <v>28</v>
      </c>
      <c r="P1200" t="s">
        <v>31</v>
      </c>
      <c r="Q1200">
        <v>0</v>
      </c>
      <c r="R1200" t="s">
        <v>12883</v>
      </c>
      <c r="S1200" t="s">
        <v>12884</v>
      </c>
    </row>
    <row r="1201" spans="1:19" x14ac:dyDescent="0.25">
      <c r="A1201" t="s">
        <v>5321</v>
      </c>
      <c r="B1201" s="1">
        <v>45910</v>
      </c>
      <c r="C1201" t="s">
        <v>12882</v>
      </c>
      <c r="D1201" s="5">
        <v>0.71900462962962963</v>
      </c>
      <c r="E1201">
        <v>122.36</v>
      </c>
      <c r="F1201" t="s">
        <v>44</v>
      </c>
      <c r="G1201" t="s">
        <v>5322</v>
      </c>
      <c r="H1201" t="s">
        <v>124</v>
      </c>
      <c r="I1201" t="s">
        <v>58</v>
      </c>
      <c r="J1201" t="s">
        <v>5323</v>
      </c>
      <c r="K1201">
        <v>66</v>
      </c>
      <c r="L1201" t="s">
        <v>37</v>
      </c>
      <c r="M1201" t="s">
        <v>26</v>
      </c>
      <c r="N1201" t="s">
        <v>51</v>
      </c>
      <c r="O1201" t="s">
        <v>28</v>
      </c>
      <c r="P1201" t="s">
        <v>31</v>
      </c>
      <c r="Q1201">
        <v>0</v>
      </c>
      <c r="R1201" t="s">
        <v>12883</v>
      </c>
      <c r="S1201" t="s">
        <v>12884</v>
      </c>
    </row>
    <row r="1202" spans="1:19" x14ac:dyDescent="0.25">
      <c r="A1202" t="s">
        <v>9618</v>
      </c>
      <c r="B1202" s="1">
        <v>45819</v>
      </c>
      <c r="C1202" t="s">
        <v>12888</v>
      </c>
      <c r="D1202" s="5">
        <v>0.19655092592592593</v>
      </c>
      <c r="E1202">
        <v>122.18</v>
      </c>
      <c r="F1202" t="s">
        <v>44</v>
      </c>
      <c r="G1202" t="s">
        <v>9619</v>
      </c>
      <c r="H1202" t="s">
        <v>34</v>
      </c>
      <c r="I1202" t="s">
        <v>23</v>
      </c>
      <c r="J1202" t="s">
        <v>9620</v>
      </c>
      <c r="K1202">
        <v>56</v>
      </c>
      <c r="L1202" t="s">
        <v>25</v>
      </c>
      <c r="M1202" t="s">
        <v>130</v>
      </c>
      <c r="N1202" t="s">
        <v>39</v>
      </c>
      <c r="O1202" t="s">
        <v>28</v>
      </c>
      <c r="P1202" t="s">
        <v>31</v>
      </c>
      <c r="Q1202">
        <v>0</v>
      </c>
      <c r="R1202" t="s">
        <v>12883</v>
      </c>
      <c r="S1202" t="s">
        <v>12886</v>
      </c>
    </row>
    <row r="1203" spans="1:19" x14ac:dyDescent="0.25">
      <c r="A1203" t="s">
        <v>3394</v>
      </c>
      <c r="B1203" s="1">
        <v>45798</v>
      </c>
      <c r="C1203" t="s">
        <v>12887</v>
      </c>
      <c r="D1203" s="5">
        <v>0.45194444444444443</v>
      </c>
      <c r="E1203">
        <v>122.15</v>
      </c>
      <c r="F1203" t="s">
        <v>44</v>
      </c>
      <c r="G1203" t="s">
        <v>3395</v>
      </c>
      <c r="H1203" t="s">
        <v>57</v>
      </c>
      <c r="I1203" t="s">
        <v>50</v>
      </c>
      <c r="J1203" t="s">
        <v>3396</v>
      </c>
      <c r="K1203">
        <v>52</v>
      </c>
      <c r="L1203" t="s">
        <v>25</v>
      </c>
      <c r="M1203" t="s">
        <v>146</v>
      </c>
      <c r="N1203" t="s">
        <v>27</v>
      </c>
      <c r="O1203" t="s">
        <v>28</v>
      </c>
      <c r="P1203" t="s">
        <v>31</v>
      </c>
      <c r="Q1203">
        <v>0</v>
      </c>
      <c r="R1203" t="s">
        <v>12883</v>
      </c>
      <c r="S1203" t="s">
        <v>12886</v>
      </c>
    </row>
    <row r="1204" spans="1:19" x14ac:dyDescent="0.25">
      <c r="A1204" t="s">
        <v>8977</v>
      </c>
      <c r="B1204" s="1">
        <v>45908</v>
      </c>
      <c r="C1204" t="s">
        <v>12882</v>
      </c>
      <c r="D1204" s="5">
        <v>0.47564814814814815</v>
      </c>
      <c r="E1204">
        <v>122.13</v>
      </c>
      <c r="F1204" t="s">
        <v>44</v>
      </c>
      <c r="G1204" t="s">
        <v>5718</v>
      </c>
      <c r="H1204" t="s">
        <v>46</v>
      </c>
      <c r="I1204" t="s">
        <v>110</v>
      </c>
      <c r="J1204" t="s">
        <v>8978</v>
      </c>
      <c r="K1204">
        <v>65</v>
      </c>
      <c r="L1204" t="s">
        <v>49</v>
      </c>
      <c r="M1204" t="s">
        <v>47</v>
      </c>
      <c r="N1204" t="s">
        <v>27</v>
      </c>
      <c r="O1204" t="s">
        <v>28</v>
      </c>
      <c r="P1204" t="s">
        <v>31</v>
      </c>
      <c r="Q1204">
        <v>0</v>
      </c>
      <c r="R1204" t="s">
        <v>12883</v>
      </c>
      <c r="S1204" t="s">
        <v>12884</v>
      </c>
    </row>
    <row r="1205" spans="1:19" x14ac:dyDescent="0.25">
      <c r="A1205" t="s">
        <v>4660</v>
      </c>
      <c r="B1205" s="1">
        <v>45851</v>
      </c>
      <c r="C1205" t="s">
        <v>12885</v>
      </c>
      <c r="D1205" s="5">
        <v>0.19133101851851853</v>
      </c>
      <c r="E1205">
        <v>121.95</v>
      </c>
      <c r="F1205" t="s">
        <v>44</v>
      </c>
      <c r="G1205" t="s">
        <v>4661</v>
      </c>
      <c r="H1205" t="s">
        <v>96</v>
      </c>
      <c r="I1205" t="s">
        <v>66</v>
      </c>
      <c r="J1205" t="s">
        <v>4662</v>
      </c>
      <c r="K1205">
        <v>24</v>
      </c>
      <c r="L1205" t="s">
        <v>25</v>
      </c>
      <c r="M1205" t="s">
        <v>248</v>
      </c>
      <c r="N1205" t="s">
        <v>84</v>
      </c>
      <c r="O1205" t="s">
        <v>28</v>
      </c>
      <c r="P1205" t="s">
        <v>31</v>
      </c>
      <c r="Q1205">
        <v>0</v>
      </c>
      <c r="R1205" t="s">
        <v>12883</v>
      </c>
      <c r="S1205" t="s">
        <v>12892</v>
      </c>
    </row>
    <row r="1206" spans="1:19" x14ac:dyDescent="0.25">
      <c r="A1206" t="s">
        <v>12200</v>
      </c>
      <c r="B1206" s="1">
        <v>45881</v>
      </c>
      <c r="C1206" t="s">
        <v>12893</v>
      </c>
      <c r="D1206" s="5">
        <v>0.1348148148148148</v>
      </c>
      <c r="E1206">
        <v>121.93</v>
      </c>
      <c r="F1206" t="s">
        <v>44</v>
      </c>
      <c r="G1206" t="s">
        <v>516</v>
      </c>
      <c r="H1206" t="s">
        <v>96</v>
      </c>
      <c r="I1206" t="s">
        <v>119</v>
      </c>
      <c r="J1206" t="s">
        <v>12201</v>
      </c>
      <c r="K1206">
        <v>75</v>
      </c>
      <c r="L1206" t="s">
        <v>49</v>
      </c>
      <c r="M1206" t="s">
        <v>66</v>
      </c>
      <c r="N1206" t="s">
        <v>105</v>
      </c>
      <c r="O1206" t="s">
        <v>28</v>
      </c>
      <c r="P1206" t="s">
        <v>31</v>
      </c>
      <c r="Q1206">
        <v>0</v>
      </c>
      <c r="R1206" t="s">
        <v>12883</v>
      </c>
      <c r="S1206" t="s">
        <v>12884</v>
      </c>
    </row>
    <row r="1207" spans="1:19" x14ac:dyDescent="0.25">
      <c r="A1207" t="s">
        <v>11810</v>
      </c>
      <c r="B1207" s="1">
        <v>45914</v>
      </c>
      <c r="C1207" t="s">
        <v>12882</v>
      </c>
      <c r="D1207" s="5">
        <v>0.63239583333333338</v>
      </c>
      <c r="E1207">
        <v>121.92</v>
      </c>
      <c r="F1207" t="s">
        <v>44</v>
      </c>
      <c r="G1207" t="s">
        <v>7755</v>
      </c>
      <c r="H1207" t="s">
        <v>64</v>
      </c>
      <c r="I1207" t="s">
        <v>58</v>
      </c>
      <c r="J1207" t="s">
        <v>11811</v>
      </c>
      <c r="K1207">
        <v>24</v>
      </c>
      <c r="L1207" t="s">
        <v>37</v>
      </c>
      <c r="M1207" t="s">
        <v>35</v>
      </c>
      <c r="N1207" t="s">
        <v>112</v>
      </c>
      <c r="O1207" t="s">
        <v>28</v>
      </c>
      <c r="P1207" t="s">
        <v>31</v>
      </c>
      <c r="Q1207">
        <v>0</v>
      </c>
      <c r="R1207" t="s">
        <v>12883</v>
      </c>
      <c r="S1207" t="s">
        <v>12892</v>
      </c>
    </row>
    <row r="1208" spans="1:19" x14ac:dyDescent="0.25">
      <c r="A1208" t="s">
        <v>12702</v>
      </c>
      <c r="B1208" s="1">
        <v>45952</v>
      </c>
      <c r="C1208" t="s">
        <v>12890</v>
      </c>
      <c r="D1208" s="5">
        <v>0.85285879629629635</v>
      </c>
      <c r="E1208">
        <v>121.92</v>
      </c>
      <c r="F1208" t="s">
        <v>44</v>
      </c>
      <c r="G1208" t="s">
        <v>2234</v>
      </c>
      <c r="H1208" t="s">
        <v>57</v>
      </c>
      <c r="I1208" t="s">
        <v>119</v>
      </c>
      <c r="J1208" t="s">
        <v>12703</v>
      </c>
      <c r="K1208">
        <v>18</v>
      </c>
      <c r="L1208" t="s">
        <v>25</v>
      </c>
      <c r="M1208" t="s">
        <v>146</v>
      </c>
      <c r="N1208" t="s">
        <v>51</v>
      </c>
      <c r="O1208" t="s">
        <v>28</v>
      </c>
      <c r="P1208" t="s">
        <v>31</v>
      </c>
      <c r="Q1208">
        <v>0</v>
      </c>
      <c r="R1208" t="s">
        <v>12883</v>
      </c>
      <c r="S1208" t="s">
        <v>12892</v>
      </c>
    </row>
    <row r="1209" spans="1:19" x14ac:dyDescent="0.25">
      <c r="A1209" t="s">
        <v>144</v>
      </c>
      <c r="B1209" s="1">
        <v>45809</v>
      </c>
      <c r="C1209" t="s">
        <v>12888</v>
      </c>
      <c r="D1209" s="5">
        <v>0.18487268518518518</v>
      </c>
      <c r="E1209">
        <v>121.9</v>
      </c>
      <c r="F1209" t="s">
        <v>44</v>
      </c>
      <c r="G1209" t="s">
        <v>145</v>
      </c>
      <c r="H1209" t="s">
        <v>77</v>
      </c>
      <c r="I1209" t="s">
        <v>146</v>
      </c>
      <c r="J1209" t="s">
        <v>147</v>
      </c>
      <c r="K1209">
        <v>27</v>
      </c>
      <c r="L1209" t="s">
        <v>37</v>
      </c>
      <c r="M1209" t="s">
        <v>119</v>
      </c>
      <c r="N1209" t="s">
        <v>84</v>
      </c>
      <c r="O1209" t="s">
        <v>28</v>
      </c>
      <c r="P1209" t="s">
        <v>31</v>
      </c>
      <c r="Q1209">
        <v>0</v>
      </c>
      <c r="R1209" t="s">
        <v>12883</v>
      </c>
      <c r="S1209" t="s">
        <v>12889</v>
      </c>
    </row>
    <row r="1210" spans="1:19" x14ac:dyDescent="0.25">
      <c r="A1210" t="s">
        <v>5866</v>
      </c>
      <c r="B1210" s="1">
        <v>45786</v>
      </c>
      <c r="C1210" t="s">
        <v>12887</v>
      </c>
      <c r="D1210" s="5">
        <v>0.15035879629629631</v>
      </c>
      <c r="E1210">
        <v>121.86</v>
      </c>
      <c r="F1210" t="s">
        <v>44</v>
      </c>
      <c r="G1210" t="s">
        <v>2865</v>
      </c>
      <c r="H1210" t="s">
        <v>34</v>
      </c>
      <c r="I1210" t="s">
        <v>47</v>
      </c>
      <c r="J1210" t="s">
        <v>5867</v>
      </c>
      <c r="K1210">
        <v>34</v>
      </c>
      <c r="L1210" t="s">
        <v>37</v>
      </c>
      <c r="M1210" t="s">
        <v>248</v>
      </c>
      <c r="N1210" t="s">
        <v>112</v>
      </c>
      <c r="O1210" t="s">
        <v>28</v>
      </c>
      <c r="P1210" t="s">
        <v>31</v>
      </c>
      <c r="Q1210">
        <v>0</v>
      </c>
      <c r="R1210" t="s">
        <v>12883</v>
      </c>
      <c r="S1210" t="s">
        <v>12889</v>
      </c>
    </row>
    <row r="1211" spans="1:19" x14ac:dyDescent="0.25">
      <c r="A1211" t="s">
        <v>6647</v>
      </c>
      <c r="B1211" s="1">
        <v>45893</v>
      </c>
      <c r="C1211" t="s">
        <v>12893</v>
      </c>
      <c r="D1211" s="5">
        <v>0.27972222222222221</v>
      </c>
      <c r="E1211">
        <v>121.77</v>
      </c>
      <c r="F1211" t="s">
        <v>44</v>
      </c>
      <c r="G1211" t="s">
        <v>5157</v>
      </c>
      <c r="H1211" t="s">
        <v>71</v>
      </c>
      <c r="I1211" t="s">
        <v>47</v>
      </c>
      <c r="J1211" t="s">
        <v>6648</v>
      </c>
      <c r="K1211">
        <v>64</v>
      </c>
      <c r="L1211" t="s">
        <v>37</v>
      </c>
      <c r="M1211" t="s">
        <v>130</v>
      </c>
      <c r="N1211" t="s">
        <v>39</v>
      </c>
      <c r="O1211" t="s">
        <v>28</v>
      </c>
      <c r="P1211" t="s">
        <v>31</v>
      </c>
      <c r="Q1211">
        <v>0</v>
      </c>
      <c r="R1211" t="s">
        <v>12883</v>
      </c>
      <c r="S1211" t="s">
        <v>12884</v>
      </c>
    </row>
    <row r="1212" spans="1:19" x14ac:dyDescent="0.25">
      <c r="A1212" t="s">
        <v>7798</v>
      </c>
      <c r="B1212" s="1">
        <v>45925</v>
      </c>
      <c r="C1212" t="s">
        <v>12882</v>
      </c>
      <c r="D1212" s="5">
        <v>0.58511574074074069</v>
      </c>
      <c r="E1212">
        <v>121.73</v>
      </c>
      <c r="F1212" t="s">
        <v>44</v>
      </c>
      <c r="G1212" t="s">
        <v>7799</v>
      </c>
      <c r="H1212" t="s">
        <v>124</v>
      </c>
      <c r="I1212" t="s">
        <v>58</v>
      </c>
      <c r="J1212" t="s">
        <v>7800</v>
      </c>
      <c r="K1212">
        <v>53</v>
      </c>
      <c r="L1212" t="s">
        <v>37</v>
      </c>
      <c r="M1212" t="s">
        <v>23</v>
      </c>
      <c r="N1212" t="s">
        <v>112</v>
      </c>
      <c r="O1212" t="s">
        <v>28</v>
      </c>
      <c r="P1212" t="s">
        <v>31</v>
      </c>
      <c r="Q1212">
        <v>0</v>
      </c>
      <c r="R1212" t="s">
        <v>12883</v>
      </c>
      <c r="S1212" t="s">
        <v>12886</v>
      </c>
    </row>
    <row r="1213" spans="1:19" x14ac:dyDescent="0.25">
      <c r="A1213" t="s">
        <v>2859</v>
      </c>
      <c r="B1213" s="1">
        <v>45889</v>
      </c>
      <c r="C1213" t="s">
        <v>12893</v>
      </c>
      <c r="D1213" s="5">
        <v>0.54385416666666664</v>
      </c>
      <c r="E1213">
        <v>121.69</v>
      </c>
      <c r="F1213" t="s">
        <v>44</v>
      </c>
      <c r="G1213" t="s">
        <v>2860</v>
      </c>
      <c r="H1213" t="s">
        <v>22</v>
      </c>
      <c r="I1213" t="s">
        <v>23</v>
      </c>
      <c r="J1213" t="s">
        <v>2861</v>
      </c>
      <c r="K1213">
        <v>46</v>
      </c>
      <c r="L1213" t="s">
        <v>37</v>
      </c>
      <c r="M1213" t="s">
        <v>110</v>
      </c>
      <c r="N1213" t="s">
        <v>105</v>
      </c>
      <c r="O1213" t="s">
        <v>28</v>
      </c>
      <c r="P1213" t="s">
        <v>31</v>
      </c>
      <c r="Q1213">
        <v>0</v>
      </c>
      <c r="R1213" t="s">
        <v>12883</v>
      </c>
      <c r="S1213" t="s">
        <v>12886</v>
      </c>
    </row>
    <row r="1214" spans="1:19" x14ac:dyDescent="0.25">
      <c r="A1214" t="s">
        <v>11525</v>
      </c>
      <c r="B1214" s="1">
        <v>45850</v>
      </c>
      <c r="C1214" t="s">
        <v>12885</v>
      </c>
      <c r="D1214" s="5">
        <v>0.13603009259259261</v>
      </c>
      <c r="E1214">
        <v>121.67</v>
      </c>
      <c r="F1214" t="s">
        <v>44</v>
      </c>
      <c r="G1214" t="s">
        <v>457</v>
      </c>
      <c r="H1214" t="s">
        <v>96</v>
      </c>
      <c r="I1214" t="s">
        <v>38</v>
      </c>
      <c r="J1214" t="s">
        <v>11526</v>
      </c>
      <c r="K1214">
        <v>45</v>
      </c>
      <c r="L1214" t="s">
        <v>49</v>
      </c>
      <c r="M1214" t="s">
        <v>119</v>
      </c>
      <c r="N1214" t="s">
        <v>51</v>
      </c>
      <c r="O1214" t="s">
        <v>28</v>
      </c>
      <c r="P1214" t="s">
        <v>31</v>
      </c>
      <c r="Q1214">
        <v>0</v>
      </c>
      <c r="R1214" t="s">
        <v>12883</v>
      </c>
      <c r="S1214" t="s">
        <v>12886</v>
      </c>
    </row>
    <row r="1215" spans="1:19" x14ac:dyDescent="0.25">
      <c r="A1215" t="s">
        <v>6896</v>
      </c>
      <c r="B1215" s="1">
        <v>45945</v>
      </c>
      <c r="C1215" t="s">
        <v>12890</v>
      </c>
      <c r="D1215" s="5">
        <v>0.84368055555555554</v>
      </c>
      <c r="E1215">
        <v>121.61</v>
      </c>
      <c r="F1215" t="s">
        <v>44</v>
      </c>
      <c r="G1215" t="s">
        <v>4509</v>
      </c>
      <c r="H1215" t="s">
        <v>77</v>
      </c>
      <c r="I1215" t="s">
        <v>35</v>
      </c>
      <c r="J1215" t="s">
        <v>6897</v>
      </c>
      <c r="K1215">
        <v>27</v>
      </c>
      <c r="L1215" t="s">
        <v>49</v>
      </c>
      <c r="M1215" t="s">
        <v>58</v>
      </c>
      <c r="N1215" t="s">
        <v>51</v>
      </c>
      <c r="O1215" t="s">
        <v>28</v>
      </c>
      <c r="P1215" t="s">
        <v>31</v>
      </c>
      <c r="Q1215">
        <v>0</v>
      </c>
      <c r="R1215" t="s">
        <v>12883</v>
      </c>
      <c r="S1215" t="s">
        <v>12889</v>
      </c>
    </row>
    <row r="1216" spans="1:19" x14ac:dyDescent="0.25">
      <c r="A1216" t="s">
        <v>10579</v>
      </c>
      <c r="B1216" s="1">
        <v>45951</v>
      </c>
      <c r="C1216" t="s">
        <v>12890</v>
      </c>
      <c r="D1216" s="5">
        <v>0.27758101851851852</v>
      </c>
      <c r="E1216">
        <v>121.47</v>
      </c>
      <c r="F1216" t="s">
        <v>44</v>
      </c>
      <c r="G1216" t="s">
        <v>2467</v>
      </c>
      <c r="H1216" t="s">
        <v>71</v>
      </c>
      <c r="I1216" t="s">
        <v>146</v>
      </c>
      <c r="J1216" t="s">
        <v>10580</v>
      </c>
      <c r="K1216">
        <v>20</v>
      </c>
      <c r="L1216" t="s">
        <v>37</v>
      </c>
      <c r="M1216" t="s">
        <v>58</v>
      </c>
      <c r="N1216" t="s">
        <v>39</v>
      </c>
      <c r="O1216" t="s">
        <v>28</v>
      </c>
      <c r="P1216" t="s">
        <v>31</v>
      </c>
      <c r="Q1216">
        <v>0</v>
      </c>
      <c r="R1216" t="s">
        <v>12883</v>
      </c>
      <c r="S1216" t="s">
        <v>12892</v>
      </c>
    </row>
    <row r="1217" spans="1:19" x14ac:dyDescent="0.25">
      <c r="A1217" t="s">
        <v>11932</v>
      </c>
      <c r="B1217" s="1">
        <v>45872</v>
      </c>
      <c r="C1217" t="s">
        <v>12893</v>
      </c>
      <c r="D1217" s="5">
        <v>0.37159722222222225</v>
      </c>
      <c r="E1217">
        <v>121.42</v>
      </c>
      <c r="F1217" t="s">
        <v>44</v>
      </c>
      <c r="G1217" t="s">
        <v>1436</v>
      </c>
      <c r="H1217" t="s">
        <v>71</v>
      </c>
      <c r="I1217" t="s">
        <v>119</v>
      </c>
      <c r="J1217" t="s">
        <v>4289</v>
      </c>
      <c r="K1217">
        <v>66</v>
      </c>
      <c r="L1217" t="s">
        <v>37</v>
      </c>
      <c r="M1217" t="s">
        <v>130</v>
      </c>
      <c r="N1217" t="s">
        <v>51</v>
      </c>
      <c r="O1217" t="s">
        <v>28</v>
      </c>
      <c r="P1217" t="s">
        <v>31</v>
      </c>
      <c r="Q1217">
        <v>0</v>
      </c>
      <c r="R1217" t="s">
        <v>12883</v>
      </c>
      <c r="S1217" t="s">
        <v>12884</v>
      </c>
    </row>
    <row r="1218" spans="1:19" x14ac:dyDescent="0.25">
      <c r="A1218" t="s">
        <v>8521</v>
      </c>
      <c r="B1218" s="1">
        <v>45861</v>
      </c>
      <c r="C1218" t="s">
        <v>12885</v>
      </c>
      <c r="D1218" s="5">
        <v>0.82523148148148151</v>
      </c>
      <c r="E1218">
        <v>121.4</v>
      </c>
      <c r="F1218" t="s">
        <v>44</v>
      </c>
      <c r="G1218" t="s">
        <v>1490</v>
      </c>
      <c r="H1218" t="s">
        <v>57</v>
      </c>
      <c r="I1218" t="s">
        <v>91</v>
      </c>
      <c r="J1218" t="s">
        <v>8522</v>
      </c>
      <c r="K1218">
        <v>34</v>
      </c>
      <c r="L1218" t="s">
        <v>49</v>
      </c>
      <c r="M1218" t="s">
        <v>248</v>
      </c>
      <c r="N1218" t="s">
        <v>27</v>
      </c>
      <c r="O1218" t="s">
        <v>28</v>
      </c>
      <c r="P1218" t="s">
        <v>31</v>
      </c>
      <c r="Q1218">
        <v>0</v>
      </c>
      <c r="R1218" t="s">
        <v>12883</v>
      </c>
      <c r="S1218" t="s">
        <v>12889</v>
      </c>
    </row>
    <row r="1219" spans="1:19" x14ac:dyDescent="0.25">
      <c r="A1219" t="s">
        <v>12380</v>
      </c>
      <c r="B1219" s="1">
        <v>45946</v>
      </c>
      <c r="C1219" t="s">
        <v>12890</v>
      </c>
      <c r="D1219" s="5">
        <v>0.23067129629629629</v>
      </c>
      <c r="E1219">
        <v>121.29</v>
      </c>
      <c r="F1219" t="s">
        <v>44</v>
      </c>
      <c r="G1219" t="s">
        <v>2603</v>
      </c>
      <c r="H1219" t="s">
        <v>22</v>
      </c>
      <c r="I1219" t="s">
        <v>66</v>
      </c>
      <c r="J1219" t="s">
        <v>12381</v>
      </c>
      <c r="K1219">
        <v>36</v>
      </c>
      <c r="L1219" t="s">
        <v>49</v>
      </c>
      <c r="M1219" t="s">
        <v>66</v>
      </c>
      <c r="N1219" t="s">
        <v>112</v>
      </c>
      <c r="O1219" t="s">
        <v>113</v>
      </c>
      <c r="P1219" t="s">
        <v>31</v>
      </c>
      <c r="Q1219">
        <v>0</v>
      </c>
      <c r="R1219" t="s">
        <v>12883</v>
      </c>
      <c r="S1219" t="s">
        <v>12889</v>
      </c>
    </row>
    <row r="1220" spans="1:19" x14ac:dyDescent="0.25">
      <c r="A1220" t="s">
        <v>4354</v>
      </c>
      <c r="B1220" s="1">
        <v>45855</v>
      </c>
      <c r="C1220" t="s">
        <v>12885</v>
      </c>
      <c r="D1220" s="5">
        <v>0.60832175925925924</v>
      </c>
      <c r="E1220">
        <v>121.2</v>
      </c>
      <c r="F1220" t="s">
        <v>44</v>
      </c>
      <c r="G1220" t="s">
        <v>4355</v>
      </c>
      <c r="H1220" t="s">
        <v>124</v>
      </c>
      <c r="I1220" t="s">
        <v>50</v>
      </c>
      <c r="J1220" t="s">
        <v>4356</v>
      </c>
      <c r="K1220">
        <v>66</v>
      </c>
      <c r="L1220" t="s">
        <v>25</v>
      </c>
      <c r="M1220" t="s">
        <v>110</v>
      </c>
      <c r="N1220" t="s">
        <v>27</v>
      </c>
      <c r="O1220" t="s">
        <v>28</v>
      </c>
      <c r="P1220" t="s">
        <v>31</v>
      </c>
      <c r="Q1220">
        <v>0</v>
      </c>
      <c r="R1220" t="s">
        <v>12883</v>
      </c>
      <c r="S1220" t="s">
        <v>12884</v>
      </c>
    </row>
    <row r="1221" spans="1:19" x14ac:dyDescent="0.25">
      <c r="A1221" t="s">
        <v>7523</v>
      </c>
      <c r="B1221" s="1">
        <v>45792</v>
      </c>
      <c r="C1221" t="s">
        <v>12887</v>
      </c>
      <c r="D1221" s="5">
        <v>0.29916666666666669</v>
      </c>
      <c r="E1221">
        <v>121.05</v>
      </c>
      <c r="F1221" t="s">
        <v>44</v>
      </c>
      <c r="G1221" t="s">
        <v>3582</v>
      </c>
      <c r="H1221" t="s">
        <v>64</v>
      </c>
      <c r="I1221" t="s">
        <v>130</v>
      </c>
      <c r="J1221" t="s">
        <v>7524</v>
      </c>
      <c r="K1221">
        <v>60</v>
      </c>
      <c r="L1221" t="s">
        <v>37</v>
      </c>
      <c r="M1221" t="s">
        <v>119</v>
      </c>
      <c r="N1221" t="s">
        <v>105</v>
      </c>
      <c r="O1221" t="s">
        <v>28</v>
      </c>
      <c r="P1221" t="s">
        <v>31</v>
      </c>
      <c r="Q1221">
        <v>1</v>
      </c>
      <c r="R1221" t="s">
        <v>12891</v>
      </c>
      <c r="S1221" t="s">
        <v>12884</v>
      </c>
    </row>
    <row r="1222" spans="1:19" x14ac:dyDescent="0.25">
      <c r="A1222" t="s">
        <v>7899</v>
      </c>
      <c r="B1222" s="1">
        <v>45783</v>
      </c>
      <c r="C1222" t="s">
        <v>12887</v>
      </c>
      <c r="D1222" s="5">
        <v>0.5095601851851852</v>
      </c>
      <c r="E1222">
        <v>121.04</v>
      </c>
      <c r="F1222" t="s">
        <v>44</v>
      </c>
      <c r="G1222" t="s">
        <v>4622</v>
      </c>
      <c r="H1222" t="s">
        <v>46</v>
      </c>
      <c r="I1222" t="s">
        <v>26</v>
      </c>
      <c r="J1222" t="s">
        <v>7900</v>
      </c>
      <c r="K1222">
        <v>68</v>
      </c>
      <c r="L1222" t="s">
        <v>25</v>
      </c>
      <c r="M1222" t="s">
        <v>26</v>
      </c>
      <c r="N1222" t="s">
        <v>39</v>
      </c>
      <c r="O1222" t="s">
        <v>113</v>
      </c>
      <c r="P1222" t="s">
        <v>31</v>
      </c>
      <c r="Q1222">
        <v>0</v>
      </c>
      <c r="R1222" t="s">
        <v>12883</v>
      </c>
      <c r="S1222" t="s">
        <v>12884</v>
      </c>
    </row>
    <row r="1223" spans="1:19" x14ac:dyDescent="0.25">
      <c r="A1223" t="s">
        <v>982</v>
      </c>
      <c r="B1223" s="1">
        <v>45918</v>
      </c>
      <c r="C1223" t="s">
        <v>12882</v>
      </c>
      <c r="D1223" s="5">
        <v>1.2916666666666667E-2</v>
      </c>
      <c r="E1223">
        <v>120.99</v>
      </c>
      <c r="F1223" t="s">
        <v>44</v>
      </c>
      <c r="G1223" t="s">
        <v>983</v>
      </c>
      <c r="H1223" t="s">
        <v>124</v>
      </c>
      <c r="I1223" t="s">
        <v>146</v>
      </c>
      <c r="J1223" t="s">
        <v>984</v>
      </c>
      <c r="K1223">
        <v>69</v>
      </c>
      <c r="L1223" t="s">
        <v>25</v>
      </c>
      <c r="M1223" t="s">
        <v>248</v>
      </c>
      <c r="N1223" t="s">
        <v>51</v>
      </c>
      <c r="O1223" t="s">
        <v>28</v>
      </c>
      <c r="P1223" t="s">
        <v>31</v>
      </c>
      <c r="Q1223">
        <v>0</v>
      </c>
      <c r="R1223" t="s">
        <v>12883</v>
      </c>
      <c r="S1223" t="s">
        <v>12884</v>
      </c>
    </row>
    <row r="1224" spans="1:19" x14ac:dyDescent="0.25">
      <c r="A1224" t="s">
        <v>6067</v>
      </c>
      <c r="B1224" s="1">
        <v>45912</v>
      </c>
      <c r="C1224" t="s">
        <v>12882</v>
      </c>
      <c r="D1224" s="5">
        <v>0.94688657407407406</v>
      </c>
      <c r="E1224">
        <v>120.95</v>
      </c>
      <c r="F1224" t="s">
        <v>44</v>
      </c>
      <c r="G1224" t="s">
        <v>1138</v>
      </c>
      <c r="H1224" t="s">
        <v>57</v>
      </c>
      <c r="I1224" t="s">
        <v>146</v>
      </c>
      <c r="J1224" t="s">
        <v>6068</v>
      </c>
      <c r="K1224">
        <v>66</v>
      </c>
      <c r="L1224" t="s">
        <v>25</v>
      </c>
      <c r="M1224" t="s">
        <v>97</v>
      </c>
      <c r="N1224" t="s">
        <v>105</v>
      </c>
      <c r="O1224" t="s">
        <v>28</v>
      </c>
      <c r="P1224" t="s">
        <v>31</v>
      </c>
      <c r="Q1224">
        <v>0</v>
      </c>
      <c r="R1224" t="s">
        <v>12883</v>
      </c>
      <c r="S1224" t="s">
        <v>12884</v>
      </c>
    </row>
    <row r="1225" spans="1:19" x14ac:dyDescent="0.25">
      <c r="A1225" t="s">
        <v>3144</v>
      </c>
      <c r="B1225" s="1">
        <v>45796</v>
      </c>
      <c r="C1225" t="s">
        <v>12887</v>
      </c>
      <c r="D1225" s="5">
        <v>0.57092592592592595</v>
      </c>
      <c r="E1225">
        <v>120.86</v>
      </c>
      <c r="F1225" t="s">
        <v>44</v>
      </c>
      <c r="G1225" t="s">
        <v>1143</v>
      </c>
      <c r="H1225" t="s">
        <v>57</v>
      </c>
      <c r="I1225" t="s">
        <v>47</v>
      </c>
      <c r="J1225" t="s">
        <v>3145</v>
      </c>
      <c r="K1225">
        <v>67</v>
      </c>
      <c r="L1225" t="s">
        <v>49</v>
      </c>
      <c r="M1225" t="s">
        <v>248</v>
      </c>
      <c r="N1225" t="s">
        <v>27</v>
      </c>
      <c r="O1225" t="s">
        <v>28</v>
      </c>
      <c r="P1225" t="s">
        <v>31</v>
      </c>
      <c r="Q1225">
        <v>0</v>
      </c>
      <c r="R1225" t="s">
        <v>12883</v>
      </c>
      <c r="S1225" t="s">
        <v>12884</v>
      </c>
    </row>
    <row r="1226" spans="1:19" x14ac:dyDescent="0.25">
      <c r="A1226" t="s">
        <v>12761</v>
      </c>
      <c r="B1226" s="1">
        <v>45846</v>
      </c>
      <c r="C1226" t="s">
        <v>12885</v>
      </c>
      <c r="D1226" s="5">
        <v>0.30133101851851851</v>
      </c>
      <c r="E1226">
        <v>120.84</v>
      </c>
      <c r="F1226" t="s">
        <v>44</v>
      </c>
      <c r="G1226" t="s">
        <v>10783</v>
      </c>
      <c r="H1226" t="s">
        <v>124</v>
      </c>
      <c r="I1226" t="s">
        <v>35</v>
      </c>
      <c r="J1226" t="s">
        <v>12762</v>
      </c>
      <c r="K1226">
        <v>37</v>
      </c>
      <c r="L1226" t="s">
        <v>37</v>
      </c>
      <c r="M1226" t="s">
        <v>248</v>
      </c>
      <c r="N1226" t="s">
        <v>84</v>
      </c>
      <c r="O1226" t="s">
        <v>28</v>
      </c>
      <c r="P1226" t="s">
        <v>31</v>
      </c>
      <c r="Q1226">
        <v>0</v>
      </c>
      <c r="R1226" t="s">
        <v>12883</v>
      </c>
      <c r="S1226" t="s">
        <v>12889</v>
      </c>
    </row>
    <row r="1227" spans="1:19" x14ac:dyDescent="0.25">
      <c r="A1227" t="s">
        <v>10774</v>
      </c>
      <c r="B1227" s="1">
        <v>45796</v>
      </c>
      <c r="C1227" t="s">
        <v>12887</v>
      </c>
      <c r="D1227" s="5">
        <v>0.99502314814814818</v>
      </c>
      <c r="E1227">
        <v>120.78</v>
      </c>
      <c r="F1227" t="s">
        <v>44</v>
      </c>
      <c r="G1227" t="s">
        <v>4710</v>
      </c>
      <c r="H1227" t="s">
        <v>89</v>
      </c>
      <c r="I1227" t="s">
        <v>26</v>
      </c>
      <c r="J1227" t="s">
        <v>10775</v>
      </c>
      <c r="K1227">
        <v>37</v>
      </c>
      <c r="L1227" t="s">
        <v>25</v>
      </c>
      <c r="M1227" t="s">
        <v>97</v>
      </c>
      <c r="N1227" t="s">
        <v>84</v>
      </c>
      <c r="O1227" t="s">
        <v>28</v>
      </c>
      <c r="P1227" t="s">
        <v>31</v>
      </c>
      <c r="Q1227">
        <v>0</v>
      </c>
      <c r="R1227" t="s">
        <v>12883</v>
      </c>
      <c r="S1227" t="s">
        <v>12889</v>
      </c>
    </row>
    <row r="1228" spans="1:19" x14ac:dyDescent="0.25">
      <c r="A1228" t="s">
        <v>3335</v>
      </c>
      <c r="B1228" s="1">
        <v>45953</v>
      </c>
      <c r="C1228" t="s">
        <v>12890</v>
      </c>
      <c r="D1228" s="5">
        <v>0.62710648148148151</v>
      </c>
      <c r="E1228">
        <v>120.77</v>
      </c>
      <c r="F1228" t="s">
        <v>44</v>
      </c>
      <c r="G1228" t="s">
        <v>606</v>
      </c>
      <c r="H1228" t="s">
        <v>46</v>
      </c>
      <c r="I1228" t="s">
        <v>47</v>
      </c>
      <c r="J1228" t="s">
        <v>3336</v>
      </c>
      <c r="K1228">
        <v>19</v>
      </c>
      <c r="L1228" t="s">
        <v>25</v>
      </c>
      <c r="M1228" t="s">
        <v>38</v>
      </c>
      <c r="N1228" t="s">
        <v>51</v>
      </c>
      <c r="O1228" t="s">
        <v>28</v>
      </c>
      <c r="P1228" t="s">
        <v>31</v>
      </c>
      <c r="Q1228">
        <v>0</v>
      </c>
      <c r="R1228" t="s">
        <v>12883</v>
      </c>
      <c r="S1228" t="s">
        <v>12892</v>
      </c>
    </row>
    <row r="1229" spans="1:19" x14ac:dyDescent="0.25">
      <c r="A1229" t="s">
        <v>11435</v>
      </c>
      <c r="B1229" s="1">
        <v>45884</v>
      </c>
      <c r="C1229" t="s">
        <v>12893</v>
      </c>
      <c r="D1229" s="5">
        <v>0.14853009259259259</v>
      </c>
      <c r="E1229">
        <v>120.28</v>
      </c>
      <c r="F1229" t="s">
        <v>44</v>
      </c>
      <c r="G1229" t="s">
        <v>11436</v>
      </c>
      <c r="H1229" t="s">
        <v>57</v>
      </c>
      <c r="I1229" t="s">
        <v>91</v>
      </c>
      <c r="J1229" t="s">
        <v>11437</v>
      </c>
      <c r="K1229">
        <v>55</v>
      </c>
      <c r="L1229" t="s">
        <v>49</v>
      </c>
      <c r="M1229" t="s">
        <v>23</v>
      </c>
      <c r="N1229" t="s">
        <v>39</v>
      </c>
      <c r="O1229" t="s">
        <v>28</v>
      </c>
      <c r="P1229" t="s">
        <v>31</v>
      </c>
      <c r="Q1229">
        <v>0</v>
      </c>
      <c r="R1229" t="s">
        <v>12883</v>
      </c>
      <c r="S1229" t="s">
        <v>12886</v>
      </c>
    </row>
    <row r="1230" spans="1:19" x14ac:dyDescent="0.25">
      <c r="A1230" t="s">
        <v>11627</v>
      </c>
      <c r="B1230" s="1">
        <v>45795</v>
      </c>
      <c r="C1230" t="s">
        <v>12887</v>
      </c>
      <c r="D1230" s="5">
        <v>0.10090277777777777</v>
      </c>
      <c r="E1230">
        <v>120.18</v>
      </c>
      <c r="F1230" t="s">
        <v>44</v>
      </c>
      <c r="G1230" t="s">
        <v>2144</v>
      </c>
      <c r="H1230" t="s">
        <v>22</v>
      </c>
      <c r="I1230" t="s">
        <v>38</v>
      </c>
      <c r="J1230" t="s">
        <v>11628</v>
      </c>
      <c r="K1230">
        <v>50</v>
      </c>
      <c r="L1230" t="s">
        <v>37</v>
      </c>
      <c r="M1230" t="s">
        <v>58</v>
      </c>
      <c r="N1230" t="s">
        <v>51</v>
      </c>
      <c r="O1230" t="s">
        <v>28</v>
      </c>
      <c r="P1230" t="s">
        <v>31</v>
      </c>
      <c r="Q1230">
        <v>0</v>
      </c>
      <c r="R1230" t="s">
        <v>12883</v>
      </c>
      <c r="S1230" t="s">
        <v>12886</v>
      </c>
    </row>
    <row r="1231" spans="1:19" x14ac:dyDescent="0.25">
      <c r="A1231" t="s">
        <v>9586</v>
      </c>
      <c r="B1231" s="1">
        <v>45919</v>
      </c>
      <c r="C1231" t="s">
        <v>12882</v>
      </c>
      <c r="D1231" s="5">
        <v>0.57151620370370371</v>
      </c>
      <c r="E1231">
        <v>120.14</v>
      </c>
      <c r="F1231" t="s">
        <v>44</v>
      </c>
      <c r="G1231" t="s">
        <v>7816</v>
      </c>
      <c r="H1231" t="s">
        <v>71</v>
      </c>
      <c r="I1231" t="s">
        <v>38</v>
      </c>
      <c r="J1231" t="s">
        <v>9195</v>
      </c>
      <c r="K1231">
        <v>18</v>
      </c>
      <c r="L1231" t="s">
        <v>25</v>
      </c>
      <c r="M1231" t="s">
        <v>35</v>
      </c>
      <c r="N1231" t="s">
        <v>27</v>
      </c>
      <c r="O1231" t="s">
        <v>28</v>
      </c>
      <c r="P1231" t="s">
        <v>31</v>
      </c>
      <c r="Q1231">
        <v>0</v>
      </c>
      <c r="R1231" t="s">
        <v>12883</v>
      </c>
      <c r="S1231" t="s">
        <v>12892</v>
      </c>
    </row>
    <row r="1232" spans="1:19" x14ac:dyDescent="0.25">
      <c r="A1232" t="s">
        <v>12063</v>
      </c>
      <c r="B1232" s="1">
        <v>45915</v>
      </c>
      <c r="C1232" t="s">
        <v>12882</v>
      </c>
      <c r="D1232" s="5">
        <v>0.56055555555555558</v>
      </c>
      <c r="E1232">
        <v>119.8</v>
      </c>
      <c r="F1232" t="s">
        <v>44</v>
      </c>
      <c r="G1232" t="s">
        <v>7871</v>
      </c>
      <c r="H1232" t="s">
        <v>64</v>
      </c>
      <c r="I1232" t="s">
        <v>47</v>
      </c>
      <c r="J1232" t="s">
        <v>12064</v>
      </c>
      <c r="K1232">
        <v>45</v>
      </c>
      <c r="L1232" t="s">
        <v>49</v>
      </c>
      <c r="M1232" t="s">
        <v>130</v>
      </c>
      <c r="N1232" t="s">
        <v>27</v>
      </c>
      <c r="O1232" t="s">
        <v>28</v>
      </c>
      <c r="P1232" t="s">
        <v>31</v>
      </c>
      <c r="Q1232">
        <v>0</v>
      </c>
      <c r="R1232" t="s">
        <v>12883</v>
      </c>
      <c r="S1232" t="s">
        <v>12886</v>
      </c>
    </row>
    <row r="1233" spans="1:19" x14ac:dyDescent="0.25">
      <c r="A1233" t="s">
        <v>7682</v>
      </c>
      <c r="B1233" s="1">
        <v>45894</v>
      </c>
      <c r="C1233" t="s">
        <v>12893</v>
      </c>
      <c r="D1233" s="5">
        <v>0.19590277777777779</v>
      </c>
      <c r="E1233">
        <v>119.75</v>
      </c>
      <c r="F1233" t="s">
        <v>44</v>
      </c>
      <c r="G1233" t="s">
        <v>4224</v>
      </c>
      <c r="H1233" t="s">
        <v>64</v>
      </c>
      <c r="I1233" t="s">
        <v>130</v>
      </c>
      <c r="J1233" t="s">
        <v>7683</v>
      </c>
      <c r="K1233">
        <v>73</v>
      </c>
      <c r="L1233" t="s">
        <v>25</v>
      </c>
      <c r="M1233" t="s">
        <v>26</v>
      </c>
      <c r="N1233" t="s">
        <v>27</v>
      </c>
      <c r="O1233" t="s">
        <v>28</v>
      </c>
      <c r="P1233" t="s">
        <v>31</v>
      </c>
      <c r="Q1233">
        <v>0</v>
      </c>
      <c r="R1233" t="s">
        <v>12883</v>
      </c>
      <c r="S1233" t="s">
        <v>12884</v>
      </c>
    </row>
    <row r="1234" spans="1:19" x14ac:dyDescent="0.25">
      <c r="A1234" t="s">
        <v>12425</v>
      </c>
      <c r="B1234" s="1">
        <v>45910</v>
      </c>
      <c r="C1234" t="s">
        <v>12882</v>
      </c>
      <c r="D1234" s="5">
        <v>0.6530555555555555</v>
      </c>
      <c r="E1234">
        <v>119.56</v>
      </c>
      <c r="F1234" t="s">
        <v>44</v>
      </c>
      <c r="G1234" t="s">
        <v>1296</v>
      </c>
      <c r="H1234" t="s">
        <v>89</v>
      </c>
      <c r="I1234" t="s">
        <v>26</v>
      </c>
      <c r="J1234" t="s">
        <v>12426</v>
      </c>
      <c r="K1234">
        <v>32</v>
      </c>
      <c r="L1234" t="s">
        <v>25</v>
      </c>
      <c r="M1234" t="s">
        <v>119</v>
      </c>
      <c r="N1234" t="s">
        <v>39</v>
      </c>
      <c r="O1234" t="s">
        <v>28</v>
      </c>
      <c r="P1234" t="s">
        <v>31</v>
      </c>
      <c r="Q1234">
        <v>0</v>
      </c>
      <c r="R1234" t="s">
        <v>12883</v>
      </c>
      <c r="S1234" t="s">
        <v>12889</v>
      </c>
    </row>
    <row r="1235" spans="1:19" x14ac:dyDescent="0.25">
      <c r="A1235" t="s">
        <v>8403</v>
      </c>
      <c r="B1235" s="1">
        <v>45869</v>
      </c>
      <c r="C1235" t="s">
        <v>12885</v>
      </c>
      <c r="D1235" s="5">
        <v>0.3135648148148148</v>
      </c>
      <c r="E1235">
        <v>119.53</v>
      </c>
      <c r="F1235" t="s">
        <v>44</v>
      </c>
      <c r="G1235" t="s">
        <v>2707</v>
      </c>
      <c r="H1235" t="s">
        <v>77</v>
      </c>
      <c r="I1235" t="s">
        <v>66</v>
      </c>
      <c r="J1235" t="s">
        <v>8404</v>
      </c>
      <c r="K1235">
        <v>68</v>
      </c>
      <c r="L1235" t="s">
        <v>49</v>
      </c>
      <c r="M1235" t="s">
        <v>35</v>
      </c>
      <c r="N1235" t="s">
        <v>84</v>
      </c>
      <c r="O1235" t="s">
        <v>28</v>
      </c>
      <c r="P1235" t="s">
        <v>31</v>
      </c>
      <c r="Q1235">
        <v>0</v>
      </c>
      <c r="R1235" t="s">
        <v>12883</v>
      </c>
      <c r="S1235" t="s">
        <v>12884</v>
      </c>
    </row>
    <row r="1236" spans="1:19" x14ac:dyDescent="0.25">
      <c r="A1236" t="s">
        <v>9476</v>
      </c>
      <c r="B1236" s="1">
        <v>45941</v>
      </c>
      <c r="C1236" t="s">
        <v>12890</v>
      </c>
      <c r="D1236" s="5">
        <v>0.44835648148148149</v>
      </c>
      <c r="E1236">
        <v>119.49</v>
      </c>
      <c r="F1236" t="s">
        <v>44</v>
      </c>
      <c r="G1236" t="s">
        <v>5603</v>
      </c>
      <c r="H1236" t="s">
        <v>96</v>
      </c>
      <c r="I1236" t="s">
        <v>38</v>
      </c>
      <c r="J1236" t="s">
        <v>9477</v>
      </c>
      <c r="K1236">
        <v>32</v>
      </c>
      <c r="L1236" t="s">
        <v>25</v>
      </c>
      <c r="M1236" t="s">
        <v>146</v>
      </c>
      <c r="N1236" t="s">
        <v>27</v>
      </c>
      <c r="O1236" t="s">
        <v>28</v>
      </c>
      <c r="P1236" t="s">
        <v>31</v>
      </c>
      <c r="Q1236">
        <v>0</v>
      </c>
      <c r="R1236" t="s">
        <v>12883</v>
      </c>
      <c r="S1236" t="s">
        <v>12889</v>
      </c>
    </row>
    <row r="1237" spans="1:19" x14ac:dyDescent="0.25">
      <c r="A1237" t="s">
        <v>246</v>
      </c>
      <c r="B1237" s="1">
        <v>45800</v>
      </c>
      <c r="C1237" t="s">
        <v>12887</v>
      </c>
      <c r="D1237" s="5">
        <v>0.37662037037037038</v>
      </c>
      <c r="E1237">
        <v>119.44</v>
      </c>
      <c r="F1237" t="s">
        <v>44</v>
      </c>
      <c r="G1237" t="s">
        <v>247</v>
      </c>
      <c r="H1237" t="s">
        <v>57</v>
      </c>
      <c r="I1237" t="s">
        <v>248</v>
      </c>
      <c r="J1237" t="s">
        <v>249</v>
      </c>
      <c r="K1237">
        <v>56</v>
      </c>
      <c r="L1237" t="s">
        <v>49</v>
      </c>
      <c r="M1237" t="s">
        <v>130</v>
      </c>
      <c r="N1237" t="s">
        <v>112</v>
      </c>
      <c r="O1237" t="s">
        <v>28</v>
      </c>
      <c r="P1237" t="s">
        <v>31</v>
      </c>
      <c r="Q1237">
        <v>0</v>
      </c>
      <c r="R1237" t="s">
        <v>12883</v>
      </c>
      <c r="S1237" t="s">
        <v>12886</v>
      </c>
    </row>
    <row r="1238" spans="1:19" x14ac:dyDescent="0.25">
      <c r="A1238" t="s">
        <v>12797</v>
      </c>
      <c r="B1238" s="1">
        <v>45839</v>
      </c>
      <c r="C1238" t="s">
        <v>12885</v>
      </c>
      <c r="D1238" s="5">
        <v>7.1180555555555554E-3</v>
      </c>
      <c r="E1238">
        <v>119.41</v>
      </c>
      <c r="F1238" t="s">
        <v>44</v>
      </c>
      <c r="G1238" t="s">
        <v>1480</v>
      </c>
      <c r="H1238" t="s">
        <v>124</v>
      </c>
      <c r="I1238" t="s">
        <v>91</v>
      </c>
      <c r="J1238" t="s">
        <v>12798</v>
      </c>
      <c r="K1238">
        <v>33</v>
      </c>
      <c r="L1238" t="s">
        <v>37</v>
      </c>
      <c r="M1238" t="s">
        <v>66</v>
      </c>
      <c r="N1238" t="s">
        <v>112</v>
      </c>
      <c r="O1238" t="s">
        <v>28</v>
      </c>
      <c r="P1238" t="s">
        <v>31</v>
      </c>
      <c r="Q1238">
        <v>0</v>
      </c>
      <c r="R1238" t="s">
        <v>12883</v>
      </c>
      <c r="S1238" t="s">
        <v>12889</v>
      </c>
    </row>
    <row r="1239" spans="1:19" x14ac:dyDescent="0.25">
      <c r="A1239" t="s">
        <v>6583</v>
      </c>
      <c r="B1239" s="1">
        <v>45801</v>
      </c>
      <c r="C1239" t="s">
        <v>12887</v>
      </c>
      <c r="D1239" s="5">
        <v>0.82111111111111112</v>
      </c>
      <c r="E1239">
        <v>119.33</v>
      </c>
      <c r="F1239" t="s">
        <v>44</v>
      </c>
      <c r="G1239" t="s">
        <v>5512</v>
      </c>
      <c r="H1239" t="s">
        <v>22</v>
      </c>
      <c r="I1239" t="s">
        <v>66</v>
      </c>
      <c r="J1239" t="s">
        <v>6584</v>
      </c>
      <c r="K1239">
        <v>42</v>
      </c>
      <c r="L1239" t="s">
        <v>37</v>
      </c>
      <c r="M1239" t="s">
        <v>119</v>
      </c>
      <c r="N1239" t="s">
        <v>112</v>
      </c>
      <c r="O1239" t="s">
        <v>28</v>
      </c>
      <c r="P1239" t="s">
        <v>31</v>
      </c>
      <c r="Q1239">
        <v>0</v>
      </c>
      <c r="R1239" t="s">
        <v>12883</v>
      </c>
      <c r="S1239" t="s">
        <v>12886</v>
      </c>
    </row>
    <row r="1240" spans="1:19" x14ac:dyDescent="0.25">
      <c r="A1240" t="s">
        <v>9541</v>
      </c>
      <c r="B1240" s="1">
        <v>45856</v>
      </c>
      <c r="C1240" t="s">
        <v>12885</v>
      </c>
      <c r="D1240" s="5">
        <v>0.34795138888888888</v>
      </c>
      <c r="E1240">
        <v>119.27</v>
      </c>
      <c r="F1240" t="s">
        <v>44</v>
      </c>
      <c r="G1240" t="s">
        <v>1361</v>
      </c>
      <c r="H1240" t="s">
        <v>71</v>
      </c>
      <c r="I1240" t="s">
        <v>97</v>
      </c>
      <c r="J1240" t="s">
        <v>9542</v>
      </c>
      <c r="K1240">
        <v>31</v>
      </c>
      <c r="L1240" t="s">
        <v>25</v>
      </c>
      <c r="M1240" t="s">
        <v>146</v>
      </c>
      <c r="N1240" t="s">
        <v>112</v>
      </c>
      <c r="O1240" t="s">
        <v>28</v>
      </c>
      <c r="P1240" t="s">
        <v>31</v>
      </c>
      <c r="Q1240">
        <v>0</v>
      </c>
      <c r="R1240" t="s">
        <v>12883</v>
      </c>
      <c r="S1240" t="s">
        <v>12889</v>
      </c>
    </row>
    <row r="1241" spans="1:19" x14ac:dyDescent="0.25">
      <c r="A1241" t="s">
        <v>12668</v>
      </c>
      <c r="B1241" s="1">
        <v>45949</v>
      </c>
      <c r="C1241" t="s">
        <v>12890</v>
      </c>
      <c r="D1241" s="5">
        <v>0.16780092592592594</v>
      </c>
      <c r="E1241">
        <v>119.21</v>
      </c>
      <c r="F1241" t="s">
        <v>44</v>
      </c>
      <c r="G1241" t="s">
        <v>6328</v>
      </c>
      <c r="H1241" t="s">
        <v>57</v>
      </c>
      <c r="I1241" t="s">
        <v>110</v>
      </c>
      <c r="J1241" t="s">
        <v>4688</v>
      </c>
      <c r="K1241">
        <v>53</v>
      </c>
      <c r="L1241" t="s">
        <v>25</v>
      </c>
      <c r="M1241" t="s">
        <v>130</v>
      </c>
      <c r="N1241" t="s">
        <v>51</v>
      </c>
      <c r="O1241" t="s">
        <v>28</v>
      </c>
      <c r="P1241" t="s">
        <v>31</v>
      </c>
      <c r="Q1241">
        <v>0</v>
      </c>
      <c r="R1241" t="s">
        <v>12883</v>
      </c>
      <c r="S1241" t="s">
        <v>12886</v>
      </c>
    </row>
    <row r="1242" spans="1:19" x14ac:dyDescent="0.25">
      <c r="A1242" t="s">
        <v>1761</v>
      </c>
      <c r="B1242" s="1">
        <v>45928</v>
      </c>
      <c r="C1242" t="s">
        <v>12882</v>
      </c>
      <c r="D1242" s="5">
        <v>0.34550925925925924</v>
      </c>
      <c r="E1242">
        <v>119.18</v>
      </c>
      <c r="F1242" t="s">
        <v>44</v>
      </c>
      <c r="G1242" t="s">
        <v>854</v>
      </c>
      <c r="H1242" t="s">
        <v>46</v>
      </c>
      <c r="I1242" t="s">
        <v>110</v>
      </c>
      <c r="J1242" t="s">
        <v>1762</v>
      </c>
      <c r="K1242">
        <v>30</v>
      </c>
      <c r="L1242" t="s">
        <v>25</v>
      </c>
      <c r="M1242" t="s">
        <v>146</v>
      </c>
      <c r="N1242" t="s">
        <v>39</v>
      </c>
      <c r="O1242" t="s">
        <v>28</v>
      </c>
      <c r="P1242" t="s">
        <v>31</v>
      </c>
      <c r="Q1242">
        <v>0</v>
      </c>
      <c r="R1242" t="s">
        <v>12883</v>
      </c>
      <c r="S1242" t="s">
        <v>12889</v>
      </c>
    </row>
    <row r="1243" spans="1:19" x14ac:dyDescent="0.25">
      <c r="A1243" t="s">
        <v>9418</v>
      </c>
      <c r="B1243" s="1">
        <v>45890</v>
      </c>
      <c r="C1243" t="s">
        <v>12893</v>
      </c>
      <c r="D1243" s="5">
        <v>0.94625000000000004</v>
      </c>
      <c r="E1243">
        <v>119.11</v>
      </c>
      <c r="F1243" t="s">
        <v>44</v>
      </c>
      <c r="G1243" t="s">
        <v>3432</v>
      </c>
      <c r="H1243" t="s">
        <v>57</v>
      </c>
      <c r="I1243" t="s">
        <v>146</v>
      </c>
      <c r="J1243" t="s">
        <v>9419</v>
      </c>
      <c r="K1243">
        <v>68</v>
      </c>
      <c r="L1243" t="s">
        <v>37</v>
      </c>
      <c r="M1243" t="s">
        <v>38</v>
      </c>
      <c r="N1243" t="s">
        <v>105</v>
      </c>
      <c r="O1243" t="s">
        <v>28</v>
      </c>
      <c r="P1243" t="s">
        <v>31</v>
      </c>
      <c r="Q1243">
        <v>0</v>
      </c>
      <c r="R1243" t="s">
        <v>12883</v>
      </c>
      <c r="S1243" t="s">
        <v>12884</v>
      </c>
    </row>
    <row r="1244" spans="1:19" x14ac:dyDescent="0.25">
      <c r="A1244" t="s">
        <v>9958</v>
      </c>
      <c r="B1244" s="1">
        <v>45794</v>
      </c>
      <c r="C1244" t="s">
        <v>12887</v>
      </c>
      <c r="D1244" s="5">
        <v>3.5624999999999997E-2</v>
      </c>
      <c r="E1244">
        <v>119.02</v>
      </c>
      <c r="F1244" t="s">
        <v>44</v>
      </c>
      <c r="G1244" t="s">
        <v>4882</v>
      </c>
      <c r="H1244" t="s">
        <v>22</v>
      </c>
      <c r="I1244" t="s">
        <v>97</v>
      </c>
      <c r="J1244" t="s">
        <v>9959</v>
      </c>
      <c r="K1244">
        <v>46</v>
      </c>
      <c r="L1244" t="s">
        <v>25</v>
      </c>
      <c r="M1244" t="s">
        <v>91</v>
      </c>
      <c r="N1244" t="s">
        <v>105</v>
      </c>
      <c r="O1244" t="s">
        <v>28</v>
      </c>
      <c r="P1244" t="s">
        <v>31</v>
      </c>
      <c r="Q1244">
        <v>0</v>
      </c>
      <c r="R1244" t="s">
        <v>12883</v>
      </c>
      <c r="S1244" t="s">
        <v>12886</v>
      </c>
    </row>
    <row r="1245" spans="1:19" x14ac:dyDescent="0.25">
      <c r="A1245" t="s">
        <v>10437</v>
      </c>
      <c r="B1245" s="1">
        <v>45873</v>
      </c>
      <c r="C1245" t="s">
        <v>12893</v>
      </c>
      <c r="D1245" s="5">
        <v>0.99989583333333332</v>
      </c>
      <c r="E1245">
        <v>118.94</v>
      </c>
      <c r="F1245" t="s">
        <v>44</v>
      </c>
      <c r="G1245" t="s">
        <v>2707</v>
      </c>
      <c r="H1245" t="s">
        <v>89</v>
      </c>
      <c r="I1245" t="s">
        <v>35</v>
      </c>
      <c r="J1245" t="s">
        <v>5745</v>
      </c>
      <c r="K1245">
        <v>54</v>
      </c>
      <c r="L1245" t="s">
        <v>37</v>
      </c>
      <c r="M1245" t="s">
        <v>91</v>
      </c>
      <c r="N1245" t="s">
        <v>105</v>
      </c>
      <c r="O1245" t="s">
        <v>28</v>
      </c>
      <c r="P1245" t="s">
        <v>31</v>
      </c>
      <c r="Q1245">
        <v>0</v>
      </c>
      <c r="R1245" t="s">
        <v>12883</v>
      </c>
      <c r="S1245" t="s">
        <v>12886</v>
      </c>
    </row>
    <row r="1246" spans="1:19" x14ac:dyDescent="0.25">
      <c r="A1246" t="s">
        <v>907</v>
      </c>
      <c r="B1246" s="1">
        <v>45902</v>
      </c>
      <c r="C1246" t="s">
        <v>12882</v>
      </c>
      <c r="D1246" s="5">
        <v>0.2318287037037037</v>
      </c>
      <c r="E1246">
        <v>118.9</v>
      </c>
      <c r="F1246" t="s">
        <v>44</v>
      </c>
      <c r="G1246" t="s">
        <v>908</v>
      </c>
      <c r="H1246" t="s">
        <v>124</v>
      </c>
      <c r="I1246" t="s">
        <v>119</v>
      </c>
      <c r="J1246" t="s">
        <v>909</v>
      </c>
      <c r="K1246">
        <v>55</v>
      </c>
      <c r="L1246" t="s">
        <v>49</v>
      </c>
      <c r="M1246" t="s">
        <v>66</v>
      </c>
      <c r="N1246" t="s">
        <v>105</v>
      </c>
      <c r="O1246" t="s">
        <v>28</v>
      </c>
      <c r="P1246" t="s">
        <v>31</v>
      </c>
      <c r="Q1246">
        <v>0</v>
      </c>
      <c r="R1246" t="s">
        <v>12883</v>
      </c>
      <c r="S1246" t="s">
        <v>12886</v>
      </c>
    </row>
    <row r="1247" spans="1:19" x14ac:dyDescent="0.25">
      <c r="A1247" t="s">
        <v>3574</v>
      </c>
      <c r="B1247" s="1">
        <v>45938</v>
      </c>
      <c r="C1247" t="s">
        <v>12890</v>
      </c>
      <c r="D1247" s="5">
        <v>0.50821759259259258</v>
      </c>
      <c r="E1247">
        <v>118.82</v>
      </c>
      <c r="F1247" t="s">
        <v>44</v>
      </c>
      <c r="G1247" t="s">
        <v>718</v>
      </c>
      <c r="H1247" t="s">
        <v>96</v>
      </c>
      <c r="I1247" t="s">
        <v>58</v>
      </c>
      <c r="J1247" t="s">
        <v>1618</v>
      </c>
      <c r="K1247">
        <v>16</v>
      </c>
      <c r="L1247" t="s">
        <v>49</v>
      </c>
      <c r="M1247" t="s">
        <v>248</v>
      </c>
      <c r="N1247" t="s">
        <v>105</v>
      </c>
      <c r="O1247" t="s">
        <v>28</v>
      </c>
      <c r="P1247" t="s">
        <v>31</v>
      </c>
      <c r="Q1247">
        <v>0</v>
      </c>
      <c r="R1247" t="s">
        <v>12883</v>
      </c>
      <c r="S1247" t="s">
        <v>12892</v>
      </c>
    </row>
    <row r="1248" spans="1:19" x14ac:dyDescent="0.25">
      <c r="A1248" t="s">
        <v>4057</v>
      </c>
      <c r="B1248" s="1">
        <v>45870</v>
      </c>
      <c r="C1248" t="s">
        <v>12893</v>
      </c>
      <c r="D1248" s="5">
        <v>0.75412037037037039</v>
      </c>
      <c r="E1248">
        <v>118.76</v>
      </c>
      <c r="F1248" t="s">
        <v>44</v>
      </c>
      <c r="G1248" t="s">
        <v>4058</v>
      </c>
      <c r="H1248" t="s">
        <v>77</v>
      </c>
      <c r="I1248" t="s">
        <v>130</v>
      </c>
      <c r="J1248" t="s">
        <v>4059</v>
      </c>
      <c r="K1248">
        <v>39</v>
      </c>
      <c r="L1248" t="s">
        <v>49</v>
      </c>
      <c r="M1248" t="s">
        <v>248</v>
      </c>
      <c r="N1248" t="s">
        <v>27</v>
      </c>
      <c r="O1248" t="s">
        <v>28</v>
      </c>
      <c r="P1248" t="s">
        <v>31</v>
      </c>
      <c r="Q1248">
        <v>1</v>
      </c>
      <c r="R1248" t="s">
        <v>12891</v>
      </c>
      <c r="S1248" t="s">
        <v>12889</v>
      </c>
    </row>
    <row r="1249" spans="1:19" x14ac:dyDescent="0.25">
      <c r="A1249" t="s">
        <v>2785</v>
      </c>
      <c r="B1249" s="1">
        <v>45854</v>
      </c>
      <c r="C1249" t="s">
        <v>12885</v>
      </c>
      <c r="D1249" s="5">
        <v>0.12178240740740741</v>
      </c>
      <c r="E1249">
        <v>118.72</v>
      </c>
      <c r="F1249" t="s">
        <v>44</v>
      </c>
      <c r="G1249" t="s">
        <v>2786</v>
      </c>
      <c r="H1249" t="s">
        <v>124</v>
      </c>
      <c r="I1249" t="s">
        <v>110</v>
      </c>
      <c r="J1249" t="s">
        <v>2787</v>
      </c>
      <c r="K1249">
        <v>46</v>
      </c>
      <c r="L1249" t="s">
        <v>49</v>
      </c>
      <c r="M1249" t="s">
        <v>50</v>
      </c>
      <c r="N1249" t="s">
        <v>39</v>
      </c>
      <c r="O1249" t="s">
        <v>28</v>
      </c>
      <c r="P1249" t="s">
        <v>31</v>
      </c>
      <c r="Q1249">
        <v>0</v>
      </c>
      <c r="R1249" t="s">
        <v>12883</v>
      </c>
      <c r="S1249" t="s">
        <v>12886</v>
      </c>
    </row>
    <row r="1250" spans="1:19" x14ac:dyDescent="0.25">
      <c r="A1250" t="s">
        <v>9499</v>
      </c>
      <c r="B1250" s="1">
        <v>45838</v>
      </c>
      <c r="C1250" t="s">
        <v>12888</v>
      </c>
      <c r="D1250" s="5">
        <v>0.50314814814814812</v>
      </c>
      <c r="E1250">
        <v>118.67</v>
      </c>
      <c r="F1250" t="s">
        <v>44</v>
      </c>
      <c r="G1250" t="s">
        <v>1632</v>
      </c>
      <c r="H1250" t="s">
        <v>96</v>
      </c>
      <c r="I1250" t="s">
        <v>146</v>
      </c>
      <c r="J1250" t="s">
        <v>9500</v>
      </c>
      <c r="K1250">
        <v>19</v>
      </c>
      <c r="L1250" t="s">
        <v>37</v>
      </c>
      <c r="M1250" t="s">
        <v>110</v>
      </c>
      <c r="N1250" t="s">
        <v>105</v>
      </c>
      <c r="O1250" t="s">
        <v>28</v>
      </c>
      <c r="P1250" t="s">
        <v>31</v>
      </c>
      <c r="Q1250">
        <v>0</v>
      </c>
      <c r="R1250" t="s">
        <v>12883</v>
      </c>
      <c r="S1250" t="s">
        <v>12892</v>
      </c>
    </row>
    <row r="1251" spans="1:19" x14ac:dyDescent="0.25">
      <c r="A1251" t="s">
        <v>1016</v>
      </c>
      <c r="B1251" s="1">
        <v>45839</v>
      </c>
      <c r="C1251" t="s">
        <v>12885</v>
      </c>
      <c r="D1251" s="5">
        <v>0.27236111111111111</v>
      </c>
      <c r="E1251">
        <v>118.66</v>
      </c>
      <c r="F1251" t="s">
        <v>44</v>
      </c>
      <c r="G1251" t="s">
        <v>1017</v>
      </c>
      <c r="H1251" t="s">
        <v>57</v>
      </c>
      <c r="I1251" t="s">
        <v>26</v>
      </c>
      <c r="J1251" t="s">
        <v>1018</v>
      </c>
      <c r="K1251">
        <v>23</v>
      </c>
      <c r="L1251" t="s">
        <v>37</v>
      </c>
      <c r="M1251" t="s">
        <v>110</v>
      </c>
      <c r="N1251" t="s">
        <v>84</v>
      </c>
      <c r="O1251" t="s">
        <v>28</v>
      </c>
      <c r="P1251" t="s">
        <v>31</v>
      </c>
      <c r="Q1251">
        <v>0</v>
      </c>
      <c r="R1251" t="s">
        <v>12883</v>
      </c>
      <c r="S1251" t="s">
        <v>12892</v>
      </c>
    </row>
    <row r="1252" spans="1:19" x14ac:dyDescent="0.25">
      <c r="A1252" t="s">
        <v>6243</v>
      </c>
      <c r="B1252" s="1">
        <v>45869</v>
      </c>
      <c r="C1252" t="s">
        <v>12885</v>
      </c>
      <c r="D1252" s="5">
        <v>0.76909722222222221</v>
      </c>
      <c r="E1252">
        <v>118.64</v>
      </c>
      <c r="F1252" t="s">
        <v>44</v>
      </c>
      <c r="G1252" t="s">
        <v>1617</v>
      </c>
      <c r="H1252" t="s">
        <v>34</v>
      </c>
      <c r="I1252" t="s">
        <v>35</v>
      </c>
      <c r="J1252" t="s">
        <v>6244</v>
      </c>
      <c r="K1252">
        <v>42</v>
      </c>
      <c r="L1252" t="s">
        <v>25</v>
      </c>
      <c r="M1252" t="s">
        <v>97</v>
      </c>
      <c r="N1252" t="s">
        <v>39</v>
      </c>
      <c r="O1252" t="s">
        <v>28</v>
      </c>
      <c r="P1252" t="s">
        <v>31</v>
      </c>
      <c r="Q1252">
        <v>0</v>
      </c>
      <c r="R1252" t="s">
        <v>12883</v>
      </c>
      <c r="S1252" t="s">
        <v>12886</v>
      </c>
    </row>
    <row r="1253" spans="1:19" x14ac:dyDescent="0.25">
      <c r="A1253" t="s">
        <v>9770</v>
      </c>
      <c r="B1253" s="1">
        <v>45811</v>
      </c>
      <c r="C1253" t="s">
        <v>12888</v>
      </c>
      <c r="D1253" s="5">
        <v>0.75844907407407403</v>
      </c>
      <c r="E1253">
        <v>118.57</v>
      </c>
      <c r="F1253" t="s">
        <v>44</v>
      </c>
      <c r="G1253" t="s">
        <v>9771</v>
      </c>
      <c r="H1253" t="s">
        <v>57</v>
      </c>
      <c r="I1253" t="s">
        <v>26</v>
      </c>
      <c r="J1253" t="s">
        <v>9257</v>
      </c>
      <c r="K1253">
        <v>72</v>
      </c>
      <c r="L1253" t="s">
        <v>25</v>
      </c>
      <c r="M1253" t="s">
        <v>119</v>
      </c>
      <c r="N1253" t="s">
        <v>39</v>
      </c>
      <c r="O1253" t="s">
        <v>28</v>
      </c>
      <c r="P1253" t="s">
        <v>31</v>
      </c>
      <c r="Q1253">
        <v>0</v>
      </c>
      <c r="R1253" t="s">
        <v>12883</v>
      </c>
      <c r="S1253" t="s">
        <v>12884</v>
      </c>
    </row>
    <row r="1254" spans="1:19" x14ac:dyDescent="0.25">
      <c r="A1254" t="s">
        <v>9395</v>
      </c>
      <c r="B1254" s="1">
        <v>45903</v>
      </c>
      <c r="C1254" t="s">
        <v>12882</v>
      </c>
      <c r="D1254" s="5">
        <v>0.59098379629629627</v>
      </c>
      <c r="E1254">
        <v>118.38</v>
      </c>
      <c r="F1254" t="s">
        <v>44</v>
      </c>
      <c r="G1254" t="s">
        <v>6300</v>
      </c>
      <c r="H1254" t="s">
        <v>46</v>
      </c>
      <c r="I1254" t="s">
        <v>35</v>
      </c>
      <c r="J1254" t="s">
        <v>9396</v>
      </c>
      <c r="K1254">
        <v>68</v>
      </c>
      <c r="L1254" t="s">
        <v>49</v>
      </c>
      <c r="M1254" t="s">
        <v>248</v>
      </c>
      <c r="N1254" t="s">
        <v>39</v>
      </c>
      <c r="O1254" t="s">
        <v>28</v>
      </c>
      <c r="P1254" t="s">
        <v>31</v>
      </c>
      <c r="Q1254">
        <v>0</v>
      </c>
      <c r="R1254" t="s">
        <v>12883</v>
      </c>
      <c r="S1254" t="s">
        <v>12884</v>
      </c>
    </row>
    <row r="1255" spans="1:19" x14ac:dyDescent="0.25">
      <c r="A1255" t="s">
        <v>5355</v>
      </c>
      <c r="B1255" s="1">
        <v>45788</v>
      </c>
      <c r="C1255" t="s">
        <v>12887</v>
      </c>
      <c r="D1255" s="5">
        <v>4.8935185185185186E-2</v>
      </c>
      <c r="E1255">
        <v>118.17</v>
      </c>
      <c r="F1255" t="s">
        <v>44</v>
      </c>
      <c r="G1255" t="s">
        <v>129</v>
      </c>
      <c r="H1255" t="s">
        <v>89</v>
      </c>
      <c r="I1255" t="s">
        <v>110</v>
      </c>
      <c r="J1255" t="s">
        <v>5356</v>
      </c>
      <c r="K1255">
        <v>10</v>
      </c>
      <c r="L1255" t="s">
        <v>37</v>
      </c>
      <c r="M1255" t="s">
        <v>91</v>
      </c>
      <c r="N1255" t="s">
        <v>39</v>
      </c>
      <c r="O1255" t="s">
        <v>28</v>
      </c>
      <c r="P1255" t="s">
        <v>31</v>
      </c>
      <c r="Q1255">
        <v>0</v>
      </c>
      <c r="R1255" t="s">
        <v>12883</v>
      </c>
      <c r="S1255" t="s">
        <v>12892</v>
      </c>
    </row>
    <row r="1256" spans="1:19" x14ac:dyDescent="0.25">
      <c r="A1256" t="s">
        <v>8127</v>
      </c>
      <c r="B1256" s="1">
        <v>45923</v>
      </c>
      <c r="C1256" t="s">
        <v>12882</v>
      </c>
      <c r="D1256" s="5">
        <v>0.16170138888888888</v>
      </c>
      <c r="E1256">
        <v>118.17</v>
      </c>
      <c r="F1256" t="s">
        <v>44</v>
      </c>
      <c r="G1256" t="s">
        <v>2712</v>
      </c>
      <c r="H1256" t="s">
        <v>89</v>
      </c>
      <c r="I1256" t="s">
        <v>97</v>
      </c>
      <c r="J1256" t="s">
        <v>8128</v>
      </c>
      <c r="K1256">
        <v>38</v>
      </c>
      <c r="L1256" t="s">
        <v>37</v>
      </c>
      <c r="M1256" t="s">
        <v>66</v>
      </c>
      <c r="N1256" t="s">
        <v>112</v>
      </c>
      <c r="O1256" t="s">
        <v>28</v>
      </c>
      <c r="P1256" t="s">
        <v>31</v>
      </c>
      <c r="Q1256">
        <v>0</v>
      </c>
      <c r="R1256" t="s">
        <v>12883</v>
      </c>
      <c r="S1256" t="s">
        <v>12889</v>
      </c>
    </row>
    <row r="1257" spans="1:19" x14ac:dyDescent="0.25">
      <c r="A1257" t="s">
        <v>11202</v>
      </c>
      <c r="B1257" s="1">
        <v>45948</v>
      </c>
      <c r="C1257" t="s">
        <v>12890</v>
      </c>
      <c r="D1257" s="5">
        <v>0.31394675925925924</v>
      </c>
      <c r="E1257">
        <v>118.01</v>
      </c>
      <c r="F1257" t="s">
        <v>44</v>
      </c>
      <c r="G1257" t="s">
        <v>10331</v>
      </c>
      <c r="H1257" t="s">
        <v>124</v>
      </c>
      <c r="I1257" t="s">
        <v>146</v>
      </c>
      <c r="J1257" t="s">
        <v>11203</v>
      </c>
      <c r="K1257">
        <v>65</v>
      </c>
      <c r="L1257" t="s">
        <v>25</v>
      </c>
      <c r="M1257" t="s">
        <v>146</v>
      </c>
      <c r="N1257" t="s">
        <v>112</v>
      </c>
      <c r="O1257" t="s">
        <v>113</v>
      </c>
      <c r="P1257" t="s">
        <v>31</v>
      </c>
      <c r="Q1257">
        <v>0</v>
      </c>
      <c r="R1257" t="s">
        <v>12883</v>
      </c>
      <c r="S1257" t="s">
        <v>12884</v>
      </c>
    </row>
    <row r="1258" spans="1:19" x14ac:dyDescent="0.25">
      <c r="A1258" t="s">
        <v>2742</v>
      </c>
      <c r="B1258" s="1">
        <v>45820</v>
      </c>
      <c r="C1258" t="s">
        <v>12888</v>
      </c>
      <c r="D1258" s="5">
        <v>0.37633101851851852</v>
      </c>
      <c r="E1258">
        <v>117.95</v>
      </c>
      <c r="F1258" t="s">
        <v>44</v>
      </c>
      <c r="G1258" t="s">
        <v>2368</v>
      </c>
      <c r="H1258" t="s">
        <v>64</v>
      </c>
      <c r="I1258" t="s">
        <v>26</v>
      </c>
      <c r="J1258" t="s">
        <v>2743</v>
      </c>
      <c r="K1258">
        <v>71</v>
      </c>
      <c r="L1258" t="s">
        <v>49</v>
      </c>
      <c r="M1258" t="s">
        <v>50</v>
      </c>
      <c r="N1258" t="s">
        <v>84</v>
      </c>
      <c r="O1258" t="s">
        <v>28</v>
      </c>
      <c r="P1258" t="s">
        <v>31</v>
      </c>
      <c r="Q1258">
        <v>0</v>
      </c>
      <c r="R1258" t="s">
        <v>12883</v>
      </c>
      <c r="S1258" t="s">
        <v>12884</v>
      </c>
    </row>
    <row r="1259" spans="1:19" x14ac:dyDescent="0.25">
      <c r="A1259" t="s">
        <v>11355</v>
      </c>
      <c r="B1259" s="1">
        <v>45890</v>
      </c>
      <c r="C1259" t="s">
        <v>12893</v>
      </c>
      <c r="D1259" s="5">
        <v>0.49800925925925926</v>
      </c>
      <c r="E1259">
        <v>117.85</v>
      </c>
      <c r="F1259" t="s">
        <v>44</v>
      </c>
      <c r="G1259" t="s">
        <v>9374</v>
      </c>
      <c r="H1259" t="s">
        <v>64</v>
      </c>
      <c r="I1259" t="s">
        <v>50</v>
      </c>
      <c r="J1259" t="s">
        <v>11356</v>
      </c>
      <c r="K1259">
        <v>37</v>
      </c>
      <c r="L1259" t="s">
        <v>37</v>
      </c>
      <c r="M1259" t="s">
        <v>146</v>
      </c>
      <c r="N1259" t="s">
        <v>112</v>
      </c>
      <c r="O1259" t="s">
        <v>28</v>
      </c>
      <c r="P1259" t="s">
        <v>31</v>
      </c>
      <c r="Q1259">
        <v>0</v>
      </c>
      <c r="R1259" t="s">
        <v>12883</v>
      </c>
      <c r="S1259" t="s">
        <v>12889</v>
      </c>
    </row>
    <row r="1260" spans="1:19" x14ac:dyDescent="0.25">
      <c r="A1260" t="s">
        <v>515</v>
      </c>
      <c r="B1260" s="1">
        <v>45857</v>
      </c>
      <c r="C1260" t="s">
        <v>12885</v>
      </c>
      <c r="D1260" s="5">
        <v>0.85679398148148145</v>
      </c>
      <c r="E1260">
        <v>117.74</v>
      </c>
      <c r="F1260" t="s">
        <v>44</v>
      </c>
      <c r="G1260" t="s">
        <v>516</v>
      </c>
      <c r="H1260" t="s">
        <v>34</v>
      </c>
      <c r="I1260" t="s">
        <v>35</v>
      </c>
      <c r="J1260" t="s">
        <v>517</v>
      </c>
      <c r="K1260">
        <v>72</v>
      </c>
      <c r="L1260" t="s">
        <v>49</v>
      </c>
      <c r="M1260" t="s">
        <v>35</v>
      </c>
      <c r="N1260" t="s">
        <v>112</v>
      </c>
      <c r="O1260" t="s">
        <v>113</v>
      </c>
      <c r="P1260" t="s">
        <v>31</v>
      </c>
      <c r="Q1260">
        <v>0</v>
      </c>
      <c r="R1260" t="s">
        <v>12883</v>
      </c>
      <c r="S1260" t="s">
        <v>12884</v>
      </c>
    </row>
    <row r="1261" spans="1:19" x14ac:dyDescent="0.25">
      <c r="A1261" t="s">
        <v>8189</v>
      </c>
      <c r="B1261" s="1">
        <v>45879</v>
      </c>
      <c r="C1261" t="s">
        <v>12893</v>
      </c>
      <c r="D1261" s="5">
        <v>0.83787037037037038</v>
      </c>
      <c r="E1261">
        <v>117.54</v>
      </c>
      <c r="F1261" t="s">
        <v>44</v>
      </c>
      <c r="G1261" t="s">
        <v>2099</v>
      </c>
      <c r="H1261" t="s">
        <v>34</v>
      </c>
      <c r="I1261" t="s">
        <v>23</v>
      </c>
      <c r="J1261" t="s">
        <v>8190</v>
      </c>
      <c r="K1261">
        <v>57</v>
      </c>
      <c r="L1261" t="s">
        <v>37</v>
      </c>
      <c r="M1261" t="s">
        <v>146</v>
      </c>
      <c r="N1261" t="s">
        <v>51</v>
      </c>
      <c r="O1261" t="s">
        <v>28</v>
      </c>
      <c r="P1261" t="s">
        <v>31</v>
      </c>
      <c r="Q1261">
        <v>0</v>
      </c>
      <c r="R1261" t="s">
        <v>12883</v>
      </c>
      <c r="S1261" t="s">
        <v>12886</v>
      </c>
    </row>
    <row r="1262" spans="1:19" x14ac:dyDescent="0.25">
      <c r="A1262" t="s">
        <v>3460</v>
      </c>
      <c r="B1262" s="1">
        <v>45870</v>
      </c>
      <c r="C1262" t="s">
        <v>12893</v>
      </c>
      <c r="D1262" s="5">
        <v>0.76679398148148148</v>
      </c>
      <c r="E1262">
        <v>117.46</v>
      </c>
      <c r="F1262" t="s">
        <v>44</v>
      </c>
      <c r="G1262" t="s">
        <v>2181</v>
      </c>
      <c r="H1262" t="s">
        <v>96</v>
      </c>
      <c r="I1262" t="s">
        <v>119</v>
      </c>
      <c r="J1262" t="s">
        <v>3461</v>
      </c>
      <c r="K1262">
        <v>44</v>
      </c>
      <c r="L1262" t="s">
        <v>37</v>
      </c>
      <c r="M1262" t="s">
        <v>248</v>
      </c>
      <c r="N1262" t="s">
        <v>51</v>
      </c>
      <c r="O1262" t="s">
        <v>28</v>
      </c>
      <c r="P1262" t="s">
        <v>31</v>
      </c>
      <c r="Q1262">
        <v>0</v>
      </c>
      <c r="R1262" t="s">
        <v>12883</v>
      </c>
      <c r="S1262" t="s">
        <v>12886</v>
      </c>
    </row>
    <row r="1263" spans="1:19" x14ac:dyDescent="0.25">
      <c r="A1263" t="s">
        <v>9463</v>
      </c>
      <c r="B1263" s="1">
        <v>45925</v>
      </c>
      <c r="C1263" t="s">
        <v>12882</v>
      </c>
      <c r="D1263" s="5">
        <v>0.77180555555555552</v>
      </c>
      <c r="E1263">
        <v>117.36</v>
      </c>
      <c r="F1263" t="s">
        <v>44</v>
      </c>
      <c r="G1263" t="s">
        <v>1612</v>
      </c>
      <c r="H1263" t="s">
        <v>22</v>
      </c>
      <c r="I1263" t="s">
        <v>119</v>
      </c>
      <c r="J1263" t="s">
        <v>9464</v>
      </c>
      <c r="K1263">
        <v>40</v>
      </c>
      <c r="L1263" t="s">
        <v>25</v>
      </c>
      <c r="M1263" t="s">
        <v>38</v>
      </c>
      <c r="N1263" t="s">
        <v>51</v>
      </c>
      <c r="O1263" t="s">
        <v>28</v>
      </c>
      <c r="P1263" t="s">
        <v>31</v>
      </c>
      <c r="Q1263">
        <v>0</v>
      </c>
      <c r="R1263" t="s">
        <v>12883</v>
      </c>
      <c r="S1263" t="s">
        <v>12886</v>
      </c>
    </row>
    <row r="1264" spans="1:19" x14ac:dyDescent="0.25">
      <c r="A1264" t="s">
        <v>4937</v>
      </c>
      <c r="B1264" s="1">
        <v>45802</v>
      </c>
      <c r="C1264" t="s">
        <v>12887</v>
      </c>
      <c r="D1264" s="5">
        <v>0.63052083333333331</v>
      </c>
      <c r="E1264">
        <v>117.28</v>
      </c>
      <c r="F1264" t="s">
        <v>44</v>
      </c>
      <c r="G1264" t="s">
        <v>3279</v>
      </c>
      <c r="H1264" t="s">
        <v>57</v>
      </c>
      <c r="I1264" t="s">
        <v>38</v>
      </c>
      <c r="J1264" t="s">
        <v>4938</v>
      </c>
      <c r="K1264">
        <v>74</v>
      </c>
      <c r="L1264" t="s">
        <v>37</v>
      </c>
      <c r="M1264" t="s">
        <v>35</v>
      </c>
      <c r="N1264" t="s">
        <v>84</v>
      </c>
      <c r="O1264" t="s">
        <v>28</v>
      </c>
      <c r="P1264" t="s">
        <v>31</v>
      </c>
      <c r="Q1264">
        <v>0</v>
      </c>
      <c r="R1264" t="s">
        <v>12883</v>
      </c>
      <c r="S1264" t="s">
        <v>12884</v>
      </c>
    </row>
    <row r="1265" spans="1:19" x14ac:dyDescent="0.25">
      <c r="A1265" t="s">
        <v>1784</v>
      </c>
      <c r="B1265" s="1">
        <v>45843</v>
      </c>
      <c r="C1265" t="s">
        <v>12885</v>
      </c>
      <c r="D1265" s="5">
        <v>0.6408449074074074</v>
      </c>
      <c r="E1265">
        <v>117.19</v>
      </c>
      <c r="F1265" t="s">
        <v>44</v>
      </c>
      <c r="G1265" t="s">
        <v>1785</v>
      </c>
      <c r="H1265" t="s">
        <v>71</v>
      </c>
      <c r="I1265" t="s">
        <v>58</v>
      </c>
      <c r="J1265" t="s">
        <v>1786</v>
      </c>
      <c r="K1265">
        <v>74</v>
      </c>
      <c r="L1265" t="s">
        <v>49</v>
      </c>
      <c r="M1265" t="s">
        <v>97</v>
      </c>
      <c r="N1265" t="s">
        <v>112</v>
      </c>
      <c r="O1265" t="s">
        <v>28</v>
      </c>
      <c r="P1265" t="s">
        <v>31</v>
      </c>
      <c r="Q1265">
        <v>0</v>
      </c>
      <c r="R1265" t="s">
        <v>12883</v>
      </c>
      <c r="S1265" t="s">
        <v>12884</v>
      </c>
    </row>
    <row r="1266" spans="1:19" x14ac:dyDescent="0.25">
      <c r="A1266" t="s">
        <v>2895</v>
      </c>
      <c r="B1266" s="1">
        <v>45906</v>
      </c>
      <c r="C1266" t="s">
        <v>12882</v>
      </c>
      <c r="D1266" s="5">
        <v>0.2875462962962963</v>
      </c>
      <c r="E1266">
        <v>117.17</v>
      </c>
      <c r="F1266" t="s">
        <v>44</v>
      </c>
      <c r="G1266" t="s">
        <v>343</v>
      </c>
      <c r="H1266" t="s">
        <v>89</v>
      </c>
      <c r="I1266" t="s">
        <v>146</v>
      </c>
      <c r="J1266" t="s">
        <v>2896</v>
      </c>
      <c r="K1266">
        <v>57</v>
      </c>
      <c r="L1266" t="s">
        <v>49</v>
      </c>
      <c r="M1266" t="s">
        <v>26</v>
      </c>
      <c r="N1266" t="s">
        <v>105</v>
      </c>
      <c r="O1266" t="s">
        <v>28</v>
      </c>
      <c r="P1266" t="s">
        <v>31</v>
      </c>
      <c r="Q1266">
        <v>0</v>
      </c>
      <c r="R1266" t="s">
        <v>12883</v>
      </c>
      <c r="S1266" t="s">
        <v>12886</v>
      </c>
    </row>
    <row r="1267" spans="1:19" x14ac:dyDescent="0.25">
      <c r="A1267" t="s">
        <v>7929</v>
      </c>
      <c r="B1267" s="1">
        <v>45935</v>
      </c>
      <c r="C1267" t="s">
        <v>12890</v>
      </c>
      <c r="D1267" s="5">
        <v>0.85201388888888885</v>
      </c>
      <c r="E1267">
        <v>117.16</v>
      </c>
      <c r="F1267" t="s">
        <v>44</v>
      </c>
      <c r="G1267" t="s">
        <v>2556</v>
      </c>
      <c r="H1267" t="s">
        <v>124</v>
      </c>
      <c r="I1267" t="s">
        <v>146</v>
      </c>
      <c r="J1267" t="s">
        <v>7930</v>
      </c>
      <c r="K1267">
        <v>25</v>
      </c>
      <c r="L1267" t="s">
        <v>25</v>
      </c>
      <c r="M1267" t="s">
        <v>38</v>
      </c>
      <c r="N1267" t="s">
        <v>84</v>
      </c>
      <c r="O1267" t="s">
        <v>28</v>
      </c>
      <c r="P1267" t="s">
        <v>31</v>
      </c>
      <c r="Q1267">
        <v>0</v>
      </c>
      <c r="R1267" t="s">
        <v>12883</v>
      </c>
      <c r="S1267" t="s">
        <v>12889</v>
      </c>
    </row>
    <row r="1268" spans="1:19" x14ac:dyDescent="0.25">
      <c r="A1268" t="s">
        <v>9538</v>
      </c>
      <c r="B1268" s="1">
        <v>45780</v>
      </c>
      <c r="C1268" t="s">
        <v>12887</v>
      </c>
      <c r="D1268" s="5">
        <v>0.94789351851851855</v>
      </c>
      <c r="E1268">
        <v>117.16</v>
      </c>
      <c r="F1268" t="s">
        <v>44</v>
      </c>
      <c r="G1268" t="s">
        <v>1578</v>
      </c>
      <c r="H1268" t="s">
        <v>64</v>
      </c>
      <c r="I1268" t="s">
        <v>58</v>
      </c>
      <c r="J1268" t="s">
        <v>8331</v>
      </c>
      <c r="K1268">
        <v>55</v>
      </c>
      <c r="L1268" t="s">
        <v>37</v>
      </c>
      <c r="M1268" t="s">
        <v>47</v>
      </c>
      <c r="N1268" t="s">
        <v>27</v>
      </c>
      <c r="O1268" t="s">
        <v>28</v>
      </c>
      <c r="P1268" t="s">
        <v>31</v>
      </c>
      <c r="Q1268">
        <v>0</v>
      </c>
      <c r="R1268" t="s">
        <v>12883</v>
      </c>
      <c r="S1268" t="s">
        <v>12886</v>
      </c>
    </row>
    <row r="1269" spans="1:19" x14ac:dyDescent="0.25">
      <c r="A1269" t="s">
        <v>1072</v>
      </c>
      <c r="B1269" s="1">
        <v>45832</v>
      </c>
      <c r="C1269" t="s">
        <v>12888</v>
      </c>
      <c r="D1269" s="5">
        <v>0.97415509259259259</v>
      </c>
      <c r="E1269">
        <v>116.76</v>
      </c>
      <c r="F1269" t="s">
        <v>44</v>
      </c>
      <c r="G1269" t="s">
        <v>323</v>
      </c>
      <c r="H1269" t="s">
        <v>34</v>
      </c>
      <c r="I1269" t="s">
        <v>66</v>
      </c>
      <c r="J1269" t="s">
        <v>1073</v>
      </c>
      <c r="K1269">
        <v>20</v>
      </c>
      <c r="L1269" t="s">
        <v>25</v>
      </c>
      <c r="M1269" t="s">
        <v>110</v>
      </c>
      <c r="N1269" t="s">
        <v>112</v>
      </c>
      <c r="O1269" t="s">
        <v>28</v>
      </c>
      <c r="P1269" t="s">
        <v>31</v>
      </c>
      <c r="Q1269">
        <v>0</v>
      </c>
      <c r="R1269" t="s">
        <v>12883</v>
      </c>
      <c r="S1269" t="s">
        <v>12892</v>
      </c>
    </row>
    <row r="1270" spans="1:19" x14ac:dyDescent="0.25">
      <c r="A1270" t="s">
        <v>5908</v>
      </c>
      <c r="B1270" s="1">
        <v>45959</v>
      </c>
      <c r="C1270" t="s">
        <v>12890</v>
      </c>
      <c r="D1270" s="5">
        <v>0.40136574074074072</v>
      </c>
      <c r="E1270">
        <v>116.75</v>
      </c>
      <c r="F1270" t="s">
        <v>44</v>
      </c>
      <c r="G1270" t="s">
        <v>1804</v>
      </c>
      <c r="H1270" t="s">
        <v>77</v>
      </c>
      <c r="I1270" t="s">
        <v>130</v>
      </c>
      <c r="J1270" t="s">
        <v>5909</v>
      </c>
      <c r="K1270">
        <v>40</v>
      </c>
      <c r="L1270" t="s">
        <v>25</v>
      </c>
      <c r="M1270" t="s">
        <v>47</v>
      </c>
      <c r="N1270" t="s">
        <v>105</v>
      </c>
      <c r="O1270" t="s">
        <v>28</v>
      </c>
      <c r="P1270" t="s">
        <v>31</v>
      </c>
      <c r="Q1270">
        <v>0</v>
      </c>
      <c r="R1270" t="s">
        <v>12883</v>
      </c>
      <c r="S1270" t="s">
        <v>12886</v>
      </c>
    </row>
    <row r="1271" spans="1:19" x14ac:dyDescent="0.25">
      <c r="A1271" t="s">
        <v>2451</v>
      </c>
      <c r="B1271" s="1">
        <v>45886</v>
      </c>
      <c r="C1271" t="s">
        <v>12893</v>
      </c>
      <c r="D1271" s="5">
        <v>0.34649305555555554</v>
      </c>
      <c r="E1271">
        <v>116.59</v>
      </c>
      <c r="F1271" t="s">
        <v>44</v>
      </c>
      <c r="G1271" t="s">
        <v>2452</v>
      </c>
      <c r="H1271" t="s">
        <v>57</v>
      </c>
      <c r="I1271" t="s">
        <v>50</v>
      </c>
      <c r="J1271" t="s">
        <v>2453</v>
      </c>
      <c r="K1271">
        <v>41</v>
      </c>
      <c r="L1271" t="s">
        <v>25</v>
      </c>
      <c r="M1271" t="s">
        <v>119</v>
      </c>
      <c r="N1271" t="s">
        <v>39</v>
      </c>
      <c r="O1271" t="s">
        <v>28</v>
      </c>
      <c r="P1271" t="s">
        <v>31</v>
      </c>
      <c r="Q1271">
        <v>0</v>
      </c>
      <c r="R1271" t="s">
        <v>12883</v>
      </c>
      <c r="S1271" t="s">
        <v>12886</v>
      </c>
    </row>
    <row r="1272" spans="1:19" x14ac:dyDescent="0.25">
      <c r="A1272" t="s">
        <v>12114</v>
      </c>
      <c r="B1272" s="1">
        <v>45879</v>
      </c>
      <c r="C1272" t="s">
        <v>12893</v>
      </c>
      <c r="D1272" s="5">
        <v>5.9097222222222225E-2</v>
      </c>
      <c r="E1272">
        <v>116.44</v>
      </c>
      <c r="F1272" t="s">
        <v>44</v>
      </c>
      <c r="G1272" t="s">
        <v>88</v>
      </c>
      <c r="H1272" t="s">
        <v>57</v>
      </c>
      <c r="I1272" t="s">
        <v>58</v>
      </c>
      <c r="J1272" t="s">
        <v>12115</v>
      </c>
      <c r="K1272">
        <v>22</v>
      </c>
      <c r="L1272" t="s">
        <v>49</v>
      </c>
      <c r="M1272" t="s">
        <v>66</v>
      </c>
      <c r="N1272" t="s">
        <v>27</v>
      </c>
      <c r="O1272" t="s">
        <v>28</v>
      </c>
      <c r="P1272" t="s">
        <v>31</v>
      </c>
      <c r="Q1272">
        <v>0</v>
      </c>
      <c r="R1272" t="s">
        <v>12883</v>
      </c>
      <c r="S1272" t="s">
        <v>12892</v>
      </c>
    </row>
    <row r="1273" spans="1:19" x14ac:dyDescent="0.25">
      <c r="A1273" t="s">
        <v>10926</v>
      </c>
      <c r="B1273" s="1">
        <v>45905</v>
      </c>
      <c r="C1273" t="s">
        <v>12882</v>
      </c>
      <c r="D1273" s="5">
        <v>0.48335648148148147</v>
      </c>
      <c r="E1273">
        <v>116.35</v>
      </c>
      <c r="F1273" t="s">
        <v>44</v>
      </c>
      <c r="G1273" t="s">
        <v>1548</v>
      </c>
      <c r="H1273" t="s">
        <v>46</v>
      </c>
      <c r="I1273" t="s">
        <v>97</v>
      </c>
      <c r="J1273" t="s">
        <v>10927</v>
      </c>
      <c r="K1273">
        <v>62</v>
      </c>
      <c r="L1273" t="s">
        <v>37</v>
      </c>
      <c r="M1273" t="s">
        <v>50</v>
      </c>
      <c r="N1273" t="s">
        <v>39</v>
      </c>
      <c r="O1273" t="s">
        <v>28</v>
      </c>
      <c r="P1273" t="s">
        <v>31</v>
      </c>
      <c r="Q1273">
        <v>0</v>
      </c>
      <c r="R1273" t="s">
        <v>12883</v>
      </c>
      <c r="S1273" t="s">
        <v>12884</v>
      </c>
    </row>
    <row r="1274" spans="1:19" x14ac:dyDescent="0.25">
      <c r="A1274" t="s">
        <v>2965</v>
      </c>
      <c r="B1274" s="1">
        <v>45947</v>
      </c>
      <c r="C1274" t="s">
        <v>12890</v>
      </c>
      <c r="D1274" s="5">
        <v>0.21528935185185186</v>
      </c>
      <c r="E1274">
        <v>116.26</v>
      </c>
      <c r="F1274" t="s">
        <v>44</v>
      </c>
      <c r="G1274" t="s">
        <v>2966</v>
      </c>
      <c r="H1274" t="s">
        <v>77</v>
      </c>
      <c r="I1274" t="s">
        <v>38</v>
      </c>
      <c r="J1274" t="s">
        <v>2967</v>
      </c>
      <c r="K1274">
        <v>49</v>
      </c>
      <c r="L1274" t="s">
        <v>25</v>
      </c>
      <c r="M1274" t="s">
        <v>97</v>
      </c>
      <c r="N1274" t="s">
        <v>51</v>
      </c>
      <c r="O1274" t="s">
        <v>28</v>
      </c>
      <c r="P1274" t="s">
        <v>31</v>
      </c>
      <c r="Q1274">
        <v>0</v>
      </c>
      <c r="R1274" t="s">
        <v>12883</v>
      </c>
      <c r="S1274" t="s">
        <v>12886</v>
      </c>
    </row>
    <row r="1275" spans="1:19" x14ac:dyDescent="0.25">
      <c r="A1275" t="s">
        <v>4378</v>
      </c>
      <c r="B1275" s="1">
        <v>45898</v>
      </c>
      <c r="C1275" t="s">
        <v>12893</v>
      </c>
      <c r="D1275" s="5">
        <v>0.41182870370370372</v>
      </c>
      <c r="E1275">
        <v>116.21</v>
      </c>
      <c r="F1275" t="s">
        <v>44</v>
      </c>
      <c r="G1275" t="s">
        <v>4379</v>
      </c>
      <c r="H1275" t="s">
        <v>22</v>
      </c>
      <c r="I1275" t="s">
        <v>97</v>
      </c>
      <c r="J1275" t="s">
        <v>4380</v>
      </c>
      <c r="K1275">
        <v>40</v>
      </c>
      <c r="L1275" t="s">
        <v>37</v>
      </c>
      <c r="M1275" t="s">
        <v>23</v>
      </c>
      <c r="N1275" t="s">
        <v>51</v>
      </c>
      <c r="O1275" t="s">
        <v>28</v>
      </c>
      <c r="P1275" t="s">
        <v>31</v>
      </c>
      <c r="Q1275">
        <v>0</v>
      </c>
      <c r="R1275" t="s">
        <v>12883</v>
      </c>
      <c r="S1275" t="s">
        <v>12886</v>
      </c>
    </row>
    <row r="1276" spans="1:19" x14ac:dyDescent="0.25">
      <c r="A1276" t="s">
        <v>11920</v>
      </c>
      <c r="B1276" s="1">
        <v>45892</v>
      </c>
      <c r="C1276" t="s">
        <v>12893</v>
      </c>
      <c r="D1276" s="5">
        <v>1.5740740740740741E-3</v>
      </c>
      <c r="E1276">
        <v>116.13</v>
      </c>
      <c r="F1276" t="s">
        <v>44</v>
      </c>
      <c r="G1276" t="s">
        <v>1380</v>
      </c>
      <c r="H1276" t="s">
        <v>89</v>
      </c>
      <c r="I1276" t="s">
        <v>91</v>
      </c>
      <c r="J1276" t="s">
        <v>11921</v>
      </c>
      <c r="K1276">
        <v>45</v>
      </c>
      <c r="L1276" t="s">
        <v>25</v>
      </c>
      <c r="M1276" t="s">
        <v>26</v>
      </c>
      <c r="N1276" t="s">
        <v>27</v>
      </c>
      <c r="O1276" t="s">
        <v>28</v>
      </c>
      <c r="P1276" t="s">
        <v>31</v>
      </c>
      <c r="Q1276">
        <v>0</v>
      </c>
      <c r="R1276" t="s">
        <v>12883</v>
      </c>
      <c r="S1276" t="s">
        <v>12886</v>
      </c>
    </row>
    <row r="1277" spans="1:19" x14ac:dyDescent="0.25">
      <c r="A1277" t="s">
        <v>9236</v>
      </c>
      <c r="B1277" s="1">
        <v>45894</v>
      </c>
      <c r="C1277" t="s">
        <v>12893</v>
      </c>
      <c r="D1277" s="5">
        <v>0.62446759259259255</v>
      </c>
      <c r="E1277">
        <v>116.08</v>
      </c>
      <c r="F1277" t="s">
        <v>44</v>
      </c>
      <c r="G1277" t="s">
        <v>5443</v>
      </c>
      <c r="H1277" t="s">
        <v>124</v>
      </c>
      <c r="I1277" t="s">
        <v>119</v>
      </c>
      <c r="J1277" t="s">
        <v>9237</v>
      </c>
      <c r="K1277">
        <v>54</v>
      </c>
      <c r="L1277" t="s">
        <v>49</v>
      </c>
      <c r="M1277" t="s">
        <v>66</v>
      </c>
      <c r="N1277" t="s">
        <v>51</v>
      </c>
      <c r="O1277" t="s">
        <v>28</v>
      </c>
      <c r="P1277" t="s">
        <v>31</v>
      </c>
      <c r="Q1277">
        <v>0</v>
      </c>
      <c r="R1277" t="s">
        <v>12883</v>
      </c>
      <c r="S1277" t="s">
        <v>12886</v>
      </c>
    </row>
    <row r="1278" spans="1:19" x14ac:dyDescent="0.25">
      <c r="A1278" t="s">
        <v>9847</v>
      </c>
      <c r="B1278" s="1">
        <v>45886</v>
      </c>
      <c r="C1278" t="s">
        <v>12893</v>
      </c>
      <c r="D1278" s="5">
        <v>0.66819444444444442</v>
      </c>
      <c r="E1278">
        <v>115.91</v>
      </c>
      <c r="F1278" t="s">
        <v>44</v>
      </c>
      <c r="G1278" t="s">
        <v>4959</v>
      </c>
      <c r="H1278" t="s">
        <v>46</v>
      </c>
      <c r="I1278" t="s">
        <v>66</v>
      </c>
      <c r="J1278" t="s">
        <v>9848</v>
      </c>
      <c r="K1278">
        <v>61</v>
      </c>
      <c r="L1278" t="s">
        <v>37</v>
      </c>
      <c r="M1278" t="s">
        <v>146</v>
      </c>
      <c r="N1278" t="s">
        <v>112</v>
      </c>
      <c r="O1278" t="s">
        <v>28</v>
      </c>
      <c r="P1278" t="s">
        <v>31</v>
      </c>
      <c r="Q1278">
        <v>0</v>
      </c>
      <c r="R1278" t="s">
        <v>12883</v>
      </c>
      <c r="S1278" t="s">
        <v>12884</v>
      </c>
    </row>
    <row r="1279" spans="1:19" x14ac:dyDescent="0.25">
      <c r="A1279" t="s">
        <v>11018</v>
      </c>
      <c r="B1279" s="1">
        <v>45801</v>
      </c>
      <c r="C1279" t="s">
        <v>12887</v>
      </c>
      <c r="D1279" s="5">
        <v>8.59375E-2</v>
      </c>
      <c r="E1279">
        <v>115.81</v>
      </c>
      <c r="F1279" t="s">
        <v>44</v>
      </c>
      <c r="G1279" t="s">
        <v>4025</v>
      </c>
      <c r="H1279" t="s">
        <v>89</v>
      </c>
      <c r="I1279" t="s">
        <v>110</v>
      </c>
      <c r="J1279" t="s">
        <v>11019</v>
      </c>
      <c r="K1279">
        <v>41</v>
      </c>
      <c r="L1279" t="s">
        <v>37</v>
      </c>
      <c r="M1279" t="s">
        <v>91</v>
      </c>
      <c r="N1279" t="s">
        <v>84</v>
      </c>
      <c r="O1279" t="s">
        <v>28</v>
      </c>
      <c r="P1279" t="s">
        <v>31</v>
      </c>
      <c r="Q1279">
        <v>0</v>
      </c>
      <c r="R1279" t="s">
        <v>12883</v>
      </c>
      <c r="S1279" t="s">
        <v>12886</v>
      </c>
    </row>
    <row r="1280" spans="1:19" x14ac:dyDescent="0.25">
      <c r="A1280" t="s">
        <v>5786</v>
      </c>
      <c r="B1280" s="1">
        <v>45822</v>
      </c>
      <c r="C1280" t="s">
        <v>12888</v>
      </c>
      <c r="D1280" s="5">
        <v>0.98464120370370367</v>
      </c>
      <c r="E1280">
        <v>115.79</v>
      </c>
      <c r="F1280" t="s">
        <v>44</v>
      </c>
      <c r="G1280" t="s">
        <v>3442</v>
      </c>
      <c r="H1280" t="s">
        <v>71</v>
      </c>
      <c r="I1280" t="s">
        <v>66</v>
      </c>
      <c r="J1280" t="s">
        <v>5787</v>
      </c>
      <c r="K1280">
        <v>53</v>
      </c>
      <c r="L1280" t="s">
        <v>49</v>
      </c>
      <c r="M1280" t="s">
        <v>58</v>
      </c>
      <c r="N1280" t="s">
        <v>112</v>
      </c>
      <c r="O1280" t="s">
        <v>28</v>
      </c>
      <c r="P1280" t="s">
        <v>31</v>
      </c>
      <c r="Q1280">
        <v>0</v>
      </c>
      <c r="R1280" t="s">
        <v>12883</v>
      </c>
      <c r="S1280" t="s">
        <v>12886</v>
      </c>
    </row>
    <row r="1281" spans="1:19" x14ac:dyDescent="0.25">
      <c r="A1281" t="s">
        <v>471</v>
      </c>
      <c r="B1281" s="1">
        <v>45868</v>
      </c>
      <c r="C1281" t="s">
        <v>12885</v>
      </c>
      <c r="D1281" s="5">
        <v>1.2268518518518519E-2</v>
      </c>
      <c r="E1281">
        <v>115.72</v>
      </c>
      <c r="F1281" t="s">
        <v>44</v>
      </c>
      <c r="G1281" t="s">
        <v>472</v>
      </c>
      <c r="H1281" t="s">
        <v>64</v>
      </c>
      <c r="I1281" t="s">
        <v>58</v>
      </c>
      <c r="J1281" t="s">
        <v>473</v>
      </c>
      <c r="K1281">
        <v>31</v>
      </c>
      <c r="L1281" t="s">
        <v>49</v>
      </c>
      <c r="M1281" t="s">
        <v>35</v>
      </c>
      <c r="N1281" t="s">
        <v>27</v>
      </c>
      <c r="O1281" t="s">
        <v>28</v>
      </c>
      <c r="P1281" t="s">
        <v>31</v>
      </c>
      <c r="Q1281">
        <v>0</v>
      </c>
      <c r="R1281" t="s">
        <v>12883</v>
      </c>
      <c r="S1281" t="s">
        <v>12889</v>
      </c>
    </row>
    <row r="1282" spans="1:19" x14ac:dyDescent="0.25">
      <c r="A1282" t="s">
        <v>11243</v>
      </c>
      <c r="B1282" s="1">
        <v>45958</v>
      </c>
      <c r="C1282" t="s">
        <v>12890</v>
      </c>
      <c r="D1282" s="5">
        <v>0.25443287037037038</v>
      </c>
      <c r="E1282">
        <v>115.71</v>
      </c>
      <c r="F1282" t="s">
        <v>44</v>
      </c>
      <c r="G1282" t="s">
        <v>9168</v>
      </c>
      <c r="H1282" t="s">
        <v>34</v>
      </c>
      <c r="I1282" t="s">
        <v>110</v>
      </c>
      <c r="J1282" t="s">
        <v>11244</v>
      </c>
      <c r="K1282">
        <v>43</v>
      </c>
      <c r="L1282" t="s">
        <v>25</v>
      </c>
      <c r="M1282" t="s">
        <v>248</v>
      </c>
      <c r="N1282" t="s">
        <v>51</v>
      </c>
      <c r="O1282" t="s">
        <v>28</v>
      </c>
      <c r="P1282" t="s">
        <v>31</v>
      </c>
      <c r="Q1282">
        <v>0</v>
      </c>
      <c r="R1282" t="s">
        <v>12883</v>
      </c>
      <c r="S1282" t="s">
        <v>12886</v>
      </c>
    </row>
    <row r="1283" spans="1:19" x14ac:dyDescent="0.25">
      <c r="A1283" t="s">
        <v>11395</v>
      </c>
      <c r="B1283" s="1">
        <v>45782</v>
      </c>
      <c r="C1283" t="s">
        <v>12887</v>
      </c>
      <c r="D1283" s="5">
        <v>4.8449074074074075E-2</v>
      </c>
      <c r="E1283">
        <v>115.65</v>
      </c>
      <c r="F1283" t="s">
        <v>44</v>
      </c>
      <c r="G1283" t="s">
        <v>4421</v>
      </c>
      <c r="H1283" t="s">
        <v>96</v>
      </c>
      <c r="I1283" t="s">
        <v>47</v>
      </c>
      <c r="J1283" t="s">
        <v>11396</v>
      </c>
      <c r="K1283">
        <v>44</v>
      </c>
      <c r="L1283" t="s">
        <v>49</v>
      </c>
      <c r="M1283" t="s">
        <v>248</v>
      </c>
      <c r="N1283" t="s">
        <v>51</v>
      </c>
      <c r="O1283" t="s">
        <v>28</v>
      </c>
      <c r="P1283" t="s">
        <v>31</v>
      </c>
      <c r="Q1283">
        <v>0</v>
      </c>
      <c r="R1283" t="s">
        <v>12883</v>
      </c>
      <c r="S1283" t="s">
        <v>12886</v>
      </c>
    </row>
    <row r="1284" spans="1:19" x14ac:dyDescent="0.25">
      <c r="A1284" t="s">
        <v>11839</v>
      </c>
      <c r="B1284" s="1">
        <v>45903</v>
      </c>
      <c r="C1284" t="s">
        <v>12882</v>
      </c>
      <c r="D1284" s="5">
        <v>0.96703703703703703</v>
      </c>
      <c r="E1284">
        <v>115.57</v>
      </c>
      <c r="F1284" t="s">
        <v>44</v>
      </c>
      <c r="G1284" t="s">
        <v>2543</v>
      </c>
      <c r="H1284" t="s">
        <v>89</v>
      </c>
      <c r="I1284" t="s">
        <v>38</v>
      </c>
      <c r="J1284" t="s">
        <v>11840</v>
      </c>
      <c r="K1284">
        <v>71</v>
      </c>
      <c r="L1284" t="s">
        <v>37</v>
      </c>
      <c r="M1284" t="s">
        <v>91</v>
      </c>
      <c r="N1284" t="s">
        <v>39</v>
      </c>
      <c r="O1284" t="s">
        <v>28</v>
      </c>
      <c r="P1284" t="s">
        <v>31</v>
      </c>
      <c r="Q1284">
        <v>0</v>
      </c>
      <c r="R1284" t="s">
        <v>12883</v>
      </c>
      <c r="S1284" t="s">
        <v>12884</v>
      </c>
    </row>
    <row r="1285" spans="1:19" x14ac:dyDescent="0.25">
      <c r="A1285" t="s">
        <v>11607</v>
      </c>
      <c r="B1285" s="1">
        <v>45944</v>
      </c>
      <c r="C1285" t="s">
        <v>12890</v>
      </c>
      <c r="D1285" s="5">
        <v>0.19496527777777778</v>
      </c>
      <c r="E1285">
        <v>115.55</v>
      </c>
      <c r="F1285" t="s">
        <v>44</v>
      </c>
      <c r="G1285" t="s">
        <v>8937</v>
      </c>
      <c r="H1285" t="s">
        <v>34</v>
      </c>
      <c r="I1285" t="s">
        <v>66</v>
      </c>
      <c r="J1285" t="s">
        <v>11608</v>
      </c>
      <c r="K1285">
        <v>29</v>
      </c>
      <c r="L1285" t="s">
        <v>25</v>
      </c>
      <c r="M1285" t="s">
        <v>119</v>
      </c>
      <c r="N1285" t="s">
        <v>84</v>
      </c>
      <c r="O1285" t="s">
        <v>28</v>
      </c>
      <c r="P1285" t="s">
        <v>31</v>
      </c>
      <c r="Q1285">
        <v>0</v>
      </c>
      <c r="R1285" t="s">
        <v>12883</v>
      </c>
      <c r="S1285" t="s">
        <v>12889</v>
      </c>
    </row>
    <row r="1286" spans="1:19" x14ac:dyDescent="0.25">
      <c r="A1286" t="s">
        <v>6554</v>
      </c>
      <c r="B1286" s="1">
        <v>45859</v>
      </c>
      <c r="C1286" t="s">
        <v>12885</v>
      </c>
      <c r="D1286" s="5">
        <v>6.0497685185185182E-2</v>
      </c>
      <c r="E1286">
        <v>115.47</v>
      </c>
      <c r="F1286" t="s">
        <v>44</v>
      </c>
      <c r="G1286" t="s">
        <v>3413</v>
      </c>
      <c r="H1286" t="s">
        <v>96</v>
      </c>
      <c r="I1286" t="s">
        <v>58</v>
      </c>
      <c r="J1286" t="s">
        <v>6555</v>
      </c>
      <c r="K1286">
        <v>48</v>
      </c>
      <c r="L1286" t="s">
        <v>25</v>
      </c>
      <c r="M1286" t="s">
        <v>26</v>
      </c>
      <c r="N1286" t="s">
        <v>84</v>
      </c>
      <c r="O1286" t="s">
        <v>28</v>
      </c>
      <c r="P1286" t="s">
        <v>31</v>
      </c>
      <c r="Q1286">
        <v>0</v>
      </c>
      <c r="R1286" t="s">
        <v>12883</v>
      </c>
      <c r="S1286" t="s">
        <v>12886</v>
      </c>
    </row>
    <row r="1287" spans="1:19" x14ac:dyDescent="0.25">
      <c r="A1287" t="s">
        <v>4606</v>
      </c>
      <c r="B1287" s="1">
        <v>45872</v>
      </c>
      <c r="C1287" t="s">
        <v>12893</v>
      </c>
      <c r="D1287" s="5">
        <v>0.82004629629629633</v>
      </c>
      <c r="E1287">
        <v>115.46</v>
      </c>
      <c r="F1287" t="s">
        <v>44</v>
      </c>
      <c r="G1287" t="s">
        <v>2094</v>
      </c>
      <c r="H1287" t="s">
        <v>64</v>
      </c>
      <c r="I1287" t="s">
        <v>47</v>
      </c>
      <c r="J1287" t="s">
        <v>3952</v>
      </c>
      <c r="K1287">
        <v>31</v>
      </c>
      <c r="L1287" t="s">
        <v>25</v>
      </c>
      <c r="M1287" t="s">
        <v>26</v>
      </c>
      <c r="N1287" t="s">
        <v>27</v>
      </c>
      <c r="O1287" t="s">
        <v>28</v>
      </c>
      <c r="P1287" t="s">
        <v>31</v>
      </c>
      <c r="Q1287">
        <v>0</v>
      </c>
      <c r="R1287" t="s">
        <v>12883</v>
      </c>
      <c r="S1287" t="s">
        <v>12889</v>
      </c>
    </row>
    <row r="1288" spans="1:19" x14ac:dyDescent="0.25">
      <c r="A1288" t="s">
        <v>12304</v>
      </c>
      <c r="B1288" s="1">
        <v>45814</v>
      </c>
      <c r="C1288" t="s">
        <v>12888</v>
      </c>
      <c r="D1288" s="5">
        <v>0.54802083333333329</v>
      </c>
      <c r="E1288">
        <v>115.44</v>
      </c>
      <c r="F1288" t="s">
        <v>44</v>
      </c>
      <c r="G1288" t="s">
        <v>1413</v>
      </c>
      <c r="H1288" t="s">
        <v>71</v>
      </c>
      <c r="I1288" t="s">
        <v>47</v>
      </c>
      <c r="J1288" t="s">
        <v>12305</v>
      </c>
      <c r="K1288">
        <v>66</v>
      </c>
      <c r="L1288" t="s">
        <v>37</v>
      </c>
      <c r="M1288" t="s">
        <v>110</v>
      </c>
      <c r="N1288" t="s">
        <v>27</v>
      </c>
      <c r="O1288" t="s">
        <v>28</v>
      </c>
      <c r="P1288" t="s">
        <v>31</v>
      </c>
      <c r="Q1288">
        <v>1</v>
      </c>
      <c r="R1288" t="s">
        <v>12891</v>
      </c>
      <c r="S1288" t="s">
        <v>12884</v>
      </c>
    </row>
    <row r="1289" spans="1:19" x14ac:dyDescent="0.25">
      <c r="A1289" t="s">
        <v>476</v>
      </c>
      <c r="B1289" s="1">
        <v>45855</v>
      </c>
      <c r="C1289" t="s">
        <v>12885</v>
      </c>
      <c r="D1289" s="5">
        <v>1.4375000000000001E-2</v>
      </c>
      <c r="E1289">
        <v>115.33</v>
      </c>
      <c r="F1289" t="s">
        <v>44</v>
      </c>
      <c r="G1289" t="s">
        <v>63</v>
      </c>
      <c r="H1289" t="s">
        <v>124</v>
      </c>
      <c r="I1289" t="s">
        <v>47</v>
      </c>
      <c r="J1289" t="s">
        <v>477</v>
      </c>
      <c r="K1289">
        <v>75</v>
      </c>
      <c r="L1289" t="s">
        <v>49</v>
      </c>
      <c r="M1289" t="s">
        <v>38</v>
      </c>
      <c r="N1289" t="s">
        <v>27</v>
      </c>
      <c r="O1289" t="s">
        <v>28</v>
      </c>
      <c r="P1289" t="s">
        <v>31</v>
      </c>
      <c r="Q1289">
        <v>0</v>
      </c>
      <c r="R1289" t="s">
        <v>12883</v>
      </c>
      <c r="S1289" t="s">
        <v>12884</v>
      </c>
    </row>
    <row r="1290" spans="1:19" x14ac:dyDescent="0.25">
      <c r="A1290" t="s">
        <v>3292</v>
      </c>
      <c r="B1290" s="1">
        <v>45812</v>
      </c>
      <c r="C1290" t="s">
        <v>12888</v>
      </c>
      <c r="D1290" s="5">
        <v>0.82377314814814817</v>
      </c>
      <c r="E1290">
        <v>115.28</v>
      </c>
      <c r="F1290" t="s">
        <v>44</v>
      </c>
      <c r="G1290" t="s">
        <v>3293</v>
      </c>
      <c r="H1290" t="s">
        <v>71</v>
      </c>
      <c r="I1290" t="s">
        <v>23</v>
      </c>
      <c r="J1290" t="s">
        <v>3294</v>
      </c>
      <c r="K1290">
        <v>53</v>
      </c>
      <c r="L1290" t="s">
        <v>49</v>
      </c>
      <c r="M1290" t="s">
        <v>110</v>
      </c>
      <c r="N1290" t="s">
        <v>27</v>
      </c>
      <c r="O1290" t="s">
        <v>28</v>
      </c>
      <c r="P1290" t="s">
        <v>31</v>
      </c>
      <c r="Q1290">
        <v>0</v>
      </c>
      <c r="R1290" t="s">
        <v>12883</v>
      </c>
      <c r="S1290" t="s">
        <v>12886</v>
      </c>
    </row>
    <row r="1291" spans="1:19" x14ac:dyDescent="0.25">
      <c r="A1291" t="s">
        <v>2912</v>
      </c>
      <c r="B1291" s="1">
        <v>45898</v>
      </c>
      <c r="C1291" t="s">
        <v>12893</v>
      </c>
      <c r="D1291" s="5">
        <v>0.7844444444444445</v>
      </c>
      <c r="E1291">
        <v>115.25</v>
      </c>
      <c r="F1291" t="s">
        <v>44</v>
      </c>
      <c r="G1291" t="s">
        <v>2913</v>
      </c>
      <c r="H1291" t="s">
        <v>34</v>
      </c>
      <c r="I1291" t="s">
        <v>38</v>
      </c>
      <c r="J1291" t="s">
        <v>2914</v>
      </c>
      <c r="K1291">
        <v>22</v>
      </c>
      <c r="L1291" t="s">
        <v>37</v>
      </c>
      <c r="M1291" t="s">
        <v>35</v>
      </c>
      <c r="N1291" t="s">
        <v>39</v>
      </c>
      <c r="O1291" t="s">
        <v>28</v>
      </c>
      <c r="P1291" t="s">
        <v>31</v>
      </c>
      <c r="Q1291">
        <v>0</v>
      </c>
      <c r="R1291" t="s">
        <v>12883</v>
      </c>
      <c r="S1291" t="s">
        <v>12892</v>
      </c>
    </row>
    <row r="1292" spans="1:19" x14ac:dyDescent="0.25">
      <c r="A1292" t="s">
        <v>2088</v>
      </c>
      <c r="B1292" s="1">
        <v>45860</v>
      </c>
      <c r="C1292" t="s">
        <v>12885</v>
      </c>
      <c r="D1292" s="5">
        <v>0.47612268518518519</v>
      </c>
      <c r="E1292">
        <v>115.18</v>
      </c>
      <c r="F1292" t="s">
        <v>44</v>
      </c>
      <c r="G1292" t="s">
        <v>2089</v>
      </c>
      <c r="H1292" t="s">
        <v>64</v>
      </c>
      <c r="I1292" t="s">
        <v>248</v>
      </c>
      <c r="J1292" t="s">
        <v>2090</v>
      </c>
      <c r="K1292">
        <v>54</v>
      </c>
      <c r="L1292" t="s">
        <v>37</v>
      </c>
      <c r="M1292" t="s">
        <v>130</v>
      </c>
      <c r="N1292" t="s">
        <v>51</v>
      </c>
      <c r="O1292" t="s">
        <v>28</v>
      </c>
      <c r="P1292" t="s">
        <v>31</v>
      </c>
      <c r="Q1292">
        <v>0</v>
      </c>
      <c r="R1292" t="s">
        <v>12883</v>
      </c>
      <c r="S1292" t="s">
        <v>12886</v>
      </c>
    </row>
    <row r="1293" spans="1:19" x14ac:dyDescent="0.25">
      <c r="A1293" t="s">
        <v>9105</v>
      </c>
      <c r="B1293" s="1">
        <v>45789</v>
      </c>
      <c r="C1293" t="s">
        <v>12887</v>
      </c>
      <c r="D1293" s="5">
        <v>0.50317129629629631</v>
      </c>
      <c r="E1293">
        <v>115.17</v>
      </c>
      <c r="F1293" t="s">
        <v>44</v>
      </c>
      <c r="G1293" t="s">
        <v>6076</v>
      </c>
      <c r="H1293" t="s">
        <v>34</v>
      </c>
      <c r="I1293" t="s">
        <v>23</v>
      </c>
      <c r="J1293" t="s">
        <v>9106</v>
      </c>
      <c r="K1293">
        <v>31</v>
      </c>
      <c r="L1293" t="s">
        <v>25</v>
      </c>
      <c r="M1293" t="s">
        <v>47</v>
      </c>
      <c r="N1293" t="s">
        <v>84</v>
      </c>
      <c r="O1293" t="s">
        <v>28</v>
      </c>
      <c r="P1293" t="s">
        <v>31</v>
      </c>
      <c r="Q1293">
        <v>0</v>
      </c>
      <c r="R1293" t="s">
        <v>12883</v>
      </c>
      <c r="S1293" t="s">
        <v>12889</v>
      </c>
    </row>
    <row r="1294" spans="1:19" x14ac:dyDescent="0.25">
      <c r="A1294" t="s">
        <v>6574</v>
      </c>
      <c r="B1294" s="1">
        <v>45824</v>
      </c>
      <c r="C1294" t="s">
        <v>12888</v>
      </c>
      <c r="D1294" s="5">
        <v>0.18302083333333333</v>
      </c>
      <c r="E1294">
        <v>115.11</v>
      </c>
      <c r="F1294" t="s">
        <v>44</v>
      </c>
      <c r="G1294" t="s">
        <v>5990</v>
      </c>
      <c r="H1294" t="s">
        <v>34</v>
      </c>
      <c r="I1294" t="s">
        <v>47</v>
      </c>
      <c r="J1294" t="s">
        <v>6575</v>
      </c>
      <c r="K1294">
        <v>34</v>
      </c>
      <c r="L1294" t="s">
        <v>37</v>
      </c>
      <c r="M1294" t="s">
        <v>66</v>
      </c>
      <c r="N1294" t="s">
        <v>27</v>
      </c>
      <c r="O1294" t="s">
        <v>28</v>
      </c>
      <c r="P1294" t="s">
        <v>31</v>
      </c>
      <c r="Q1294">
        <v>0</v>
      </c>
      <c r="R1294" t="s">
        <v>12883</v>
      </c>
      <c r="S1294" t="s">
        <v>12889</v>
      </c>
    </row>
    <row r="1295" spans="1:19" x14ac:dyDescent="0.25">
      <c r="A1295" t="s">
        <v>8678</v>
      </c>
      <c r="B1295" s="1">
        <v>45938</v>
      </c>
      <c r="C1295" t="s">
        <v>12890</v>
      </c>
      <c r="D1295" s="5">
        <v>0.86550925925925926</v>
      </c>
      <c r="E1295">
        <v>115.1</v>
      </c>
      <c r="F1295" t="s">
        <v>44</v>
      </c>
      <c r="G1295" t="s">
        <v>3395</v>
      </c>
      <c r="H1295" t="s">
        <v>46</v>
      </c>
      <c r="I1295" t="s">
        <v>248</v>
      </c>
      <c r="J1295" t="s">
        <v>4662</v>
      </c>
      <c r="K1295">
        <v>39</v>
      </c>
      <c r="L1295" t="s">
        <v>37</v>
      </c>
      <c r="M1295" t="s">
        <v>146</v>
      </c>
      <c r="N1295" t="s">
        <v>27</v>
      </c>
      <c r="O1295" t="s">
        <v>28</v>
      </c>
      <c r="P1295" t="s">
        <v>31</v>
      </c>
      <c r="Q1295">
        <v>0</v>
      </c>
      <c r="R1295" t="s">
        <v>12883</v>
      </c>
      <c r="S1295" t="s">
        <v>12889</v>
      </c>
    </row>
    <row r="1296" spans="1:19" x14ac:dyDescent="0.25">
      <c r="A1296" t="s">
        <v>8218</v>
      </c>
      <c r="B1296" s="1">
        <v>45781</v>
      </c>
      <c r="C1296" t="s">
        <v>12887</v>
      </c>
      <c r="D1296" s="5">
        <v>2.7476851851851853E-2</v>
      </c>
      <c r="E1296">
        <v>114.94</v>
      </c>
      <c r="F1296" t="s">
        <v>44</v>
      </c>
      <c r="G1296" t="s">
        <v>2635</v>
      </c>
      <c r="H1296" t="s">
        <v>96</v>
      </c>
      <c r="I1296" t="s">
        <v>50</v>
      </c>
      <c r="J1296" t="s">
        <v>8219</v>
      </c>
      <c r="K1296">
        <v>57</v>
      </c>
      <c r="L1296" t="s">
        <v>49</v>
      </c>
      <c r="M1296" t="s">
        <v>35</v>
      </c>
      <c r="N1296" t="s">
        <v>27</v>
      </c>
      <c r="O1296" t="s">
        <v>28</v>
      </c>
      <c r="P1296" t="s">
        <v>31</v>
      </c>
      <c r="Q1296">
        <v>0</v>
      </c>
      <c r="R1296" t="s">
        <v>12883</v>
      </c>
      <c r="S1296" t="s">
        <v>12886</v>
      </c>
    </row>
    <row r="1297" spans="1:19" x14ac:dyDescent="0.25">
      <c r="A1297" t="s">
        <v>1114</v>
      </c>
      <c r="B1297" s="1">
        <v>45786</v>
      </c>
      <c r="C1297" t="s">
        <v>12887</v>
      </c>
      <c r="D1297" s="5">
        <v>0.62914351851851846</v>
      </c>
      <c r="E1297">
        <v>114.88</v>
      </c>
      <c r="F1297" t="s">
        <v>44</v>
      </c>
      <c r="G1297" t="s">
        <v>1115</v>
      </c>
      <c r="H1297" t="s">
        <v>34</v>
      </c>
      <c r="I1297" t="s">
        <v>38</v>
      </c>
      <c r="J1297" t="s">
        <v>1116</v>
      </c>
      <c r="K1297">
        <v>67</v>
      </c>
      <c r="L1297" t="s">
        <v>37</v>
      </c>
      <c r="M1297" t="s">
        <v>66</v>
      </c>
      <c r="N1297" t="s">
        <v>39</v>
      </c>
      <c r="O1297" t="s">
        <v>28</v>
      </c>
      <c r="P1297" t="s">
        <v>31</v>
      </c>
      <c r="Q1297">
        <v>0</v>
      </c>
      <c r="R1297" t="s">
        <v>12883</v>
      </c>
      <c r="S1297" t="s">
        <v>12884</v>
      </c>
    </row>
    <row r="1298" spans="1:19" x14ac:dyDescent="0.25">
      <c r="A1298" t="s">
        <v>8990</v>
      </c>
      <c r="B1298" s="1">
        <v>45862</v>
      </c>
      <c r="C1298" t="s">
        <v>12885</v>
      </c>
      <c r="D1298" s="5">
        <v>0.71728009259259262</v>
      </c>
      <c r="E1298">
        <v>114.88</v>
      </c>
      <c r="F1298" t="s">
        <v>44</v>
      </c>
      <c r="G1298" t="s">
        <v>2239</v>
      </c>
      <c r="H1298" t="s">
        <v>89</v>
      </c>
      <c r="I1298" t="s">
        <v>97</v>
      </c>
      <c r="J1298" t="s">
        <v>8991</v>
      </c>
      <c r="K1298">
        <v>43</v>
      </c>
      <c r="L1298" t="s">
        <v>25</v>
      </c>
      <c r="M1298" t="s">
        <v>91</v>
      </c>
      <c r="N1298" t="s">
        <v>84</v>
      </c>
      <c r="O1298" t="s">
        <v>28</v>
      </c>
      <c r="P1298" t="s">
        <v>31</v>
      </c>
      <c r="Q1298">
        <v>0</v>
      </c>
      <c r="R1298" t="s">
        <v>12883</v>
      </c>
      <c r="S1298" t="s">
        <v>12886</v>
      </c>
    </row>
    <row r="1299" spans="1:19" x14ac:dyDescent="0.25">
      <c r="A1299" t="s">
        <v>8266</v>
      </c>
      <c r="B1299" s="1">
        <v>45850</v>
      </c>
      <c r="C1299" t="s">
        <v>12885</v>
      </c>
      <c r="D1299" s="5">
        <v>0.55166666666666664</v>
      </c>
      <c r="E1299">
        <v>114.76</v>
      </c>
      <c r="F1299" t="s">
        <v>44</v>
      </c>
      <c r="G1299" t="s">
        <v>3942</v>
      </c>
      <c r="H1299" t="s">
        <v>96</v>
      </c>
      <c r="I1299" t="s">
        <v>35</v>
      </c>
      <c r="J1299" t="s">
        <v>8267</v>
      </c>
      <c r="K1299">
        <v>23</v>
      </c>
      <c r="L1299" t="s">
        <v>37</v>
      </c>
      <c r="M1299" t="s">
        <v>130</v>
      </c>
      <c r="N1299" t="s">
        <v>112</v>
      </c>
      <c r="O1299" t="s">
        <v>28</v>
      </c>
      <c r="P1299" t="s">
        <v>31</v>
      </c>
      <c r="Q1299">
        <v>1</v>
      </c>
      <c r="R1299" t="s">
        <v>12891</v>
      </c>
      <c r="S1299" t="s">
        <v>12892</v>
      </c>
    </row>
    <row r="1300" spans="1:19" x14ac:dyDescent="0.25">
      <c r="A1300" t="s">
        <v>9831</v>
      </c>
      <c r="B1300" s="1">
        <v>45846</v>
      </c>
      <c r="C1300" t="s">
        <v>12885</v>
      </c>
      <c r="D1300" s="5">
        <v>0.23373842592592592</v>
      </c>
      <c r="E1300">
        <v>114.67</v>
      </c>
      <c r="F1300" t="s">
        <v>44</v>
      </c>
      <c r="G1300" t="s">
        <v>2277</v>
      </c>
      <c r="H1300" t="s">
        <v>34</v>
      </c>
      <c r="I1300" t="s">
        <v>58</v>
      </c>
      <c r="J1300" t="s">
        <v>9832</v>
      </c>
      <c r="K1300">
        <v>23</v>
      </c>
      <c r="L1300" t="s">
        <v>25</v>
      </c>
      <c r="M1300" t="s">
        <v>47</v>
      </c>
      <c r="N1300" t="s">
        <v>84</v>
      </c>
      <c r="O1300" t="s">
        <v>28</v>
      </c>
      <c r="P1300" t="s">
        <v>31</v>
      </c>
      <c r="Q1300">
        <v>0</v>
      </c>
      <c r="R1300" t="s">
        <v>12883</v>
      </c>
      <c r="S1300" t="s">
        <v>12892</v>
      </c>
    </row>
    <row r="1301" spans="1:19" x14ac:dyDescent="0.25">
      <c r="A1301" t="s">
        <v>10132</v>
      </c>
      <c r="B1301" s="1">
        <v>45875</v>
      </c>
      <c r="C1301" t="s">
        <v>12893</v>
      </c>
      <c r="D1301" s="5">
        <v>0.27936342592592595</v>
      </c>
      <c r="E1301">
        <v>114.67</v>
      </c>
      <c r="F1301" t="s">
        <v>44</v>
      </c>
      <c r="G1301" t="s">
        <v>2308</v>
      </c>
      <c r="H1301" t="s">
        <v>71</v>
      </c>
      <c r="I1301" t="s">
        <v>146</v>
      </c>
      <c r="J1301" t="s">
        <v>10133</v>
      </c>
      <c r="K1301">
        <v>40</v>
      </c>
      <c r="L1301" t="s">
        <v>49</v>
      </c>
      <c r="M1301" t="s">
        <v>146</v>
      </c>
      <c r="N1301" t="s">
        <v>27</v>
      </c>
      <c r="O1301" t="s">
        <v>113</v>
      </c>
      <c r="P1301" t="s">
        <v>31</v>
      </c>
      <c r="Q1301">
        <v>0</v>
      </c>
      <c r="R1301" t="s">
        <v>12883</v>
      </c>
      <c r="S1301" t="s">
        <v>12886</v>
      </c>
    </row>
    <row r="1302" spans="1:19" x14ac:dyDescent="0.25">
      <c r="A1302" t="s">
        <v>5304</v>
      </c>
      <c r="B1302" s="1">
        <v>45867</v>
      </c>
      <c r="C1302" t="s">
        <v>12885</v>
      </c>
      <c r="D1302" s="5">
        <v>0.77849537037037042</v>
      </c>
      <c r="E1302">
        <v>114.56</v>
      </c>
      <c r="F1302" t="s">
        <v>44</v>
      </c>
      <c r="G1302" t="s">
        <v>978</v>
      </c>
      <c r="H1302" t="s">
        <v>46</v>
      </c>
      <c r="I1302" t="s">
        <v>146</v>
      </c>
      <c r="J1302" t="s">
        <v>5305</v>
      </c>
      <c r="K1302">
        <v>37</v>
      </c>
      <c r="L1302" t="s">
        <v>25</v>
      </c>
      <c r="M1302" t="s">
        <v>26</v>
      </c>
      <c r="N1302" t="s">
        <v>112</v>
      </c>
      <c r="O1302" t="s">
        <v>28</v>
      </c>
      <c r="P1302" t="s">
        <v>31</v>
      </c>
      <c r="Q1302">
        <v>0</v>
      </c>
      <c r="R1302" t="s">
        <v>12883</v>
      </c>
      <c r="S1302" t="s">
        <v>12889</v>
      </c>
    </row>
    <row r="1303" spans="1:19" x14ac:dyDescent="0.25">
      <c r="A1303" t="s">
        <v>9522</v>
      </c>
      <c r="B1303" s="1">
        <v>45780</v>
      </c>
      <c r="C1303" t="s">
        <v>12887</v>
      </c>
      <c r="D1303" s="5">
        <v>0.833125</v>
      </c>
      <c r="E1303">
        <v>114.49</v>
      </c>
      <c r="F1303" t="s">
        <v>44</v>
      </c>
      <c r="G1303" t="s">
        <v>1366</v>
      </c>
      <c r="H1303" t="s">
        <v>22</v>
      </c>
      <c r="I1303" t="s">
        <v>130</v>
      </c>
      <c r="J1303" t="s">
        <v>9523</v>
      </c>
      <c r="K1303">
        <v>57</v>
      </c>
      <c r="L1303" t="s">
        <v>37</v>
      </c>
      <c r="M1303" t="s">
        <v>58</v>
      </c>
      <c r="N1303" t="s">
        <v>51</v>
      </c>
      <c r="O1303" t="s">
        <v>28</v>
      </c>
      <c r="P1303" t="s">
        <v>31</v>
      </c>
      <c r="Q1303">
        <v>0</v>
      </c>
      <c r="R1303" t="s">
        <v>12883</v>
      </c>
      <c r="S1303" t="s">
        <v>12886</v>
      </c>
    </row>
    <row r="1304" spans="1:19" x14ac:dyDescent="0.25">
      <c r="A1304" t="s">
        <v>1142</v>
      </c>
      <c r="B1304" s="1">
        <v>45859</v>
      </c>
      <c r="C1304" t="s">
        <v>12885</v>
      </c>
      <c r="D1304" s="5">
        <v>0.85560185185185189</v>
      </c>
      <c r="E1304">
        <v>114.37</v>
      </c>
      <c r="F1304" t="s">
        <v>44</v>
      </c>
      <c r="G1304" t="s">
        <v>1143</v>
      </c>
      <c r="H1304" t="s">
        <v>96</v>
      </c>
      <c r="I1304" t="s">
        <v>248</v>
      </c>
      <c r="J1304" t="s">
        <v>1144</v>
      </c>
      <c r="K1304">
        <v>34</v>
      </c>
      <c r="L1304" t="s">
        <v>49</v>
      </c>
      <c r="M1304" t="s">
        <v>23</v>
      </c>
      <c r="N1304" t="s">
        <v>112</v>
      </c>
      <c r="O1304" t="s">
        <v>28</v>
      </c>
      <c r="P1304" t="s">
        <v>31</v>
      </c>
      <c r="Q1304">
        <v>0</v>
      </c>
      <c r="R1304" t="s">
        <v>12883</v>
      </c>
      <c r="S1304" t="s">
        <v>12889</v>
      </c>
    </row>
    <row r="1305" spans="1:19" x14ac:dyDescent="0.25">
      <c r="A1305" t="s">
        <v>2653</v>
      </c>
      <c r="B1305" s="1">
        <v>45941</v>
      </c>
      <c r="C1305" t="s">
        <v>12890</v>
      </c>
      <c r="D1305" s="5">
        <v>0.66400462962962958</v>
      </c>
      <c r="E1305">
        <v>114.33</v>
      </c>
      <c r="F1305" t="s">
        <v>44</v>
      </c>
      <c r="G1305" t="s">
        <v>2654</v>
      </c>
      <c r="H1305" t="s">
        <v>34</v>
      </c>
      <c r="I1305" t="s">
        <v>146</v>
      </c>
      <c r="J1305" t="s">
        <v>2655</v>
      </c>
      <c r="K1305">
        <v>32</v>
      </c>
      <c r="L1305" t="s">
        <v>49</v>
      </c>
      <c r="M1305" t="s">
        <v>97</v>
      </c>
      <c r="N1305" t="s">
        <v>39</v>
      </c>
      <c r="O1305" t="s">
        <v>28</v>
      </c>
      <c r="P1305" t="s">
        <v>31</v>
      </c>
      <c r="Q1305">
        <v>0</v>
      </c>
      <c r="R1305" t="s">
        <v>12883</v>
      </c>
      <c r="S1305" t="s">
        <v>12889</v>
      </c>
    </row>
    <row r="1306" spans="1:19" x14ac:dyDescent="0.25">
      <c r="A1306" t="s">
        <v>6957</v>
      </c>
      <c r="B1306" s="1">
        <v>45815</v>
      </c>
      <c r="C1306" t="s">
        <v>12888</v>
      </c>
      <c r="D1306" s="5">
        <v>0.92423611111111115</v>
      </c>
      <c r="E1306">
        <v>114.14</v>
      </c>
      <c r="F1306" t="s">
        <v>44</v>
      </c>
      <c r="G1306" t="s">
        <v>1766</v>
      </c>
      <c r="H1306" t="s">
        <v>57</v>
      </c>
      <c r="I1306" t="s">
        <v>23</v>
      </c>
      <c r="J1306" t="s">
        <v>6958</v>
      </c>
      <c r="K1306">
        <v>28</v>
      </c>
      <c r="L1306" t="s">
        <v>37</v>
      </c>
      <c r="M1306" t="s">
        <v>47</v>
      </c>
      <c r="N1306" t="s">
        <v>51</v>
      </c>
      <c r="O1306" t="s">
        <v>28</v>
      </c>
      <c r="P1306" t="s">
        <v>31</v>
      </c>
      <c r="Q1306">
        <v>0</v>
      </c>
      <c r="R1306" t="s">
        <v>12883</v>
      </c>
      <c r="S1306" t="s">
        <v>12889</v>
      </c>
    </row>
    <row r="1307" spans="1:19" x14ac:dyDescent="0.25">
      <c r="A1307" t="s">
        <v>11951</v>
      </c>
      <c r="B1307" s="1">
        <v>45822</v>
      </c>
      <c r="C1307" t="s">
        <v>12888</v>
      </c>
      <c r="D1307" s="5">
        <v>0.12144675925925925</v>
      </c>
      <c r="E1307">
        <v>114.02</v>
      </c>
      <c r="F1307" t="s">
        <v>44</v>
      </c>
      <c r="G1307" t="s">
        <v>1859</v>
      </c>
      <c r="H1307" t="s">
        <v>57</v>
      </c>
      <c r="I1307" t="s">
        <v>130</v>
      </c>
      <c r="J1307" t="s">
        <v>11952</v>
      </c>
      <c r="K1307">
        <v>69</v>
      </c>
      <c r="L1307" t="s">
        <v>49</v>
      </c>
      <c r="M1307" t="s">
        <v>58</v>
      </c>
      <c r="N1307" t="s">
        <v>84</v>
      </c>
      <c r="O1307" t="s">
        <v>28</v>
      </c>
      <c r="P1307" t="s">
        <v>31</v>
      </c>
      <c r="Q1307">
        <v>0</v>
      </c>
      <c r="R1307" t="s">
        <v>12883</v>
      </c>
      <c r="S1307" t="s">
        <v>12884</v>
      </c>
    </row>
    <row r="1308" spans="1:19" x14ac:dyDescent="0.25">
      <c r="A1308" t="s">
        <v>2998</v>
      </c>
      <c r="B1308" s="1">
        <v>45781</v>
      </c>
      <c r="C1308" t="s">
        <v>12887</v>
      </c>
      <c r="D1308" s="5">
        <v>0.60605324074074074</v>
      </c>
      <c r="E1308">
        <v>113.99</v>
      </c>
      <c r="F1308" t="s">
        <v>44</v>
      </c>
      <c r="G1308" t="s">
        <v>2999</v>
      </c>
      <c r="H1308" t="s">
        <v>46</v>
      </c>
      <c r="I1308" t="s">
        <v>35</v>
      </c>
      <c r="J1308" t="s">
        <v>3000</v>
      </c>
      <c r="K1308">
        <v>29</v>
      </c>
      <c r="L1308" t="s">
        <v>25</v>
      </c>
      <c r="M1308" t="s">
        <v>23</v>
      </c>
      <c r="N1308" t="s">
        <v>112</v>
      </c>
      <c r="O1308" t="s">
        <v>28</v>
      </c>
      <c r="P1308" t="s">
        <v>31</v>
      </c>
      <c r="Q1308">
        <v>0</v>
      </c>
      <c r="R1308" t="s">
        <v>12883</v>
      </c>
      <c r="S1308" t="s">
        <v>12889</v>
      </c>
    </row>
    <row r="1309" spans="1:19" x14ac:dyDescent="0.25">
      <c r="A1309" t="s">
        <v>9159</v>
      </c>
      <c r="B1309" s="1">
        <v>45836</v>
      </c>
      <c r="C1309" t="s">
        <v>12888</v>
      </c>
      <c r="D1309" s="5">
        <v>0.77800925925925923</v>
      </c>
      <c r="E1309">
        <v>113.99</v>
      </c>
      <c r="F1309" t="s">
        <v>44</v>
      </c>
      <c r="G1309" t="s">
        <v>1371</v>
      </c>
      <c r="H1309" t="s">
        <v>96</v>
      </c>
      <c r="I1309" t="s">
        <v>130</v>
      </c>
      <c r="J1309" t="s">
        <v>9160</v>
      </c>
      <c r="K1309">
        <v>45</v>
      </c>
      <c r="L1309" t="s">
        <v>49</v>
      </c>
      <c r="M1309" t="s">
        <v>110</v>
      </c>
      <c r="N1309" t="s">
        <v>27</v>
      </c>
      <c r="O1309" t="s">
        <v>28</v>
      </c>
      <c r="P1309" t="s">
        <v>31</v>
      </c>
      <c r="Q1309">
        <v>0</v>
      </c>
      <c r="R1309" t="s">
        <v>12883</v>
      </c>
      <c r="S1309" t="s">
        <v>12886</v>
      </c>
    </row>
    <row r="1310" spans="1:19" x14ac:dyDescent="0.25">
      <c r="A1310" t="s">
        <v>1360</v>
      </c>
      <c r="B1310" s="1">
        <v>45929</v>
      </c>
      <c r="C1310" t="s">
        <v>12882</v>
      </c>
      <c r="D1310" s="5">
        <v>0.77642361111111113</v>
      </c>
      <c r="E1310">
        <v>113.98</v>
      </c>
      <c r="F1310" t="s">
        <v>44</v>
      </c>
      <c r="G1310" t="s">
        <v>1361</v>
      </c>
      <c r="H1310" t="s">
        <v>46</v>
      </c>
      <c r="I1310" t="s">
        <v>110</v>
      </c>
      <c r="J1310" t="s">
        <v>1362</v>
      </c>
      <c r="K1310">
        <v>45</v>
      </c>
      <c r="L1310" t="s">
        <v>25</v>
      </c>
      <c r="M1310" t="s">
        <v>97</v>
      </c>
      <c r="N1310" t="s">
        <v>39</v>
      </c>
      <c r="O1310" t="s">
        <v>28</v>
      </c>
      <c r="P1310" t="s">
        <v>31</v>
      </c>
      <c r="Q1310">
        <v>0</v>
      </c>
      <c r="R1310" t="s">
        <v>12883</v>
      </c>
      <c r="S1310" t="s">
        <v>12886</v>
      </c>
    </row>
    <row r="1311" spans="1:19" x14ac:dyDescent="0.25">
      <c r="A1311" t="s">
        <v>10444</v>
      </c>
      <c r="B1311" s="1">
        <v>45857</v>
      </c>
      <c r="C1311" t="s">
        <v>12885</v>
      </c>
      <c r="D1311" s="5">
        <v>0.28189814814814818</v>
      </c>
      <c r="E1311">
        <v>113.95</v>
      </c>
      <c r="F1311" t="s">
        <v>44</v>
      </c>
      <c r="G1311" t="s">
        <v>9228</v>
      </c>
      <c r="H1311" t="s">
        <v>89</v>
      </c>
      <c r="I1311" t="s">
        <v>35</v>
      </c>
      <c r="J1311" t="s">
        <v>10445</v>
      </c>
      <c r="K1311">
        <v>34</v>
      </c>
      <c r="L1311" t="s">
        <v>37</v>
      </c>
      <c r="M1311" t="s">
        <v>38</v>
      </c>
      <c r="N1311" t="s">
        <v>112</v>
      </c>
      <c r="O1311" t="s">
        <v>28</v>
      </c>
      <c r="P1311" t="s">
        <v>31</v>
      </c>
      <c r="Q1311">
        <v>0</v>
      </c>
      <c r="R1311" t="s">
        <v>12883</v>
      </c>
      <c r="S1311" t="s">
        <v>12889</v>
      </c>
    </row>
    <row r="1312" spans="1:19" x14ac:dyDescent="0.25">
      <c r="A1312" t="s">
        <v>8425</v>
      </c>
      <c r="B1312" s="1">
        <v>45921</v>
      </c>
      <c r="C1312" t="s">
        <v>12882</v>
      </c>
      <c r="D1312" s="5">
        <v>0.62091435185185184</v>
      </c>
      <c r="E1312">
        <v>113.88</v>
      </c>
      <c r="F1312" t="s">
        <v>44</v>
      </c>
      <c r="G1312" t="s">
        <v>4732</v>
      </c>
      <c r="H1312" t="s">
        <v>22</v>
      </c>
      <c r="I1312" t="s">
        <v>146</v>
      </c>
      <c r="J1312" t="s">
        <v>8426</v>
      </c>
      <c r="K1312">
        <v>43</v>
      </c>
      <c r="L1312" t="s">
        <v>25</v>
      </c>
      <c r="M1312" t="s">
        <v>97</v>
      </c>
      <c r="N1312" t="s">
        <v>27</v>
      </c>
      <c r="O1312" t="s">
        <v>28</v>
      </c>
      <c r="P1312" t="s">
        <v>31</v>
      </c>
      <c r="Q1312">
        <v>0</v>
      </c>
      <c r="R1312" t="s">
        <v>12883</v>
      </c>
      <c r="S1312" t="s">
        <v>12886</v>
      </c>
    </row>
    <row r="1313" spans="1:19" x14ac:dyDescent="0.25">
      <c r="A1313" t="s">
        <v>5142</v>
      </c>
      <c r="B1313" s="1">
        <v>45920</v>
      </c>
      <c r="C1313" t="s">
        <v>12882</v>
      </c>
      <c r="D1313" s="5">
        <v>2.0497685185185185E-2</v>
      </c>
      <c r="E1313">
        <v>113.61</v>
      </c>
      <c r="F1313" t="s">
        <v>44</v>
      </c>
      <c r="G1313" t="s">
        <v>2104</v>
      </c>
      <c r="H1313" t="s">
        <v>71</v>
      </c>
      <c r="I1313" t="s">
        <v>119</v>
      </c>
      <c r="J1313" t="s">
        <v>5143</v>
      </c>
      <c r="K1313">
        <v>65</v>
      </c>
      <c r="L1313" t="s">
        <v>49</v>
      </c>
      <c r="M1313" t="s">
        <v>58</v>
      </c>
      <c r="N1313" t="s">
        <v>84</v>
      </c>
      <c r="O1313" t="s">
        <v>28</v>
      </c>
      <c r="P1313" t="s">
        <v>31</v>
      </c>
      <c r="Q1313">
        <v>0</v>
      </c>
      <c r="R1313" t="s">
        <v>12883</v>
      </c>
      <c r="S1313" t="s">
        <v>12884</v>
      </c>
    </row>
    <row r="1314" spans="1:19" x14ac:dyDescent="0.25">
      <c r="A1314" t="s">
        <v>9762</v>
      </c>
      <c r="B1314" s="1">
        <v>45782</v>
      </c>
      <c r="C1314" t="s">
        <v>12887</v>
      </c>
      <c r="D1314" s="5">
        <v>0.98615740740740743</v>
      </c>
      <c r="E1314">
        <v>113.61</v>
      </c>
      <c r="F1314" t="s">
        <v>44</v>
      </c>
      <c r="G1314" t="s">
        <v>418</v>
      </c>
      <c r="H1314" t="s">
        <v>64</v>
      </c>
      <c r="I1314" t="s">
        <v>47</v>
      </c>
      <c r="J1314" t="s">
        <v>9763</v>
      </c>
      <c r="K1314">
        <v>35</v>
      </c>
      <c r="L1314" t="s">
        <v>25</v>
      </c>
      <c r="M1314" t="s">
        <v>91</v>
      </c>
      <c r="N1314" t="s">
        <v>51</v>
      </c>
      <c r="O1314" t="s">
        <v>28</v>
      </c>
      <c r="P1314" t="s">
        <v>31</v>
      </c>
      <c r="Q1314">
        <v>0</v>
      </c>
      <c r="R1314" t="s">
        <v>12883</v>
      </c>
      <c r="S1314" t="s">
        <v>12889</v>
      </c>
    </row>
    <row r="1315" spans="1:19" x14ac:dyDescent="0.25">
      <c r="A1315" t="s">
        <v>10051</v>
      </c>
      <c r="B1315" s="1">
        <v>45955</v>
      </c>
      <c r="C1315" t="s">
        <v>12890</v>
      </c>
      <c r="D1315" s="5">
        <v>9.4247685185185184E-2</v>
      </c>
      <c r="E1315">
        <v>113.59</v>
      </c>
      <c r="F1315" t="s">
        <v>44</v>
      </c>
      <c r="G1315" t="s">
        <v>1666</v>
      </c>
      <c r="H1315" t="s">
        <v>64</v>
      </c>
      <c r="I1315" t="s">
        <v>58</v>
      </c>
      <c r="J1315" t="s">
        <v>10052</v>
      </c>
      <c r="K1315">
        <v>34</v>
      </c>
      <c r="L1315" t="s">
        <v>25</v>
      </c>
      <c r="M1315" t="s">
        <v>146</v>
      </c>
      <c r="N1315" t="s">
        <v>27</v>
      </c>
      <c r="O1315" t="s">
        <v>28</v>
      </c>
      <c r="P1315" t="s">
        <v>31</v>
      </c>
      <c r="Q1315">
        <v>0</v>
      </c>
      <c r="R1315" t="s">
        <v>12883</v>
      </c>
      <c r="S1315" t="s">
        <v>12889</v>
      </c>
    </row>
    <row r="1316" spans="1:19" x14ac:dyDescent="0.25">
      <c r="A1316" t="s">
        <v>2877</v>
      </c>
      <c r="B1316" s="1">
        <v>45908</v>
      </c>
      <c r="C1316" t="s">
        <v>12882</v>
      </c>
      <c r="D1316" s="5">
        <v>0.98406249999999995</v>
      </c>
      <c r="E1316">
        <v>113.54</v>
      </c>
      <c r="F1316" t="s">
        <v>44</v>
      </c>
      <c r="G1316" t="s">
        <v>2878</v>
      </c>
      <c r="H1316" t="s">
        <v>57</v>
      </c>
      <c r="I1316" t="s">
        <v>35</v>
      </c>
      <c r="J1316" t="s">
        <v>2879</v>
      </c>
      <c r="K1316">
        <v>49</v>
      </c>
      <c r="L1316" t="s">
        <v>37</v>
      </c>
      <c r="M1316" t="s">
        <v>110</v>
      </c>
      <c r="N1316" t="s">
        <v>84</v>
      </c>
      <c r="O1316" t="s">
        <v>28</v>
      </c>
      <c r="P1316" t="s">
        <v>31</v>
      </c>
      <c r="Q1316">
        <v>0</v>
      </c>
      <c r="R1316" t="s">
        <v>12883</v>
      </c>
      <c r="S1316" t="s">
        <v>12886</v>
      </c>
    </row>
    <row r="1317" spans="1:19" x14ac:dyDescent="0.25">
      <c r="A1317" t="s">
        <v>4585</v>
      </c>
      <c r="B1317" s="1">
        <v>45829</v>
      </c>
      <c r="C1317" t="s">
        <v>12888</v>
      </c>
      <c r="D1317" s="5">
        <v>0.99156250000000001</v>
      </c>
      <c r="E1317">
        <v>113.54</v>
      </c>
      <c r="F1317" t="s">
        <v>44</v>
      </c>
      <c r="G1317" t="s">
        <v>1200</v>
      </c>
      <c r="H1317" t="s">
        <v>46</v>
      </c>
      <c r="I1317" t="s">
        <v>47</v>
      </c>
      <c r="J1317" t="s">
        <v>4586</v>
      </c>
      <c r="K1317">
        <v>55</v>
      </c>
      <c r="L1317" t="s">
        <v>49</v>
      </c>
      <c r="M1317" t="s">
        <v>58</v>
      </c>
      <c r="N1317" t="s">
        <v>27</v>
      </c>
      <c r="O1317" t="s">
        <v>28</v>
      </c>
      <c r="P1317" t="s">
        <v>31</v>
      </c>
      <c r="Q1317">
        <v>0</v>
      </c>
      <c r="R1317" t="s">
        <v>12883</v>
      </c>
      <c r="S1317" t="s">
        <v>12886</v>
      </c>
    </row>
    <row r="1318" spans="1:19" x14ac:dyDescent="0.25">
      <c r="A1318" t="s">
        <v>950</v>
      </c>
      <c r="B1318" s="1">
        <v>45808</v>
      </c>
      <c r="C1318" t="s">
        <v>12887</v>
      </c>
      <c r="D1318" s="5">
        <v>0.52156250000000004</v>
      </c>
      <c r="E1318">
        <v>113.5</v>
      </c>
      <c r="F1318" t="s">
        <v>44</v>
      </c>
      <c r="G1318" t="s">
        <v>601</v>
      </c>
      <c r="H1318" t="s">
        <v>34</v>
      </c>
      <c r="I1318" t="s">
        <v>146</v>
      </c>
      <c r="J1318" t="s">
        <v>951</v>
      </c>
      <c r="K1318">
        <v>59</v>
      </c>
      <c r="L1318" t="s">
        <v>25</v>
      </c>
      <c r="M1318" t="s">
        <v>26</v>
      </c>
      <c r="N1318" t="s">
        <v>39</v>
      </c>
      <c r="O1318" t="s">
        <v>28</v>
      </c>
      <c r="P1318" t="s">
        <v>31</v>
      </c>
      <c r="Q1318">
        <v>0</v>
      </c>
      <c r="R1318" t="s">
        <v>12883</v>
      </c>
      <c r="S1318" t="s">
        <v>12886</v>
      </c>
    </row>
    <row r="1319" spans="1:19" x14ac:dyDescent="0.25">
      <c r="A1319" t="s">
        <v>10374</v>
      </c>
      <c r="B1319" s="1">
        <v>45930</v>
      </c>
      <c r="C1319" t="s">
        <v>12882</v>
      </c>
      <c r="D1319" s="5">
        <v>0.26170138888888889</v>
      </c>
      <c r="E1319">
        <v>113.43</v>
      </c>
      <c r="F1319" t="s">
        <v>44</v>
      </c>
      <c r="G1319" t="s">
        <v>2368</v>
      </c>
      <c r="H1319" t="s">
        <v>89</v>
      </c>
      <c r="I1319" t="s">
        <v>47</v>
      </c>
      <c r="J1319" t="s">
        <v>10375</v>
      </c>
      <c r="K1319">
        <v>28</v>
      </c>
      <c r="L1319" t="s">
        <v>37</v>
      </c>
      <c r="M1319" t="s">
        <v>38</v>
      </c>
      <c r="N1319" t="s">
        <v>39</v>
      </c>
      <c r="O1319" t="s">
        <v>28</v>
      </c>
      <c r="P1319" t="s">
        <v>31</v>
      </c>
      <c r="Q1319">
        <v>0</v>
      </c>
      <c r="R1319" t="s">
        <v>12883</v>
      </c>
      <c r="S1319" t="s">
        <v>12889</v>
      </c>
    </row>
    <row r="1320" spans="1:19" x14ac:dyDescent="0.25">
      <c r="A1320" t="s">
        <v>2827</v>
      </c>
      <c r="B1320" s="1">
        <v>45933</v>
      </c>
      <c r="C1320" t="s">
        <v>12890</v>
      </c>
      <c r="D1320" s="5">
        <v>0.255</v>
      </c>
      <c r="E1320">
        <v>113.38</v>
      </c>
      <c r="F1320" t="s">
        <v>44</v>
      </c>
      <c r="G1320" t="s">
        <v>2828</v>
      </c>
      <c r="H1320" t="s">
        <v>71</v>
      </c>
      <c r="I1320" t="s">
        <v>110</v>
      </c>
      <c r="J1320" t="s">
        <v>2829</v>
      </c>
      <c r="K1320">
        <v>53</v>
      </c>
      <c r="L1320" t="s">
        <v>37</v>
      </c>
      <c r="M1320" t="s">
        <v>119</v>
      </c>
      <c r="N1320" t="s">
        <v>51</v>
      </c>
      <c r="O1320" t="s">
        <v>28</v>
      </c>
      <c r="P1320" t="s">
        <v>31</v>
      </c>
      <c r="Q1320">
        <v>0</v>
      </c>
      <c r="R1320" t="s">
        <v>12883</v>
      </c>
      <c r="S1320" t="s">
        <v>12886</v>
      </c>
    </row>
    <row r="1321" spans="1:19" x14ac:dyDescent="0.25">
      <c r="A1321" t="s">
        <v>1345</v>
      </c>
      <c r="B1321" s="1">
        <v>45826</v>
      </c>
      <c r="C1321" t="s">
        <v>12888</v>
      </c>
      <c r="D1321" s="5">
        <v>0.97127314814814814</v>
      </c>
      <c r="E1321">
        <v>113.12</v>
      </c>
      <c r="F1321" t="s">
        <v>44</v>
      </c>
      <c r="G1321" t="s">
        <v>1346</v>
      </c>
      <c r="H1321" t="s">
        <v>124</v>
      </c>
      <c r="I1321" t="s">
        <v>146</v>
      </c>
      <c r="J1321" t="s">
        <v>1347</v>
      </c>
      <c r="K1321">
        <v>49</v>
      </c>
      <c r="L1321" t="s">
        <v>37</v>
      </c>
      <c r="M1321" t="s">
        <v>35</v>
      </c>
      <c r="N1321" t="s">
        <v>105</v>
      </c>
      <c r="O1321" t="s">
        <v>28</v>
      </c>
      <c r="P1321" t="s">
        <v>31</v>
      </c>
      <c r="Q1321">
        <v>0</v>
      </c>
      <c r="R1321" t="s">
        <v>12883</v>
      </c>
      <c r="S1321" t="s">
        <v>12886</v>
      </c>
    </row>
    <row r="1322" spans="1:19" x14ac:dyDescent="0.25">
      <c r="A1322" t="s">
        <v>3317</v>
      </c>
      <c r="B1322" s="1">
        <v>45925</v>
      </c>
      <c r="C1322" t="s">
        <v>12882</v>
      </c>
      <c r="D1322" s="5">
        <v>0.53700231481481486</v>
      </c>
      <c r="E1322">
        <v>112.96</v>
      </c>
      <c r="F1322" t="s">
        <v>44</v>
      </c>
      <c r="G1322" t="s">
        <v>3318</v>
      </c>
      <c r="H1322" t="s">
        <v>96</v>
      </c>
      <c r="I1322" t="s">
        <v>23</v>
      </c>
      <c r="J1322" t="s">
        <v>3319</v>
      </c>
      <c r="K1322">
        <v>53</v>
      </c>
      <c r="L1322" t="s">
        <v>25</v>
      </c>
      <c r="M1322" t="s">
        <v>26</v>
      </c>
      <c r="N1322" t="s">
        <v>112</v>
      </c>
      <c r="O1322" t="s">
        <v>28</v>
      </c>
      <c r="P1322" t="s">
        <v>31</v>
      </c>
      <c r="Q1322">
        <v>0</v>
      </c>
      <c r="R1322" t="s">
        <v>12883</v>
      </c>
      <c r="S1322" t="s">
        <v>12886</v>
      </c>
    </row>
    <row r="1323" spans="1:19" x14ac:dyDescent="0.25">
      <c r="A1323" t="s">
        <v>11970</v>
      </c>
      <c r="B1323" s="1">
        <v>45817</v>
      </c>
      <c r="C1323" t="s">
        <v>12888</v>
      </c>
      <c r="D1323" s="5">
        <v>0.86810185185185185</v>
      </c>
      <c r="E1323">
        <v>112.78</v>
      </c>
      <c r="F1323" t="s">
        <v>44</v>
      </c>
      <c r="G1323" t="s">
        <v>561</v>
      </c>
      <c r="H1323" t="s">
        <v>64</v>
      </c>
      <c r="I1323" t="s">
        <v>26</v>
      </c>
      <c r="J1323" t="s">
        <v>5134</v>
      </c>
      <c r="K1323">
        <v>39</v>
      </c>
      <c r="L1323" t="s">
        <v>49</v>
      </c>
      <c r="M1323" t="s">
        <v>35</v>
      </c>
      <c r="N1323" t="s">
        <v>105</v>
      </c>
      <c r="O1323" t="s">
        <v>28</v>
      </c>
      <c r="P1323" t="s">
        <v>31</v>
      </c>
      <c r="Q1323">
        <v>0</v>
      </c>
      <c r="R1323" t="s">
        <v>12883</v>
      </c>
      <c r="S1323" t="s">
        <v>12889</v>
      </c>
    </row>
    <row r="1324" spans="1:19" x14ac:dyDescent="0.25">
      <c r="A1324" t="s">
        <v>7117</v>
      </c>
      <c r="B1324" s="1">
        <v>45826</v>
      </c>
      <c r="C1324" t="s">
        <v>12888</v>
      </c>
      <c r="D1324" s="5">
        <v>0.65314814814814814</v>
      </c>
      <c r="E1324">
        <v>112.69</v>
      </c>
      <c r="F1324" t="s">
        <v>44</v>
      </c>
      <c r="G1324" t="s">
        <v>7118</v>
      </c>
      <c r="H1324" t="s">
        <v>34</v>
      </c>
      <c r="I1324" t="s">
        <v>58</v>
      </c>
      <c r="J1324" t="s">
        <v>7119</v>
      </c>
      <c r="K1324">
        <v>34</v>
      </c>
      <c r="L1324" t="s">
        <v>49</v>
      </c>
      <c r="M1324" t="s">
        <v>91</v>
      </c>
      <c r="N1324" t="s">
        <v>39</v>
      </c>
      <c r="O1324" t="s">
        <v>28</v>
      </c>
      <c r="P1324" t="s">
        <v>31</v>
      </c>
      <c r="Q1324">
        <v>0</v>
      </c>
      <c r="R1324" t="s">
        <v>12883</v>
      </c>
      <c r="S1324" t="s">
        <v>12889</v>
      </c>
    </row>
    <row r="1325" spans="1:19" x14ac:dyDescent="0.25">
      <c r="A1325" t="s">
        <v>11719</v>
      </c>
      <c r="B1325" s="1">
        <v>45791</v>
      </c>
      <c r="C1325" t="s">
        <v>12887</v>
      </c>
      <c r="D1325" s="5">
        <v>0.57630787037037035</v>
      </c>
      <c r="E1325">
        <v>112.58</v>
      </c>
      <c r="F1325" t="s">
        <v>44</v>
      </c>
      <c r="G1325" t="s">
        <v>3708</v>
      </c>
      <c r="H1325" t="s">
        <v>77</v>
      </c>
      <c r="I1325" t="s">
        <v>248</v>
      </c>
      <c r="J1325" t="s">
        <v>11720</v>
      </c>
      <c r="K1325">
        <v>61</v>
      </c>
      <c r="L1325" t="s">
        <v>49</v>
      </c>
      <c r="M1325" t="s">
        <v>26</v>
      </c>
      <c r="N1325" t="s">
        <v>27</v>
      </c>
      <c r="O1325" t="s">
        <v>28</v>
      </c>
      <c r="P1325" t="s">
        <v>31</v>
      </c>
      <c r="Q1325">
        <v>0</v>
      </c>
      <c r="R1325" t="s">
        <v>12883</v>
      </c>
      <c r="S1325" t="s">
        <v>12884</v>
      </c>
    </row>
    <row r="1326" spans="1:19" x14ac:dyDescent="0.25">
      <c r="A1326" t="s">
        <v>2394</v>
      </c>
      <c r="B1326" s="1">
        <v>45790</v>
      </c>
      <c r="C1326" t="s">
        <v>12887</v>
      </c>
      <c r="D1326" s="5">
        <v>0.1922800925925926</v>
      </c>
      <c r="E1326">
        <v>112.51</v>
      </c>
      <c r="F1326" t="s">
        <v>44</v>
      </c>
      <c r="G1326" t="s">
        <v>2395</v>
      </c>
      <c r="H1326" t="s">
        <v>46</v>
      </c>
      <c r="I1326" t="s">
        <v>130</v>
      </c>
      <c r="J1326" t="s">
        <v>2396</v>
      </c>
      <c r="K1326">
        <v>54</v>
      </c>
      <c r="L1326" t="s">
        <v>37</v>
      </c>
      <c r="M1326" t="s">
        <v>38</v>
      </c>
      <c r="N1326" t="s">
        <v>105</v>
      </c>
      <c r="O1326" t="s">
        <v>28</v>
      </c>
      <c r="P1326" t="s">
        <v>31</v>
      </c>
      <c r="Q1326">
        <v>0</v>
      </c>
      <c r="R1326" t="s">
        <v>12883</v>
      </c>
      <c r="S1326" t="s">
        <v>12886</v>
      </c>
    </row>
    <row r="1327" spans="1:19" x14ac:dyDescent="0.25">
      <c r="A1327" t="s">
        <v>742</v>
      </c>
      <c r="B1327" s="1">
        <v>45887</v>
      </c>
      <c r="C1327" t="s">
        <v>12893</v>
      </c>
      <c r="D1327" s="5">
        <v>0.49168981481481483</v>
      </c>
      <c r="E1327">
        <v>112.46</v>
      </c>
      <c r="F1327" t="s">
        <v>44</v>
      </c>
      <c r="G1327" t="s">
        <v>743</v>
      </c>
      <c r="H1327" t="s">
        <v>96</v>
      </c>
      <c r="I1327" t="s">
        <v>97</v>
      </c>
      <c r="J1327" t="s">
        <v>744</v>
      </c>
      <c r="K1327">
        <v>65</v>
      </c>
      <c r="L1327" t="s">
        <v>49</v>
      </c>
      <c r="M1327" t="s">
        <v>38</v>
      </c>
      <c r="N1327" t="s">
        <v>112</v>
      </c>
      <c r="O1327" t="s">
        <v>28</v>
      </c>
      <c r="P1327" t="s">
        <v>31</v>
      </c>
      <c r="Q1327">
        <v>0</v>
      </c>
      <c r="R1327" t="s">
        <v>12883</v>
      </c>
      <c r="S1327" t="s">
        <v>12884</v>
      </c>
    </row>
    <row r="1328" spans="1:19" x14ac:dyDescent="0.25">
      <c r="A1328" t="s">
        <v>1199</v>
      </c>
      <c r="B1328" s="1">
        <v>45796</v>
      </c>
      <c r="C1328" t="s">
        <v>12887</v>
      </c>
      <c r="D1328" s="5">
        <v>0.35547453703703702</v>
      </c>
      <c r="E1328">
        <v>112.35</v>
      </c>
      <c r="F1328" t="s">
        <v>44</v>
      </c>
      <c r="G1328" t="s">
        <v>1200</v>
      </c>
      <c r="H1328" t="s">
        <v>71</v>
      </c>
      <c r="I1328" t="s">
        <v>91</v>
      </c>
      <c r="J1328" t="s">
        <v>1201</v>
      </c>
      <c r="K1328">
        <v>51</v>
      </c>
      <c r="L1328" t="s">
        <v>49</v>
      </c>
      <c r="M1328" t="s">
        <v>97</v>
      </c>
      <c r="N1328" t="s">
        <v>112</v>
      </c>
      <c r="O1328" t="s">
        <v>28</v>
      </c>
      <c r="P1328" t="s">
        <v>31</v>
      </c>
      <c r="Q1328">
        <v>0</v>
      </c>
      <c r="R1328" t="s">
        <v>12883</v>
      </c>
      <c r="S1328" t="s">
        <v>12886</v>
      </c>
    </row>
    <row r="1329" spans="1:19" x14ac:dyDescent="0.25">
      <c r="A1329" t="s">
        <v>6499</v>
      </c>
      <c r="B1329" s="1">
        <v>45875</v>
      </c>
      <c r="C1329" t="s">
        <v>12893</v>
      </c>
      <c r="D1329" s="5">
        <v>0.33412037037037035</v>
      </c>
      <c r="E1329">
        <v>112.3</v>
      </c>
      <c r="F1329" t="s">
        <v>44</v>
      </c>
      <c r="G1329" t="s">
        <v>6500</v>
      </c>
      <c r="H1329" t="s">
        <v>71</v>
      </c>
      <c r="I1329" t="s">
        <v>23</v>
      </c>
      <c r="J1329" t="s">
        <v>6501</v>
      </c>
      <c r="K1329">
        <v>22</v>
      </c>
      <c r="L1329" t="s">
        <v>25</v>
      </c>
      <c r="M1329" t="s">
        <v>110</v>
      </c>
      <c r="N1329" t="s">
        <v>39</v>
      </c>
      <c r="O1329" t="s">
        <v>28</v>
      </c>
      <c r="P1329" t="s">
        <v>31</v>
      </c>
      <c r="Q1329">
        <v>0</v>
      </c>
      <c r="R1329" t="s">
        <v>12883</v>
      </c>
      <c r="S1329" t="s">
        <v>12892</v>
      </c>
    </row>
    <row r="1330" spans="1:19" x14ac:dyDescent="0.25">
      <c r="A1330" t="s">
        <v>11928</v>
      </c>
      <c r="B1330" s="1">
        <v>45790</v>
      </c>
      <c r="C1330" t="s">
        <v>12887</v>
      </c>
      <c r="D1330" s="5">
        <v>0.69773148148148145</v>
      </c>
      <c r="E1330">
        <v>112.25</v>
      </c>
      <c r="F1330" t="s">
        <v>44</v>
      </c>
      <c r="G1330" t="s">
        <v>7486</v>
      </c>
      <c r="H1330" t="s">
        <v>57</v>
      </c>
      <c r="I1330" t="s">
        <v>110</v>
      </c>
      <c r="J1330" t="s">
        <v>11929</v>
      </c>
      <c r="K1330">
        <v>56</v>
      </c>
      <c r="L1330" t="s">
        <v>37</v>
      </c>
      <c r="M1330" t="s">
        <v>97</v>
      </c>
      <c r="N1330" t="s">
        <v>51</v>
      </c>
      <c r="O1330" t="s">
        <v>28</v>
      </c>
      <c r="P1330" t="s">
        <v>31</v>
      </c>
      <c r="Q1330">
        <v>0</v>
      </c>
      <c r="R1330" t="s">
        <v>12883</v>
      </c>
      <c r="S1330" t="s">
        <v>12886</v>
      </c>
    </row>
    <row r="1331" spans="1:19" x14ac:dyDescent="0.25">
      <c r="A1331" t="s">
        <v>8558</v>
      </c>
      <c r="B1331" s="1">
        <v>45794</v>
      </c>
      <c r="C1331" t="s">
        <v>12887</v>
      </c>
      <c r="D1331" s="5">
        <v>0.61583333333333334</v>
      </c>
      <c r="E1331">
        <v>112.2</v>
      </c>
      <c r="F1331" t="s">
        <v>44</v>
      </c>
      <c r="G1331" t="s">
        <v>988</v>
      </c>
      <c r="H1331" t="s">
        <v>34</v>
      </c>
      <c r="I1331" t="s">
        <v>97</v>
      </c>
      <c r="J1331" t="s">
        <v>8559</v>
      </c>
      <c r="K1331">
        <v>66</v>
      </c>
      <c r="L1331" t="s">
        <v>37</v>
      </c>
      <c r="M1331" t="s">
        <v>35</v>
      </c>
      <c r="N1331" t="s">
        <v>27</v>
      </c>
      <c r="O1331" t="s">
        <v>28</v>
      </c>
      <c r="P1331" t="s">
        <v>31</v>
      </c>
      <c r="Q1331">
        <v>0</v>
      </c>
      <c r="R1331" t="s">
        <v>12883</v>
      </c>
      <c r="S1331" t="s">
        <v>12884</v>
      </c>
    </row>
    <row r="1332" spans="1:19" x14ac:dyDescent="0.25">
      <c r="A1332" t="s">
        <v>2035</v>
      </c>
      <c r="B1332" s="1">
        <v>45870</v>
      </c>
      <c r="C1332" t="s">
        <v>12893</v>
      </c>
      <c r="D1332" s="5">
        <v>0.68116898148148153</v>
      </c>
      <c r="E1332">
        <v>112.13</v>
      </c>
      <c r="F1332" t="s">
        <v>44</v>
      </c>
      <c r="G1332" t="s">
        <v>1133</v>
      </c>
      <c r="H1332" t="s">
        <v>57</v>
      </c>
      <c r="I1332" t="s">
        <v>47</v>
      </c>
      <c r="J1332" t="s">
        <v>2036</v>
      </c>
      <c r="K1332">
        <v>66</v>
      </c>
      <c r="L1332" t="s">
        <v>37</v>
      </c>
      <c r="M1332" t="s">
        <v>35</v>
      </c>
      <c r="N1332" t="s">
        <v>39</v>
      </c>
      <c r="O1332" t="s">
        <v>28</v>
      </c>
      <c r="P1332" t="s">
        <v>31</v>
      </c>
      <c r="Q1332">
        <v>0</v>
      </c>
      <c r="R1332" t="s">
        <v>12883</v>
      </c>
      <c r="S1332" t="s">
        <v>12884</v>
      </c>
    </row>
    <row r="1333" spans="1:19" x14ac:dyDescent="0.25">
      <c r="A1333" t="s">
        <v>1840</v>
      </c>
      <c r="B1333" s="1">
        <v>45893</v>
      </c>
      <c r="C1333" t="s">
        <v>12893</v>
      </c>
      <c r="D1333" s="5">
        <v>0.52377314814814813</v>
      </c>
      <c r="E1333">
        <v>111.99</v>
      </c>
      <c r="F1333" t="s">
        <v>44</v>
      </c>
      <c r="G1333" t="s">
        <v>1841</v>
      </c>
      <c r="H1333" t="s">
        <v>71</v>
      </c>
      <c r="I1333" t="s">
        <v>66</v>
      </c>
      <c r="J1333" t="s">
        <v>1842</v>
      </c>
      <c r="K1333">
        <v>71</v>
      </c>
      <c r="L1333" t="s">
        <v>25</v>
      </c>
      <c r="M1333" t="s">
        <v>47</v>
      </c>
      <c r="N1333" t="s">
        <v>39</v>
      </c>
      <c r="O1333" t="s">
        <v>28</v>
      </c>
      <c r="P1333" t="s">
        <v>31</v>
      </c>
      <c r="Q1333">
        <v>0</v>
      </c>
      <c r="R1333" t="s">
        <v>12883</v>
      </c>
      <c r="S1333" t="s">
        <v>12884</v>
      </c>
    </row>
    <row r="1334" spans="1:19" x14ac:dyDescent="0.25">
      <c r="A1334" t="s">
        <v>9967</v>
      </c>
      <c r="B1334" s="1">
        <v>45906</v>
      </c>
      <c r="C1334" t="s">
        <v>12882</v>
      </c>
      <c r="D1334" s="5">
        <v>0.59915509259259259</v>
      </c>
      <c r="E1334">
        <v>111.93</v>
      </c>
      <c r="F1334" t="s">
        <v>44</v>
      </c>
      <c r="G1334" t="s">
        <v>2543</v>
      </c>
      <c r="H1334" t="s">
        <v>64</v>
      </c>
      <c r="I1334" t="s">
        <v>130</v>
      </c>
      <c r="J1334" t="s">
        <v>9968</v>
      </c>
      <c r="K1334">
        <v>66</v>
      </c>
      <c r="L1334" t="s">
        <v>37</v>
      </c>
      <c r="M1334" t="s">
        <v>38</v>
      </c>
      <c r="N1334" t="s">
        <v>112</v>
      </c>
      <c r="O1334" t="s">
        <v>28</v>
      </c>
      <c r="P1334" t="s">
        <v>31</v>
      </c>
      <c r="Q1334">
        <v>0</v>
      </c>
      <c r="R1334" t="s">
        <v>12883</v>
      </c>
      <c r="S1334" t="s">
        <v>12884</v>
      </c>
    </row>
    <row r="1335" spans="1:19" x14ac:dyDescent="0.25">
      <c r="A1335" t="s">
        <v>4903</v>
      </c>
      <c r="B1335" s="1">
        <v>45879</v>
      </c>
      <c r="C1335" t="s">
        <v>12893</v>
      </c>
      <c r="D1335" s="5">
        <v>0.34250000000000003</v>
      </c>
      <c r="E1335">
        <v>111.84</v>
      </c>
      <c r="F1335" t="s">
        <v>44</v>
      </c>
      <c r="G1335" t="s">
        <v>3008</v>
      </c>
      <c r="H1335" t="s">
        <v>46</v>
      </c>
      <c r="I1335" t="s">
        <v>38</v>
      </c>
      <c r="J1335" t="s">
        <v>4904</v>
      </c>
      <c r="K1335">
        <v>21</v>
      </c>
      <c r="L1335" t="s">
        <v>37</v>
      </c>
      <c r="M1335" t="s">
        <v>23</v>
      </c>
      <c r="N1335" t="s">
        <v>105</v>
      </c>
      <c r="O1335" t="s">
        <v>28</v>
      </c>
      <c r="P1335" t="s">
        <v>31</v>
      </c>
      <c r="Q1335">
        <v>0</v>
      </c>
      <c r="R1335" t="s">
        <v>12883</v>
      </c>
      <c r="S1335" t="s">
        <v>12892</v>
      </c>
    </row>
    <row r="1336" spans="1:19" x14ac:dyDescent="0.25">
      <c r="A1336" t="s">
        <v>12384</v>
      </c>
      <c r="B1336" s="1">
        <v>45894</v>
      </c>
      <c r="C1336" t="s">
        <v>12893</v>
      </c>
      <c r="D1336" s="5">
        <v>0.95340277777777782</v>
      </c>
      <c r="E1336">
        <v>111.71</v>
      </c>
      <c r="F1336" t="s">
        <v>44</v>
      </c>
      <c r="G1336" t="s">
        <v>1766</v>
      </c>
      <c r="H1336" t="s">
        <v>77</v>
      </c>
      <c r="I1336" t="s">
        <v>58</v>
      </c>
      <c r="J1336" t="s">
        <v>12385</v>
      </c>
      <c r="K1336">
        <v>59</v>
      </c>
      <c r="L1336" t="s">
        <v>49</v>
      </c>
      <c r="M1336" t="s">
        <v>35</v>
      </c>
      <c r="N1336" t="s">
        <v>39</v>
      </c>
      <c r="O1336" t="s">
        <v>28</v>
      </c>
      <c r="P1336" t="s">
        <v>31</v>
      </c>
      <c r="Q1336">
        <v>0</v>
      </c>
      <c r="R1336" t="s">
        <v>12883</v>
      </c>
      <c r="S1336" t="s">
        <v>12886</v>
      </c>
    </row>
    <row r="1337" spans="1:19" x14ac:dyDescent="0.25">
      <c r="A1337" t="s">
        <v>4438</v>
      </c>
      <c r="B1337" s="1">
        <v>45866</v>
      </c>
      <c r="C1337" t="s">
        <v>12885</v>
      </c>
      <c r="D1337" s="5">
        <v>0.57681712962962961</v>
      </c>
      <c r="E1337">
        <v>111.43</v>
      </c>
      <c r="F1337" t="s">
        <v>44</v>
      </c>
      <c r="G1337" t="s">
        <v>1252</v>
      </c>
      <c r="H1337" t="s">
        <v>57</v>
      </c>
      <c r="I1337" t="s">
        <v>146</v>
      </c>
      <c r="J1337" t="s">
        <v>4439</v>
      </c>
      <c r="K1337">
        <v>57</v>
      </c>
      <c r="L1337" t="s">
        <v>49</v>
      </c>
      <c r="M1337" t="s">
        <v>38</v>
      </c>
      <c r="N1337" t="s">
        <v>39</v>
      </c>
      <c r="O1337" t="s">
        <v>28</v>
      </c>
      <c r="P1337" t="s">
        <v>31</v>
      </c>
      <c r="Q1337">
        <v>0</v>
      </c>
      <c r="R1337" t="s">
        <v>12883</v>
      </c>
      <c r="S1337" t="s">
        <v>12886</v>
      </c>
    </row>
    <row r="1338" spans="1:19" x14ac:dyDescent="0.25">
      <c r="A1338" t="s">
        <v>4527</v>
      </c>
      <c r="B1338" s="1">
        <v>45927</v>
      </c>
      <c r="C1338" t="s">
        <v>12882</v>
      </c>
      <c r="D1338" s="5">
        <v>0.18731481481481482</v>
      </c>
      <c r="E1338">
        <v>111.4</v>
      </c>
      <c r="F1338" t="s">
        <v>44</v>
      </c>
      <c r="G1338" t="s">
        <v>2878</v>
      </c>
      <c r="H1338" t="s">
        <v>77</v>
      </c>
      <c r="I1338" t="s">
        <v>146</v>
      </c>
      <c r="J1338" t="s">
        <v>4528</v>
      </c>
      <c r="K1338">
        <v>72</v>
      </c>
      <c r="L1338" t="s">
        <v>37</v>
      </c>
      <c r="M1338" t="s">
        <v>47</v>
      </c>
      <c r="N1338" t="s">
        <v>105</v>
      </c>
      <c r="O1338" t="s">
        <v>28</v>
      </c>
      <c r="P1338" t="s">
        <v>31</v>
      </c>
      <c r="Q1338">
        <v>0</v>
      </c>
      <c r="R1338" t="s">
        <v>12883</v>
      </c>
      <c r="S1338" t="s">
        <v>12884</v>
      </c>
    </row>
    <row r="1339" spans="1:19" x14ac:dyDescent="0.25">
      <c r="A1339" t="s">
        <v>6864</v>
      </c>
      <c r="B1339" s="1">
        <v>45928</v>
      </c>
      <c r="C1339" t="s">
        <v>12882</v>
      </c>
      <c r="D1339" s="5">
        <v>8.2870370370370372E-2</v>
      </c>
      <c r="E1339">
        <v>111.27</v>
      </c>
      <c r="F1339" t="s">
        <v>44</v>
      </c>
      <c r="G1339" t="s">
        <v>581</v>
      </c>
      <c r="H1339" t="s">
        <v>89</v>
      </c>
      <c r="I1339" t="s">
        <v>38</v>
      </c>
      <c r="J1339" t="s">
        <v>6865</v>
      </c>
      <c r="K1339">
        <v>45</v>
      </c>
      <c r="L1339" t="s">
        <v>49</v>
      </c>
      <c r="M1339" t="s">
        <v>119</v>
      </c>
      <c r="N1339" t="s">
        <v>51</v>
      </c>
      <c r="O1339" t="s">
        <v>28</v>
      </c>
      <c r="P1339" t="s">
        <v>31</v>
      </c>
      <c r="Q1339">
        <v>0</v>
      </c>
      <c r="R1339" t="s">
        <v>12883</v>
      </c>
      <c r="S1339" t="s">
        <v>12886</v>
      </c>
    </row>
    <row r="1340" spans="1:19" x14ac:dyDescent="0.25">
      <c r="A1340" t="s">
        <v>11843</v>
      </c>
      <c r="B1340" s="1">
        <v>45834</v>
      </c>
      <c r="C1340" t="s">
        <v>12888</v>
      </c>
      <c r="D1340" s="5">
        <v>0.60428240740740746</v>
      </c>
      <c r="E1340">
        <v>111.27</v>
      </c>
      <c r="F1340" t="s">
        <v>44</v>
      </c>
      <c r="G1340" t="s">
        <v>11844</v>
      </c>
      <c r="H1340" t="s">
        <v>22</v>
      </c>
      <c r="I1340" t="s">
        <v>97</v>
      </c>
      <c r="J1340" t="s">
        <v>11845</v>
      </c>
      <c r="K1340">
        <v>24</v>
      </c>
      <c r="L1340" t="s">
        <v>49</v>
      </c>
      <c r="M1340" t="s">
        <v>130</v>
      </c>
      <c r="N1340" t="s">
        <v>105</v>
      </c>
      <c r="O1340" t="s">
        <v>28</v>
      </c>
      <c r="P1340" t="s">
        <v>31</v>
      </c>
      <c r="Q1340">
        <v>0</v>
      </c>
      <c r="R1340" t="s">
        <v>12883</v>
      </c>
      <c r="S1340" t="s">
        <v>12892</v>
      </c>
    </row>
    <row r="1341" spans="1:19" x14ac:dyDescent="0.25">
      <c r="A1341" t="s">
        <v>3864</v>
      </c>
      <c r="B1341" s="1">
        <v>45878</v>
      </c>
      <c r="C1341" t="s">
        <v>12893</v>
      </c>
      <c r="D1341" s="5">
        <v>0.50305555555555559</v>
      </c>
      <c r="E1341">
        <v>111.25</v>
      </c>
      <c r="F1341" t="s">
        <v>44</v>
      </c>
      <c r="G1341" t="s">
        <v>1785</v>
      </c>
      <c r="H1341" t="s">
        <v>57</v>
      </c>
      <c r="I1341" t="s">
        <v>58</v>
      </c>
      <c r="J1341" t="s">
        <v>3865</v>
      </c>
      <c r="K1341">
        <v>45</v>
      </c>
      <c r="L1341" t="s">
        <v>37</v>
      </c>
      <c r="M1341" t="s">
        <v>248</v>
      </c>
      <c r="N1341" t="s">
        <v>51</v>
      </c>
      <c r="O1341" t="s">
        <v>28</v>
      </c>
      <c r="P1341" t="s">
        <v>31</v>
      </c>
      <c r="Q1341">
        <v>0</v>
      </c>
      <c r="R1341" t="s">
        <v>12883</v>
      </c>
      <c r="S1341" t="s">
        <v>12886</v>
      </c>
    </row>
    <row r="1342" spans="1:19" x14ac:dyDescent="0.25">
      <c r="A1342" t="s">
        <v>7481</v>
      </c>
      <c r="B1342" s="1">
        <v>45940</v>
      </c>
      <c r="C1342" t="s">
        <v>12890</v>
      </c>
      <c r="D1342" s="5">
        <v>0.22695601851851852</v>
      </c>
      <c r="E1342">
        <v>111.25</v>
      </c>
      <c r="F1342" t="s">
        <v>44</v>
      </c>
      <c r="G1342" t="s">
        <v>297</v>
      </c>
      <c r="H1342" t="s">
        <v>46</v>
      </c>
      <c r="I1342" t="s">
        <v>35</v>
      </c>
      <c r="J1342" t="s">
        <v>7482</v>
      </c>
      <c r="K1342">
        <v>66</v>
      </c>
      <c r="L1342" t="s">
        <v>37</v>
      </c>
      <c r="M1342" t="s">
        <v>119</v>
      </c>
      <c r="N1342" t="s">
        <v>112</v>
      </c>
      <c r="O1342" t="s">
        <v>28</v>
      </c>
      <c r="P1342" t="s">
        <v>31</v>
      </c>
      <c r="Q1342">
        <v>0</v>
      </c>
      <c r="R1342" t="s">
        <v>12883</v>
      </c>
      <c r="S1342" t="s">
        <v>12884</v>
      </c>
    </row>
    <row r="1343" spans="1:19" x14ac:dyDescent="0.25">
      <c r="A1343" t="s">
        <v>8625</v>
      </c>
      <c r="B1343" s="1">
        <v>45847</v>
      </c>
      <c r="C1343" t="s">
        <v>12885</v>
      </c>
      <c r="D1343" s="5">
        <v>0.94964120370370375</v>
      </c>
      <c r="E1343">
        <v>111.2</v>
      </c>
      <c r="F1343" t="s">
        <v>44</v>
      </c>
      <c r="G1343" t="s">
        <v>8626</v>
      </c>
      <c r="H1343" t="s">
        <v>77</v>
      </c>
      <c r="I1343" t="s">
        <v>66</v>
      </c>
      <c r="J1343" t="s">
        <v>8627</v>
      </c>
      <c r="K1343">
        <v>27</v>
      </c>
      <c r="L1343" t="s">
        <v>25</v>
      </c>
      <c r="M1343" t="s">
        <v>47</v>
      </c>
      <c r="N1343" t="s">
        <v>51</v>
      </c>
      <c r="O1343" t="s">
        <v>28</v>
      </c>
      <c r="P1343" t="s">
        <v>31</v>
      </c>
      <c r="Q1343">
        <v>0</v>
      </c>
      <c r="R1343" t="s">
        <v>12883</v>
      </c>
      <c r="S1343" t="s">
        <v>12889</v>
      </c>
    </row>
    <row r="1344" spans="1:19" x14ac:dyDescent="0.25">
      <c r="A1344" t="s">
        <v>12265</v>
      </c>
      <c r="B1344" s="1">
        <v>45844</v>
      </c>
      <c r="C1344" t="s">
        <v>12885</v>
      </c>
      <c r="D1344" s="5">
        <v>0.99633101851851846</v>
      </c>
      <c r="E1344">
        <v>111.19</v>
      </c>
      <c r="F1344" t="s">
        <v>44</v>
      </c>
      <c r="G1344" t="s">
        <v>5183</v>
      </c>
      <c r="H1344" t="s">
        <v>64</v>
      </c>
      <c r="I1344" t="s">
        <v>130</v>
      </c>
      <c r="J1344" t="s">
        <v>12266</v>
      </c>
      <c r="K1344">
        <v>58</v>
      </c>
      <c r="L1344" t="s">
        <v>49</v>
      </c>
      <c r="M1344" t="s">
        <v>248</v>
      </c>
      <c r="N1344" t="s">
        <v>39</v>
      </c>
      <c r="O1344" t="s">
        <v>28</v>
      </c>
      <c r="P1344" t="s">
        <v>31</v>
      </c>
      <c r="Q1344">
        <v>0</v>
      </c>
      <c r="R1344" t="s">
        <v>12883</v>
      </c>
      <c r="S1344" t="s">
        <v>12886</v>
      </c>
    </row>
    <row r="1345" spans="1:19" x14ac:dyDescent="0.25">
      <c r="A1345" t="s">
        <v>407</v>
      </c>
      <c r="B1345" s="1">
        <v>45910</v>
      </c>
      <c r="C1345" t="s">
        <v>12882</v>
      </c>
      <c r="D1345" s="5">
        <v>0.6330324074074074</v>
      </c>
      <c r="E1345">
        <v>111.15</v>
      </c>
      <c r="F1345" t="s">
        <v>44</v>
      </c>
      <c r="G1345" t="s">
        <v>408</v>
      </c>
      <c r="H1345" t="s">
        <v>22</v>
      </c>
      <c r="I1345" t="s">
        <v>97</v>
      </c>
      <c r="J1345" t="s">
        <v>409</v>
      </c>
      <c r="K1345">
        <v>13</v>
      </c>
      <c r="L1345" t="s">
        <v>49</v>
      </c>
      <c r="M1345" t="s">
        <v>47</v>
      </c>
      <c r="N1345" t="s">
        <v>84</v>
      </c>
      <c r="O1345" t="s">
        <v>28</v>
      </c>
      <c r="P1345" t="s">
        <v>31</v>
      </c>
      <c r="Q1345">
        <v>0</v>
      </c>
      <c r="R1345" t="s">
        <v>12883</v>
      </c>
      <c r="S1345" t="s">
        <v>12892</v>
      </c>
    </row>
    <row r="1346" spans="1:19" x14ac:dyDescent="0.25">
      <c r="A1346" t="s">
        <v>11210</v>
      </c>
      <c r="B1346" s="1">
        <v>45826</v>
      </c>
      <c r="C1346" t="s">
        <v>12888</v>
      </c>
      <c r="D1346" s="5">
        <v>0.73108796296296297</v>
      </c>
      <c r="E1346">
        <v>110.85</v>
      </c>
      <c r="F1346" t="s">
        <v>44</v>
      </c>
      <c r="G1346" t="s">
        <v>9168</v>
      </c>
      <c r="H1346" t="s">
        <v>22</v>
      </c>
      <c r="I1346" t="s">
        <v>58</v>
      </c>
      <c r="J1346" t="s">
        <v>11211</v>
      </c>
      <c r="K1346">
        <v>38</v>
      </c>
      <c r="L1346" t="s">
        <v>25</v>
      </c>
      <c r="M1346" t="s">
        <v>66</v>
      </c>
      <c r="N1346" t="s">
        <v>112</v>
      </c>
      <c r="O1346" t="s">
        <v>28</v>
      </c>
      <c r="P1346" t="s">
        <v>31</v>
      </c>
      <c r="Q1346">
        <v>0</v>
      </c>
      <c r="R1346" t="s">
        <v>12883</v>
      </c>
      <c r="S1346" t="s">
        <v>12889</v>
      </c>
    </row>
    <row r="1347" spans="1:19" x14ac:dyDescent="0.25">
      <c r="A1347" t="s">
        <v>1892</v>
      </c>
      <c r="B1347" s="1">
        <v>45911</v>
      </c>
      <c r="C1347" t="s">
        <v>12882</v>
      </c>
      <c r="D1347" s="5">
        <v>0.28378472222222223</v>
      </c>
      <c r="E1347">
        <v>110.8</v>
      </c>
      <c r="F1347" t="s">
        <v>44</v>
      </c>
      <c r="G1347" t="s">
        <v>1578</v>
      </c>
      <c r="H1347" t="s">
        <v>22</v>
      </c>
      <c r="I1347" t="s">
        <v>110</v>
      </c>
      <c r="J1347" t="s">
        <v>1893</v>
      </c>
      <c r="K1347">
        <v>47</v>
      </c>
      <c r="L1347" t="s">
        <v>37</v>
      </c>
      <c r="M1347" t="s">
        <v>130</v>
      </c>
      <c r="N1347" t="s">
        <v>84</v>
      </c>
      <c r="O1347" t="s">
        <v>28</v>
      </c>
      <c r="P1347" t="s">
        <v>31</v>
      </c>
      <c r="Q1347">
        <v>0</v>
      </c>
      <c r="R1347" t="s">
        <v>12883</v>
      </c>
      <c r="S1347" t="s">
        <v>12886</v>
      </c>
    </row>
    <row r="1348" spans="1:19" x14ac:dyDescent="0.25">
      <c r="A1348" t="s">
        <v>6953</v>
      </c>
      <c r="B1348" s="1">
        <v>45804</v>
      </c>
      <c r="C1348" t="s">
        <v>12887</v>
      </c>
      <c r="D1348" s="5">
        <v>0.739375</v>
      </c>
      <c r="E1348">
        <v>110.75</v>
      </c>
      <c r="F1348" t="s">
        <v>44</v>
      </c>
      <c r="G1348" t="s">
        <v>505</v>
      </c>
      <c r="H1348" t="s">
        <v>71</v>
      </c>
      <c r="I1348" t="s">
        <v>50</v>
      </c>
      <c r="J1348" t="s">
        <v>6954</v>
      </c>
      <c r="K1348">
        <v>30</v>
      </c>
      <c r="L1348" t="s">
        <v>37</v>
      </c>
      <c r="M1348" t="s">
        <v>35</v>
      </c>
      <c r="N1348" t="s">
        <v>27</v>
      </c>
      <c r="O1348" t="s">
        <v>28</v>
      </c>
      <c r="P1348" t="s">
        <v>31</v>
      </c>
      <c r="Q1348">
        <v>0</v>
      </c>
      <c r="R1348" t="s">
        <v>12883</v>
      </c>
      <c r="S1348" t="s">
        <v>12889</v>
      </c>
    </row>
    <row r="1349" spans="1:19" x14ac:dyDescent="0.25">
      <c r="A1349" t="s">
        <v>12082</v>
      </c>
      <c r="B1349" s="1">
        <v>45879</v>
      </c>
      <c r="C1349" t="s">
        <v>12893</v>
      </c>
      <c r="D1349" s="5">
        <v>0.1222337962962963</v>
      </c>
      <c r="E1349">
        <v>110.75</v>
      </c>
      <c r="F1349" t="s">
        <v>44</v>
      </c>
      <c r="G1349" t="s">
        <v>7408</v>
      </c>
      <c r="H1349" t="s">
        <v>77</v>
      </c>
      <c r="I1349" t="s">
        <v>38</v>
      </c>
      <c r="J1349" t="s">
        <v>12083</v>
      </c>
      <c r="K1349">
        <v>35</v>
      </c>
      <c r="L1349" t="s">
        <v>49</v>
      </c>
      <c r="M1349" t="s">
        <v>38</v>
      </c>
      <c r="N1349" t="s">
        <v>84</v>
      </c>
      <c r="O1349" t="s">
        <v>113</v>
      </c>
      <c r="P1349" t="s">
        <v>31</v>
      </c>
      <c r="Q1349">
        <v>0</v>
      </c>
      <c r="R1349" t="s">
        <v>12883</v>
      </c>
      <c r="S1349" t="s">
        <v>12889</v>
      </c>
    </row>
    <row r="1350" spans="1:19" x14ac:dyDescent="0.25">
      <c r="A1350" t="s">
        <v>5709</v>
      </c>
      <c r="B1350" s="1">
        <v>45788</v>
      </c>
      <c r="C1350" t="s">
        <v>12887</v>
      </c>
      <c r="D1350" s="5">
        <v>0.34157407407407409</v>
      </c>
      <c r="E1350">
        <v>110.48</v>
      </c>
      <c r="F1350" t="s">
        <v>44</v>
      </c>
      <c r="G1350" t="s">
        <v>2556</v>
      </c>
      <c r="H1350" t="s">
        <v>96</v>
      </c>
      <c r="I1350" t="s">
        <v>110</v>
      </c>
      <c r="J1350" t="s">
        <v>5710</v>
      </c>
      <c r="K1350">
        <v>28</v>
      </c>
      <c r="L1350" t="s">
        <v>49</v>
      </c>
      <c r="M1350" t="s">
        <v>110</v>
      </c>
      <c r="N1350" t="s">
        <v>105</v>
      </c>
      <c r="O1350" t="s">
        <v>113</v>
      </c>
      <c r="P1350" t="s">
        <v>31</v>
      </c>
      <c r="Q1350">
        <v>0</v>
      </c>
      <c r="R1350" t="s">
        <v>12883</v>
      </c>
      <c r="S1350" t="s">
        <v>12889</v>
      </c>
    </row>
    <row r="1351" spans="1:19" x14ac:dyDescent="0.25">
      <c r="A1351" t="s">
        <v>9434</v>
      </c>
      <c r="B1351" s="1">
        <v>45908</v>
      </c>
      <c r="C1351" t="s">
        <v>12882</v>
      </c>
      <c r="D1351" s="5">
        <v>0.49111111111111111</v>
      </c>
      <c r="E1351">
        <v>110.26</v>
      </c>
      <c r="F1351" t="s">
        <v>44</v>
      </c>
      <c r="G1351" t="s">
        <v>1647</v>
      </c>
      <c r="H1351" t="s">
        <v>46</v>
      </c>
      <c r="I1351" t="s">
        <v>248</v>
      </c>
      <c r="J1351" t="s">
        <v>9435</v>
      </c>
      <c r="K1351">
        <v>32</v>
      </c>
      <c r="L1351" t="s">
        <v>25</v>
      </c>
      <c r="M1351" t="s">
        <v>23</v>
      </c>
      <c r="N1351" t="s">
        <v>27</v>
      </c>
      <c r="O1351" t="s">
        <v>28</v>
      </c>
      <c r="P1351" t="s">
        <v>31</v>
      </c>
      <c r="Q1351">
        <v>0</v>
      </c>
      <c r="R1351" t="s">
        <v>12883</v>
      </c>
      <c r="S1351" t="s">
        <v>12889</v>
      </c>
    </row>
    <row r="1352" spans="1:19" x14ac:dyDescent="0.25">
      <c r="A1352" t="s">
        <v>1592</v>
      </c>
      <c r="B1352" s="1">
        <v>45831</v>
      </c>
      <c r="C1352" t="s">
        <v>12888</v>
      </c>
      <c r="D1352" s="5">
        <v>0.43605324074074076</v>
      </c>
      <c r="E1352">
        <v>110.25</v>
      </c>
      <c r="F1352" t="s">
        <v>44</v>
      </c>
      <c r="G1352" t="s">
        <v>1593</v>
      </c>
      <c r="H1352" t="s">
        <v>77</v>
      </c>
      <c r="I1352" t="s">
        <v>248</v>
      </c>
      <c r="J1352" t="s">
        <v>1594</v>
      </c>
      <c r="K1352">
        <v>35</v>
      </c>
      <c r="L1352" t="s">
        <v>37</v>
      </c>
      <c r="M1352" t="s">
        <v>91</v>
      </c>
      <c r="N1352" t="s">
        <v>84</v>
      </c>
      <c r="O1352" t="s">
        <v>28</v>
      </c>
      <c r="P1352" t="s">
        <v>31</v>
      </c>
      <c r="Q1352">
        <v>0</v>
      </c>
      <c r="R1352" t="s">
        <v>12883</v>
      </c>
      <c r="S1352" t="s">
        <v>12889</v>
      </c>
    </row>
    <row r="1353" spans="1:19" x14ac:dyDescent="0.25">
      <c r="A1353" t="s">
        <v>6796</v>
      </c>
      <c r="B1353" s="1">
        <v>45844</v>
      </c>
      <c r="C1353" t="s">
        <v>12885</v>
      </c>
      <c r="D1353" s="5">
        <v>0.2050925925925926</v>
      </c>
      <c r="E1353">
        <v>110.2</v>
      </c>
      <c r="F1353" t="s">
        <v>44</v>
      </c>
      <c r="G1353" t="s">
        <v>33</v>
      </c>
      <c r="H1353" t="s">
        <v>57</v>
      </c>
      <c r="I1353" t="s">
        <v>47</v>
      </c>
      <c r="J1353" t="s">
        <v>6797</v>
      </c>
      <c r="K1353">
        <v>25</v>
      </c>
      <c r="L1353" t="s">
        <v>49</v>
      </c>
      <c r="M1353" t="s">
        <v>58</v>
      </c>
      <c r="N1353" t="s">
        <v>105</v>
      </c>
      <c r="O1353" t="s">
        <v>28</v>
      </c>
      <c r="P1353" t="s">
        <v>31</v>
      </c>
      <c r="Q1353">
        <v>0</v>
      </c>
      <c r="R1353" t="s">
        <v>12883</v>
      </c>
      <c r="S1353" t="s">
        <v>12889</v>
      </c>
    </row>
    <row r="1354" spans="1:19" x14ac:dyDescent="0.25">
      <c r="A1354" t="s">
        <v>6347</v>
      </c>
      <c r="B1354" s="1">
        <v>45816</v>
      </c>
      <c r="C1354" t="s">
        <v>12888</v>
      </c>
      <c r="D1354" s="5">
        <v>0.15920138888888888</v>
      </c>
      <c r="E1354">
        <v>110.07</v>
      </c>
      <c r="F1354" t="s">
        <v>44</v>
      </c>
      <c r="G1354" t="s">
        <v>551</v>
      </c>
      <c r="H1354" t="s">
        <v>71</v>
      </c>
      <c r="I1354" t="s">
        <v>97</v>
      </c>
      <c r="J1354" t="s">
        <v>6348</v>
      </c>
      <c r="K1354">
        <v>21</v>
      </c>
      <c r="L1354" t="s">
        <v>37</v>
      </c>
      <c r="M1354" t="s">
        <v>38</v>
      </c>
      <c r="N1354" t="s">
        <v>105</v>
      </c>
      <c r="O1354" t="s">
        <v>28</v>
      </c>
      <c r="P1354" t="s">
        <v>31</v>
      </c>
      <c r="Q1354">
        <v>0</v>
      </c>
      <c r="R1354" t="s">
        <v>12883</v>
      </c>
      <c r="S1354" t="s">
        <v>12892</v>
      </c>
    </row>
    <row r="1355" spans="1:19" x14ac:dyDescent="0.25">
      <c r="A1355" t="s">
        <v>11088</v>
      </c>
      <c r="B1355" s="1">
        <v>45915</v>
      </c>
      <c r="C1355" t="s">
        <v>12882</v>
      </c>
      <c r="D1355" s="5">
        <v>0.28703703703703703</v>
      </c>
      <c r="E1355">
        <v>110.02</v>
      </c>
      <c r="F1355" t="s">
        <v>44</v>
      </c>
      <c r="G1355" t="s">
        <v>3074</v>
      </c>
      <c r="H1355" t="s">
        <v>124</v>
      </c>
      <c r="I1355" t="s">
        <v>66</v>
      </c>
      <c r="J1355" t="s">
        <v>11089</v>
      </c>
      <c r="K1355">
        <v>75</v>
      </c>
      <c r="L1355" t="s">
        <v>37</v>
      </c>
      <c r="M1355" t="s">
        <v>91</v>
      </c>
      <c r="N1355" t="s">
        <v>27</v>
      </c>
      <c r="O1355" t="s">
        <v>28</v>
      </c>
      <c r="P1355" t="s">
        <v>31</v>
      </c>
      <c r="Q1355">
        <v>0</v>
      </c>
      <c r="R1355" t="s">
        <v>12883</v>
      </c>
      <c r="S1355" t="s">
        <v>12884</v>
      </c>
    </row>
    <row r="1356" spans="1:19" x14ac:dyDescent="0.25">
      <c r="A1356" t="s">
        <v>1803</v>
      </c>
      <c r="B1356" s="1">
        <v>45866</v>
      </c>
      <c r="C1356" t="s">
        <v>12885</v>
      </c>
      <c r="D1356" s="5">
        <v>2.8344907407407409E-2</v>
      </c>
      <c r="E1356">
        <v>110.01</v>
      </c>
      <c r="F1356" t="s">
        <v>44</v>
      </c>
      <c r="G1356" t="s">
        <v>1804</v>
      </c>
      <c r="H1356" t="s">
        <v>34</v>
      </c>
      <c r="I1356" t="s">
        <v>97</v>
      </c>
      <c r="J1356" t="s">
        <v>1805</v>
      </c>
      <c r="K1356">
        <v>44</v>
      </c>
      <c r="L1356" t="s">
        <v>49</v>
      </c>
      <c r="M1356" t="s">
        <v>23</v>
      </c>
      <c r="N1356" t="s">
        <v>112</v>
      </c>
      <c r="O1356" t="s">
        <v>28</v>
      </c>
      <c r="P1356" t="s">
        <v>31</v>
      </c>
      <c r="Q1356">
        <v>0</v>
      </c>
      <c r="R1356" t="s">
        <v>12883</v>
      </c>
      <c r="S1356" t="s">
        <v>12886</v>
      </c>
    </row>
    <row r="1357" spans="1:19" x14ac:dyDescent="0.25">
      <c r="A1357" t="s">
        <v>11749</v>
      </c>
      <c r="B1357" s="1">
        <v>45787</v>
      </c>
      <c r="C1357" t="s">
        <v>12887</v>
      </c>
      <c r="D1357" s="5">
        <v>0.96709490740740744</v>
      </c>
      <c r="E1357">
        <v>109.99</v>
      </c>
      <c r="F1357" t="s">
        <v>44</v>
      </c>
      <c r="G1357" t="s">
        <v>4899</v>
      </c>
      <c r="H1357" t="s">
        <v>57</v>
      </c>
      <c r="I1357" t="s">
        <v>23</v>
      </c>
      <c r="J1357" t="s">
        <v>11750</v>
      </c>
      <c r="K1357">
        <v>34</v>
      </c>
      <c r="L1357" t="s">
        <v>37</v>
      </c>
      <c r="M1357" t="s">
        <v>47</v>
      </c>
      <c r="N1357" t="s">
        <v>84</v>
      </c>
      <c r="O1357" t="s">
        <v>28</v>
      </c>
      <c r="P1357" t="s">
        <v>31</v>
      </c>
      <c r="Q1357">
        <v>0</v>
      </c>
      <c r="R1357" t="s">
        <v>12883</v>
      </c>
      <c r="S1357" t="s">
        <v>12889</v>
      </c>
    </row>
    <row r="1358" spans="1:19" x14ac:dyDescent="0.25">
      <c r="A1358" t="s">
        <v>3180</v>
      </c>
      <c r="B1358" s="1">
        <v>45920</v>
      </c>
      <c r="C1358" t="s">
        <v>12882</v>
      </c>
      <c r="D1358" s="5">
        <v>9.043981481481482E-2</v>
      </c>
      <c r="E1358">
        <v>109.98</v>
      </c>
      <c r="F1358" t="s">
        <v>44</v>
      </c>
      <c r="G1358" t="s">
        <v>1593</v>
      </c>
      <c r="H1358" t="s">
        <v>124</v>
      </c>
      <c r="I1358" t="s">
        <v>47</v>
      </c>
      <c r="J1358" t="s">
        <v>3181</v>
      </c>
      <c r="K1358">
        <v>75</v>
      </c>
      <c r="L1358" t="s">
        <v>37</v>
      </c>
      <c r="M1358" t="s">
        <v>38</v>
      </c>
      <c r="N1358" t="s">
        <v>105</v>
      </c>
      <c r="O1358" t="s">
        <v>28</v>
      </c>
      <c r="P1358" t="s">
        <v>31</v>
      </c>
      <c r="Q1358">
        <v>0</v>
      </c>
      <c r="R1358" t="s">
        <v>12883</v>
      </c>
      <c r="S1358" t="s">
        <v>12884</v>
      </c>
    </row>
    <row r="1359" spans="1:19" x14ac:dyDescent="0.25">
      <c r="A1359" t="s">
        <v>12674</v>
      </c>
      <c r="B1359" s="1">
        <v>45795</v>
      </c>
      <c r="C1359" t="s">
        <v>12887</v>
      </c>
      <c r="D1359" s="5">
        <v>0.84243055555555557</v>
      </c>
      <c r="E1359">
        <v>109.96</v>
      </c>
      <c r="F1359" t="s">
        <v>44</v>
      </c>
      <c r="G1359" t="s">
        <v>5072</v>
      </c>
      <c r="H1359" t="s">
        <v>57</v>
      </c>
      <c r="I1359" t="s">
        <v>58</v>
      </c>
      <c r="J1359" t="s">
        <v>12675</v>
      </c>
      <c r="K1359">
        <v>47</v>
      </c>
      <c r="L1359" t="s">
        <v>49</v>
      </c>
      <c r="M1359" t="s">
        <v>91</v>
      </c>
      <c r="N1359" t="s">
        <v>27</v>
      </c>
      <c r="O1359" t="s">
        <v>28</v>
      </c>
      <c r="P1359" t="s">
        <v>31</v>
      </c>
      <c r="Q1359">
        <v>0</v>
      </c>
      <c r="R1359" t="s">
        <v>12883</v>
      </c>
      <c r="S1359" t="s">
        <v>12886</v>
      </c>
    </row>
    <row r="1360" spans="1:19" x14ac:dyDescent="0.25">
      <c r="A1360" t="s">
        <v>6031</v>
      </c>
      <c r="B1360" s="1">
        <v>45902</v>
      </c>
      <c r="C1360" t="s">
        <v>12882</v>
      </c>
      <c r="D1360" s="5">
        <v>0.46491898148148147</v>
      </c>
      <c r="E1360">
        <v>109.85</v>
      </c>
      <c r="F1360" t="s">
        <v>44</v>
      </c>
      <c r="G1360" t="s">
        <v>408</v>
      </c>
      <c r="H1360" t="s">
        <v>124</v>
      </c>
      <c r="I1360" t="s">
        <v>50</v>
      </c>
      <c r="J1360" t="s">
        <v>6032</v>
      </c>
      <c r="K1360">
        <v>10</v>
      </c>
      <c r="L1360" t="s">
        <v>37</v>
      </c>
      <c r="M1360" t="s">
        <v>146</v>
      </c>
      <c r="N1360" t="s">
        <v>112</v>
      </c>
      <c r="O1360" t="s">
        <v>28</v>
      </c>
      <c r="P1360" t="s">
        <v>31</v>
      </c>
      <c r="Q1360">
        <v>0</v>
      </c>
      <c r="R1360" t="s">
        <v>12883</v>
      </c>
      <c r="S1360" t="s">
        <v>12892</v>
      </c>
    </row>
    <row r="1361" spans="1:19" x14ac:dyDescent="0.25">
      <c r="A1361" t="s">
        <v>963</v>
      </c>
      <c r="B1361" s="1">
        <v>45951</v>
      </c>
      <c r="C1361" t="s">
        <v>12890</v>
      </c>
      <c r="D1361" s="5">
        <v>0.42925925925925928</v>
      </c>
      <c r="E1361">
        <v>109.82</v>
      </c>
      <c r="F1361" t="s">
        <v>44</v>
      </c>
      <c r="G1361" t="s">
        <v>748</v>
      </c>
      <c r="H1361" t="s">
        <v>46</v>
      </c>
      <c r="I1361" t="s">
        <v>110</v>
      </c>
      <c r="J1361" t="s">
        <v>964</v>
      </c>
      <c r="K1361">
        <v>45</v>
      </c>
      <c r="L1361" t="s">
        <v>37</v>
      </c>
      <c r="M1361" t="s">
        <v>91</v>
      </c>
      <c r="N1361" t="s">
        <v>112</v>
      </c>
      <c r="O1361" t="s">
        <v>28</v>
      </c>
      <c r="P1361" t="s">
        <v>31</v>
      </c>
      <c r="Q1361">
        <v>0</v>
      </c>
      <c r="R1361" t="s">
        <v>12883</v>
      </c>
      <c r="S1361" t="s">
        <v>12886</v>
      </c>
    </row>
    <row r="1362" spans="1:19" x14ac:dyDescent="0.25">
      <c r="A1362" t="s">
        <v>5958</v>
      </c>
      <c r="B1362" s="1">
        <v>45885</v>
      </c>
      <c r="C1362" t="s">
        <v>12893</v>
      </c>
      <c r="D1362" s="5">
        <v>0.38337962962962963</v>
      </c>
      <c r="E1362">
        <v>109.79</v>
      </c>
      <c r="F1362" t="s">
        <v>44</v>
      </c>
      <c r="G1362" t="s">
        <v>1257</v>
      </c>
      <c r="H1362" t="s">
        <v>77</v>
      </c>
      <c r="I1362" t="s">
        <v>58</v>
      </c>
      <c r="J1362" t="s">
        <v>5959</v>
      </c>
      <c r="K1362">
        <v>67</v>
      </c>
      <c r="L1362" t="s">
        <v>37</v>
      </c>
      <c r="M1362" t="s">
        <v>146</v>
      </c>
      <c r="N1362" t="s">
        <v>112</v>
      </c>
      <c r="O1362" t="s">
        <v>28</v>
      </c>
      <c r="P1362" t="s">
        <v>31</v>
      </c>
      <c r="Q1362">
        <v>0</v>
      </c>
      <c r="R1362" t="s">
        <v>12883</v>
      </c>
      <c r="S1362" t="s">
        <v>12884</v>
      </c>
    </row>
    <row r="1363" spans="1:19" x14ac:dyDescent="0.25">
      <c r="A1363" t="s">
        <v>4149</v>
      </c>
      <c r="B1363" s="1">
        <v>45942</v>
      </c>
      <c r="C1363" t="s">
        <v>12890</v>
      </c>
      <c r="D1363" s="5">
        <v>0.65297453703703701</v>
      </c>
      <c r="E1363">
        <v>109.72</v>
      </c>
      <c r="F1363" t="s">
        <v>44</v>
      </c>
      <c r="G1363" t="s">
        <v>4150</v>
      </c>
      <c r="H1363" t="s">
        <v>57</v>
      </c>
      <c r="I1363" t="s">
        <v>248</v>
      </c>
      <c r="J1363" t="s">
        <v>4151</v>
      </c>
      <c r="K1363">
        <v>26</v>
      </c>
      <c r="L1363" t="s">
        <v>49</v>
      </c>
      <c r="M1363" t="s">
        <v>58</v>
      </c>
      <c r="N1363" t="s">
        <v>84</v>
      </c>
      <c r="O1363" t="s">
        <v>28</v>
      </c>
      <c r="P1363" t="s">
        <v>31</v>
      </c>
      <c r="Q1363">
        <v>0</v>
      </c>
      <c r="R1363" t="s">
        <v>12883</v>
      </c>
      <c r="S1363" t="s">
        <v>12889</v>
      </c>
    </row>
    <row r="1364" spans="1:19" x14ac:dyDescent="0.25">
      <c r="A1364" t="s">
        <v>4796</v>
      </c>
      <c r="B1364" s="1">
        <v>45837</v>
      </c>
      <c r="C1364" t="s">
        <v>12888</v>
      </c>
      <c r="D1364" s="5">
        <v>0.98207175925925927</v>
      </c>
      <c r="E1364">
        <v>109.66</v>
      </c>
      <c r="F1364" t="s">
        <v>44</v>
      </c>
      <c r="G1364" t="s">
        <v>4797</v>
      </c>
      <c r="H1364" t="s">
        <v>71</v>
      </c>
      <c r="I1364" t="s">
        <v>26</v>
      </c>
      <c r="J1364" t="s">
        <v>4798</v>
      </c>
      <c r="K1364">
        <v>49</v>
      </c>
      <c r="L1364" t="s">
        <v>37</v>
      </c>
      <c r="M1364" t="s">
        <v>130</v>
      </c>
      <c r="N1364" t="s">
        <v>112</v>
      </c>
      <c r="O1364" t="s">
        <v>28</v>
      </c>
      <c r="P1364" t="s">
        <v>31</v>
      </c>
      <c r="Q1364">
        <v>0</v>
      </c>
      <c r="R1364" t="s">
        <v>12883</v>
      </c>
      <c r="S1364" t="s">
        <v>12886</v>
      </c>
    </row>
    <row r="1365" spans="1:19" x14ac:dyDescent="0.25">
      <c r="A1365" t="s">
        <v>540</v>
      </c>
      <c r="B1365" s="1">
        <v>45885</v>
      </c>
      <c r="C1365" t="s">
        <v>12893</v>
      </c>
      <c r="D1365" s="5">
        <v>0.80859953703703702</v>
      </c>
      <c r="E1365">
        <v>109.59</v>
      </c>
      <c r="F1365" t="s">
        <v>44</v>
      </c>
      <c r="G1365" t="s">
        <v>541</v>
      </c>
      <c r="H1365" t="s">
        <v>34</v>
      </c>
      <c r="I1365" t="s">
        <v>35</v>
      </c>
      <c r="J1365" t="s">
        <v>542</v>
      </c>
      <c r="K1365">
        <v>29</v>
      </c>
      <c r="L1365" t="s">
        <v>37</v>
      </c>
      <c r="M1365" t="s">
        <v>248</v>
      </c>
      <c r="N1365" t="s">
        <v>84</v>
      </c>
      <c r="O1365" t="s">
        <v>28</v>
      </c>
      <c r="P1365" t="s">
        <v>31</v>
      </c>
      <c r="Q1365">
        <v>0</v>
      </c>
      <c r="R1365" t="s">
        <v>12883</v>
      </c>
      <c r="S1365" t="s">
        <v>12889</v>
      </c>
    </row>
    <row r="1366" spans="1:19" x14ac:dyDescent="0.25">
      <c r="A1366" t="s">
        <v>8758</v>
      </c>
      <c r="B1366" s="1">
        <v>45896</v>
      </c>
      <c r="C1366" t="s">
        <v>12893</v>
      </c>
      <c r="D1366" s="5">
        <v>0.62728009259259254</v>
      </c>
      <c r="E1366">
        <v>109.54</v>
      </c>
      <c r="F1366" t="s">
        <v>44</v>
      </c>
      <c r="G1366" t="s">
        <v>5147</v>
      </c>
      <c r="H1366" t="s">
        <v>22</v>
      </c>
      <c r="I1366" t="s">
        <v>23</v>
      </c>
      <c r="J1366" t="s">
        <v>8759</v>
      </c>
      <c r="K1366">
        <v>99</v>
      </c>
      <c r="L1366" t="s">
        <v>25</v>
      </c>
      <c r="M1366" t="s">
        <v>23</v>
      </c>
      <c r="N1366" t="s">
        <v>112</v>
      </c>
      <c r="O1366" t="s">
        <v>113</v>
      </c>
      <c r="P1366" t="s">
        <v>31</v>
      </c>
      <c r="Q1366">
        <v>0</v>
      </c>
      <c r="R1366" t="s">
        <v>12883</v>
      </c>
      <c r="S1366" t="s">
        <v>12884</v>
      </c>
    </row>
    <row r="1367" spans="1:19" x14ac:dyDescent="0.25">
      <c r="A1367" t="s">
        <v>10146</v>
      </c>
      <c r="B1367" s="1">
        <v>45936</v>
      </c>
      <c r="C1367" t="s">
        <v>12890</v>
      </c>
      <c r="D1367" s="5">
        <v>0.67200231481481476</v>
      </c>
      <c r="E1367">
        <v>109.52</v>
      </c>
      <c r="F1367" t="s">
        <v>44</v>
      </c>
      <c r="G1367" t="s">
        <v>4379</v>
      </c>
      <c r="H1367" t="s">
        <v>89</v>
      </c>
      <c r="I1367" t="s">
        <v>110</v>
      </c>
      <c r="J1367" t="s">
        <v>10147</v>
      </c>
      <c r="K1367">
        <v>70</v>
      </c>
      <c r="L1367" t="s">
        <v>49</v>
      </c>
      <c r="M1367" t="s">
        <v>58</v>
      </c>
      <c r="N1367" t="s">
        <v>51</v>
      </c>
      <c r="O1367" t="s">
        <v>28</v>
      </c>
      <c r="P1367" t="s">
        <v>31</v>
      </c>
      <c r="Q1367">
        <v>0</v>
      </c>
      <c r="R1367" t="s">
        <v>12883</v>
      </c>
      <c r="S1367" t="s">
        <v>12884</v>
      </c>
    </row>
    <row r="1368" spans="1:19" x14ac:dyDescent="0.25">
      <c r="A1368" t="s">
        <v>4877</v>
      </c>
      <c r="B1368" s="1">
        <v>45928</v>
      </c>
      <c r="C1368" t="s">
        <v>12882</v>
      </c>
      <c r="D1368" s="5">
        <v>0.14853009259259259</v>
      </c>
      <c r="E1368">
        <v>109.29</v>
      </c>
      <c r="F1368" t="s">
        <v>44</v>
      </c>
      <c r="G1368" t="s">
        <v>1163</v>
      </c>
      <c r="H1368" t="s">
        <v>22</v>
      </c>
      <c r="I1368" t="s">
        <v>130</v>
      </c>
      <c r="J1368" t="s">
        <v>4878</v>
      </c>
      <c r="K1368">
        <v>46</v>
      </c>
      <c r="L1368" t="s">
        <v>49</v>
      </c>
      <c r="M1368" t="s">
        <v>66</v>
      </c>
      <c r="N1368" t="s">
        <v>112</v>
      </c>
      <c r="O1368" t="s">
        <v>28</v>
      </c>
      <c r="P1368" t="s">
        <v>31</v>
      </c>
      <c r="Q1368">
        <v>0</v>
      </c>
      <c r="R1368" t="s">
        <v>12883</v>
      </c>
      <c r="S1368" t="s">
        <v>12886</v>
      </c>
    </row>
    <row r="1369" spans="1:19" x14ac:dyDescent="0.25">
      <c r="A1369" t="s">
        <v>8298</v>
      </c>
      <c r="B1369" s="1">
        <v>45841</v>
      </c>
      <c r="C1369" t="s">
        <v>12885</v>
      </c>
      <c r="D1369" s="5">
        <v>0.63373842592592589</v>
      </c>
      <c r="E1369">
        <v>109.25</v>
      </c>
      <c r="F1369" t="s">
        <v>44</v>
      </c>
      <c r="G1369" t="s">
        <v>428</v>
      </c>
      <c r="H1369" t="s">
        <v>64</v>
      </c>
      <c r="I1369" t="s">
        <v>38</v>
      </c>
      <c r="J1369" t="s">
        <v>8299</v>
      </c>
      <c r="K1369">
        <v>28</v>
      </c>
      <c r="L1369" t="s">
        <v>37</v>
      </c>
      <c r="M1369" t="s">
        <v>119</v>
      </c>
      <c r="N1369" t="s">
        <v>112</v>
      </c>
      <c r="O1369" t="s">
        <v>28</v>
      </c>
      <c r="P1369" t="s">
        <v>31</v>
      </c>
      <c r="Q1369">
        <v>0</v>
      </c>
      <c r="R1369" t="s">
        <v>12883</v>
      </c>
      <c r="S1369" t="s">
        <v>12889</v>
      </c>
    </row>
    <row r="1370" spans="1:19" x14ac:dyDescent="0.25">
      <c r="A1370" t="s">
        <v>12208</v>
      </c>
      <c r="B1370" s="1">
        <v>45955</v>
      </c>
      <c r="C1370" t="s">
        <v>12890</v>
      </c>
      <c r="D1370" s="5">
        <v>0.86193287037037036</v>
      </c>
      <c r="E1370">
        <v>109.22</v>
      </c>
      <c r="F1370" t="s">
        <v>44</v>
      </c>
      <c r="G1370" t="s">
        <v>6728</v>
      </c>
      <c r="H1370" t="s">
        <v>124</v>
      </c>
      <c r="I1370" t="s">
        <v>38</v>
      </c>
      <c r="J1370" t="s">
        <v>12209</v>
      </c>
      <c r="K1370">
        <v>34</v>
      </c>
      <c r="L1370" t="s">
        <v>49</v>
      </c>
      <c r="M1370" t="s">
        <v>35</v>
      </c>
      <c r="N1370" t="s">
        <v>39</v>
      </c>
      <c r="O1370" t="s">
        <v>28</v>
      </c>
      <c r="P1370" t="s">
        <v>31</v>
      </c>
      <c r="Q1370">
        <v>0</v>
      </c>
      <c r="R1370" t="s">
        <v>12883</v>
      </c>
      <c r="S1370" t="s">
        <v>12889</v>
      </c>
    </row>
    <row r="1371" spans="1:19" x14ac:dyDescent="0.25">
      <c r="A1371" t="s">
        <v>3025</v>
      </c>
      <c r="B1371" s="1">
        <v>45928</v>
      </c>
      <c r="C1371" t="s">
        <v>12882</v>
      </c>
      <c r="D1371" s="5">
        <v>0.17850694444444445</v>
      </c>
      <c r="E1371">
        <v>109.15</v>
      </c>
      <c r="F1371" t="s">
        <v>44</v>
      </c>
      <c r="G1371" t="s">
        <v>3026</v>
      </c>
      <c r="H1371" t="s">
        <v>77</v>
      </c>
      <c r="I1371" t="s">
        <v>110</v>
      </c>
      <c r="J1371" t="s">
        <v>3027</v>
      </c>
      <c r="K1371">
        <v>55</v>
      </c>
      <c r="L1371" t="s">
        <v>37</v>
      </c>
      <c r="M1371" t="s">
        <v>26</v>
      </c>
      <c r="N1371" t="s">
        <v>51</v>
      </c>
      <c r="O1371" t="s">
        <v>28</v>
      </c>
      <c r="P1371" t="s">
        <v>31</v>
      </c>
      <c r="Q1371">
        <v>0</v>
      </c>
      <c r="R1371" t="s">
        <v>12883</v>
      </c>
      <c r="S1371" t="s">
        <v>12886</v>
      </c>
    </row>
    <row r="1372" spans="1:19" x14ac:dyDescent="0.25">
      <c r="A1372" t="s">
        <v>4472</v>
      </c>
      <c r="B1372" s="1">
        <v>45958</v>
      </c>
      <c r="C1372" t="s">
        <v>12890</v>
      </c>
      <c r="D1372" s="5">
        <v>0.54386574074074079</v>
      </c>
      <c r="E1372">
        <v>109.15</v>
      </c>
      <c r="F1372" t="s">
        <v>44</v>
      </c>
      <c r="G1372" t="s">
        <v>4473</v>
      </c>
      <c r="H1372" t="s">
        <v>57</v>
      </c>
      <c r="I1372" t="s">
        <v>91</v>
      </c>
      <c r="J1372" t="s">
        <v>4474</v>
      </c>
      <c r="K1372">
        <v>28</v>
      </c>
      <c r="L1372" t="s">
        <v>37</v>
      </c>
      <c r="M1372" t="s">
        <v>91</v>
      </c>
      <c r="N1372" t="s">
        <v>27</v>
      </c>
      <c r="O1372" t="s">
        <v>113</v>
      </c>
      <c r="P1372" t="s">
        <v>31</v>
      </c>
      <c r="Q1372">
        <v>1</v>
      </c>
      <c r="R1372" t="s">
        <v>12891</v>
      </c>
      <c r="S1372" t="s">
        <v>12889</v>
      </c>
    </row>
    <row r="1373" spans="1:19" x14ac:dyDescent="0.25">
      <c r="A1373" t="s">
        <v>5451</v>
      </c>
      <c r="B1373" s="1">
        <v>45868</v>
      </c>
      <c r="C1373" t="s">
        <v>12885</v>
      </c>
      <c r="D1373" s="5">
        <v>0.12972222222222221</v>
      </c>
      <c r="E1373">
        <v>108.87</v>
      </c>
      <c r="F1373" t="s">
        <v>44</v>
      </c>
      <c r="G1373" t="s">
        <v>586</v>
      </c>
      <c r="H1373" t="s">
        <v>34</v>
      </c>
      <c r="I1373" t="s">
        <v>35</v>
      </c>
      <c r="J1373" t="s">
        <v>5452</v>
      </c>
      <c r="K1373">
        <v>21</v>
      </c>
      <c r="L1373" t="s">
        <v>25</v>
      </c>
      <c r="M1373" t="s">
        <v>26</v>
      </c>
      <c r="N1373" t="s">
        <v>112</v>
      </c>
      <c r="O1373" t="s">
        <v>28</v>
      </c>
      <c r="P1373" t="s">
        <v>31</v>
      </c>
      <c r="Q1373">
        <v>0</v>
      </c>
      <c r="R1373" t="s">
        <v>12883</v>
      </c>
      <c r="S1373" t="s">
        <v>12892</v>
      </c>
    </row>
    <row r="1374" spans="1:19" x14ac:dyDescent="0.25">
      <c r="A1374" t="s">
        <v>8326</v>
      </c>
      <c r="B1374" s="1">
        <v>45932</v>
      </c>
      <c r="C1374" t="s">
        <v>12890</v>
      </c>
      <c r="D1374" s="5">
        <v>0.64307870370370368</v>
      </c>
      <c r="E1374">
        <v>108.65</v>
      </c>
      <c r="F1374" t="s">
        <v>44</v>
      </c>
      <c r="G1374" t="s">
        <v>7871</v>
      </c>
      <c r="H1374" t="s">
        <v>96</v>
      </c>
      <c r="I1374" t="s">
        <v>248</v>
      </c>
      <c r="J1374" t="s">
        <v>8327</v>
      </c>
      <c r="K1374">
        <v>54</v>
      </c>
      <c r="L1374" t="s">
        <v>37</v>
      </c>
      <c r="M1374" t="s">
        <v>146</v>
      </c>
      <c r="N1374" t="s">
        <v>112</v>
      </c>
      <c r="O1374" t="s">
        <v>28</v>
      </c>
      <c r="P1374" t="s">
        <v>31</v>
      </c>
      <c r="Q1374">
        <v>0</v>
      </c>
      <c r="R1374" t="s">
        <v>12883</v>
      </c>
      <c r="S1374" t="s">
        <v>12886</v>
      </c>
    </row>
    <row r="1375" spans="1:19" x14ac:dyDescent="0.25">
      <c r="A1375" t="s">
        <v>7096</v>
      </c>
      <c r="B1375" s="1">
        <v>45893</v>
      </c>
      <c r="C1375" t="s">
        <v>12893</v>
      </c>
      <c r="D1375" s="5">
        <v>0.68614583333333334</v>
      </c>
      <c r="E1375">
        <v>108.52</v>
      </c>
      <c r="F1375" t="s">
        <v>44</v>
      </c>
      <c r="G1375" t="s">
        <v>7097</v>
      </c>
      <c r="H1375" t="s">
        <v>22</v>
      </c>
      <c r="I1375" t="s">
        <v>38</v>
      </c>
      <c r="J1375" t="s">
        <v>7098</v>
      </c>
      <c r="K1375">
        <v>24</v>
      </c>
      <c r="L1375" t="s">
        <v>25</v>
      </c>
      <c r="M1375" t="s">
        <v>146</v>
      </c>
      <c r="N1375" t="s">
        <v>84</v>
      </c>
      <c r="O1375" t="s">
        <v>28</v>
      </c>
      <c r="P1375" t="s">
        <v>31</v>
      </c>
      <c r="Q1375">
        <v>0</v>
      </c>
      <c r="R1375" t="s">
        <v>12883</v>
      </c>
      <c r="S1375" t="s">
        <v>12892</v>
      </c>
    </row>
    <row r="1376" spans="1:19" x14ac:dyDescent="0.25">
      <c r="A1376" t="s">
        <v>8306</v>
      </c>
      <c r="B1376" s="1">
        <v>45879</v>
      </c>
      <c r="C1376" t="s">
        <v>12893</v>
      </c>
      <c r="D1376" s="5">
        <v>9.9884259259259256E-2</v>
      </c>
      <c r="E1376">
        <v>108.38</v>
      </c>
      <c r="F1376" t="s">
        <v>44</v>
      </c>
      <c r="G1376" t="s">
        <v>3504</v>
      </c>
      <c r="H1376" t="s">
        <v>57</v>
      </c>
      <c r="I1376" t="s">
        <v>91</v>
      </c>
      <c r="J1376" t="s">
        <v>8307</v>
      </c>
      <c r="K1376">
        <v>74</v>
      </c>
      <c r="L1376" t="s">
        <v>37</v>
      </c>
      <c r="M1376" t="s">
        <v>130</v>
      </c>
      <c r="N1376" t="s">
        <v>84</v>
      </c>
      <c r="O1376" t="s">
        <v>28</v>
      </c>
      <c r="P1376" t="s">
        <v>31</v>
      </c>
      <c r="Q1376">
        <v>0</v>
      </c>
      <c r="R1376" t="s">
        <v>12883</v>
      </c>
      <c r="S1376" t="s">
        <v>12884</v>
      </c>
    </row>
    <row r="1377" spans="1:19" x14ac:dyDescent="0.25">
      <c r="A1377" t="s">
        <v>6528</v>
      </c>
      <c r="B1377" s="1">
        <v>45802</v>
      </c>
      <c r="C1377" t="s">
        <v>12887</v>
      </c>
      <c r="D1377" s="5">
        <v>0.11969907407407407</v>
      </c>
      <c r="E1377">
        <v>108.28</v>
      </c>
      <c r="F1377" t="s">
        <v>44</v>
      </c>
      <c r="G1377" t="s">
        <v>5317</v>
      </c>
      <c r="H1377" t="s">
        <v>71</v>
      </c>
      <c r="I1377" t="s">
        <v>248</v>
      </c>
      <c r="J1377" t="s">
        <v>6529</v>
      </c>
      <c r="K1377">
        <v>31</v>
      </c>
      <c r="L1377" t="s">
        <v>49</v>
      </c>
      <c r="M1377" t="s">
        <v>91</v>
      </c>
      <c r="N1377" t="s">
        <v>27</v>
      </c>
      <c r="O1377" t="s">
        <v>28</v>
      </c>
      <c r="P1377" t="s">
        <v>31</v>
      </c>
      <c r="Q1377">
        <v>0</v>
      </c>
      <c r="R1377" t="s">
        <v>12883</v>
      </c>
      <c r="S1377" t="s">
        <v>12889</v>
      </c>
    </row>
    <row r="1378" spans="1:19" x14ac:dyDescent="0.25">
      <c r="A1378" t="s">
        <v>12320</v>
      </c>
      <c r="B1378" s="1">
        <v>45894</v>
      </c>
      <c r="C1378" t="s">
        <v>12893</v>
      </c>
      <c r="D1378" s="5">
        <v>0.18909722222222222</v>
      </c>
      <c r="E1378">
        <v>108.19</v>
      </c>
      <c r="F1378" t="s">
        <v>44</v>
      </c>
      <c r="G1378" t="s">
        <v>3040</v>
      </c>
      <c r="H1378" t="s">
        <v>71</v>
      </c>
      <c r="I1378" t="s">
        <v>248</v>
      </c>
      <c r="J1378" t="s">
        <v>12321</v>
      </c>
      <c r="K1378">
        <v>21</v>
      </c>
      <c r="L1378" t="s">
        <v>37</v>
      </c>
      <c r="M1378" t="s">
        <v>26</v>
      </c>
      <c r="N1378" t="s">
        <v>51</v>
      </c>
      <c r="O1378" t="s">
        <v>28</v>
      </c>
      <c r="P1378" t="s">
        <v>31</v>
      </c>
      <c r="Q1378">
        <v>1</v>
      </c>
      <c r="R1378" t="s">
        <v>12891</v>
      </c>
      <c r="S1378" t="s">
        <v>12892</v>
      </c>
    </row>
    <row r="1379" spans="1:19" x14ac:dyDescent="0.25">
      <c r="A1379" t="s">
        <v>11431</v>
      </c>
      <c r="B1379" s="1">
        <v>45812</v>
      </c>
      <c r="C1379" t="s">
        <v>12888</v>
      </c>
      <c r="D1379" s="5">
        <v>0.50259259259259259</v>
      </c>
      <c r="E1379">
        <v>108.11</v>
      </c>
      <c r="F1379" t="s">
        <v>44</v>
      </c>
      <c r="G1379" t="s">
        <v>1413</v>
      </c>
      <c r="H1379" t="s">
        <v>22</v>
      </c>
      <c r="I1379" t="s">
        <v>130</v>
      </c>
      <c r="J1379" t="s">
        <v>11432</v>
      </c>
      <c r="K1379">
        <v>58</v>
      </c>
      <c r="L1379" t="s">
        <v>25</v>
      </c>
      <c r="M1379" t="s">
        <v>146</v>
      </c>
      <c r="N1379" t="s">
        <v>39</v>
      </c>
      <c r="O1379" t="s">
        <v>28</v>
      </c>
      <c r="P1379" t="s">
        <v>31</v>
      </c>
      <c r="Q1379">
        <v>0</v>
      </c>
      <c r="R1379" t="s">
        <v>12883</v>
      </c>
      <c r="S1379" t="s">
        <v>12886</v>
      </c>
    </row>
    <row r="1380" spans="1:19" x14ac:dyDescent="0.25">
      <c r="A1380" t="s">
        <v>5334</v>
      </c>
      <c r="B1380" s="1">
        <v>45907</v>
      </c>
      <c r="C1380" t="s">
        <v>12882</v>
      </c>
      <c r="D1380" s="5">
        <v>0.10363425925925926</v>
      </c>
      <c r="E1380">
        <v>108.01</v>
      </c>
      <c r="F1380" t="s">
        <v>44</v>
      </c>
      <c r="G1380" t="s">
        <v>5335</v>
      </c>
      <c r="H1380" t="s">
        <v>96</v>
      </c>
      <c r="I1380" t="s">
        <v>26</v>
      </c>
      <c r="J1380" t="s">
        <v>5336</v>
      </c>
      <c r="K1380">
        <v>51</v>
      </c>
      <c r="L1380" t="s">
        <v>25</v>
      </c>
      <c r="M1380" t="s">
        <v>47</v>
      </c>
      <c r="N1380" t="s">
        <v>51</v>
      </c>
      <c r="O1380" t="s">
        <v>28</v>
      </c>
      <c r="P1380" t="s">
        <v>31</v>
      </c>
      <c r="Q1380">
        <v>0</v>
      </c>
      <c r="R1380" t="s">
        <v>12883</v>
      </c>
      <c r="S1380" t="s">
        <v>12886</v>
      </c>
    </row>
    <row r="1381" spans="1:19" x14ac:dyDescent="0.25">
      <c r="A1381" t="s">
        <v>2720</v>
      </c>
      <c r="B1381" s="1">
        <v>45802</v>
      </c>
      <c r="C1381" t="s">
        <v>12887</v>
      </c>
      <c r="D1381" s="5">
        <v>0.76943287037037034</v>
      </c>
      <c r="E1381">
        <v>107.94</v>
      </c>
      <c r="F1381" t="s">
        <v>44</v>
      </c>
      <c r="G1381" t="s">
        <v>2721</v>
      </c>
      <c r="H1381" t="s">
        <v>89</v>
      </c>
      <c r="I1381" t="s">
        <v>130</v>
      </c>
      <c r="J1381" t="s">
        <v>2722</v>
      </c>
      <c r="K1381">
        <v>73</v>
      </c>
      <c r="L1381" t="s">
        <v>37</v>
      </c>
      <c r="M1381" t="s">
        <v>38</v>
      </c>
      <c r="N1381" t="s">
        <v>105</v>
      </c>
      <c r="O1381" t="s">
        <v>28</v>
      </c>
      <c r="P1381" t="s">
        <v>31</v>
      </c>
      <c r="Q1381">
        <v>0</v>
      </c>
      <c r="R1381" t="s">
        <v>12883</v>
      </c>
      <c r="S1381" t="s">
        <v>12884</v>
      </c>
    </row>
    <row r="1382" spans="1:19" x14ac:dyDescent="0.25">
      <c r="A1382" t="s">
        <v>10685</v>
      </c>
      <c r="B1382" s="1">
        <v>45872</v>
      </c>
      <c r="C1382" t="s">
        <v>12893</v>
      </c>
      <c r="D1382" s="5">
        <v>0.79168981481481482</v>
      </c>
      <c r="E1382">
        <v>107.87</v>
      </c>
      <c r="F1382" t="s">
        <v>44</v>
      </c>
      <c r="G1382" t="s">
        <v>374</v>
      </c>
      <c r="H1382" t="s">
        <v>71</v>
      </c>
      <c r="I1382" t="s">
        <v>146</v>
      </c>
      <c r="J1382" t="s">
        <v>10686</v>
      </c>
      <c r="K1382">
        <v>23</v>
      </c>
      <c r="L1382" t="s">
        <v>37</v>
      </c>
      <c r="M1382" t="s">
        <v>47</v>
      </c>
      <c r="N1382" t="s">
        <v>51</v>
      </c>
      <c r="O1382" t="s">
        <v>28</v>
      </c>
      <c r="P1382" t="s">
        <v>31</v>
      </c>
      <c r="Q1382">
        <v>0</v>
      </c>
      <c r="R1382" t="s">
        <v>12883</v>
      </c>
      <c r="S1382" t="s">
        <v>12892</v>
      </c>
    </row>
    <row r="1383" spans="1:19" x14ac:dyDescent="0.25">
      <c r="A1383" t="s">
        <v>7390</v>
      </c>
      <c r="B1383" s="1">
        <v>45945</v>
      </c>
      <c r="C1383" t="s">
        <v>12890</v>
      </c>
      <c r="D1383" s="5">
        <v>0.53204861111111112</v>
      </c>
      <c r="E1383">
        <v>107.86</v>
      </c>
      <c r="F1383" t="s">
        <v>44</v>
      </c>
      <c r="G1383" t="s">
        <v>7391</v>
      </c>
      <c r="H1383" t="s">
        <v>46</v>
      </c>
      <c r="I1383" t="s">
        <v>23</v>
      </c>
      <c r="J1383" t="s">
        <v>7392</v>
      </c>
      <c r="K1383">
        <v>20</v>
      </c>
      <c r="L1383" t="s">
        <v>37</v>
      </c>
      <c r="M1383" t="s">
        <v>97</v>
      </c>
      <c r="N1383" t="s">
        <v>39</v>
      </c>
      <c r="O1383" t="s">
        <v>28</v>
      </c>
      <c r="P1383" t="s">
        <v>31</v>
      </c>
      <c r="Q1383">
        <v>0</v>
      </c>
      <c r="R1383" t="s">
        <v>12883</v>
      </c>
      <c r="S1383" t="s">
        <v>12892</v>
      </c>
    </row>
    <row r="1384" spans="1:19" x14ac:dyDescent="0.25">
      <c r="A1384" t="s">
        <v>5102</v>
      </c>
      <c r="B1384" s="1">
        <v>45948</v>
      </c>
      <c r="C1384" t="s">
        <v>12890</v>
      </c>
      <c r="D1384" s="5">
        <v>0.6507060185185185</v>
      </c>
      <c r="E1384">
        <v>107.84</v>
      </c>
      <c r="F1384" t="s">
        <v>44</v>
      </c>
      <c r="G1384" t="s">
        <v>1715</v>
      </c>
      <c r="H1384" t="s">
        <v>77</v>
      </c>
      <c r="I1384" t="s">
        <v>130</v>
      </c>
      <c r="J1384" t="s">
        <v>5103</v>
      </c>
      <c r="K1384">
        <v>25</v>
      </c>
      <c r="L1384" t="s">
        <v>49</v>
      </c>
      <c r="M1384" t="s">
        <v>97</v>
      </c>
      <c r="N1384" t="s">
        <v>51</v>
      </c>
      <c r="O1384" t="s">
        <v>28</v>
      </c>
      <c r="P1384" t="s">
        <v>31</v>
      </c>
      <c r="Q1384">
        <v>0</v>
      </c>
      <c r="R1384" t="s">
        <v>12883</v>
      </c>
      <c r="S1384" t="s">
        <v>12889</v>
      </c>
    </row>
    <row r="1385" spans="1:19" x14ac:dyDescent="0.25">
      <c r="A1385" t="s">
        <v>6685</v>
      </c>
      <c r="B1385" s="1">
        <v>45784</v>
      </c>
      <c r="C1385" t="s">
        <v>12887</v>
      </c>
      <c r="D1385" s="5">
        <v>0.16859953703703703</v>
      </c>
      <c r="E1385">
        <v>107.84</v>
      </c>
      <c r="F1385" t="s">
        <v>44</v>
      </c>
      <c r="G1385" t="s">
        <v>1642</v>
      </c>
      <c r="H1385" t="s">
        <v>22</v>
      </c>
      <c r="I1385" t="s">
        <v>38</v>
      </c>
      <c r="J1385" t="s">
        <v>6686</v>
      </c>
      <c r="K1385">
        <v>57</v>
      </c>
      <c r="L1385" t="s">
        <v>49</v>
      </c>
      <c r="M1385" t="s">
        <v>58</v>
      </c>
      <c r="N1385" t="s">
        <v>51</v>
      </c>
      <c r="O1385" t="s">
        <v>28</v>
      </c>
      <c r="P1385" t="s">
        <v>31</v>
      </c>
      <c r="Q1385">
        <v>0</v>
      </c>
      <c r="R1385" t="s">
        <v>12883</v>
      </c>
      <c r="S1385" t="s">
        <v>12886</v>
      </c>
    </row>
    <row r="1386" spans="1:19" x14ac:dyDescent="0.25">
      <c r="A1386" t="s">
        <v>12871</v>
      </c>
      <c r="B1386" s="1">
        <v>45859</v>
      </c>
      <c r="C1386" t="s">
        <v>12885</v>
      </c>
      <c r="D1386" s="5">
        <v>0.75328703703703703</v>
      </c>
      <c r="E1386">
        <v>107.75</v>
      </c>
      <c r="F1386" t="s">
        <v>44</v>
      </c>
      <c r="G1386" t="s">
        <v>12229</v>
      </c>
      <c r="H1386" t="s">
        <v>34</v>
      </c>
      <c r="I1386" t="s">
        <v>26</v>
      </c>
      <c r="J1386" t="s">
        <v>12872</v>
      </c>
      <c r="K1386">
        <v>45</v>
      </c>
      <c r="L1386" t="s">
        <v>25</v>
      </c>
      <c r="M1386" t="s">
        <v>23</v>
      </c>
      <c r="N1386" t="s">
        <v>39</v>
      </c>
      <c r="O1386" t="s">
        <v>28</v>
      </c>
      <c r="P1386" t="s">
        <v>31</v>
      </c>
      <c r="Q1386">
        <v>0</v>
      </c>
      <c r="R1386" t="s">
        <v>12883</v>
      </c>
      <c r="S1386" t="s">
        <v>12886</v>
      </c>
    </row>
    <row r="1387" spans="1:19" x14ac:dyDescent="0.25">
      <c r="A1387" t="s">
        <v>1167</v>
      </c>
      <c r="B1387" s="1">
        <v>45790</v>
      </c>
      <c r="C1387" t="s">
        <v>12887</v>
      </c>
      <c r="D1387" s="5">
        <v>0.35263888888888889</v>
      </c>
      <c r="E1387">
        <v>107.48</v>
      </c>
      <c r="F1387" t="s">
        <v>44</v>
      </c>
      <c r="G1387" t="s">
        <v>1168</v>
      </c>
      <c r="H1387" t="s">
        <v>71</v>
      </c>
      <c r="I1387" t="s">
        <v>248</v>
      </c>
      <c r="J1387" t="s">
        <v>1169</v>
      </c>
      <c r="K1387">
        <v>68</v>
      </c>
      <c r="L1387" t="s">
        <v>25</v>
      </c>
      <c r="M1387" t="s">
        <v>110</v>
      </c>
      <c r="N1387" t="s">
        <v>112</v>
      </c>
      <c r="O1387" t="s">
        <v>28</v>
      </c>
      <c r="P1387" t="s">
        <v>31</v>
      </c>
      <c r="Q1387">
        <v>0</v>
      </c>
      <c r="R1387" t="s">
        <v>12883</v>
      </c>
      <c r="S1387" t="s">
        <v>12884</v>
      </c>
    </row>
    <row r="1388" spans="1:19" x14ac:dyDescent="0.25">
      <c r="A1388" t="s">
        <v>10517</v>
      </c>
      <c r="B1388" s="1">
        <v>45810</v>
      </c>
      <c r="C1388" t="s">
        <v>12888</v>
      </c>
      <c r="D1388" s="5">
        <v>0.616724537037037</v>
      </c>
      <c r="E1388">
        <v>107.42</v>
      </c>
      <c r="F1388" t="s">
        <v>44</v>
      </c>
      <c r="G1388" t="s">
        <v>8745</v>
      </c>
      <c r="H1388" t="s">
        <v>64</v>
      </c>
      <c r="I1388" t="s">
        <v>23</v>
      </c>
      <c r="J1388" t="s">
        <v>10518</v>
      </c>
      <c r="K1388">
        <v>29</v>
      </c>
      <c r="L1388" t="s">
        <v>37</v>
      </c>
      <c r="M1388" t="s">
        <v>91</v>
      </c>
      <c r="N1388" t="s">
        <v>27</v>
      </c>
      <c r="O1388" t="s">
        <v>28</v>
      </c>
      <c r="P1388" t="s">
        <v>31</v>
      </c>
      <c r="Q1388">
        <v>1</v>
      </c>
      <c r="R1388" t="s">
        <v>12891</v>
      </c>
      <c r="S1388" t="s">
        <v>12889</v>
      </c>
    </row>
    <row r="1389" spans="1:19" x14ac:dyDescent="0.25">
      <c r="A1389" t="s">
        <v>643</v>
      </c>
      <c r="B1389" s="1">
        <v>45799</v>
      </c>
      <c r="C1389" t="s">
        <v>12887</v>
      </c>
      <c r="D1389" s="5">
        <v>0.89144675925925931</v>
      </c>
      <c r="E1389">
        <v>107.4</v>
      </c>
      <c r="F1389" t="s">
        <v>44</v>
      </c>
      <c r="G1389" t="s">
        <v>644</v>
      </c>
      <c r="H1389" t="s">
        <v>64</v>
      </c>
      <c r="I1389" t="s">
        <v>38</v>
      </c>
      <c r="J1389" t="s">
        <v>645</v>
      </c>
      <c r="K1389">
        <v>20</v>
      </c>
      <c r="L1389" t="s">
        <v>37</v>
      </c>
      <c r="M1389" t="s">
        <v>110</v>
      </c>
      <c r="N1389" t="s">
        <v>84</v>
      </c>
      <c r="O1389" t="s">
        <v>28</v>
      </c>
      <c r="P1389" t="s">
        <v>31</v>
      </c>
      <c r="Q1389">
        <v>0</v>
      </c>
      <c r="R1389" t="s">
        <v>12883</v>
      </c>
      <c r="S1389" t="s">
        <v>12892</v>
      </c>
    </row>
    <row r="1390" spans="1:19" x14ac:dyDescent="0.25">
      <c r="A1390" t="s">
        <v>7398</v>
      </c>
      <c r="B1390" s="1">
        <v>45930</v>
      </c>
      <c r="C1390" t="s">
        <v>12882</v>
      </c>
      <c r="D1390" s="5">
        <v>0.9155092592592593</v>
      </c>
      <c r="E1390">
        <v>107.4</v>
      </c>
      <c r="F1390" t="s">
        <v>44</v>
      </c>
      <c r="G1390" t="s">
        <v>6005</v>
      </c>
      <c r="H1390" t="s">
        <v>124</v>
      </c>
      <c r="I1390" t="s">
        <v>97</v>
      </c>
      <c r="J1390" t="s">
        <v>7399</v>
      </c>
      <c r="K1390">
        <v>42</v>
      </c>
      <c r="L1390" t="s">
        <v>37</v>
      </c>
      <c r="M1390" t="s">
        <v>35</v>
      </c>
      <c r="N1390" t="s">
        <v>105</v>
      </c>
      <c r="O1390" t="s">
        <v>28</v>
      </c>
      <c r="P1390" t="s">
        <v>31</v>
      </c>
      <c r="Q1390">
        <v>0</v>
      </c>
      <c r="R1390" t="s">
        <v>12883</v>
      </c>
      <c r="S1390" t="s">
        <v>12886</v>
      </c>
    </row>
    <row r="1391" spans="1:19" x14ac:dyDescent="0.25">
      <c r="A1391" t="s">
        <v>9754</v>
      </c>
      <c r="B1391" s="1">
        <v>45802</v>
      </c>
      <c r="C1391" t="s">
        <v>12887</v>
      </c>
      <c r="D1391" s="5">
        <v>0.74636574074074069</v>
      </c>
      <c r="E1391">
        <v>107.38</v>
      </c>
      <c r="F1391" t="s">
        <v>44</v>
      </c>
      <c r="G1391" t="s">
        <v>6728</v>
      </c>
      <c r="H1391" t="s">
        <v>89</v>
      </c>
      <c r="I1391" t="s">
        <v>26</v>
      </c>
      <c r="J1391" t="s">
        <v>9755</v>
      </c>
      <c r="K1391">
        <v>64</v>
      </c>
      <c r="L1391" t="s">
        <v>25</v>
      </c>
      <c r="M1391" t="s">
        <v>50</v>
      </c>
      <c r="N1391" t="s">
        <v>105</v>
      </c>
      <c r="O1391" t="s">
        <v>28</v>
      </c>
      <c r="P1391" t="s">
        <v>31</v>
      </c>
      <c r="Q1391">
        <v>0</v>
      </c>
      <c r="R1391" t="s">
        <v>12883</v>
      </c>
      <c r="S1391" t="s">
        <v>12884</v>
      </c>
    </row>
    <row r="1392" spans="1:19" x14ac:dyDescent="0.25">
      <c r="A1392" t="s">
        <v>11985</v>
      </c>
      <c r="B1392" s="1">
        <v>45919</v>
      </c>
      <c r="C1392" t="s">
        <v>12882</v>
      </c>
      <c r="D1392" s="5">
        <v>0.37144675925925924</v>
      </c>
      <c r="E1392">
        <v>107.32</v>
      </c>
      <c r="F1392" t="s">
        <v>44</v>
      </c>
      <c r="G1392" t="s">
        <v>7721</v>
      </c>
      <c r="H1392" t="s">
        <v>22</v>
      </c>
      <c r="I1392" t="s">
        <v>146</v>
      </c>
      <c r="J1392" t="s">
        <v>11986</v>
      </c>
      <c r="K1392">
        <v>37</v>
      </c>
      <c r="L1392" t="s">
        <v>49</v>
      </c>
      <c r="M1392" t="s">
        <v>38</v>
      </c>
      <c r="N1392" t="s">
        <v>112</v>
      </c>
      <c r="O1392" t="s">
        <v>28</v>
      </c>
      <c r="P1392" t="s">
        <v>31</v>
      </c>
      <c r="Q1392">
        <v>1</v>
      </c>
      <c r="R1392" t="s">
        <v>12891</v>
      </c>
      <c r="S1392" t="s">
        <v>12889</v>
      </c>
    </row>
    <row r="1393" spans="1:19" x14ac:dyDescent="0.25">
      <c r="A1393" t="s">
        <v>2053</v>
      </c>
      <c r="B1393" s="1">
        <v>45810</v>
      </c>
      <c r="C1393" t="s">
        <v>12888</v>
      </c>
      <c r="D1393" s="5">
        <v>0.7399768518518518</v>
      </c>
      <c r="E1393">
        <v>106.91</v>
      </c>
      <c r="F1393" t="s">
        <v>44</v>
      </c>
      <c r="G1393" t="s">
        <v>232</v>
      </c>
      <c r="H1393" t="s">
        <v>77</v>
      </c>
      <c r="I1393" t="s">
        <v>110</v>
      </c>
      <c r="J1393" t="s">
        <v>2054</v>
      </c>
      <c r="K1393">
        <v>29</v>
      </c>
      <c r="L1393" t="s">
        <v>49</v>
      </c>
      <c r="M1393" t="s">
        <v>66</v>
      </c>
      <c r="N1393" t="s">
        <v>112</v>
      </c>
      <c r="O1393" t="s">
        <v>28</v>
      </c>
      <c r="P1393" t="s">
        <v>31</v>
      </c>
      <c r="Q1393">
        <v>0</v>
      </c>
      <c r="R1393" t="s">
        <v>12883</v>
      </c>
      <c r="S1393" t="s">
        <v>12889</v>
      </c>
    </row>
    <row r="1394" spans="1:19" x14ac:dyDescent="0.25">
      <c r="A1394" t="s">
        <v>4368</v>
      </c>
      <c r="B1394" s="1">
        <v>45931</v>
      </c>
      <c r="C1394" t="s">
        <v>12890</v>
      </c>
      <c r="D1394" s="5">
        <v>0.72362268518518513</v>
      </c>
      <c r="E1394">
        <v>106.84</v>
      </c>
      <c r="F1394" t="s">
        <v>44</v>
      </c>
      <c r="G1394" t="s">
        <v>4369</v>
      </c>
      <c r="H1394" t="s">
        <v>57</v>
      </c>
      <c r="I1394" t="s">
        <v>248</v>
      </c>
      <c r="J1394" t="s">
        <v>4370</v>
      </c>
      <c r="K1394">
        <v>43</v>
      </c>
      <c r="L1394" t="s">
        <v>25</v>
      </c>
      <c r="M1394" t="s">
        <v>50</v>
      </c>
      <c r="N1394" t="s">
        <v>84</v>
      </c>
      <c r="O1394" t="s">
        <v>28</v>
      </c>
      <c r="P1394" t="s">
        <v>31</v>
      </c>
      <c r="Q1394">
        <v>0</v>
      </c>
      <c r="R1394" t="s">
        <v>12883</v>
      </c>
      <c r="S1394" t="s">
        <v>12886</v>
      </c>
    </row>
    <row r="1395" spans="1:19" x14ac:dyDescent="0.25">
      <c r="A1395" t="s">
        <v>2936</v>
      </c>
      <c r="B1395" s="1">
        <v>45889</v>
      </c>
      <c r="C1395" t="s">
        <v>12893</v>
      </c>
      <c r="D1395" s="5">
        <v>0.45809027777777778</v>
      </c>
      <c r="E1395">
        <v>106.75</v>
      </c>
      <c r="F1395" t="s">
        <v>44</v>
      </c>
      <c r="G1395" t="s">
        <v>2937</v>
      </c>
      <c r="H1395" t="s">
        <v>46</v>
      </c>
      <c r="I1395" t="s">
        <v>47</v>
      </c>
      <c r="J1395" t="s">
        <v>2938</v>
      </c>
      <c r="K1395">
        <v>33</v>
      </c>
      <c r="L1395" t="s">
        <v>25</v>
      </c>
      <c r="M1395" t="s">
        <v>47</v>
      </c>
      <c r="N1395" t="s">
        <v>112</v>
      </c>
      <c r="O1395" t="s">
        <v>113</v>
      </c>
      <c r="P1395" t="s">
        <v>31</v>
      </c>
      <c r="Q1395">
        <v>0</v>
      </c>
      <c r="R1395" t="s">
        <v>12883</v>
      </c>
      <c r="S1395" t="s">
        <v>12889</v>
      </c>
    </row>
    <row r="1396" spans="1:19" x14ac:dyDescent="0.25">
      <c r="A1396" t="s">
        <v>1044</v>
      </c>
      <c r="B1396" s="1">
        <v>45888</v>
      </c>
      <c r="C1396" t="s">
        <v>12893</v>
      </c>
      <c r="D1396" s="5">
        <v>0.14583333333333334</v>
      </c>
      <c r="E1396">
        <v>106.72</v>
      </c>
      <c r="F1396" t="s">
        <v>44</v>
      </c>
      <c r="G1396" t="s">
        <v>1045</v>
      </c>
      <c r="H1396" t="s">
        <v>77</v>
      </c>
      <c r="I1396" t="s">
        <v>23</v>
      </c>
      <c r="J1396" t="s">
        <v>1046</v>
      </c>
      <c r="K1396">
        <v>68</v>
      </c>
      <c r="L1396" t="s">
        <v>25</v>
      </c>
      <c r="M1396" t="s">
        <v>146</v>
      </c>
      <c r="N1396" t="s">
        <v>27</v>
      </c>
      <c r="O1396" t="s">
        <v>28</v>
      </c>
      <c r="P1396" t="s">
        <v>31</v>
      </c>
      <c r="Q1396">
        <v>0</v>
      </c>
      <c r="R1396" t="s">
        <v>12883</v>
      </c>
      <c r="S1396" t="s">
        <v>12884</v>
      </c>
    </row>
    <row r="1397" spans="1:19" x14ac:dyDescent="0.25">
      <c r="A1397" t="s">
        <v>3570</v>
      </c>
      <c r="B1397" s="1">
        <v>45887</v>
      </c>
      <c r="C1397" t="s">
        <v>12893</v>
      </c>
      <c r="D1397" s="5">
        <v>0.9551736111111111</v>
      </c>
      <c r="E1397">
        <v>106.55</v>
      </c>
      <c r="F1397" t="s">
        <v>44</v>
      </c>
      <c r="G1397" t="s">
        <v>1035</v>
      </c>
      <c r="H1397" t="s">
        <v>89</v>
      </c>
      <c r="I1397" t="s">
        <v>97</v>
      </c>
      <c r="J1397" t="s">
        <v>3571</v>
      </c>
      <c r="K1397">
        <v>30</v>
      </c>
      <c r="L1397" t="s">
        <v>25</v>
      </c>
      <c r="M1397" t="s">
        <v>26</v>
      </c>
      <c r="N1397" t="s">
        <v>27</v>
      </c>
      <c r="O1397" t="s">
        <v>28</v>
      </c>
      <c r="P1397" t="s">
        <v>31</v>
      </c>
      <c r="Q1397">
        <v>0</v>
      </c>
      <c r="R1397" t="s">
        <v>12883</v>
      </c>
      <c r="S1397" t="s">
        <v>12889</v>
      </c>
    </row>
    <row r="1398" spans="1:19" x14ac:dyDescent="0.25">
      <c r="A1398" t="s">
        <v>722</v>
      </c>
      <c r="B1398" s="1">
        <v>45949</v>
      </c>
      <c r="C1398" t="s">
        <v>12890</v>
      </c>
      <c r="D1398" s="5">
        <v>0.93905092592592587</v>
      </c>
      <c r="E1398">
        <v>106.31</v>
      </c>
      <c r="F1398" t="s">
        <v>44</v>
      </c>
      <c r="G1398" t="s">
        <v>723</v>
      </c>
      <c r="H1398" t="s">
        <v>34</v>
      </c>
      <c r="I1398" t="s">
        <v>58</v>
      </c>
      <c r="J1398" t="s">
        <v>724</v>
      </c>
      <c r="K1398">
        <v>58</v>
      </c>
      <c r="L1398" t="s">
        <v>49</v>
      </c>
      <c r="M1398" t="s">
        <v>91</v>
      </c>
      <c r="N1398" t="s">
        <v>27</v>
      </c>
      <c r="O1398" t="s">
        <v>28</v>
      </c>
      <c r="P1398" t="s">
        <v>31</v>
      </c>
      <c r="Q1398">
        <v>0</v>
      </c>
      <c r="R1398" t="s">
        <v>12883</v>
      </c>
      <c r="S1398" t="s">
        <v>12886</v>
      </c>
    </row>
    <row r="1399" spans="1:19" x14ac:dyDescent="0.25">
      <c r="A1399" t="s">
        <v>10119</v>
      </c>
      <c r="B1399" s="1">
        <v>45823</v>
      </c>
      <c r="C1399" t="s">
        <v>12888</v>
      </c>
      <c r="D1399" s="5">
        <v>2.4097222222222221E-2</v>
      </c>
      <c r="E1399">
        <v>106.19</v>
      </c>
      <c r="F1399" t="s">
        <v>44</v>
      </c>
      <c r="G1399" t="s">
        <v>10120</v>
      </c>
      <c r="H1399" t="s">
        <v>64</v>
      </c>
      <c r="I1399" t="s">
        <v>248</v>
      </c>
      <c r="J1399" t="s">
        <v>10121</v>
      </c>
      <c r="K1399">
        <v>53</v>
      </c>
      <c r="L1399" t="s">
        <v>49</v>
      </c>
      <c r="M1399" t="s">
        <v>23</v>
      </c>
      <c r="N1399" t="s">
        <v>84</v>
      </c>
      <c r="O1399" t="s">
        <v>28</v>
      </c>
      <c r="P1399" t="s">
        <v>31</v>
      </c>
      <c r="Q1399">
        <v>0</v>
      </c>
      <c r="R1399" t="s">
        <v>12883</v>
      </c>
      <c r="S1399" t="s">
        <v>12886</v>
      </c>
    </row>
    <row r="1400" spans="1:19" x14ac:dyDescent="0.25">
      <c r="A1400" t="s">
        <v>10510</v>
      </c>
      <c r="B1400" s="1">
        <v>45872</v>
      </c>
      <c r="C1400" t="s">
        <v>12893</v>
      </c>
      <c r="D1400" s="5">
        <v>0.22534722222222223</v>
      </c>
      <c r="E1400">
        <v>106.14</v>
      </c>
      <c r="F1400" t="s">
        <v>44</v>
      </c>
      <c r="G1400" t="s">
        <v>3802</v>
      </c>
      <c r="H1400" t="s">
        <v>96</v>
      </c>
      <c r="I1400" t="s">
        <v>119</v>
      </c>
      <c r="J1400" t="s">
        <v>674</v>
      </c>
      <c r="K1400">
        <v>22</v>
      </c>
      <c r="L1400" t="s">
        <v>37</v>
      </c>
      <c r="M1400" t="s">
        <v>91</v>
      </c>
      <c r="N1400" t="s">
        <v>51</v>
      </c>
      <c r="O1400" t="s">
        <v>28</v>
      </c>
      <c r="P1400" t="s">
        <v>31</v>
      </c>
      <c r="Q1400">
        <v>0</v>
      </c>
      <c r="R1400" t="s">
        <v>12883</v>
      </c>
      <c r="S1400" t="s">
        <v>12892</v>
      </c>
    </row>
    <row r="1401" spans="1:19" x14ac:dyDescent="0.25">
      <c r="A1401" t="s">
        <v>8457</v>
      </c>
      <c r="B1401" s="1">
        <v>45948</v>
      </c>
      <c r="C1401" t="s">
        <v>12890</v>
      </c>
      <c r="D1401" s="5">
        <v>0.34945601851851854</v>
      </c>
      <c r="E1401">
        <v>105.73</v>
      </c>
      <c r="F1401" t="s">
        <v>44</v>
      </c>
      <c r="G1401" t="s">
        <v>8458</v>
      </c>
      <c r="H1401" t="s">
        <v>77</v>
      </c>
      <c r="I1401" t="s">
        <v>119</v>
      </c>
      <c r="J1401" t="s">
        <v>8459</v>
      </c>
      <c r="K1401">
        <v>27</v>
      </c>
      <c r="L1401" t="s">
        <v>25</v>
      </c>
      <c r="M1401" t="s">
        <v>91</v>
      </c>
      <c r="N1401" t="s">
        <v>27</v>
      </c>
      <c r="O1401" t="s">
        <v>28</v>
      </c>
      <c r="P1401" t="s">
        <v>31</v>
      </c>
      <c r="Q1401">
        <v>0</v>
      </c>
      <c r="R1401" t="s">
        <v>12883</v>
      </c>
      <c r="S1401" t="s">
        <v>12889</v>
      </c>
    </row>
    <row r="1402" spans="1:19" x14ac:dyDescent="0.25">
      <c r="A1402" t="s">
        <v>1822</v>
      </c>
      <c r="B1402" s="1">
        <v>45823</v>
      </c>
      <c r="C1402" t="s">
        <v>12888</v>
      </c>
      <c r="D1402" s="5">
        <v>0.2913310185185185</v>
      </c>
      <c r="E1402">
        <v>105.72</v>
      </c>
      <c r="F1402" t="s">
        <v>44</v>
      </c>
      <c r="G1402" t="s">
        <v>1823</v>
      </c>
      <c r="H1402" t="s">
        <v>64</v>
      </c>
      <c r="I1402" t="s">
        <v>58</v>
      </c>
      <c r="J1402" t="s">
        <v>1824</v>
      </c>
      <c r="K1402">
        <v>49</v>
      </c>
      <c r="L1402" t="s">
        <v>25</v>
      </c>
      <c r="M1402" t="s">
        <v>97</v>
      </c>
      <c r="N1402" t="s">
        <v>39</v>
      </c>
      <c r="O1402" t="s">
        <v>28</v>
      </c>
      <c r="P1402" t="s">
        <v>31</v>
      </c>
      <c r="Q1402">
        <v>0</v>
      </c>
      <c r="R1402" t="s">
        <v>12883</v>
      </c>
      <c r="S1402" t="s">
        <v>12886</v>
      </c>
    </row>
    <row r="1403" spans="1:19" x14ac:dyDescent="0.25">
      <c r="A1403" t="s">
        <v>2248</v>
      </c>
      <c r="B1403" s="1">
        <v>45832</v>
      </c>
      <c r="C1403" t="s">
        <v>12888</v>
      </c>
      <c r="D1403" s="5">
        <v>0.34166666666666667</v>
      </c>
      <c r="E1403">
        <v>105.64</v>
      </c>
      <c r="F1403" t="s">
        <v>44</v>
      </c>
      <c r="G1403" t="s">
        <v>2249</v>
      </c>
      <c r="H1403" t="s">
        <v>57</v>
      </c>
      <c r="I1403" t="s">
        <v>97</v>
      </c>
      <c r="J1403" t="s">
        <v>2250</v>
      </c>
      <c r="K1403">
        <v>56</v>
      </c>
      <c r="L1403" t="s">
        <v>37</v>
      </c>
      <c r="M1403" t="s">
        <v>23</v>
      </c>
      <c r="N1403" t="s">
        <v>27</v>
      </c>
      <c r="O1403" t="s">
        <v>28</v>
      </c>
      <c r="P1403" t="s">
        <v>31</v>
      </c>
      <c r="Q1403">
        <v>0</v>
      </c>
      <c r="R1403" t="s">
        <v>12883</v>
      </c>
      <c r="S1403" t="s">
        <v>12886</v>
      </c>
    </row>
    <row r="1404" spans="1:19" x14ac:dyDescent="0.25">
      <c r="A1404" t="s">
        <v>3642</v>
      </c>
      <c r="B1404" s="1">
        <v>45875</v>
      </c>
      <c r="C1404" t="s">
        <v>12893</v>
      </c>
      <c r="D1404" s="5">
        <v>0.60807870370370365</v>
      </c>
      <c r="E1404">
        <v>105.6</v>
      </c>
      <c r="F1404" t="s">
        <v>44</v>
      </c>
      <c r="G1404" t="s">
        <v>3643</v>
      </c>
      <c r="H1404" t="s">
        <v>57</v>
      </c>
      <c r="I1404" t="s">
        <v>38</v>
      </c>
      <c r="J1404" t="s">
        <v>3644</v>
      </c>
      <c r="K1404">
        <v>24</v>
      </c>
      <c r="L1404" t="s">
        <v>25</v>
      </c>
      <c r="M1404" t="s">
        <v>119</v>
      </c>
      <c r="N1404" t="s">
        <v>51</v>
      </c>
      <c r="O1404" t="s">
        <v>28</v>
      </c>
      <c r="P1404" t="s">
        <v>31</v>
      </c>
      <c r="Q1404">
        <v>0</v>
      </c>
      <c r="R1404" t="s">
        <v>12883</v>
      </c>
      <c r="S1404" t="s">
        <v>12892</v>
      </c>
    </row>
    <row r="1405" spans="1:19" x14ac:dyDescent="0.25">
      <c r="A1405" t="s">
        <v>9851</v>
      </c>
      <c r="B1405" s="1">
        <v>45847</v>
      </c>
      <c r="C1405" t="s">
        <v>12885</v>
      </c>
      <c r="D1405" s="5">
        <v>0.48335648148148147</v>
      </c>
      <c r="E1405">
        <v>105.55</v>
      </c>
      <c r="F1405" t="s">
        <v>44</v>
      </c>
      <c r="G1405" t="s">
        <v>1790</v>
      </c>
      <c r="H1405" t="s">
        <v>64</v>
      </c>
      <c r="I1405" t="s">
        <v>91</v>
      </c>
      <c r="J1405" t="s">
        <v>9852</v>
      </c>
      <c r="K1405">
        <v>62</v>
      </c>
      <c r="L1405" t="s">
        <v>37</v>
      </c>
      <c r="M1405" t="s">
        <v>58</v>
      </c>
      <c r="N1405" t="s">
        <v>51</v>
      </c>
      <c r="O1405" t="s">
        <v>28</v>
      </c>
      <c r="P1405" t="s">
        <v>31</v>
      </c>
      <c r="Q1405">
        <v>0</v>
      </c>
      <c r="R1405" t="s">
        <v>12883</v>
      </c>
      <c r="S1405" t="s">
        <v>12884</v>
      </c>
    </row>
    <row r="1406" spans="1:19" x14ac:dyDescent="0.25">
      <c r="A1406" t="s">
        <v>12396</v>
      </c>
      <c r="B1406" s="1">
        <v>45830</v>
      </c>
      <c r="C1406" t="s">
        <v>12888</v>
      </c>
      <c r="D1406" s="5">
        <v>0.14631944444444445</v>
      </c>
      <c r="E1406">
        <v>105.46</v>
      </c>
      <c r="F1406" t="s">
        <v>44</v>
      </c>
      <c r="G1406" t="s">
        <v>6579</v>
      </c>
      <c r="H1406" t="s">
        <v>96</v>
      </c>
      <c r="I1406" t="s">
        <v>58</v>
      </c>
      <c r="J1406" t="s">
        <v>12397</v>
      </c>
      <c r="K1406">
        <v>65</v>
      </c>
      <c r="L1406" t="s">
        <v>37</v>
      </c>
      <c r="M1406" t="s">
        <v>119</v>
      </c>
      <c r="N1406" t="s">
        <v>51</v>
      </c>
      <c r="O1406" t="s">
        <v>28</v>
      </c>
      <c r="P1406" t="s">
        <v>31</v>
      </c>
      <c r="Q1406">
        <v>0</v>
      </c>
      <c r="R1406" t="s">
        <v>12883</v>
      </c>
      <c r="S1406" t="s">
        <v>12884</v>
      </c>
    </row>
    <row r="1407" spans="1:19" x14ac:dyDescent="0.25">
      <c r="A1407" t="s">
        <v>8753</v>
      </c>
      <c r="B1407" s="1">
        <v>45903</v>
      </c>
      <c r="C1407" t="s">
        <v>12882</v>
      </c>
      <c r="D1407" s="5">
        <v>0.68615740740740738</v>
      </c>
      <c r="E1407">
        <v>105.45</v>
      </c>
      <c r="F1407" t="s">
        <v>44</v>
      </c>
      <c r="G1407" t="s">
        <v>8754</v>
      </c>
      <c r="H1407" t="s">
        <v>22</v>
      </c>
      <c r="I1407" t="s">
        <v>58</v>
      </c>
      <c r="J1407" t="s">
        <v>8755</v>
      </c>
      <c r="K1407">
        <v>64</v>
      </c>
      <c r="L1407" t="s">
        <v>25</v>
      </c>
      <c r="M1407" t="s">
        <v>110</v>
      </c>
      <c r="N1407" t="s">
        <v>27</v>
      </c>
      <c r="O1407" t="s">
        <v>28</v>
      </c>
      <c r="P1407" t="s">
        <v>31</v>
      </c>
      <c r="Q1407">
        <v>1</v>
      </c>
      <c r="R1407" t="s">
        <v>12891</v>
      </c>
      <c r="S1407" t="s">
        <v>12884</v>
      </c>
    </row>
    <row r="1408" spans="1:19" x14ac:dyDescent="0.25">
      <c r="A1408" t="s">
        <v>3616</v>
      </c>
      <c r="B1408" s="1">
        <v>45809</v>
      </c>
      <c r="C1408" t="s">
        <v>12888</v>
      </c>
      <c r="D1408" s="5">
        <v>0.5631828703703704</v>
      </c>
      <c r="E1408">
        <v>105.29</v>
      </c>
      <c r="F1408" t="s">
        <v>44</v>
      </c>
      <c r="G1408" t="s">
        <v>3617</v>
      </c>
      <c r="H1408" t="s">
        <v>57</v>
      </c>
      <c r="I1408" t="s">
        <v>38</v>
      </c>
      <c r="J1408" t="s">
        <v>3618</v>
      </c>
      <c r="K1408">
        <v>68</v>
      </c>
      <c r="L1408" t="s">
        <v>25</v>
      </c>
      <c r="M1408" t="s">
        <v>146</v>
      </c>
      <c r="N1408" t="s">
        <v>112</v>
      </c>
      <c r="O1408" t="s">
        <v>28</v>
      </c>
      <c r="P1408" t="s">
        <v>31</v>
      </c>
      <c r="Q1408">
        <v>0</v>
      </c>
      <c r="R1408" t="s">
        <v>12883</v>
      </c>
      <c r="S1408" t="s">
        <v>12884</v>
      </c>
    </row>
    <row r="1409" spans="1:19" x14ac:dyDescent="0.25">
      <c r="A1409" t="s">
        <v>4171</v>
      </c>
      <c r="B1409" s="1">
        <v>45897</v>
      </c>
      <c r="C1409" t="s">
        <v>12893</v>
      </c>
      <c r="D1409" s="5">
        <v>0.546875</v>
      </c>
      <c r="E1409">
        <v>105.19</v>
      </c>
      <c r="F1409" t="s">
        <v>44</v>
      </c>
      <c r="G1409" t="s">
        <v>1296</v>
      </c>
      <c r="H1409" t="s">
        <v>64</v>
      </c>
      <c r="I1409" t="s">
        <v>248</v>
      </c>
      <c r="J1409" t="s">
        <v>4172</v>
      </c>
      <c r="K1409">
        <v>35</v>
      </c>
      <c r="L1409" t="s">
        <v>49</v>
      </c>
      <c r="M1409" t="s">
        <v>26</v>
      </c>
      <c r="N1409" t="s">
        <v>105</v>
      </c>
      <c r="O1409" t="s">
        <v>28</v>
      </c>
      <c r="P1409" t="s">
        <v>31</v>
      </c>
      <c r="Q1409">
        <v>0</v>
      </c>
      <c r="R1409" t="s">
        <v>12883</v>
      </c>
      <c r="S1409" t="s">
        <v>12889</v>
      </c>
    </row>
    <row r="1410" spans="1:19" x14ac:dyDescent="0.25">
      <c r="A1410" t="s">
        <v>231</v>
      </c>
      <c r="B1410" s="1">
        <v>45798</v>
      </c>
      <c r="C1410" t="s">
        <v>12887</v>
      </c>
      <c r="D1410" s="5">
        <v>0.62878472222222226</v>
      </c>
      <c r="E1410">
        <v>105.09</v>
      </c>
      <c r="F1410" t="s">
        <v>44</v>
      </c>
      <c r="G1410" t="s">
        <v>232</v>
      </c>
      <c r="H1410" t="s">
        <v>64</v>
      </c>
      <c r="I1410" t="s">
        <v>119</v>
      </c>
      <c r="J1410" t="s">
        <v>233</v>
      </c>
      <c r="K1410">
        <v>47</v>
      </c>
      <c r="L1410" t="s">
        <v>25</v>
      </c>
      <c r="M1410" t="s">
        <v>50</v>
      </c>
      <c r="N1410" t="s">
        <v>27</v>
      </c>
      <c r="O1410" t="s">
        <v>28</v>
      </c>
      <c r="P1410" t="s">
        <v>31</v>
      </c>
      <c r="Q1410">
        <v>0</v>
      </c>
      <c r="R1410" t="s">
        <v>12883</v>
      </c>
      <c r="S1410" t="s">
        <v>12886</v>
      </c>
    </row>
    <row r="1411" spans="1:19" x14ac:dyDescent="0.25">
      <c r="A1411" t="s">
        <v>3101</v>
      </c>
      <c r="B1411" s="1">
        <v>45939</v>
      </c>
      <c r="C1411" t="s">
        <v>12890</v>
      </c>
      <c r="D1411" s="5">
        <v>0.19524305555555554</v>
      </c>
      <c r="E1411">
        <v>104.99</v>
      </c>
      <c r="F1411" t="s">
        <v>44</v>
      </c>
      <c r="G1411" t="s">
        <v>1267</v>
      </c>
      <c r="H1411" t="s">
        <v>22</v>
      </c>
      <c r="I1411" t="s">
        <v>248</v>
      </c>
      <c r="J1411" t="s">
        <v>3102</v>
      </c>
      <c r="K1411">
        <v>23</v>
      </c>
      <c r="L1411" t="s">
        <v>37</v>
      </c>
      <c r="M1411" t="s">
        <v>47</v>
      </c>
      <c r="N1411" t="s">
        <v>84</v>
      </c>
      <c r="O1411" t="s">
        <v>28</v>
      </c>
      <c r="P1411" t="s">
        <v>31</v>
      </c>
      <c r="Q1411">
        <v>0</v>
      </c>
      <c r="R1411" t="s">
        <v>12883</v>
      </c>
      <c r="S1411" t="s">
        <v>12892</v>
      </c>
    </row>
    <row r="1412" spans="1:19" x14ac:dyDescent="0.25">
      <c r="A1412" t="s">
        <v>8238</v>
      </c>
      <c r="B1412" s="1">
        <v>45808</v>
      </c>
      <c r="C1412" t="s">
        <v>12887</v>
      </c>
      <c r="D1412" s="5">
        <v>0.96600694444444446</v>
      </c>
      <c r="E1412">
        <v>104.94</v>
      </c>
      <c r="F1412" t="s">
        <v>44</v>
      </c>
      <c r="G1412" t="s">
        <v>3686</v>
      </c>
      <c r="H1412" t="s">
        <v>89</v>
      </c>
      <c r="I1412" t="s">
        <v>58</v>
      </c>
      <c r="J1412" t="s">
        <v>8239</v>
      </c>
      <c r="K1412">
        <v>48</v>
      </c>
      <c r="L1412" t="s">
        <v>25</v>
      </c>
      <c r="M1412" t="s">
        <v>97</v>
      </c>
      <c r="N1412" t="s">
        <v>51</v>
      </c>
      <c r="O1412" t="s">
        <v>28</v>
      </c>
      <c r="P1412" t="s">
        <v>31</v>
      </c>
      <c r="Q1412">
        <v>0</v>
      </c>
      <c r="R1412" t="s">
        <v>12883</v>
      </c>
      <c r="S1412" t="s">
        <v>12886</v>
      </c>
    </row>
    <row r="1413" spans="1:19" x14ac:dyDescent="0.25">
      <c r="A1413" t="s">
        <v>4085</v>
      </c>
      <c r="B1413" s="1">
        <v>45927</v>
      </c>
      <c r="C1413" t="s">
        <v>12882</v>
      </c>
      <c r="D1413" s="5">
        <v>0.41605324074074074</v>
      </c>
      <c r="E1413">
        <v>104.92</v>
      </c>
      <c r="F1413" t="s">
        <v>44</v>
      </c>
      <c r="G1413" t="s">
        <v>1529</v>
      </c>
      <c r="H1413" t="s">
        <v>77</v>
      </c>
      <c r="I1413" t="s">
        <v>91</v>
      </c>
      <c r="J1413" t="s">
        <v>4086</v>
      </c>
      <c r="K1413">
        <v>56</v>
      </c>
      <c r="L1413" t="s">
        <v>25</v>
      </c>
      <c r="M1413" t="s">
        <v>47</v>
      </c>
      <c r="N1413" t="s">
        <v>112</v>
      </c>
      <c r="O1413" t="s">
        <v>28</v>
      </c>
      <c r="P1413" t="s">
        <v>31</v>
      </c>
      <c r="Q1413">
        <v>0</v>
      </c>
      <c r="R1413" t="s">
        <v>12883</v>
      </c>
      <c r="S1413" t="s">
        <v>12886</v>
      </c>
    </row>
    <row r="1414" spans="1:19" x14ac:dyDescent="0.25">
      <c r="A1414" t="s">
        <v>9999</v>
      </c>
      <c r="B1414" s="1">
        <v>45908</v>
      </c>
      <c r="C1414" t="s">
        <v>12882</v>
      </c>
      <c r="D1414" s="5">
        <v>0.12637731481481482</v>
      </c>
      <c r="E1414">
        <v>104.89</v>
      </c>
      <c r="F1414" t="s">
        <v>44</v>
      </c>
      <c r="G1414" t="s">
        <v>1306</v>
      </c>
      <c r="H1414" t="s">
        <v>96</v>
      </c>
      <c r="I1414" t="s">
        <v>97</v>
      </c>
      <c r="J1414" t="s">
        <v>10000</v>
      </c>
      <c r="K1414">
        <v>42</v>
      </c>
      <c r="L1414" t="s">
        <v>25</v>
      </c>
      <c r="M1414" t="s">
        <v>23</v>
      </c>
      <c r="N1414" t="s">
        <v>27</v>
      </c>
      <c r="O1414" t="s">
        <v>28</v>
      </c>
      <c r="P1414" t="s">
        <v>31</v>
      </c>
      <c r="Q1414">
        <v>0</v>
      </c>
      <c r="R1414" t="s">
        <v>12883</v>
      </c>
      <c r="S1414" t="s">
        <v>12886</v>
      </c>
    </row>
    <row r="1415" spans="1:19" x14ac:dyDescent="0.25">
      <c r="A1415" t="s">
        <v>8205</v>
      </c>
      <c r="B1415" s="1">
        <v>45943</v>
      </c>
      <c r="C1415" t="s">
        <v>12890</v>
      </c>
      <c r="D1415" s="5">
        <v>0.15105324074074075</v>
      </c>
      <c r="E1415">
        <v>104.87</v>
      </c>
      <c r="F1415" t="s">
        <v>44</v>
      </c>
      <c r="G1415" t="s">
        <v>5026</v>
      </c>
      <c r="H1415" t="s">
        <v>71</v>
      </c>
      <c r="I1415" t="s">
        <v>38</v>
      </c>
      <c r="J1415" t="s">
        <v>8206</v>
      </c>
      <c r="K1415">
        <v>60</v>
      </c>
      <c r="L1415" t="s">
        <v>49</v>
      </c>
      <c r="M1415" t="s">
        <v>23</v>
      </c>
      <c r="N1415" t="s">
        <v>51</v>
      </c>
      <c r="O1415" t="s">
        <v>28</v>
      </c>
      <c r="P1415" t="s">
        <v>31</v>
      </c>
      <c r="Q1415">
        <v>0</v>
      </c>
      <c r="R1415" t="s">
        <v>12883</v>
      </c>
      <c r="S1415" t="s">
        <v>12884</v>
      </c>
    </row>
    <row r="1416" spans="1:19" x14ac:dyDescent="0.25">
      <c r="A1416" t="s">
        <v>2663</v>
      </c>
      <c r="B1416" s="1">
        <v>45931</v>
      </c>
      <c r="C1416" t="s">
        <v>12890</v>
      </c>
      <c r="D1416" s="5">
        <v>0.82384259259259263</v>
      </c>
      <c r="E1416">
        <v>104.77</v>
      </c>
      <c r="F1416" t="s">
        <v>44</v>
      </c>
      <c r="G1416" t="s">
        <v>1790</v>
      </c>
      <c r="H1416" t="s">
        <v>71</v>
      </c>
      <c r="I1416" t="s">
        <v>26</v>
      </c>
      <c r="J1416" t="s">
        <v>2664</v>
      </c>
      <c r="K1416">
        <v>45</v>
      </c>
      <c r="L1416" t="s">
        <v>49</v>
      </c>
      <c r="M1416" t="s">
        <v>23</v>
      </c>
      <c r="N1416" t="s">
        <v>112</v>
      </c>
      <c r="O1416" t="s">
        <v>28</v>
      </c>
      <c r="P1416" t="s">
        <v>31</v>
      </c>
      <c r="Q1416">
        <v>0</v>
      </c>
      <c r="R1416" t="s">
        <v>12883</v>
      </c>
      <c r="S1416" t="s">
        <v>12886</v>
      </c>
    </row>
    <row r="1417" spans="1:19" x14ac:dyDescent="0.25">
      <c r="A1417" t="s">
        <v>9365</v>
      </c>
      <c r="B1417" s="1">
        <v>45800</v>
      </c>
      <c r="C1417" t="s">
        <v>12887</v>
      </c>
      <c r="D1417" s="5">
        <v>0.16894675925925925</v>
      </c>
      <c r="E1417">
        <v>104.77</v>
      </c>
      <c r="F1417" t="s">
        <v>44</v>
      </c>
      <c r="G1417" t="s">
        <v>8754</v>
      </c>
      <c r="H1417" t="s">
        <v>64</v>
      </c>
      <c r="I1417" t="s">
        <v>130</v>
      </c>
      <c r="J1417" t="s">
        <v>9366</v>
      </c>
      <c r="K1417">
        <v>27</v>
      </c>
      <c r="L1417" t="s">
        <v>25</v>
      </c>
      <c r="M1417" t="s">
        <v>97</v>
      </c>
      <c r="N1417" t="s">
        <v>51</v>
      </c>
      <c r="O1417" t="s">
        <v>28</v>
      </c>
      <c r="P1417" t="s">
        <v>31</v>
      </c>
      <c r="Q1417">
        <v>0</v>
      </c>
      <c r="R1417" t="s">
        <v>12883</v>
      </c>
      <c r="S1417" t="s">
        <v>12889</v>
      </c>
    </row>
    <row r="1418" spans="1:19" x14ac:dyDescent="0.25">
      <c r="A1418" t="s">
        <v>2006</v>
      </c>
      <c r="B1418" s="1">
        <v>45887</v>
      </c>
      <c r="C1418" t="s">
        <v>12893</v>
      </c>
      <c r="D1418" s="5">
        <v>0.65506944444444448</v>
      </c>
      <c r="E1418">
        <v>104.72</v>
      </c>
      <c r="F1418" t="s">
        <v>44</v>
      </c>
      <c r="G1418" t="s">
        <v>1963</v>
      </c>
      <c r="H1418" t="s">
        <v>77</v>
      </c>
      <c r="I1418" t="s">
        <v>146</v>
      </c>
      <c r="J1418" t="s">
        <v>2007</v>
      </c>
      <c r="K1418">
        <v>50</v>
      </c>
      <c r="L1418" t="s">
        <v>25</v>
      </c>
      <c r="M1418" t="s">
        <v>110</v>
      </c>
      <c r="N1418" t="s">
        <v>51</v>
      </c>
      <c r="O1418" t="s">
        <v>28</v>
      </c>
      <c r="P1418" t="s">
        <v>31</v>
      </c>
      <c r="Q1418">
        <v>1</v>
      </c>
      <c r="R1418" t="s">
        <v>12891</v>
      </c>
      <c r="S1418" t="s">
        <v>12886</v>
      </c>
    </row>
    <row r="1419" spans="1:19" x14ac:dyDescent="0.25">
      <c r="A1419" t="s">
        <v>6512</v>
      </c>
      <c r="B1419" s="1">
        <v>45903</v>
      </c>
      <c r="C1419" t="s">
        <v>12882</v>
      </c>
      <c r="D1419" s="5">
        <v>0.91255787037037039</v>
      </c>
      <c r="E1419">
        <v>104.66</v>
      </c>
      <c r="F1419" t="s">
        <v>44</v>
      </c>
      <c r="G1419" t="s">
        <v>4523</v>
      </c>
      <c r="H1419" t="s">
        <v>46</v>
      </c>
      <c r="I1419" t="s">
        <v>58</v>
      </c>
      <c r="J1419" t="s">
        <v>6513</v>
      </c>
      <c r="K1419">
        <v>54</v>
      </c>
      <c r="L1419" t="s">
        <v>25</v>
      </c>
      <c r="M1419" t="s">
        <v>248</v>
      </c>
      <c r="N1419" t="s">
        <v>51</v>
      </c>
      <c r="O1419" t="s">
        <v>28</v>
      </c>
      <c r="P1419" t="s">
        <v>31</v>
      </c>
      <c r="Q1419">
        <v>0</v>
      </c>
      <c r="R1419" t="s">
        <v>12883</v>
      </c>
      <c r="S1419" t="s">
        <v>12886</v>
      </c>
    </row>
    <row r="1420" spans="1:19" x14ac:dyDescent="0.25">
      <c r="A1420" t="s">
        <v>10599</v>
      </c>
      <c r="B1420" s="1">
        <v>45934</v>
      </c>
      <c r="C1420" t="s">
        <v>12890</v>
      </c>
      <c r="D1420" s="5">
        <v>0.42137731481481483</v>
      </c>
      <c r="E1420">
        <v>104.56</v>
      </c>
      <c r="F1420" t="s">
        <v>44</v>
      </c>
      <c r="G1420" t="s">
        <v>3558</v>
      </c>
      <c r="H1420" t="s">
        <v>57</v>
      </c>
      <c r="I1420" t="s">
        <v>38</v>
      </c>
      <c r="J1420" t="s">
        <v>10600</v>
      </c>
      <c r="K1420">
        <v>37</v>
      </c>
      <c r="L1420" t="s">
        <v>25</v>
      </c>
      <c r="M1420" t="s">
        <v>146</v>
      </c>
      <c r="N1420" t="s">
        <v>39</v>
      </c>
      <c r="O1420" t="s">
        <v>28</v>
      </c>
      <c r="P1420" t="s">
        <v>31</v>
      </c>
      <c r="Q1420">
        <v>0</v>
      </c>
      <c r="R1420" t="s">
        <v>12883</v>
      </c>
      <c r="S1420" t="s">
        <v>12889</v>
      </c>
    </row>
    <row r="1421" spans="1:19" x14ac:dyDescent="0.25">
      <c r="A1421" t="s">
        <v>6471</v>
      </c>
      <c r="B1421" s="1">
        <v>45866</v>
      </c>
      <c r="C1421" t="s">
        <v>12885</v>
      </c>
      <c r="D1421" s="5">
        <v>0.66062500000000002</v>
      </c>
      <c r="E1421">
        <v>104.52</v>
      </c>
      <c r="F1421" t="s">
        <v>44</v>
      </c>
      <c r="G1421" t="s">
        <v>103</v>
      </c>
      <c r="H1421" t="s">
        <v>77</v>
      </c>
      <c r="I1421" t="s">
        <v>146</v>
      </c>
      <c r="J1421" t="s">
        <v>6472</v>
      </c>
      <c r="K1421">
        <v>66</v>
      </c>
      <c r="L1421" t="s">
        <v>37</v>
      </c>
      <c r="M1421" t="s">
        <v>47</v>
      </c>
      <c r="N1421" t="s">
        <v>84</v>
      </c>
      <c r="O1421" t="s">
        <v>28</v>
      </c>
      <c r="P1421" t="s">
        <v>31</v>
      </c>
      <c r="Q1421">
        <v>0</v>
      </c>
      <c r="R1421" t="s">
        <v>12883</v>
      </c>
      <c r="S1421" t="s">
        <v>12884</v>
      </c>
    </row>
    <row r="1422" spans="1:19" x14ac:dyDescent="0.25">
      <c r="A1422" t="s">
        <v>10090</v>
      </c>
      <c r="B1422" s="1">
        <v>45795</v>
      </c>
      <c r="C1422" t="s">
        <v>12887</v>
      </c>
      <c r="D1422" s="5">
        <v>0.51333333333333331</v>
      </c>
      <c r="E1422">
        <v>104.47</v>
      </c>
      <c r="F1422" t="s">
        <v>44</v>
      </c>
      <c r="G1422" t="s">
        <v>8932</v>
      </c>
      <c r="H1422" t="s">
        <v>71</v>
      </c>
      <c r="I1422" t="s">
        <v>23</v>
      </c>
      <c r="J1422" t="s">
        <v>10091</v>
      </c>
      <c r="K1422">
        <v>52</v>
      </c>
      <c r="L1422" t="s">
        <v>25</v>
      </c>
      <c r="M1422" t="s">
        <v>146</v>
      </c>
      <c r="N1422" t="s">
        <v>51</v>
      </c>
      <c r="O1422" t="s">
        <v>28</v>
      </c>
      <c r="P1422" t="s">
        <v>31</v>
      </c>
      <c r="Q1422">
        <v>1</v>
      </c>
      <c r="R1422" t="s">
        <v>12891</v>
      </c>
      <c r="S1422" t="s">
        <v>12886</v>
      </c>
    </row>
    <row r="1423" spans="1:19" x14ac:dyDescent="0.25">
      <c r="A1423" t="s">
        <v>2321</v>
      </c>
      <c r="B1423" s="1">
        <v>45942</v>
      </c>
      <c r="C1423" t="s">
        <v>12890</v>
      </c>
      <c r="D1423" s="5">
        <v>0.99799768518518517</v>
      </c>
      <c r="E1423">
        <v>104.43</v>
      </c>
      <c r="F1423" t="s">
        <v>44</v>
      </c>
      <c r="G1423" t="s">
        <v>103</v>
      </c>
      <c r="H1423" t="s">
        <v>77</v>
      </c>
      <c r="I1423" t="s">
        <v>23</v>
      </c>
      <c r="J1423" t="s">
        <v>2322</v>
      </c>
      <c r="K1423">
        <v>51</v>
      </c>
      <c r="L1423" t="s">
        <v>25</v>
      </c>
      <c r="M1423" t="s">
        <v>146</v>
      </c>
      <c r="N1423" t="s">
        <v>84</v>
      </c>
      <c r="O1423" t="s">
        <v>28</v>
      </c>
      <c r="P1423" t="s">
        <v>31</v>
      </c>
      <c r="Q1423">
        <v>0</v>
      </c>
      <c r="R1423" t="s">
        <v>12883</v>
      </c>
      <c r="S1423" t="s">
        <v>12886</v>
      </c>
    </row>
    <row r="1424" spans="1:19" x14ac:dyDescent="0.25">
      <c r="A1424" t="s">
        <v>4275</v>
      </c>
      <c r="B1424" s="1">
        <v>45784</v>
      </c>
      <c r="C1424" t="s">
        <v>12887</v>
      </c>
      <c r="D1424" s="5">
        <v>0.61380787037037032</v>
      </c>
      <c r="E1424">
        <v>104.37</v>
      </c>
      <c r="F1424" t="s">
        <v>44</v>
      </c>
      <c r="G1424" t="s">
        <v>3193</v>
      </c>
      <c r="H1424" t="s">
        <v>124</v>
      </c>
      <c r="I1424" t="s">
        <v>35</v>
      </c>
      <c r="J1424" t="s">
        <v>4276</v>
      </c>
      <c r="K1424">
        <v>23</v>
      </c>
      <c r="L1424" t="s">
        <v>37</v>
      </c>
      <c r="M1424" t="s">
        <v>146</v>
      </c>
      <c r="N1424" t="s">
        <v>51</v>
      </c>
      <c r="O1424" t="s">
        <v>28</v>
      </c>
      <c r="P1424" t="s">
        <v>31</v>
      </c>
      <c r="Q1424">
        <v>0</v>
      </c>
      <c r="R1424" t="s">
        <v>12883</v>
      </c>
      <c r="S1424" t="s">
        <v>12892</v>
      </c>
    </row>
    <row r="1425" spans="1:19" x14ac:dyDescent="0.25">
      <c r="A1425" t="s">
        <v>1646</v>
      </c>
      <c r="B1425" s="1">
        <v>45882</v>
      </c>
      <c r="C1425" t="s">
        <v>12893</v>
      </c>
      <c r="D1425" s="5">
        <v>0.67996527777777782</v>
      </c>
      <c r="E1425">
        <v>103.88</v>
      </c>
      <c r="F1425" t="s">
        <v>44</v>
      </c>
      <c r="G1425" t="s">
        <v>1647</v>
      </c>
      <c r="H1425" t="s">
        <v>64</v>
      </c>
      <c r="I1425" t="s">
        <v>66</v>
      </c>
      <c r="J1425" t="s">
        <v>1648</v>
      </c>
      <c r="K1425">
        <v>23</v>
      </c>
      <c r="L1425" t="s">
        <v>25</v>
      </c>
      <c r="M1425" t="s">
        <v>248</v>
      </c>
      <c r="N1425" t="s">
        <v>84</v>
      </c>
      <c r="O1425" t="s">
        <v>28</v>
      </c>
      <c r="P1425" t="s">
        <v>31</v>
      </c>
      <c r="Q1425">
        <v>0</v>
      </c>
      <c r="R1425" t="s">
        <v>12883</v>
      </c>
      <c r="S1425" t="s">
        <v>12892</v>
      </c>
    </row>
    <row r="1426" spans="1:19" x14ac:dyDescent="0.25">
      <c r="A1426" t="s">
        <v>1086</v>
      </c>
      <c r="B1426" s="1">
        <v>45902</v>
      </c>
      <c r="C1426" t="s">
        <v>12882</v>
      </c>
      <c r="D1426" s="5">
        <v>0.86754629629629632</v>
      </c>
      <c r="E1426">
        <v>103.86</v>
      </c>
      <c r="F1426" t="s">
        <v>44</v>
      </c>
      <c r="G1426" t="s">
        <v>1087</v>
      </c>
      <c r="H1426" t="s">
        <v>96</v>
      </c>
      <c r="I1426" t="s">
        <v>47</v>
      </c>
      <c r="J1426" t="s">
        <v>1088</v>
      </c>
      <c r="K1426">
        <v>51</v>
      </c>
      <c r="L1426" t="s">
        <v>37</v>
      </c>
      <c r="M1426" t="s">
        <v>97</v>
      </c>
      <c r="N1426" t="s">
        <v>84</v>
      </c>
      <c r="O1426" t="s">
        <v>28</v>
      </c>
      <c r="P1426" t="s">
        <v>31</v>
      </c>
      <c r="Q1426">
        <v>0</v>
      </c>
      <c r="R1426" t="s">
        <v>12883</v>
      </c>
      <c r="S1426" t="s">
        <v>12886</v>
      </c>
    </row>
    <row r="1427" spans="1:19" x14ac:dyDescent="0.25">
      <c r="A1427" t="s">
        <v>4411</v>
      </c>
      <c r="B1427" s="1">
        <v>45950</v>
      </c>
      <c r="C1427" t="s">
        <v>12890</v>
      </c>
      <c r="D1427" s="5">
        <v>0.11350694444444444</v>
      </c>
      <c r="E1427">
        <v>103.79</v>
      </c>
      <c r="F1427" t="s">
        <v>44</v>
      </c>
      <c r="G1427" t="s">
        <v>4412</v>
      </c>
      <c r="H1427" t="s">
        <v>71</v>
      </c>
      <c r="I1427" t="s">
        <v>91</v>
      </c>
      <c r="J1427" t="s">
        <v>4413</v>
      </c>
      <c r="K1427">
        <v>45</v>
      </c>
      <c r="L1427" t="s">
        <v>37</v>
      </c>
      <c r="M1427" t="s">
        <v>38</v>
      </c>
      <c r="N1427" t="s">
        <v>105</v>
      </c>
      <c r="O1427" t="s">
        <v>28</v>
      </c>
      <c r="P1427" t="s">
        <v>31</v>
      </c>
      <c r="Q1427">
        <v>1</v>
      </c>
      <c r="R1427" t="s">
        <v>12891</v>
      </c>
      <c r="S1427" t="s">
        <v>12886</v>
      </c>
    </row>
    <row r="1428" spans="1:19" x14ac:dyDescent="0.25">
      <c r="A1428" t="s">
        <v>6197</v>
      </c>
      <c r="B1428" s="1">
        <v>45803</v>
      </c>
      <c r="C1428" t="s">
        <v>12887</v>
      </c>
      <c r="D1428" s="5">
        <v>0.74458333333333337</v>
      </c>
      <c r="E1428">
        <v>103.74</v>
      </c>
      <c r="F1428" t="s">
        <v>44</v>
      </c>
      <c r="G1428" t="s">
        <v>1832</v>
      </c>
      <c r="H1428" t="s">
        <v>96</v>
      </c>
      <c r="I1428" t="s">
        <v>23</v>
      </c>
      <c r="J1428" t="s">
        <v>1183</v>
      </c>
      <c r="K1428">
        <v>45</v>
      </c>
      <c r="L1428" t="s">
        <v>25</v>
      </c>
      <c r="M1428" t="s">
        <v>91</v>
      </c>
      <c r="N1428" t="s">
        <v>27</v>
      </c>
      <c r="O1428" t="s">
        <v>28</v>
      </c>
      <c r="P1428" t="s">
        <v>31</v>
      </c>
      <c r="Q1428">
        <v>0</v>
      </c>
      <c r="R1428" t="s">
        <v>12883</v>
      </c>
      <c r="S1428" t="s">
        <v>12886</v>
      </c>
    </row>
    <row r="1429" spans="1:19" x14ac:dyDescent="0.25">
      <c r="A1429" t="s">
        <v>9227</v>
      </c>
      <c r="B1429" s="1">
        <v>45936</v>
      </c>
      <c r="C1429" t="s">
        <v>12890</v>
      </c>
      <c r="D1429" s="5">
        <v>0.24909722222222222</v>
      </c>
      <c r="E1429">
        <v>103.53</v>
      </c>
      <c r="F1429" t="s">
        <v>44</v>
      </c>
      <c r="G1429" t="s">
        <v>9228</v>
      </c>
      <c r="H1429" t="s">
        <v>57</v>
      </c>
      <c r="I1429" t="s">
        <v>248</v>
      </c>
      <c r="J1429" t="s">
        <v>9229</v>
      </c>
      <c r="K1429">
        <v>64</v>
      </c>
      <c r="L1429" t="s">
        <v>25</v>
      </c>
      <c r="M1429" t="s">
        <v>91</v>
      </c>
      <c r="N1429" t="s">
        <v>51</v>
      </c>
      <c r="O1429" t="s">
        <v>28</v>
      </c>
      <c r="P1429" t="s">
        <v>31</v>
      </c>
      <c r="Q1429">
        <v>0</v>
      </c>
      <c r="R1429" t="s">
        <v>12883</v>
      </c>
      <c r="S1429" t="s">
        <v>12884</v>
      </c>
    </row>
    <row r="1430" spans="1:19" x14ac:dyDescent="0.25">
      <c r="A1430" t="s">
        <v>8067</v>
      </c>
      <c r="B1430" s="1">
        <v>45936</v>
      </c>
      <c r="C1430" t="s">
        <v>12890</v>
      </c>
      <c r="D1430" s="5">
        <v>0.58498842592592593</v>
      </c>
      <c r="E1430">
        <v>103.46</v>
      </c>
      <c r="F1430" t="s">
        <v>44</v>
      </c>
      <c r="G1430" t="s">
        <v>2354</v>
      </c>
      <c r="H1430" t="s">
        <v>124</v>
      </c>
      <c r="I1430" t="s">
        <v>146</v>
      </c>
      <c r="J1430" t="s">
        <v>8068</v>
      </c>
      <c r="K1430">
        <v>54</v>
      </c>
      <c r="L1430" t="s">
        <v>49</v>
      </c>
      <c r="M1430" t="s">
        <v>47</v>
      </c>
      <c r="N1430" t="s">
        <v>84</v>
      </c>
      <c r="O1430" t="s">
        <v>28</v>
      </c>
      <c r="P1430" t="s">
        <v>31</v>
      </c>
      <c r="Q1430">
        <v>0</v>
      </c>
      <c r="R1430" t="s">
        <v>12883</v>
      </c>
      <c r="S1430" t="s">
        <v>12886</v>
      </c>
    </row>
    <row r="1431" spans="1:19" x14ac:dyDescent="0.25">
      <c r="A1431" t="s">
        <v>1266</v>
      </c>
      <c r="B1431" s="1">
        <v>45810</v>
      </c>
      <c r="C1431" t="s">
        <v>12888</v>
      </c>
      <c r="D1431" s="5">
        <v>6.5277777777777782E-2</v>
      </c>
      <c r="E1431">
        <v>103.46</v>
      </c>
      <c r="F1431" t="s">
        <v>44</v>
      </c>
      <c r="G1431" t="s">
        <v>1267</v>
      </c>
      <c r="H1431" t="s">
        <v>64</v>
      </c>
      <c r="I1431" t="s">
        <v>23</v>
      </c>
      <c r="J1431" t="s">
        <v>1268</v>
      </c>
      <c r="K1431">
        <v>21</v>
      </c>
      <c r="L1431" t="s">
        <v>37</v>
      </c>
      <c r="M1431" t="s">
        <v>38</v>
      </c>
      <c r="N1431" t="s">
        <v>112</v>
      </c>
      <c r="O1431" t="s">
        <v>28</v>
      </c>
      <c r="P1431" t="s">
        <v>31</v>
      </c>
      <c r="Q1431">
        <v>1</v>
      </c>
      <c r="R1431" t="s">
        <v>12891</v>
      </c>
      <c r="S1431" t="s">
        <v>12892</v>
      </c>
    </row>
    <row r="1432" spans="1:19" x14ac:dyDescent="0.25">
      <c r="A1432" t="s">
        <v>7431</v>
      </c>
      <c r="B1432" s="1">
        <v>45870</v>
      </c>
      <c r="C1432" t="s">
        <v>12893</v>
      </c>
      <c r="D1432" s="5">
        <v>0.82111111111111112</v>
      </c>
      <c r="E1432">
        <v>103.35</v>
      </c>
      <c r="F1432" t="s">
        <v>44</v>
      </c>
      <c r="G1432" t="s">
        <v>3835</v>
      </c>
      <c r="H1432" t="s">
        <v>89</v>
      </c>
      <c r="I1432" t="s">
        <v>146</v>
      </c>
      <c r="J1432" t="s">
        <v>7432</v>
      </c>
      <c r="K1432">
        <v>49</v>
      </c>
      <c r="L1432" t="s">
        <v>25</v>
      </c>
      <c r="M1432" t="s">
        <v>119</v>
      </c>
      <c r="N1432" t="s">
        <v>112</v>
      </c>
      <c r="O1432" t="s">
        <v>28</v>
      </c>
      <c r="P1432" t="s">
        <v>31</v>
      </c>
      <c r="Q1432">
        <v>0</v>
      </c>
      <c r="R1432" t="s">
        <v>12883</v>
      </c>
      <c r="S1432" t="s">
        <v>12886</v>
      </c>
    </row>
    <row r="1433" spans="1:19" x14ac:dyDescent="0.25">
      <c r="A1433" t="s">
        <v>1537</v>
      </c>
      <c r="B1433" s="1">
        <v>45892</v>
      </c>
      <c r="C1433" t="s">
        <v>12893</v>
      </c>
      <c r="D1433" s="5">
        <v>8.518518518518519E-3</v>
      </c>
      <c r="E1433">
        <v>103.22</v>
      </c>
      <c r="F1433" t="s">
        <v>44</v>
      </c>
      <c r="G1433" t="s">
        <v>1538</v>
      </c>
      <c r="H1433" t="s">
        <v>71</v>
      </c>
      <c r="I1433" t="s">
        <v>58</v>
      </c>
      <c r="J1433" t="s">
        <v>1539</v>
      </c>
      <c r="K1433">
        <v>22</v>
      </c>
      <c r="L1433" t="s">
        <v>25</v>
      </c>
      <c r="M1433" t="s">
        <v>97</v>
      </c>
      <c r="N1433" t="s">
        <v>39</v>
      </c>
      <c r="O1433" t="s">
        <v>28</v>
      </c>
      <c r="P1433" t="s">
        <v>31</v>
      </c>
      <c r="Q1433">
        <v>0</v>
      </c>
      <c r="R1433" t="s">
        <v>12883</v>
      </c>
      <c r="S1433" t="s">
        <v>12892</v>
      </c>
    </row>
    <row r="1434" spans="1:19" x14ac:dyDescent="0.25">
      <c r="A1434" t="s">
        <v>9126</v>
      </c>
      <c r="B1434" s="1">
        <v>45893</v>
      </c>
      <c r="C1434" t="s">
        <v>12893</v>
      </c>
      <c r="D1434" s="5">
        <v>0.13930555555555554</v>
      </c>
      <c r="E1434">
        <v>103.05</v>
      </c>
      <c r="F1434" t="s">
        <v>44</v>
      </c>
      <c r="G1434" t="s">
        <v>3630</v>
      </c>
      <c r="H1434" t="s">
        <v>77</v>
      </c>
      <c r="I1434" t="s">
        <v>119</v>
      </c>
      <c r="J1434" t="s">
        <v>9127</v>
      </c>
      <c r="K1434">
        <v>23</v>
      </c>
      <c r="L1434" t="s">
        <v>25</v>
      </c>
      <c r="M1434" t="s">
        <v>97</v>
      </c>
      <c r="N1434" t="s">
        <v>27</v>
      </c>
      <c r="O1434" t="s">
        <v>28</v>
      </c>
      <c r="P1434" t="s">
        <v>31</v>
      </c>
      <c r="Q1434">
        <v>0</v>
      </c>
      <c r="R1434" t="s">
        <v>12883</v>
      </c>
      <c r="S1434" t="s">
        <v>12892</v>
      </c>
    </row>
    <row r="1435" spans="1:19" x14ac:dyDescent="0.25">
      <c r="A1435" t="s">
        <v>9030</v>
      </c>
      <c r="B1435" s="1">
        <v>45840</v>
      </c>
      <c r="C1435" t="s">
        <v>12885</v>
      </c>
      <c r="D1435" s="5">
        <v>0.62206018518518513</v>
      </c>
      <c r="E1435">
        <v>103.01</v>
      </c>
      <c r="F1435" t="s">
        <v>44</v>
      </c>
      <c r="G1435" t="s">
        <v>8383</v>
      </c>
      <c r="H1435" t="s">
        <v>64</v>
      </c>
      <c r="I1435" t="s">
        <v>119</v>
      </c>
      <c r="J1435" t="s">
        <v>9031</v>
      </c>
      <c r="K1435">
        <v>22</v>
      </c>
      <c r="L1435" t="s">
        <v>49</v>
      </c>
      <c r="M1435" t="s">
        <v>119</v>
      </c>
      <c r="N1435" t="s">
        <v>105</v>
      </c>
      <c r="O1435" t="s">
        <v>113</v>
      </c>
      <c r="P1435" t="s">
        <v>31</v>
      </c>
      <c r="Q1435">
        <v>0</v>
      </c>
      <c r="R1435" t="s">
        <v>12883</v>
      </c>
      <c r="S1435" t="s">
        <v>12892</v>
      </c>
    </row>
    <row r="1436" spans="1:19" x14ac:dyDescent="0.25">
      <c r="A1436" t="s">
        <v>7772</v>
      </c>
      <c r="B1436" s="1">
        <v>45916</v>
      </c>
      <c r="C1436" t="s">
        <v>12882</v>
      </c>
      <c r="D1436" s="5">
        <v>0.40416666666666667</v>
      </c>
      <c r="E1436">
        <v>102.87</v>
      </c>
      <c r="F1436" t="s">
        <v>44</v>
      </c>
      <c r="G1436" t="s">
        <v>2089</v>
      </c>
      <c r="H1436" t="s">
        <v>34</v>
      </c>
      <c r="I1436" t="s">
        <v>119</v>
      </c>
      <c r="J1436" t="s">
        <v>7773</v>
      </c>
      <c r="K1436">
        <v>73</v>
      </c>
      <c r="L1436" t="s">
        <v>25</v>
      </c>
      <c r="M1436" t="s">
        <v>130</v>
      </c>
      <c r="N1436" t="s">
        <v>105</v>
      </c>
      <c r="O1436" t="s">
        <v>28</v>
      </c>
      <c r="P1436" t="s">
        <v>31</v>
      </c>
      <c r="Q1436">
        <v>0</v>
      </c>
      <c r="R1436" t="s">
        <v>12883</v>
      </c>
      <c r="S1436" t="s">
        <v>12884</v>
      </c>
    </row>
    <row r="1437" spans="1:19" x14ac:dyDescent="0.25">
      <c r="A1437" t="s">
        <v>9084</v>
      </c>
      <c r="B1437" s="1">
        <v>45925</v>
      </c>
      <c r="C1437" t="s">
        <v>12882</v>
      </c>
      <c r="D1437" s="5">
        <v>0.35028935185185184</v>
      </c>
      <c r="E1437">
        <v>102.75</v>
      </c>
      <c r="F1437" t="s">
        <v>44</v>
      </c>
      <c r="G1437" t="s">
        <v>1950</v>
      </c>
      <c r="H1437" t="s">
        <v>96</v>
      </c>
      <c r="I1437" t="s">
        <v>146</v>
      </c>
      <c r="J1437" t="s">
        <v>9085</v>
      </c>
      <c r="K1437">
        <v>32</v>
      </c>
      <c r="L1437" t="s">
        <v>37</v>
      </c>
      <c r="M1437" t="s">
        <v>50</v>
      </c>
      <c r="N1437" t="s">
        <v>105</v>
      </c>
      <c r="O1437" t="s">
        <v>28</v>
      </c>
      <c r="P1437" t="s">
        <v>31</v>
      </c>
      <c r="Q1437">
        <v>0</v>
      </c>
      <c r="R1437" t="s">
        <v>12883</v>
      </c>
      <c r="S1437" t="s">
        <v>12889</v>
      </c>
    </row>
    <row r="1438" spans="1:19" x14ac:dyDescent="0.25">
      <c r="A1438" t="s">
        <v>1152</v>
      </c>
      <c r="B1438" s="1">
        <v>45960</v>
      </c>
      <c r="C1438" t="s">
        <v>12890</v>
      </c>
      <c r="D1438" s="5">
        <v>4.6990740740740743E-2</v>
      </c>
      <c r="E1438">
        <v>102.74</v>
      </c>
      <c r="F1438" t="s">
        <v>44</v>
      </c>
      <c r="G1438" t="s">
        <v>1153</v>
      </c>
      <c r="H1438" t="s">
        <v>77</v>
      </c>
      <c r="I1438" t="s">
        <v>146</v>
      </c>
      <c r="J1438" t="s">
        <v>1154</v>
      </c>
      <c r="K1438">
        <v>41</v>
      </c>
      <c r="L1438" t="s">
        <v>49</v>
      </c>
      <c r="M1438" t="s">
        <v>91</v>
      </c>
      <c r="N1438" t="s">
        <v>39</v>
      </c>
      <c r="O1438" t="s">
        <v>28</v>
      </c>
      <c r="P1438" t="s">
        <v>31</v>
      </c>
      <c r="Q1438">
        <v>0</v>
      </c>
      <c r="R1438" t="s">
        <v>12883</v>
      </c>
      <c r="S1438" t="s">
        <v>12886</v>
      </c>
    </row>
    <row r="1439" spans="1:19" x14ac:dyDescent="0.25">
      <c r="A1439" t="s">
        <v>8485</v>
      </c>
      <c r="B1439" s="1">
        <v>45816</v>
      </c>
      <c r="C1439" t="s">
        <v>12888</v>
      </c>
      <c r="D1439" s="5">
        <v>0.65630787037037042</v>
      </c>
      <c r="E1439">
        <v>102.71</v>
      </c>
      <c r="F1439" t="s">
        <v>44</v>
      </c>
      <c r="G1439" t="s">
        <v>6328</v>
      </c>
      <c r="H1439" t="s">
        <v>57</v>
      </c>
      <c r="I1439" t="s">
        <v>35</v>
      </c>
      <c r="J1439" t="s">
        <v>8486</v>
      </c>
      <c r="K1439">
        <v>38</v>
      </c>
      <c r="L1439" t="s">
        <v>49</v>
      </c>
      <c r="M1439" t="s">
        <v>50</v>
      </c>
      <c r="N1439" t="s">
        <v>105</v>
      </c>
      <c r="O1439" t="s">
        <v>28</v>
      </c>
      <c r="P1439" t="s">
        <v>31</v>
      </c>
      <c r="Q1439">
        <v>0</v>
      </c>
      <c r="R1439" t="s">
        <v>12883</v>
      </c>
      <c r="S1439" t="s">
        <v>12889</v>
      </c>
    </row>
    <row r="1440" spans="1:19" x14ac:dyDescent="0.25">
      <c r="A1440" t="s">
        <v>2312</v>
      </c>
      <c r="B1440" s="1">
        <v>45937</v>
      </c>
      <c r="C1440" t="s">
        <v>12890</v>
      </c>
      <c r="D1440" s="5">
        <v>0.63006944444444446</v>
      </c>
      <c r="E1440">
        <v>102.7</v>
      </c>
      <c r="F1440" t="s">
        <v>44</v>
      </c>
      <c r="G1440" t="s">
        <v>1277</v>
      </c>
      <c r="H1440" t="s">
        <v>77</v>
      </c>
      <c r="I1440" t="s">
        <v>119</v>
      </c>
      <c r="J1440" t="s">
        <v>2313</v>
      </c>
      <c r="K1440">
        <v>48</v>
      </c>
      <c r="L1440" t="s">
        <v>25</v>
      </c>
      <c r="M1440" t="s">
        <v>38</v>
      </c>
      <c r="N1440" t="s">
        <v>112</v>
      </c>
      <c r="O1440" t="s">
        <v>28</v>
      </c>
      <c r="P1440" t="s">
        <v>31</v>
      </c>
      <c r="Q1440">
        <v>0</v>
      </c>
      <c r="R1440" t="s">
        <v>12883</v>
      </c>
      <c r="S1440" t="s">
        <v>12886</v>
      </c>
    </row>
    <row r="1441" spans="1:19" x14ac:dyDescent="0.25">
      <c r="A1441" t="s">
        <v>2461</v>
      </c>
      <c r="B1441" s="1">
        <v>45957</v>
      </c>
      <c r="C1441" t="s">
        <v>12890</v>
      </c>
      <c r="D1441" s="5">
        <v>0.80275462962962962</v>
      </c>
      <c r="E1441">
        <v>102.63</v>
      </c>
      <c r="F1441" t="s">
        <v>44</v>
      </c>
      <c r="G1441" t="s">
        <v>2462</v>
      </c>
      <c r="H1441" t="s">
        <v>22</v>
      </c>
      <c r="I1441" t="s">
        <v>66</v>
      </c>
      <c r="J1441" t="s">
        <v>2463</v>
      </c>
      <c r="K1441">
        <v>46</v>
      </c>
      <c r="L1441" t="s">
        <v>37</v>
      </c>
      <c r="M1441" t="s">
        <v>23</v>
      </c>
      <c r="N1441" t="s">
        <v>27</v>
      </c>
      <c r="O1441" t="s">
        <v>28</v>
      </c>
      <c r="P1441" t="s">
        <v>31</v>
      </c>
      <c r="Q1441">
        <v>0</v>
      </c>
      <c r="R1441" t="s">
        <v>12883</v>
      </c>
      <c r="S1441" t="s">
        <v>12886</v>
      </c>
    </row>
    <row r="1442" spans="1:19" x14ac:dyDescent="0.25">
      <c r="A1442" t="s">
        <v>2175</v>
      </c>
      <c r="B1442" s="1">
        <v>45854</v>
      </c>
      <c r="C1442" t="s">
        <v>12885</v>
      </c>
      <c r="D1442" s="5">
        <v>0.89491898148148152</v>
      </c>
      <c r="E1442">
        <v>102.6</v>
      </c>
      <c r="F1442" t="s">
        <v>44</v>
      </c>
      <c r="G1442" t="s">
        <v>2176</v>
      </c>
      <c r="H1442" t="s">
        <v>46</v>
      </c>
      <c r="I1442" t="s">
        <v>35</v>
      </c>
      <c r="J1442" t="s">
        <v>2177</v>
      </c>
      <c r="K1442">
        <v>28</v>
      </c>
      <c r="L1442" t="s">
        <v>49</v>
      </c>
      <c r="M1442" t="s">
        <v>146</v>
      </c>
      <c r="N1442" t="s">
        <v>27</v>
      </c>
      <c r="O1442" t="s">
        <v>28</v>
      </c>
      <c r="P1442" t="s">
        <v>31</v>
      </c>
      <c r="Q1442">
        <v>0</v>
      </c>
      <c r="R1442" t="s">
        <v>12883</v>
      </c>
      <c r="S1442" t="s">
        <v>12889</v>
      </c>
    </row>
    <row r="1443" spans="1:19" x14ac:dyDescent="0.25">
      <c r="A1443" t="s">
        <v>4915</v>
      </c>
      <c r="B1443" s="1">
        <v>45866</v>
      </c>
      <c r="C1443" t="s">
        <v>12885</v>
      </c>
      <c r="D1443" s="5">
        <v>0.72781249999999997</v>
      </c>
      <c r="E1443">
        <v>102.46</v>
      </c>
      <c r="F1443" t="s">
        <v>44</v>
      </c>
      <c r="G1443" t="s">
        <v>4916</v>
      </c>
      <c r="H1443" t="s">
        <v>22</v>
      </c>
      <c r="I1443" t="s">
        <v>23</v>
      </c>
      <c r="J1443" t="s">
        <v>4917</v>
      </c>
      <c r="K1443">
        <v>10</v>
      </c>
      <c r="L1443" t="s">
        <v>25</v>
      </c>
      <c r="M1443" t="s">
        <v>248</v>
      </c>
      <c r="N1443" t="s">
        <v>112</v>
      </c>
      <c r="O1443" t="s">
        <v>28</v>
      </c>
      <c r="P1443" t="s">
        <v>31</v>
      </c>
      <c r="Q1443">
        <v>0</v>
      </c>
      <c r="R1443" t="s">
        <v>12883</v>
      </c>
      <c r="S1443" t="s">
        <v>12892</v>
      </c>
    </row>
    <row r="1444" spans="1:19" x14ac:dyDescent="0.25">
      <c r="A1444" t="s">
        <v>7023</v>
      </c>
      <c r="B1444" s="1">
        <v>45837</v>
      </c>
      <c r="C1444" t="s">
        <v>12888</v>
      </c>
      <c r="D1444" s="5">
        <v>8.8773148148148143E-2</v>
      </c>
      <c r="E1444">
        <v>102.37</v>
      </c>
      <c r="F1444" t="s">
        <v>44</v>
      </c>
      <c r="G1444" t="s">
        <v>384</v>
      </c>
      <c r="H1444" t="s">
        <v>96</v>
      </c>
      <c r="I1444" t="s">
        <v>91</v>
      </c>
      <c r="J1444" t="s">
        <v>7024</v>
      </c>
      <c r="K1444">
        <v>35</v>
      </c>
      <c r="L1444" t="s">
        <v>25</v>
      </c>
      <c r="M1444" t="s">
        <v>91</v>
      </c>
      <c r="N1444" t="s">
        <v>105</v>
      </c>
      <c r="O1444" t="s">
        <v>113</v>
      </c>
      <c r="P1444" t="s">
        <v>31</v>
      </c>
      <c r="Q1444">
        <v>0</v>
      </c>
      <c r="R1444" t="s">
        <v>12883</v>
      </c>
      <c r="S1444" t="s">
        <v>12889</v>
      </c>
    </row>
    <row r="1445" spans="1:19" x14ac:dyDescent="0.25">
      <c r="A1445" t="s">
        <v>8071</v>
      </c>
      <c r="B1445" s="1">
        <v>45937</v>
      </c>
      <c r="C1445" t="s">
        <v>12890</v>
      </c>
      <c r="D1445" s="5">
        <v>0.25812499999999999</v>
      </c>
      <c r="E1445">
        <v>102.24</v>
      </c>
      <c r="F1445" t="s">
        <v>44</v>
      </c>
      <c r="G1445" t="s">
        <v>145</v>
      </c>
      <c r="H1445" t="s">
        <v>46</v>
      </c>
      <c r="I1445" t="s">
        <v>26</v>
      </c>
      <c r="J1445" t="s">
        <v>8072</v>
      </c>
      <c r="K1445">
        <v>34</v>
      </c>
      <c r="L1445" t="s">
        <v>25</v>
      </c>
      <c r="M1445" t="s">
        <v>26</v>
      </c>
      <c r="N1445" t="s">
        <v>39</v>
      </c>
      <c r="O1445" t="s">
        <v>113</v>
      </c>
      <c r="P1445" t="s">
        <v>31</v>
      </c>
      <c r="Q1445">
        <v>0</v>
      </c>
      <c r="R1445" t="s">
        <v>12883</v>
      </c>
      <c r="S1445" t="s">
        <v>12889</v>
      </c>
    </row>
    <row r="1446" spans="1:19" x14ac:dyDescent="0.25">
      <c r="A1446" t="s">
        <v>6256</v>
      </c>
      <c r="B1446" s="1">
        <v>45876</v>
      </c>
      <c r="C1446" t="s">
        <v>12893</v>
      </c>
      <c r="D1446" s="5">
        <v>0.41488425925925926</v>
      </c>
      <c r="E1446">
        <v>102.19</v>
      </c>
      <c r="F1446" t="s">
        <v>44</v>
      </c>
      <c r="G1446" t="s">
        <v>379</v>
      </c>
      <c r="H1446" t="s">
        <v>71</v>
      </c>
      <c r="I1446" t="s">
        <v>146</v>
      </c>
      <c r="J1446" t="s">
        <v>6257</v>
      </c>
      <c r="K1446">
        <v>26</v>
      </c>
      <c r="L1446" t="s">
        <v>49</v>
      </c>
      <c r="M1446" t="s">
        <v>97</v>
      </c>
      <c r="N1446" t="s">
        <v>112</v>
      </c>
      <c r="O1446" t="s">
        <v>28</v>
      </c>
      <c r="P1446" t="s">
        <v>31</v>
      </c>
      <c r="Q1446">
        <v>0</v>
      </c>
      <c r="R1446" t="s">
        <v>12883</v>
      </c>
      <c r="S1446" t="s">
        <v>12889</v>
      </c>
    </row>
    <row r="1447" spans="1:19" x14ac:dyDescent="0.25">
      <c r="A1447" t="s">
        <v>967</v>
      </c>
      <c r="B1447" s="1">
        <v>45789</v>
      </c>
      <c r="C1447" t="s">
        <v>12887</v>
      </c>
      <c r="D1447" s="5">
        <v>0.3485300925925926</v>
      </c>
      <c r="E1447">
        <v>102.16</v>
      </c>
      <c r="F1447" t="s">
        <v>44</v>
      </c>
      <c r="G1447" t="s">
        <v>968</v>
      </c>
      <c r="H1447" t="s">
        <v>64</v>
      </c>
      <c r="I1447" t="s">
        <v>97</v>
      </c>
      <c r="J1447" t="s">
        <v>969</v>
      </c>
      <c r="K1447">
        <v>11</v>
      </c>
      <c r="L1447" t="s">
        <v>25</v>
      </c>
      <c r="M1447" t="s">
        <v>23</v>
      </c>
      <c r="N1447" t="s">
        <v>105</v>
      </c>
      <c r="O1447" t="s">
        <v>28</v>
      </c>
      <c r="P1447" t="s">
        <v>31</v>
      </c>
      <c r="Q1447">
        <v>0</v>
      </c>
      <c r="R1447" t="s">
        <v>12883</v>
      </c>
      <c r="S1447" t="s">
        <v>12892</v>
      </c>
    </row>
    <row r="1448" spans="1:19" x14ac:dyDescent="0.25">
      <c r="A1448" t="s">
        <v>4024</v>
      </c>
      <c r="B1448" s="1">
        <v>45870</v>
      </c>
      <c r="C1448" t="s">
        <v>12893</v>
      </c>
      <c r="D1448" s="5">
        <v>0.79888888888888887</v>
      </c>
      <c r="E1448">
        <v>102.15</v>
      </c>
      <c r="F1448" t="s">
        <v>44</v>
      </c>
      <c r="G1448" t="s">
        <v>4025</v>
      </c>
      <c r="H1448" t="s">
        <v>77</v>
      </c>
      <c r="I1448" t="s">
        <v>146</v>
      </c>
      <c r="J1448" t="s">
        <v>4026</v>
      </c>
      <c r="K1448">
        <v>39</v>
      </c>
      <c r="L1448" t="s">
        <v>49</v>
      </c>
      <c r="M1448" t="s">
        <v>23</v>
      </c>
      <c r="N1448" t="s">
        <v>39</v>
      </c>
      <c r="O1448" t="s">
        <v>28</v>
      </c>
      <c r="P1448" t="s">
        <v>31</v>
      </c>
      <c r="Q1448">
        <v>0</v>
      </c>
      <c r="R1448" t="s">
        <v>12883</v>
      </c>
      <c r="S1448" t="s">
        <v>12889</v>
      </c>
    </row>
    <row r="1449" spans="1:19" x14ac:dyDescent="0.25">
      <c r="A1449" t="s">
        <v>1542</v>
      </c>
      <c r="B1449" s="1">
        <v>45884</v>
      </c>
      <c r="C1449" t="s">
        <v>12893</v>
      </c>
      <c r="D1449" s="5">
        <v>0.22403935185185186</v>
      </c>
      <c r="E1449">
        <v>102.12</v>
      </c>
      <c r="F1449" t="s">
        <v>44</v>
      </c>
      <c r="G1449" t="s">
        <v>1543</v>
      </c>
      <c r="H1449" t="s">
        <v>46</v>
      </c>
      <c r="I1449" t="s">
        <v>130</v>
      </c>
      <c r="J1449" t="s">
        <v>1544</v>
      </c>
      <c r="K1449">
        <v>54</v>
      </c>
      <c r="L1449" t="s">
        <v>37</v>
      </c>
      <c r="M1449" t="s">
        <v>35</v>
      </c>
      <c r="N1449" t="s">
        <v>51</v>
      </c>
      <c r="O1449" t="s">
        <v>28</v>
      </c>
      <c r="P1449" t="s">
        <v>31</v>
      </c>
      <c r="Q1449">
        <v>0</v>
      </c>
      <c r="R1449" t="s">
        <v>12883</v>
      </c>
      <c r="S1449" t="s">
        <v>12886</v>
      </c>
    </row>
    <row r="1450" spans="1:19" x14ac:dyDescent="0.25">
      <c r="A1450" t="s">
        <v>1147</v>
      </c>
      <c r="B1450" s="1">
        <v>45910</v>
      </c>
      <c r="C1450" t="s">
        <v>12882</v>
      </c>
      <c r="D1450" s="5">
        <v>0.66446759259259258</v>
      </c>
      <c r="E1450">
        <v>102.04</v>
      </c>
      <c r="F1450" t="s">
        <v>44</v>
      </c>
      <c r="G1450" t="s">
        <v>1148</v>
      </c>
      <c r="H1450" t="s">
        <v>46</v>
      </c>
      <c r="I1450" t="s">
        <v>91</v>
      </c>
      <c r="J1450" t="s">
        <v>1149</v>
      </c>
      <c r="K1450">
        <v>66</v>
      </c>
      <c r="L1450" t="s">
        <v>25</v>
      </c>
      <c r="M1450" t="s">
        <v>58</v>
      </c>
      <c r="N1450" t="s">
        <v>84</v>
      </c>
      <c r="O1450" t="s">
        <v>28</v>
      </c>
      <c r="P1450" t="s">
        <v>31</v>
      </c>
      <c r="Q1450">
        <v>0</v>
      </c>
      <c r="R1450" t="s">
        <v>12883</v>
      </c>
      <c r="S1450" t="s">
        <v>12884</v>
      </c>
    </row>
    <row r="1451" spans="1:19" x14ac:dyDescent="0.25">
      <c r="A1451" t="s">
        <v>7949</v>
      </c>
      <c r="B1451" s="1">
        <v>45849</v>
      </c>
      <c r="C1451" t="s">
        <v>12885</v>
      </c>
      <c r="D1451" s="5">
        <v>0.32711805555555556</v>
      </c>
      <c r="E1451">
        <v>102.01</v>
      </c>
      <c r="F1451" t="s">
        <v>44</v>
      </c>
      <c r="G1451" t="s">
        <v>4648</v>
      </c>
      <c r="H1451" t="s">
        <v>124</v>
      </c>
      <c r="I1451" t="s">
        <v>58</v>
      </c>
      <c r="J1451" t="s">
        <v>7950</v>
      </c>
      <c r="K1451">
        <v>23</v>
      </c>
      <c r="L1451" t="s">
        <v>49</v>
      </c>
      <c r="M1451" t="s">
        <v>50</v>
      </c>
      <c r="N1451" t="s">
        <v>84</v>
      </c>
      <c r="O1451" t="s">
        <v>28</v>
      </c>
      <c r="P1451" t="s">
        <v>31</v>
      </c>
      <c r="Q1451">
        <v>0</v>
      </c>
      <c r="R1451" t="s">
        <v>12883</v>
      </c>
      <c r="S1451" t="s">
        <v>12892</v>
      </c>
    </row>
    <row r="1452" spans="1:19" x14ac:dyDescent="0.25">
      <c r="A1452" t="s">
        <v>12055</v>
      </c>
      <c r="B1452" s="1">
        <v>45833</v>
      </c>
      <c r="C1452" t="s">
        <v>12888</v>
      </c>
      <c r="D1452" s="5">
        <v>0.50017361111111114</v>
      </c>
      <c r="E1452">
        <v>101.99</v>
      </c>
      <c r="F1452" t="s">
        <v>44</v>
      </c>
      <c r="G1452" t="s">
        <v>5732</v>
      </c>
      <c r="H1452" t="s">
        <v>96</v>
      </c>
      <c r="I1452" t="s">
        <v>47</v>
      </c>
      <c r="J1452" t="s">
        <v>12056</v>
      </c>
      <c r="K1452">
        <v>29</v>
      </c>
      <c r="L1452" t="s">
        <v>49</v>
      </c>
      <c r="M1452" t="s">
        <v>50</v>
      </c>
      <c r="N1452" t="s">
        <v>27</v>
      </c>
      <c r="O1452" t="s">
        <v>28</v>
      </c>
      <c r="P1452" t="s">
        <v>31</v>
      </c>
      <c r="Q1452">
        <v>0</v>
      </c>
      <c r="R1452" t="s">
        <v>12883</v>
      </c>
      <c r="S1452" t="s">
        <v>12889</v>
      </c>
    </row>
    <row r="1453" spans="1:19" x14ac:dyDescent="0.25">
      <c r="A1453" t="s">
        <v>5250</v>
      </c>
      <c r="B1453" s="1">
        <v>45862</v>
      </c>
      <c r="C1453" t="s">
        <v>12885</v>
      </c>
      <c r="D1453" s="5">
        <v>0.86486111111111108</v>
      </c>
      <c r="E1453">
        <v>101.97</v>
      </c>
      <c r="F1453" t="s">
        <v>44</v>
      </c>
      <c r="G1453" t="s">
        <v>5036</v>
      </c>
      <c r="H1453" t="s">
        <v>71</v>
      </c>
      <c r="I1453" t="s">
        <v>26</v>
      </c>
      <c r="J1453" t="s">
        <v>5251</v>
      </c>
      <c r="K1453">
        <v>48</v>
      </c>
      <c r="L1453" t="s">
        <v>37</v>
      </c>
      <c r="M1453" t="s">
        <v>248</v>
      </c>
      <c r="N1453" t="s">
        <v>84</v>
      </c>
      <c r="O1453" t="s">
        <v>28</v>
      </c>
      <c r="P1453" t="s">
        <v>31</v>
      </c>
      <c r="Q1453">
        <v>0</v>
      </c>
      <c r="R1453" t="s">
        <v>12883</v>
      </c>
      <c r="S1453" t="s">
        <v>12886</v>
      </c>
    </row>
    <row r="1454" spans="1:19" x14ac:dyDescent="0.25">
      <c r="A1454" t="s">
        <v>2579</v>
      </c>
      <c r="B1454" s="1">
        <v>45955</v>
      </c>
      <c r="C1454" t="s">
        <v>12890</v>
      </c>
      <c r="D1454" s="5">
        <v>0.80776620370370367</v>
      </c>
      <c r="E1454">
        <v>101.91</v>
      </c>
      <c r="F1454" t="s">
        <v>44</v>
      </c>
      <c r="G1454" t="s">
        <v>2580</v>
      </c>
      <c r="H1454" t="s">
        <v>46</v>
      </c>
      <c r="I1454" t="s">
        <v>146</v>
      </c>
      <c r="J1454" t="s">
        <v>2581</v>
      </c>
      <c r="K1454">
        <v>66</v>
      </c>
      <c r="L1454" t="s">
        <v>49</v>
      </c>
      <c r="M1454" t="s">
        <v>58</v>
      </c>
      <c r="N1454" t="s">
        <v>84</v>
      </c>
      <c r="O1454" t="s">
        <v>28</v>
      </c>
      <c r="P1454" t="s">
        <v>31</v>
      </c>
      <c r="Q1454">
        <v>0</v>
      </c>
      <c r="R1454" t="s">
        <v>12883</v>
      </c>
      <c r="S1454" t="s">
        <v>12884</v>
      </c>
    </row>
    <row r="1455" spans="1:19" x14ac:dyDescent="0.25">
      <c r="A1455" t="s">
        <v>958</v>
      </c>
      <c r="B1455" s="1">
        <v>45883</v>
      </c>
      <c r="C1455" t="s">
        <v>12893</v>
      </c>
      <c r="D1455" s="5">
        <v>1.2418981481481482E-2</v>
      </c>
      <c r="E1455">
        <v>101.9</v>
      </c>
      <c r="F1455" t="s">
        <v>44</v>
      </c>
      <c r="G1455" t="s">
        <v>959</v>
      </c>
      <c r="H1455" t="s">
        <v>46</v>
      </c>
      <c r="I1455" t="s">
        <v>248</v>
      </c>
      <c r="J1455" t="s">
        <v>960</v>
      </c>
      <c r="K1455">
        <v>26</v>
      </c>
      <c r="L1455" t="s">
        <v>49</v>
      </c>
      <c r="M1455" t="s">
        <v>119</v>
      </c>
      <c r="N1455" t="s">
        <v>105</v>
      </c>
      <c r="O1455" t="s">
        <v>28</v>
      </c>
      <c r="P1455" t="s">
        <v>31</v>
      </c>
      <c r="Q1455">
        <v>0</v>
      </c>
      <c r="R1455" t="s">
        <v>12883</v>
      </c>
      <c r="S1455" t="s">
        <v>12889</v>
      </c>
    </row>
    <row r="1456" spans="1:19" x14ac:dyDescent="0.25">
      <c r="A1456" t="s">
        <v>7073</v>
      </c>
      <c r="B1456" s="1">
        <v>45957</v>
      </c>
      <c r="C1456" t="s">
        <v>12890</v>
      </c>
      <c r="D1456" s="5">
        <v>0.33188657407407407</v>
      </c>
      <c r="E1456">
        <v>101.85</v>
      </c>
      <c r="F1456" t="s">
        <v>44</v>
      </c>
      <c r="G1456" t="s">
        <v>5300</v>
      </c>
      <c r="H1456" t="s">
        <v>71</v>
      </c>
      <c r="I1456" t="s">
        <v>26</v>
      </c>
      <c r="J1456" t="s">
        <v>7074</v>
      </c>
      <c r="K1456">
        <v>36</v>
      </c>
      <c r="L1456" t="s">
        <v>49</v>
      </c>
      <c r="M1456" t="s">
        <v>38</v>
      </c>
      <c r="N1456" t="s">
        <v>39</v>
      </c>
      <c r="O1456" t="s">
        <v>28</v>
      </c>
      <c r="P1456" t="s">
        <v>31</v>
      </c>
      <c r="Q1456">
        <v>0</v>
      </c>
      <c r="R1456" t="s">
        <v>12883</v>
      </c>
      <c r="S1456" t="s">
        <v>12889</v>
      </c>
    </row>
    <row r="1457" spans="1:19" x14ac:dyDescent="0.25">
      <c r="A1457" t="s">
        <v>5294</v>
      </c>
      <c r="B1457" s="1">
        <v>45854</v>
      </c>
      <c r="C1457" t="s">
        <v>12885</v>
      </c>
      <c r="D1457" s="5">
        <v>0.3039236111111111</v>
      </c>
      <c r="E1457">
        <v>101.59</v>
      </c>
      <c r="F1457" t="s">
        <v>44</v>
      </c>
      <c r="G1457" t="s">
        <v>5295</v>
      </c>
      <c r="H1457" t="s">
        <v>96</v>
      </c>
      <c r="I1457" t="s">
        <v>110</v>
      </c>
      <c r="J1457" t="s">
        <v>5296</v>
      </c>
      <c r="K1457">
        <v>67</v>
      </c>
      <c r="L1457" t="s">
        <v>49</v>
      </c>
      <c r="M1457" t="s">
        <v>110</v>
      </c>
      <c r="N1457" t="s">
        <v>51</v>
      </c>
      <c r="O1457" t="s">
        <v>113</v>
      </c>
      <c r="P1457" t="s">
        <v>31</v>
      </c>
      <c r="Q1457">
        <v>0</v>
      </c>
      <c r="R1457" t="s">
        <v>12883</v>
      </c>
      <c r="S1457" t="s">
        <v>12884</v>
      </c>
    </row>
    <row r="1458" spans="1:19" x14ac:dyDescent="0.25">
      <c r="A1458" t="s">
        <v>11864</v>
      </c>
      <c r="B1458" s="1">
        <v>45888</v>
      </c>
      <c r="C1458" t="s">
        <v>12893</v>
      </c>
      <c r="D1458" s="5">
        <v>0.22244212962962964</v>
      </c>
      <c r="E1458">
        <v>101.53</v>
      </c>
      <c r="F1458" t="s">
        <v>44</v>
      </c>
      <c r="G1458" t="s">
        <v>5058</v>
      </c>
      <c r="H1458" t="s">
        <v>96</v>
      </c>
      <c r="I1458" t="s">
        <v>248</v>
      </c>
      <c r="J1458" t="s">
        <v>11865</v>
      </c>
      <c r="K1458">
        <v>54</v>
      </c>
      <c r="L1458" t="s">
        <v>25</v>
      </c>
      <c r="M1458" t="s">
        <v>119</v>
      </c>
      <c r="N1458" t="s">
        <v>39</v>
      </c>
      <c r="O1458" t="s">
        <v>28</v>
      </c>
      <c r="P1458" t="s">
        <v>31</v>
      </c>
      <c r="Q1458">
        <v>0</v>
      </c>
      <c r="R1458" t="s">
        <v>12883</v>
      </c>
      <c r="S1458" t="s">
        <v>12886</v>
      </c>
    </row>
    <row r="1459" spans="1:19" x14ac:dyDescent="0.25">
      <c r="A1459" t="s">
        <v>2759</v>
      </c>
      <c r="B1459" s="1">
        <v>45823</v>
      </c>
      <c r="C1459" t="s">
        <v>12888</v>
      </c>
      <c r="D1459" s="5">
        <v>0.33467592592592593</v>
      </c>
      <c r="E1459">
        <v>101.47</v>
      </c>
      <c r="F1459" t="s">
        <v>44</v>
      </c>
      <c r="G1459" t="s">
        <v>1456</v>
      </c>
      <c r="H1459" t="s">
        <v>124</v>
      </c>
      <c r="I1459" t="s">
        <v>23</v>
      </c>
      <c r="J1459" t="s">
        <v>2760</v>
      </c>
      <c r="K1459">
        <v>51</v>
      </c>
      <c r="L1459" t="s">
        <v>25</v>
      </c>
      <c r="M1459" t="s">
        <v>66</v>
      </c>
      <c r="N1459" t="s">
        <v>84</v>
      </c>
      <c r="O1459" t="s">
        <v>28</v>
      </c>
      <c r="P1459" t="s">
        <v>31</v>
      </c>
      <c r="Q1459">
        <v>0</v>
      </c>
      <c r="R1459" t="s">
        <v>12883</v>
      </c>
      <c r="S1459" t="s">
        <v>12886</v>
      </c>
    </row>
    <row r="1460" spans="1:19" x14ac:dyDescent="0.25">
      <c r="A1460" t="s">
        <v>1572</v>
      </c>
      <c r="B1460" s="1">
        <v>45800</v>
      </c>
      <c r="C1460" t="s">
        <v>12887</v>
      </c>
      <c r="D1460" s="5">
        <v>0.65888888888888886</v>
      </c>
      <c r="E1460">
        <v>101.42</v>
      </c>
      <c r="F1460" t="s">
        <v>44</v>
      </c>
      <c r="G1460" t="s">
        <v>1573</v>
      </c>
      <c r="H1460" t="s">
        <v>124</v>
      </c>
      <c r="I1460" t="s">
        <v>248</v>
      </c>
      <c r="J1460" t="s">
        <v>1574</v>
      </c>
      <c r="K1460">
        <v>75</v>
      </c>
      <c r="L1460" t="s">
        <v>49</v>
      </c>
      <c r="M1460" t="s">
        <v>130</v>
      </c>
      <c r="N1460" t="s">
        <v>39</v>
      </c>
      <c r="O1460" t="s">
        <v>28</v>
      </c>
      <c r="P1460" t="s">
        <v>31</v>
      </c>
      <c r="Q1460">
        <v>0</v>
      </c>
      <c r="R1460" t="s">
        <v>12883</v>
      </c>
      <c r="S1460" t="s">
        <v>12884</v>
      </c>
    </row>
    <row r="1461" spans="1:19" x14ac:dyDescent="0.25">
      <c r="A1461" t="s">
        <v>5926</v>
      </c>
      <c r="B1461" s="1">
        <v>45886</v>
      </c>
      <c r="C1461" t="s">
        <v>12893</v>
      </c>
      <c r="D1461" s="5">
        <v>0.25414351851851852</v>
      </c>
      <c r="E1461">
        <v>101.32</v>
      </c>
      <c r="F1461" t="s">
        <v>44</v>
      </c>
      <c r="G1461" t="s">
        <v>1627</v>
      </c>
      <c r="H1461" t="s">
        <v>77</v>
      </c>
      <c r="I1461" t="s">
        <v>50</v>
      </c>
      <c r="J1461" t="s">
        <v>5927</v>
      </c>
      <c r="K1461">
        <v>36</v>
      </c>
      <c r="L1461" t="s">
        <v>49</v>
      </c>
      <c r="M1461" t="s">
        <v>58</v>
      </c>
      <c r="N1461" t="s">
        <v>39</v>
      </c>
      <c r="O1461" t="s">
        <v>28</v>
      </c>
      <c r="P1461" t="s">
        <v>31</v>
      </c>
      <c r="Q1461">
        <v>0</v>
      </c>
      <c r="R1461" t="s">
        <v>12883</v>
      </c>
      <c r="S1461" t="s">
        <v>12889</v>
      </c>
    </row>
    <row r="1462" spans="1:19" x14ac:dyDescent="0.25">
      <c r="A1462" t="s">
        <v>10385</v>
      </c>
      <c r="B1462" s="1">
        <v>45843</v>
      </c>
      <c r="C1462" t="s">
        <v>12885</v>
      </c>
      <c r="D1462" s="5">
        <v>0.39953703703703702</v>
      </c>
      <c r="E1462">
        <v>101.3</v>
      </c>
      <c r="F1462" t="s">
        <v>44</v>
      </c>
      <c r="G1462" t="s">
        <v>318</v>
      </c>
      <c r="H1462" t="s">
        <v>77</v>
      </c>
      <c r="I1462" t="s">
        <v>110</v>
      </c>
      <c r="J1462" t="s">
        <v>10386</v>
      </c>
      <c r="K1462">
        <v>59</v>
      </c>
      <c r="L1462" t="s">
        <v>37</v>
      </c>
      <c r="M1462" t="s">
        <v>38</v>
      </c>
      <c r="N1462" t="s">
        <v>39</v>
      </c>
      <c r="O1462" t="s">
        <v>28</v>
      </c>
      <c r="P1462" t="s">
        <v>31</v>
      </c>
      <c r="Q1462">
        <v>0</v>
      </c>
      <c r="R1462" t="s">
        <v>12883</v>
      </c>
      <c r="S1462" t="s">
        <v>12886</v>
      </c>
    </row>
    <row r="1463" spans="1:19" x14ac:dyDescent="0.25">
      <c r="A1463" t="s">
        <v>8670</v>
      </c>
      <c r="B1463" s="1">
        <v>45936</v>
      </c>
      <c r="C1463" t="s">
        <v>12890</v>
      </c>
      <c r="D1463" s="5">
        <v>0.85375000000000001</v>
      </c>
      <c r="E1463">
        <v>101.29</v>
      </c>
      <c r="F1463" t="s">
        <v>44</v>
      </c>
      <c r="G1463" t="s">
        <v>3035</v>
      </c>
      <c r="H1463" t="s">
        <v>22</v>
      </c>
      <c r="I1463" t="s">
        <v>146</v>
      </c>
      <c r="J1463" t="s">
        <v>8671</v>
      </c>
      <c r="K1463">
        <v>66</v>
      </c>
      <c r="L1463" t="s">
        <v>49</v>
      </c>
      <c r="M1463" t="s">
        <v>23</v>
      </c>
      <c r="N1463" t="s">
        <v>84</v>
      </c>
      <c r="O1463" t="s">
        <v>28</v>
      </c>
      <c r="P1463" t="s">
        <v>31</v>
      </c>
      <c r="Q1463">
        <v>1</v>
      </c>
      <c r="R1463" t="s">
        <v>12891</v>
      </c>
      <c r="S1463" t="s">
        <v>12884</v>
      </c>
    </row>
    <row r="1464" spans="1:19" x14ac:dyDescent="0.25">
      <c r="A1464" t="s">
        <v>10827</v>
      </c>
      <c r="B1464" s="1">
        <v>45890</v>
      </c>
      <c r="C1464" t="s">
        <v>12893</v>
      </c>
      <c r="D1464" s="5">
        <v>0.421875</v>
      </c>
      <c r="E1464">
        <v>101.27</v>
      </c>
      <c r="F1464" t="s">
        <v>44</v>
      </c>
      <c r="G1464" t="s">
        <v>8754</v>
      </c>
      <c r="H1464" t="s">
        <v>57</v>
      </c>
      <c r="I1464" t="s">
        <v>66</v>
      </c>
      <c r="J1464" t="s">
        <v>10828</v>
      </c>
      <c r="K1464">
        <v>45</v>
      </c>
      <c r="L1464" t="s">
        <v>49</v>
      </c>
      <c r="M1464" t="s">
        <v>130</v>
      </c>
      <c r="N1464" t="s">
        <v>51</v>
      </c>
      <c r="O1464" t="s">
        <v>28</v>
      </c>
      <c r="P1464" t="s">
        <v>31</v>
      </c>
      <c r="Q1464">
        <v>0</v>
      </c>
      <c r="R1464" t="s">
        <v>12883</v>
      </c>
      <c r="S1464" t="s">
        <v>12886</v>
      </c>
    </row>
    <row r="1465" spans="1:19" x14ac:dyDescent="0.25">
      <c r="A1465" t="s">
        <v>12514</v>
      </c>
      <c r="B1465" s="1">
        <v>45803</v>
      </c>
      <c r="C1465" t="s">
        <v>12887</v>
      </c>
      <c r="D1465" s="5">
        <v>0.53037037037037038</v>
      </c>
      <c r="E1465">
        <v>101.21</v>
      </c>
      <c r="F1465" t="s">
        <v>44</v>
      </c>
      <c r="G1465" t="s">
        <v>1282</v>
      </c>
      <c r="H1465" t="s">
        <v>89</v>
      </c>
      <c r="I1465" t="s">
        <v>146</v>
      </c>
      <c r="J1465" t="s">
        <v>12515</v>
      </c>
      <c r="K1465">
        <v>28</v>
      </c>
      <c r="L1465" t="s">
        <v>25</v>
      </c>
      <c r="M1465" t="s">
        <v>38</v>
      </c>
      <c r="N1465" t="s">
        <v>39</v>
      </c>
      <c r="O1465" t="s">
        <v>28</v>
      </c>
      <c r="P1465" t="s">
        <v>31</v>
      </c>
      <c r="Q1465">
        <v>0</v>
      </c>
      <c r="R1465" t="s">
        <v>12883</v>
      </c>
      <c r="S1465" t="s">
        <v>12889</v>
      </c>
    </row>
    <row r="1466" spans="1:19" x14ac:dyDescent="0.25">
      <c r="A1466" t="s">
        <v>1780</v>
      </c>
      <c r="B1466" s="1">
        <v>45800</v>
      </c>
      <c r="C1466" t="s">
        <v>12887</v>
      </c>
      <c r="D1466" s="5">
        <v>4.9594907407407407E-2</v>
      </c>
      <c r="E1466">
        <v>101.18</v>
      </c>
      <c r="F1466" t="s">
        <v>44</v>
      </c>
      <c r="G1466" t="s">
        <v>863</v>
      </c>
      <c r="H1466" t="s">
        <v>89</v>
      </c>
      <c r="I1466" t="s">
        <v>146</v>
      </c>
      <c r="J1466" t="s">
        <v>1781</v>
      </c>
      <c r="K1466">
        <v>57</v>
      </c>
      <c r="L1466" t="s">
        <v>25</v>
      </c>
      <c r="M1466" t="s">
        <v>66</v>
      </c>
      <c r="N1466" t="s">
        <v>84</v>
      </c>
      <c r="O1466" t="s">
        <v>28</v>
      </c>
      <c r="P1466" t="s">
        <v>31</v>
      </c>
      <c r="Q1466">
        <v>0</v>
      </c>
      <c r="R1466" t="s">
        <v>12883</v>
      </c>
      <c r="S1466" t="s">
        <v>12886</v>
      </c>
    </row>
    <row r="1467" spans="1:19" x14ac:dyDescent="0.25">
      <c r="A1467" t="s">
        <v>2303</v>
      </c>
      <c r="B1467" s="1">
        <v>45798</v>
      </c>
      <c r="C1467" t="s">
        <v>12887</v>
      </c>
      <c r="D1467" s="5">
        <v>0.24344907407407407</v>
      </c>
      <c r="E1467">
        <v>101.03</v>
      </c>
      <c r="F1467" t="s">
        <v>44</v>
      </c>
      <c r="G1467" t="s">
        <v>129</v>
      </c>
      <c r="H1467" t="s">
        <v>77</v>
      </c>
      <c r="I1467" t="s">
        <v>97</v>
      </c>
      <c r="J1467" t="s">
        <v>2304</v>
      </c>
      <c r="K1467">
        <v>71</v>
      </c>
      <c r="L1467" t="s">
        <v>37</v>
      </c>
      <c r="M1467" t="s">
        <v>23</v>
      </c>
      <c r="N1467" t="s">
        <v>51</v>
      </c>
      <c r="O1467" t="s">
        <v>28</v>
      </c>
      <c r="P1467" t="s">
        <v>31</v>
      </c>
      <c r="Q1467">
        <v>0</v>
      </c>
      <c r="R1467" t="s">
        <v>12883</v>
      </c>
      <c r="S1467" t="s">
        <v>12884</v>
      </c>
    </row>
    <row r="1468" spans="1:19" x14ac:dyDescent="0.25">
      <c r="A1468" t="s">
        <v>11679</v>
      </c>
      <c r="B1468" s="1">
        <v>45946</v>
      </c>
      <c r="C1468" t="s">
        <v>12890</v>
      </c>
      <c r="D1468" s="5">
        <v>0.75059027777777776</v>
      </c>
      <c r="E1468">
        <v>100.96</v>
      </c>
      <c r="F1468" t="s">
        <v>44</v>
      </c>
      <c r="G1468" t="s">
        <v>4972</v>
      </c>
      <c r="H1468" t="s">
        <v>22</v>
      </c>
      <c r="I1468" t="s">
        <v>23</v>
      </c>
      <c r="J1468" t="s">
        <v>974</v>
      </c>
      <c r="K1468">
        <v>45</v>
      </c>
      <c r="L1468" t="s">
        <v>49</v>
      </c>
      <c r="M1468" t="s">
        <v>58</v>
      </c>
      <c r="N1468" t="s">
        <v>39</v>
      </c>
      <c r="O1468" t="s">
        <v>28</v>
      </c>
      <c r="P1468" t="s">
        <v>31</v>
      </c>
      <c r="Q1468">
        <v>0</v>
      </c>
      <c r="R1468" t="s">
        <v>12883</v>
      </c>
      <c r="S1468" t="s">
        <v>12886</v>
      </c>
    </row>
    <row r="1469" spans="1:19" x14ac:dyDescent="0.25">
      <c r="A1469" t="s">
        <v>1887</v>
      </c>
      <c r="B1469" s="1">
        <v>45785</v>
      </c>
      <c r="C1469" t="s">
        <v>12887</v>
      </c>
      <c r="D1469" s="5">
        <v>0.51561342592592596</v>
      </c>
      <c r="E1469">
        <v>100.91</v>
      </c>
      <c r="F1469" t="s">
        <v>44</v>
      </c>
      <c r="G1469" t="s">
        <v>1888</v>
      </c>
      <c r="H1469" t="s">
        <v>77</v>
      </c>
      <c r="I1469" t="s">
        <v>66</v>
      </c>
      <c r="J1469" t="s">
        <v>1889</v>
      </c>
      <c r="K1469">
        <v>72</v>
      </c>
      <c r="L1469" t="s">
        <v>49</v>
      </c>
      <c r="M1469" t="s">
        <v>26</v>
      </c>
      <c r="N1469" t="s">
        <v>51</v>
      </c>
      <c r="O1469" t="s">
        <v>28</v>
      </c>
      <c r="P1469" t="s">
        <v>31</v>
      </c>
      <c r="Q1469">
        <v>0</v>
      </c>
      <c r="R1469" t="s">
        <v>12883</v>
      </c>
      <c r="S1469" t="s">
        <v>12884</v>
      </c>
    </row>
    <row r="1470" spans="1:19" x14ac:dyDescent="0.25">
      <c r="A1470" t="s">
        <v>2084</v>
      </c>
      <c r="B1470" s="1">
        <v>45821</v>
      </c>
      <c r="C1470" t="s">
        <v>12888</v>
      </c>
      <c r="D1470" s="5">
        <v>0.32217592592592592</v>
      </c>
      <c r="E1470">
        <v>100.85</v>
      </c>
      <c r="F1470" t="s">
        <v>44</v>
      </c>
      <c r="G1470" t="s">
        <v>109</v>
      </c>
      <c r="H1470" t="s">
        <v>22</v>
      </c>
      <c r="I1470" t="s">
        <v>146</v>
      </c>
      <c r="J1470" t="s">
        <v>2085</v>
      </c>
      <c r="K1470">
        <v>52</v>
      </c>
      <c r="L1470" t="s">
        <v>37</v>
      </c>
      <c r="M1470" t="s">
        <v>110</v>
      </c>
      <c r="N1470" t="s">
        <v>112</v>
      </c>
      <c r="O1470" t="s">
        <v>28</v>
      </c>
      <c r="P1470" t="s">
        <v>31</v>
      </c>
      <c r="Q1470">
        <v>0</v>
      </c>
      <c r="R1470" t="s">
        <v>12883</v>
      </c>
      <c r="S1470" t="s">
        <v>12886</v>
      </c>
    </row>
    <row r="1471" spans="1:19" x14ac:dyDescent="0.25">
      <c r="A1471" t="s">
        <v>7447</v>
      </c>
      <c r="B1471" s="1">
        <v>45794</v>
      </c>
      <c r="C1471" t="s">
        <v>12887</v>
      </c>
      <c r="D1471" s="5">
        <v>0.6711921296296296</v>
      </c>
      <c r="E1471">
        <v>100.79</v>
      </c>
      <c r="F1471" t="s">
        <v>44</v>
      </c>
      <c r="G1471" t="s">
        <v>7448</v>
      </c>
      <c r="H1471" t="s">
        <v>77</v>
      </c>
      <c r="I1471" t="s">
        <v>91</v>
      </c>
      <c r="J1471" t="s">
        <v>7449</v>
      </c>
      <c r="K1471">
        <v>62</v>
      </c>
      <c r="L1471" t="s">
        <v>25</v>
      </c>
      <c r="M1471" t="s">
        <v>47</v>
      </c>
      <c r="N1471" t="s">
        <v>39</v>
      </c>
      <c r="O1471" t="s">
        <v>28</v>
      </c>
      <c r="P1471" t="s">
        <v>31</v>
      </c>
      <c r="Q1471">
        <v>0</v>
      </c>
      <c r="R1471" t="s">
        <v>12883</v>
      </c>
      <c r="S1471" t="s">
        <v>12884</v>
      </c>
    </row>
    <row r="1472" spans="1:19" x14ac:dyDescent="0.25">
      <c r="A1472" t="s">
        <v>10746</v>
      </c>
      <c r="B1472" s="1">
        <v>45928</v>
      </c>
      <c r="C1472" t="s">
        <v>12882</v>
      </c>
      <c r="D1472" s="5">
        <v>0.48774305555555558</v>
      </c>
      <c r="E1472">
        <v>100.69</v>
      </c>
      <c r="F1472" t="s">
        <v>44</v>
      </c>
      <c r="G1472" t="s">
        <v>7403</v>
      </c>
      <c r="H1472" t="s">
        <v>46</v>
      </c>
      <c r="I1472" t="s">
        <v>23</v>
      </c>
      <c r="J1472" t="s">
        <v>10747</v>
      </c>
      <c r="K1472">
        <v>25</v>
      </c>
      <c r="L1472" t="s">
        <v>25</v>
      </c>
      <c r="M1472" t="s">
        <v>146</v>
      </c>
      <c r="N1472" t="s">
        <v>51</v>
      </c>
      <c r="O1472" t="s">
        <v>28</v>
      </c>
      <c r="P1472" t="s">
        <v>31</v>
      </c>
      <c r="Q1472">
        <v>0</v>
      </c>
      <c r="R1472" t="s">
        <v>12883</v>
      </c>
      <c r="S1472" t="s">
        <v>12889</v>
      </c>
    </row>
    <row r="1473" spans="1:19" x14ac:dyDescent="0.25">
      <c r="A1473" t="s">
        <v>11493</v>
      </c>
      <c r="B1473" s="1">
        <v>45890</v>
      </c>
      <c r="C1473" t="s">
        <v>12893</v>
      </c>
      <c r="D1473" s="5">
        <v>0.12341435185185186</v>
      </c>
      <c r="E1473">
        <v>100.66</v>
      </c>
      <c r="F1473" t="s">
        <v>44</v>
      </c>
      <c r="G1473" t="s">
        <v>11494</v>
      </c>
      <c r="H1473" t="s">
        <v>96</v>
      </c>
      <c r="I1473" t="s">
        <v>146</v>
      </c>
      <c r="J1473" t="s">
        <v>11495</v>
      </c>
      <c r="K1473">
        <v>65</v>
      </c>
      <c r="L1473" t="s">
        <v>49</v>
      </c>
      <c r="M1473" t="s">
        <v>26</v>
      </c>
      <c r="N1473" t="s">
        <v>105</v>
      </c>
      <c r="O1473" t="s">
        <v>28</v>
      </c>
      <c r="P1473" t="s">
        <v>31</v>
      </c>
      <c r="Q1473">
        <v>0</v>
      </c>
      <c r="R1473" t="s">
        <v>12883</v>
      </c>
      <c r="S1473" t="s">
        <v>12884</v>
      </c>
    </row>
    <row r="1474" spans="1:19" x14ac:dyDescent="0.25">
      <c r="A1474" t="s">
        <v>9097</v>
      </c>
      <c r="B1474" s="1">
        <v>45955</v>
      </c>
      <c r="C1474" t="s">
        <v>12890</v>
      </c>
      <c r="D1474" s="5">
        <v>0.39513888888888887</v>
      </c>
      <c r="E1474">
        <v>100.62</v>
      </c>
      <c r="F1474" t="s">
        <v>44</v>
      </c>
      <c r="G1474" t="s">
        <v>3074</v>
      </c>
      <c r="H1474" t="s">
        <v>46</v>
      </c>
      <c r="I1474" t="s">
        <v>91</v>
      </c>
      <c r="J1474" t="s">
        <v>9098</v>
      </c>
      <c r="K1474">
        <v>72</v>
      </c>
      <c r="L1474" t="s">
        <v>49</v>
      </c>
      <c r="M1474" t="s">
        <v>23</v>
      </c>
      <c r="N1474" t="s">
        <v>51</v>
      </c>
      <c r="O1474" t="s">
        <v>28</v>
      </c>
      <c r="P1474" t="s">
        <v>31</v>
      </c>
      <c r="Q1474">
        <v>0</v>
      </c>
      <c r="R1474" t="s">
        <v>12883</v>
      </c>
      <c r="S1474" t="s">
        <v>12884</v>
      </c>
    </row>
    <row r="1475" spans="1:19" x14ac:dyDescent="0.25">
      <c r="A1475" t="s">
        <v>9291</v>
      </c>
      <c r="B1475" s="1">
        <v>45928</v>
      </c>
      <c r="C1475" t="s">
        <v>12882</v>
      </c>
      <c r="D1475" s="5">
        <v>0.96954861111111112</v>
      </c>
      <c r="E1475">
        <v>100.6</v>
      </c>
      <c r="F1475" t="s">
        <v>44</v>
      </c>
      <c r="G1475" t="s">
        <v>2418</v>
      </c>
      <c r="H1475" t="s">
        <v>22</v>
      </c>
      <c r="I1475" t="s">
        <v>58</v>
      </c>
      <c r="J1475" t="s">
        <v>9292</v>
      </c>
      <c r="K1475">
        <v>34</v>
      </c>
      <c r="L1475" t="s">
        <v>49</v>
      </c>
      <c r="M1475" t="s">
        <v>38</v>
      </c>
      <c r="N1475" t="s">
        <v>112</v>
      </c>
      <c r="O1475" t="s">
        <v>28</v>
      </c>
      <c r="P1475" t="s">
        <v>31</v>
      </c>
      <c r="Q1475">
        <v>0</v>
      </c>
      <c r="R1475" t="s">
        <v>12883</v>
      </c>
      <c r="S1475" t="s">
        <v>12889</v>
      </c>
    </row>
    <row r="1476" spans="1:19" x14ac:dyDescent="0.25">
      <c r="A1476" t="s">
        <v>4988</v>
      </c>
      <c r="B1476" s="1">
        <v>45786</v>
      </c>
      <c r="C1476" t="s">
        <v>12887</v>
      </c>
      <c r="D1476" s="5">
        <v>0.88223379629629628</v>
      </c>
      <c r="E1476">
        <v>100.59</v>
      </c>
      <c r="F1476" t="s">
        <v>44</v>
      </c>
      <c r="G1476" t="s">
        <v>177</v>
      </c>
      <c r="H1476" t="s">
        <v>46</v>
      </c>
      <c r="I1476" t="s">
        <v>66</v>
      </c>
      <c r="J1476" t="s">
        <v>4989</v>
      </c>
      <c r="K1476">
        <v>54</v>
      </c>
      <c r="L1476" t="s">
        <v>49</v>
      </c>
      <c r="M1476" t="s">
        <v>97</v>
      </c>
      <c r="N1476" t="s">
        <v>112</v>
      </c>
      <c r="O1476" t="s">
        <v>28</v>
      </c>
      <c r="P1476" t="s">
        <v>31</v>
      </c>
      <c r="Q1476">
        <v>0</v>
      </c>
      <c r="R1476" t="s">
        <v>12883</v>
      </c>
      <c r="S1476" t="s">
        <v>12886</v>
      </c>
    </row>
    <row r="1477" spans="1:19" x14ac:dyDescent="0.25">
      <c r="A1477" t="s">
        <v>4034</v>
      </c>
      <c r="B1477" s="1">
        <v>45875</v>
      </c>
      <c r="C1477" t="s">
        <v>12893</v>
      </c>
      <c r="D1477" s="5">
        <v>0.84854166666666664</v>
      </c>
      <c r="E1477">
        <v>100.54</v>
      </c>
      <c r="F1477" t="s">
        <v>44</v>
      </c>
      <c r="G1477" t="s">
        <v>4035</v>
      </c>
      <c r="H1477" t="s">
        <v>89</v>
      </c>
      <c r="I1477" t="s">
        <v>97</v>
      </c>
      <c r="J1477" t="s">
        <v>4036</v>
      </c>
      <c r="K1477">
        <v>24</v>
      </c>
      <c r="L1477" t="s">
        <v>37</v>
      </c>
      <c r="M1477" t="s">
        <v>47</v>
      </c>
      <c r="N1477" t="s">
        <v>51</v>
      </c>
      <c r="O1477" t="s">
        <v>28</v>
      </c>
      <c r="P1477" t="s">
        <v>31</v>
      </c>
      <c r="Q1477">
        <v>0</v>
      </c>
      <c r="R1477" t="s">
        <v>12883</v>
      </c>
      <c r="S1477" t="s">
        <v>12892</v>
      </c>
    </row>
    <row r="1478" spans="1:19" x14ac:dyDescent="0.25">
      <c r="A1478" t="s">
        <v>2014</v>
      </c>
      <c r="B1478" s="1">
        <v>45890</v>
      </c>
      <c r="C1478" t="s">
        <v>12893</v>
      </c>
      <c r="D1478" s="5">
        <v>4.1388888888888892E-2</v>
      </c>
      <c r="E1478">
        <v>100.48</v>
      </c>
      <c r="F1478" t="s">
        <v>44</v>
      </c>
      <c r="G1478" t="s">
        <v>1040</v>
      </c>
      <c r="H1478" t="s">
        <v>96</v>
      </c>
      <c r="I1478" t="s">
        <v>47</v>
      </c>
      <c r="J1478" t="s">
        <v>2015</v>
      </c>
      <c r="K1478">
        <v>68</v>
      </c>
      <c r="L1478" t="s">
        <v>49</v>
      </c>
      <c r="M1478" t="s">
        <v>97</v>
      </c>
      <c r="N1478" t="s">
        <v>112</v>
      </c>
      <c r="O1478" t="s">
        <v>28</v>
      </c>
      <c r="P1478" t="s">
        <v>31</v>
      </c>
      <c r="Q1478">
        <v>0</v>
      </c>
      <c r="R1478" t="s">
        <v>12883</v>
      </c>
      <c r="S1478" t="s">
        <v>12884</v>
      </c>
    </row>
    <row r="1479" spans="1:19" x14ac:dyDescent="0.25">
      <c r="A1479" t="s">
        <v>5025</v>
      </c>
      <c r="B1479" s="1">
        <v>45799</v>
      </c>
      <c r="C1479" t="s">
        <v>12887</v>
      </c>
      <c r="D1479" s="5">
        <v>0.64020833333333338</v>
      </c>
      <c r="E1479">
        <v>100.46</v>
      </c>
      <c r="F1479" t="s">
        <v>44</v>
      </c>
      <c r="G1479" t="s">
        <v>5026</v>
      </c>
      <c r="H1479" t="s">
        <v>46</v>
      </c>
      <c r="I1479" t="s">
        <v>50</v>
      </c>
      <c r="J1479" t="s">
        <v>5027</v>
      </c>
      <c r="K1479">
        <v>37</v>
      </c>
      <c r="L1479" t="s">
        <v>49</v>
      </c>
      <c r="M1479" t="s">
        <v>58</v>
      </c>
      <c r="N1479" t="s">
        <v>51</v>
      </c>
      <c r="O1479" t="s">
        <v>28</v>
      </c>
      <c r="P1479" t="s">
        <v>31</v>
      </c>
      <c r="Q1479">
        <v>0</v>
      </c>
      <c r="R1479" t="s">
        <v>12883</v>
      </c>
      <c r="S1479" t="s">
        <v>12889</v>
      </c>
    </row>
    <row r="1480" spans="1:19" x14ac:dyDescent="0.25">
      <c r="A1480" t="s">
        <v>393</v>
      </c>
      <c r="B1480" s="1">
        <v>45885</v>
      </c>
      <c r="C1480" t="s">
        <v>12893</v>
      </c>
      <c r="D1480" s="5">
        <v>0.89057870370370373</v>
      </c>
      <c r="E1480">
        <v>100.42</v>
      </c>
      <c r="F1480" t="s">
        <v>44</v>
      </c>
      <c r="G1480" t="s">
        <v>394</v>
      </c>
      <c r="H1480" t="s">
        <v>89</v>
      </c>
      <c r="I1480" t="s">
        <v>146</v>
      </c>
      <c r="J1480" t="s">
        <v>395</v>
      </c>
      <c r="K1480">
        <v>54</v>
      </c>
      <c r="L1480" t="s">
        <v>37</v>
      </c>
      <c r="M1480" t="s">
        <v>119</v>
      </c>
      <c r="N1480" t="s">
        <v>84</v>
      </c>
      <c r="O1480" t="s">
        <v>28</v>
      </c>
      <c r="P1480" t="s">
        <v>31</v>
      </c>
      <c r="Q1480">
        <v>0</v>
      </c>
      <c r="R1480" t="s">
        <v>12883</v>
      </c>
      <c r="S1480" t="s">
        <v>12886</v>
      </c>
    </row>
    <row r="1481" spans="1:19" x14ac:dyDescent="0.25">
      <c r="A1481" t="s">
        <v>7186</v>
      </c>
      <c r="B1481" s="1">
        <v>45873</v>
      </c>
      <c r="C1481" t="s">
        <v>12893</v>
      </c>
      <c r="D1481" s="5">
        <v>0.45089120370370372</v>
      </c>
      <c r="E1481">
        <v>100.4</v>
      </c>
      <c r="F1481" t="s">
        <v>44</v>
      </c>
      <c r="G1481" t="s">
        <v>7187</v>
      </c>
      <c r="H1481" t="s">
        <v>46</v>
      </c>
      <c r="I1481" t="s">
        <v>66</v>
      </c>
      <c r="J1481" t="s">
        <v>7188</v>
      </c>
      <c r="K1481">
        <v>71</v>
      </c>
      <c r="L1481" t="s">
        <v>37</v>
      </c>
      <c r="M1481" t="s">
        <v>97</v>
      </c>
      <c r="N1481" t="s">
        <v>39</v>
      </c>
      <c r="O1481" t="s">
        <v>28</v>
      </c>
      <c r="P1481" t="s">
        <v>31</v>
      </c>
      <c r="Q1481">
        <v>0</v>
      </c>
      <c r="R1481" t="s">
        <v>12883</v>
      </c>
      <c r="S1481" t="s">
        <v>12884</v>
      </c>
    </row>
    <row r="1482" spans="1:19" x14ac:dyDescent="0.25">
      <c r="A1482" t="s">
        <v>6099</v>
      </c>
      <c r="B1482" s="1">
        <v>45947</v>
      </c>
      <c r="C1482" t="s">
        <v>12890</v>
      </c>
      <c r="D1482" s="5">
        <v>0.62516203703703699</v>
      </c>
      <c r="E1482">
        <v>100.37</v>
      </c>
      <c r="F1482" t="s">
        <v>44</v>
      </c>
      <c r="G1482" t="s">
        <v>6100</v>
      </c>
      <c r="H1482" t="s">
        <v>46</v>
      </c>
      <c r="I1482" t="s">
        <v>110</v>
      </c>
      <c r="J1482" t="s">
        <v>1693</v>
      </c>
      <c r="K1482">
        <v>44</v>
      </c>
      <c r="L1482" t="s">
        <v>49</v>
      </c>
      <c r="M1482" t="s">
        <v>35</v>
      </c>
      <c r="N1482" t="s">
        <v>39</v>
      </c>
      <c r="O1482" t="s">
        <v>28</v>
      </c>
      <c r="P1482" t="s">
        <v>31</v>
      </c>
      <c r="Q1482">
        <v>0</v>
      </c>
      <c r="R1482" t="s">
        <v>12883</v>
      </c>
      <c r="S1482" t="s">
        <v>12886</v>
      </c>
    </row>
    <row r="1483" spans="1:19" x14ac:dyDescent="0.25">
      <c r="A1483" t="s">
        <v>7386</v>
      </c>
      <c r="B1483" s="1">
        <v>45874</v>
      </c>
      <c r="C1483" t="s">
        <v>12893</v>
      </c>
      <c r="D1483" s="5">
        <v>0.55140046296296297</v>
      </c>
      <c r="E1483">
        <v>100.34</v>
      </c>
      <c r="F1483" t="s">
        <v>44</v>
      </c>
      <c r="G1483" t="s">
        <v>4797</v>
      </c>
      <c r="H1483" t="s">
        <v>96</v>
      </c>
      <c r="I1483" t="s">
        <v>97</v>
      </c>
      <c r="J1483" t="s">
        <v>7387</v>
      </c>
      <c r="K1483">
        <v>31</v>
      </c>
      <c r="L1483" t="s">
        <v>37</v>
      </c>
      <c r="M1483" t="s">
        <v>66</v>
      </c>
      <c r="N1483" t="s">
        <v>112</v>
      </c>
      <c r="O1483" t="s">
        <v>28</v>
      </c>
      <c r="P1483" t="s">
        <v>31</v>
      </c>
      <c r="Q1483">
        <v>0</v>
      </c>
      <c r="R1483" t="s">
        <v>12883</v>
      </c>
      <c r="S1483" t="s">
        <v>12889</v>
      </c>
    </row>
    <row r="1484" spans="1:19" x14ac:dyDescent="0.25">
      <c r="A1484" t="s">
        <v>4011</v>
      </c>
      <c r="B1484" s="1">
        <v>45895</v>
      </c>
      <c r="C1484" t="s">
        <v>12893</v>
      </c>
      <c r="D1484" s="5">
        <v>0.57651620370370371</v>
      </c>
      <c r="E1484">
        <v>100.07</v>
      </c>
      <c r="F1484" t="s">
        <v>44</v>
      </c>
      <c r="G1484" t="s">
        <v>1598</v>
      </c>
      <c r="H1484" t="s">
        <v>64</v>
      </c>
      <c r="I1484" t="s">
        <v>248</v>
      </c>
      <c r="J1484" t="s">
        <v>4012</v>
      </c>
      <c r="K1484">
        <v>28</v>
      </c>
      <c r="L1484" t="s">
        <v>37</v>
      </c>
      <c r="M1484" t="s">
        <v>50</v>
      </c>
      <c r="N1484" t="s">
        <v>105</v>
      </c>
      <c r="O1484" t="s">
        <v>28</v>
      </c>
      <c r="P1484" t="s">
        <v>31</v>
      </c>
      <c r="Q1484">
        <v>0</v>
      </c>
      <c r="R1484" t="s">
        <v>12883</v>
      </c>
      <c r="S1484" t="s">
        <v>12889</v>
      </c>
    </row>
    <row r="1485" spans="1:19" x14ac:dyDescent="0.25">
      <c r="A1485" t="s">
        <v>7599</v>
      </c>
      <c r="B1485" s="1">
        <v>45915</v>
      </c>
      <c r="C1485" t="s">
        <v>12882</v>
      </c>
      <c r="D1485" s="5">
        <v>0.74793981481481486</v>
      </c>
      <c r="E1485">
        <v>100.04</v>
      </c>
      <c r="F1485" t="s">
        <v>44</v>
      </c>
      <c r="G1485" t="s">
        <v>2438</v>
      </c>
      <c r="H1485" t="s">
        <v>96</v>
      </c>
      <c r="I1485" t="s">
        <v>38</v>
      </c>
      <c r="J1485" t="s">
        <v>7600</v>
      </c>
      <c r="K1485">
        <v>11</v>
      </c>
      <c r="L1485" t="s">
        <v>37</v>
      </c>
      <c r="M1485" t="s">
        <v>50</v>
      </c>
      <c r="N1485" t="s">
        <v>112</v>
      </c>
      <c r="O1485" t="s">
        <v>28</v>
      </c>
      <c r="P1485" t="s">
        <v>31</v>
      </c>
      <c r="Q1485">
        <v>0</v>
      </c>
      <c r="R1485" t="s">
        <v>12883</v>
      </c>
      <c r="S1485" t="s">
        <v>12892</v>
      </c>
    </row>
    <row r="1486" spans="1:19" x14ac:dyDescent="0.25">
      <c r="A1486" t="s">
        <v>2984</v>
      </c>
      <c r="B1486" s="1">
        <v>45875</v>
      </c>
      <c r="C1486" t="s">
        <v>12893</v>
      </c>
      <c r="D1486" s="5">
        <v>0.73012731481481485</v>
      </c>
      <c r="E1486">
        <v>100.02</v>
      </c>
      <c r="F1486" t="s">
        <v>44</v>
      </c>
      <c r="G1486" t="s">
        <v>2985</v>
      </c>
      <c r="H1486" t="s">
        <v>71</v>
      </c>
      <c r="I1486" t="s">
        <v>130</v>
      </c>
      <c r="J1486" t="s">
        <v>2986</v>
      </c>
      <c r="K1486">
        <v>47</v>
      </c>
      <c r="L1486" t="s">
        <v>25</v>
      </c>
      <c r="M1486" t="s">
        <v>47</v>
      </c>
      <c r="N1486" t="s">
        <v>84</v>
      </c>
      <c r="O1486" t="s">
        <v>28</v>
      </c>
      <c r="P1486" t="s">
        <v>31</v>
      </c>
      <c r="Q1486">
        <v>0</v>
      </c>
      <c r="R1486" t="s">
        <v>12883</v>
      </c>
      <c r="S1486" t="s">
        <v>12886</v>
      </c>
    </row>
    <row r="1487" spans="1:19" x14ac:dyDescent="0.25">
      <c r="A1487" t="s">
        <v>12721</v>
      </c>
      <c r="B1487" s="1">
        <v>45858</v>
      </c>
      <c r="C1487" t="s">
        <v>12885</v>
      </c>
      <c r="D1487" s="5">
        <v>8.5243055555555558E-2</v>
      </c>
      <c r="E1487">
        <v>99.9</v>
      </c>
      <c r="F1487" t="s">
        <v>44</v>
      </c>
      <c r="G1487" t="s">
        <v>4067</v>
      </c>
      <c r="H1487" t="s">
        <v>71</v>
      </c>
      <c r="I1487" t="s">
        <v>130</v>
      </c>
      <c r="J1487" t="s">
        <v>12722</v>
      </c>
      <c r="K1487">
        <v>33</v>
      </c>
      <c r="L1487" t="s">
        <v>49</v>
      </c>
      <c r="M1487" t="s">
        <v>130</v>
      </c>
      <c r="N1487" t="s">
        <v>84</v>
      </c>
      <c r="O1487" t="s">
        <v>113</v>
      </c>
      <c r="P1487" t="s">
        <v>31</v>
      </c>
      <c r="Q1487">
        <v>0</v>
      </c>
      <c r="R1487" t="s">
        <v>12883</v>
      </c>
      <c r="S1487" t="s">
        <v>12889</v>
      </c>
    </row>
    <row r="1488" spans="1:19" x14ac:dyDescent="0.25">
      <c r="A1488" t="s">
        <v>10615</v>
      </c>
      <c r="B1488" s="1">
        <v>45794</v>
      </c>
      <c r="C1488" t="s">
        <v>12887</v>
      </c>
      <c r="D1488" s="5">
        <v>0.75517361111111114</v>
      </c>
      <c r="E1488">
        <v>99.77</v>
      </c>
      <c r="F1488" t="s">
        <v>44</v>
      </c>
      <c r="G1488" t="s">
        <v>8986</v>
      </c>
      <c r="H1488" t="s">
        <v>64</v>
      </c>
      <c r="I1488" t="s">
        <v>248</v>
      </c>
      <c r="J1488" t="s">
        <v>10616</v>
      </c>
      <c r="K1488">
        <v>40</v>
      </c>
      <c r="L1488" t="s">
        <v>49</v>
      </c>
      <c r="M1488" t="s">
        <v>23</v>
      </c>
      <c r="N1488" t="s">
        <v>27</v>
      </c>
      <c r="O1488" t="s">
        <v>28</v>
      </c>
      <c r="P1488" t="s">
        <v>31</v>
      </c>
      <c r="Q1488">
        <v>0</v>
      </c>
      <c r="R1488" t="s">
        <v>12883</v>
      </c>
      <c r="S1488" t="s">
        <v>12886</v>
      </c>
    </row>
    <row r="1489" spans="1:19" x14ac:dyDescent="0.25">
      <c r="A1489" t="s">
        <v>11880</v>
      </c>
      <c r="B1489" s="1">
        <v>45911</v>
      </c>
      <c r="C1489" t="s">
        <v>12882</v>
      </c>
      <c r="D1489" s="5">
        <v>0.47659722222222223</v>
      </c>
      <c r="E1489">
        <v>99.75</v>
      </c>
      <c r="F1489" t="s">
        <v>44</v>
      </c>
      <c r="G1489" t="s">
        <v>7965</v>
      </c>
      <c r="H1489" t="s">
        <v>22</v>
      </c>
      <c r="I1489" t="s">
        <v>110</v>
      </c>
      <c r="J1489" t="s">
        <v>11881</v>
      </c>
      <c r="K1489">
        <v>43</v>
      </c>
      <c r="L1489" t="s">
        <v>37</v>
      </c>
      <c r="M1489" t="s">
        <v>26</v>
      </c>
      <c r="N1489" t="s">
        <v>84</v>
      </c>
      <c r="O1489" t="s">
        <v>28</v>
      </c>
      <c r="P1489" t="s">
        <v>31</v>
      </c>
      <c r="Q1489">
        <v>0</v>
      </c>
      <c r="R1489" t="s">
        <v>12883</v>
      </c>
      <c r="S1489" t="s">
        <v>12886</v>
      </c>
    </row>
    <row r="1490" spans="1:19" x14ac:dyDescent="0.25">
      <c r="A1490" t="s">
        <v>8123</v>
      </c>
      <c r="B1490" s="1">
        <v>45850</v>
      </c>
      <c r="C1490" t="s">
        <v>12885</v>
      </c>
      <c r="D1490" s="5">
        <v>0.23623842592592592</v>
      </c>
      <c r="E1490">
        <v>99.71</v>
      </c>
      <c r="F1490" t="s">
        <v>44</v>
      </c>
      <c r="G1490" t="s">
        <v>4016</v>
      </c>
      <c r="H1490" t="s">
        <v>34</v>
      </c>
      <c r="I1490" t="s">
        <v>91</v>
      </c>
      <c r="J1490" t="s">
        <v>8124</v>
      </c>
      <c r="K1490">
        <v>19</v>
      </c>
      <c r="L1490" t="s">
        <v>25</v>
      </c>
      <c r="M1490" t="s">
        <v>91</v>
      </c>
      <c r="N1490" t="s">
        <v>27</v>
      </c>
      <c r="O1490" t="s">
        <v>113</v>
      </c>
      <c r="P1490" t="s">
        <v>31</v>
      </c>
      <c r="Q1490">
        <v>0</v>
      </c>
      <c r="R1490" t="s">
        <v>12883</v>
      </c>
      <c r="S1490" t="s">
        <v>12892</v>
      </c>
    </row>
    <row r="1491" spans="1:19" x14ac:dyDescent="0.25">
      <c r="A1491" t="s">
        <v>10552</v>
      </c>
      <c r="B1491" s="1">
        <v>45882</v>
      </c>
      <c r="C1491" t="s">
        <v>12893</v>
      </c>
      <c r="D1491" s="5">
        <v>0.74480324074074078</v>
      </c>
      <c r="E1491">
        <v>99.71</v>
      </c>
      <c r="F1491" t="s">
        <v>44</v>
      </c>
      <c r="G1491" t="s">
        <v>1301</v>
      </c>
      <c r="H1491" t="s">
        <v>46</v>
      </c>
      <c r="I1491" t="s">
        <v>91</v>
      </c>
      <c r="J1491" t="s">
        <v>10553</v>
      </c>
      <c r="K1491">
        <v>31</v>
      </c>
      <c r="L1491" t="s">
        <v>37</v>
      </c>
      <c r="M1491" t="s">
        <v>110</v>
      </c>
      <c r="N1491" t="s">
        <v>51</v>
      </c>
      <c r="O1491" t="s">
        <v>28</v>
      </c>
      <c r="P1491" t="s">
        <v>31</v>
      </c>
      <c r="Q1491">
        <v>0</v>
      </c>
      <c r="R1491" t="s">
        <v>12883</v>
      </c>
      <c r="S1491" t="s">
        <v>12889</v>
      </c>
    </row>
    <row r="1492" spans="1:19" x14ac:dyDescent="0.25">
      <c r="A1492" t="s">
        <v>12573</v>
      </c>
      <c r="B1492" s="1">
        <v>45841</v>
      </c>
      <c r="C1492" t="s">
        <v>12885</v>
      </c>
      <c r="D1492" s="5">
        <v>0.10545138888888889</v>
      </c>
      <c r="E1492">
        <v>99.59</v>
      </c>
      <c r="F1492" t="s">
        <v>44</v>
      </c>
      <c r="G1492" t="s">
        <v>2721</v>
      </c>
      <c r="H1492" t="s">
        <v>46</v>
      </c>
      <c r="I1492" t="s">
        <v>66</v>
      </c>
      <c r="J1492" t="s">
        <v>12574</v>
      </c>
      <c r="K1492">
        <v>51</v>
      </c>
      <c r="L1492" t="s">
        <v>49</v>
      </c>
      <c r="M1492" t="s">
        <v>91</v>
      </c>
      <c r="N1492" t="s">
        <v>105</v>
      </c>
      <c r="O1492" t="s">
        <v>28</v>
      </c>
      <c r="P1492" t="s">
        <v>31</v>
      </c>
      <c r="Q1492">
        <v>0</v>
      </c>
      <c r="R1492" t="s">
        <v>12883</v>
      </c>
      <c r="S1492" t="s">
        <v>12886</v>
      </c>
    </row>
    <row r="1493" spans="1:19" x14ac:dyDescent="0.25">
      <c r="A1493" t="s">
        <v>747</v>
      </c>
      <c r="B1493" s="1">
        <v>45815</v>
      </c>
      <c r="C1493" t="s">
        <v>12888</v>
      </c>
      <c r="D1493" s="5">
        <v>0.35774305555555558</v>
      </c>
      <c r="E1493">
        <v>99.56</v>
      </c>
      <c r="F1493" t="s">
        <v>44</v>
      </c>
      <c r="G1493" t="s">
        <v>748</v>
      </c>
      <c r="H1493" t="s">
        <v>89</v>
      </c>
      <c r="I1493" t="s">
        <v>35</v>
      </c>
      <c r="J1493" t="s">
        <v>749</v>
      </c>
      <c r="K1493">
        <v>30</v>
      </c>
      <c r="L1493" t="s">
        <v>49</v>
      </c>
      <c r="M1493" t="s">
        <v>97</v>
      </c>
      <c r="N1493" t="s">
        <v>105</v>
      </c>
      <c r="O1493" t="s">
        <v>28</v>
      </c>
      <c r="P1493" t="s">
        <v>31</v>
      </c>
      <c r="Q1493">
        <v>0</v>
      </c>
      <c r="R1493" t="s">
        <v>12883</v>
      </c>
      <c r="S1493" t="s">
        <v>12889</v>
      </c>
    </row>
    <row r="1494" spans="1:19" x14ac:dyDescent="0.25">
      <c r="A1494" t="s">
        <v>6454</v>
      </c>
      <c r="B1494" s="1">
        <v>45812</v>
      </c>
      <c r="C1494" t="s">
        <v>12888</v>
      </c>
      <c r="D1494" s="5">
        <v>0.32952546296296298</v>
      </c>
      <c r="E1494">
        <v>99.5</v>
      </c>
      <c r="F1494" t="s">
        <v>44</v>
      </c>
      <c r="G1494" t="s">
        <v>6455</v>
      </c>
      <c r="H1494" t="s">
        <v>71</v>
      </c>
      <c r="I1494" t="s">
        <v>110</v>
      </c>
      <c r="J1494" t="s">
        <v>6456</v>
      </c>
      <c r="K1494">
        <v>60</v>
      </c>
      <c r="L1494" t="s">
        <v>49</v>
      </c>
      <c r="M1494" t="s">
        <v>66</v>
      </c>
      <c r="N1494" t="s">
        <v>105</v>
      </c>
      <c r="O1494" t="s">
        <v>28</v>
      </c>
      <c r="P1494" t="s">
        <v>31</v>
      </c>
      <c r="Q1494">
        <v>0</v>
      </c>
      <c r="R1494" t="s">
        <v>12883</v>
      </c>
      <c r="S1494" t="s">
        <v>12884</v>
      </c>
    </row>
    <row r="1495" spans="1:19" x14ac:dyDescent="0.25">
      <c r="A1495" t="s">
        <v>11966</v>
      </c>
      <c r="B1495" s="1">
        <v>45850</v>
      </c>
      <c r="C1495" t="s">
        <v>12885</v>
      </c>
      <c r="D1495" s="5">
        <v>0.75190972222222219</v>
      </c>
      <c r="E1495">
        <v>99.47</v>
      </c>
      <c r="F1495" t="s">
        <v>44</v>
      </c>
      <c r="G1495" t="s">
        <v>1418</v>
      </c>
      <c r="H1495" t="s">
        <v>22</v>
      </c>
      <c r="I1495" t="s">
        <v>248</v>
      </c>
      <c r="J1495" t="s">
        <v>11967</v>
      </c>
      <c r="K1495">
        <v>44</v>
      </c>
      <c r="L1495" t="s">
        <v>37</v>
      </c>
      <c r="M1495" t="s">
        <v>146</v>
      </c>
      <c r="N1495" t="s">
        <v>39</v>
      </c>
      <c r="O1495" t="s">
        <v>28</v>
      </c>
      <c r="P1495" t="s">
        <v>31</v>
      </c>
      <c r="Q1495">
        <v>0</v>
      </c>
      <c r="R1495" t="s">
        <v>12883</v>
      </c>
      <c r="S1495" t="s">
        <v>12886</v>
      </c>
    </row>
    <row r="1496" spans="1:19" x14ac:dyDescent="0.25">
      <c r="A1496" t="s">
        <v>8131</v>
      </c>
      <c r="B1496" s="1">
        <v>45824</v>
      </c>
      <c r="C1496" t="s">
        <v>12888</v>
      </c>
      <c r="D1496" s="5">
        <v>0.78281250000000002</v>
      </c>
      <c r="E1496">
        <v>99.29</v>
      </c>
      <c r="F1496" t="s">
        <v>44</v>
      </c>
      <c r="G1496" t="s">
        <v>7448</v>
      </c>
      <c r="H1496" t="s">
        <v>96</v>
      </c>
      <c r="I1496" t="s">
        <v>38</v>
      </c>
      <c r="J1496" t="s">
        <v>8132</v>
      </c>
      <c r="K1496">
        <v>45</v>
      </c>
      <c r="L1496" t="s">
        <v>37</v>
      </c>
      <c r="M1496" t="s">
        <v>97</v>
      </c>
      <c r="N1496" t="s">
        <v>27</v>
      </c>
      <c r="O1496" t="s">
        <v>28</v>
      </c>
      <c r="P1496" t="s">
        <v>31</v>
      </c>
      <c r="Q1496">
        <v>1</v>
      </c>
      <c r="R1496" t="s">
        <v>12891</v>
      </c>
      <c r="S1496" t="s">
        <v>12886</v>
      </c>
    </row>
    <row r="1497" spans="1:19" x14ac:dyDescent="0.25">
      <c r="A1497" t="s">
        <v>6578</v>
      </c>
      <c r="B1497" s="1">
        <v>45930</v>
      </c>
      <c r="C1497" t="s">
        <v>12882</v>
      </c>
      <c r="D1497" s="5">
        <v>8.86574074074074E-3</v>
      </c>
      <c r="E1497">
        <v>99.27</v>
      </c>
      <c r="F1497" t="s">
        <v>44</v>
      </c>
      <c r="G1497" t="s">
        <v>6579</v>
      </c>
      <c r="H1497" t="s">
        <v>46</v>
      </c>
      <c r="I1497" t="s">
        <v>130</v>
      </c>
      <c r="J1497" t="s">
        <v>6580</v>
      </c>
      <c r="K1497">
        <v>40</v>
      </c>
      <c r="L1497" t="s">
        <v>37</v>
      </c>
      <c r="M1497" t="s">
        <v>130</v>
      </c>
      <c r="N1497" t="s">
        <v>51</v>
      </c>
      <c r="O1497" t="s">
        <v>113</v>
      </c>
      <c r="P1497" t="s">
        <v>31</v>
      </c>
      <c r="Q1497">
        <v>0</v>
      </c>
      <c r="R1497" t="s">
        <v>12883</v>
      </c>
      <c r="S1497" t="s">
        <v>12886</v>
      </c>
    </row>
    <row r="1498" spans="1:19" x14ac:dyDescent="0.25">
      <c r="A1498" t="s">
        <v>8550</v>
      </c>
      <c r="B1498" s="1">
        <v>45896</v>
      </c>
      <c r="C1498" t="s">
        <v>12893</v>
      </c>
      <c r="D1498" s="5">
        <v>0.23940972222222223</v>
      </c>
      <c r="E1498">
        <v>99.24</v>
      </c>
      <c r="F1498" t="s">
        <v>44</v>
      </c>
      <c r="G1498" t="s">
        <v>4761</v>
      </c>
      <c r="H1498" t="s">
        <v>96</v>
      </c>
      <c r="I1498" t="s">
        <v>35</v>
      </c>
      <c r="J1498" t="s">
        <v>8551</v>
      </c>
      <c r="K1498">
        <v>60</v>
      </c>
      <c r="L1498" t="s">
        <v>37</v>
      </c>
      <c r="M1498" t="s">
        <v>38</v>
      </c>
      <c r="N1498" t="s">
        <v>39</v>
      </c>
      <c r="O1498" t="s">
        <v>28</v>
      </c>
      <c r="P1498" t="s">
        <v>31</v>
      </c>
      <c r="Q1498">
        <v>0</v>
      </c>
      <c r="R1498" t="s">
        <v>12883</v>
      </c>
      <c r="S1498" t="s">
        <v>12884</v>
      </c>
    </row>
    <row r="1499" spans="1:19" x14ac:dyDescent="0.25">
      <c r="A1499" t="s">
        <v>2263</v>
      </c>
      <c r="B1499" s="1">
        <v>45792</v>
      </c>
      <c r="C1499" t="s">
        <v>12887</v>
      </c>
      <c r="D1499" s="5">
        <v>0.2870138888888889</v>
      </c>
      <c r="E1499">
        <v>99.2</v>
      </c>
      <c r="F1499" t="s">
        <v>44</v>
      </c>
      <c r="G1499" t="s">
        <v>2264</v>
      </c>
      <c r="H1499" t="s">
        <v>71</v>
      </c>
      <c r="I1499" t="s">
        <v>23</v>
      </c>
      <c r="J1499" t="s">
        <v>2265</v>
      </c>
      <c r="K1499">
        <v>118</v>
      </c>
      <c r="L1499" t="s">
        <v>37</v>
      </c>
      <c r="M1499" t="s">
        <v>248</v>
      </c>
      <c r="N1499" t="s">
        <v>105</v>
      </c>
      <c r="O1499" t="s">
        <v>28</v>
      </c>
      <c r="P1499" t="s">
        <v>31</v>
      </c>
      <c r="Q1499">
        <v>0</v>
      </c>
      <c r="R1499" t="s">
        <v>12883</v>
      </c>
      <c r="S1499" t="s">
        <v>12884</v>
      </c>
    </row>
    <row r="1500" spans="1:19" x14ac:dyDescent="0.25">
      <c r="A1500" t="s">
        <v>781</v>
      </c>
      <c r="B1500" s="1">
        <v>45807</v>
      </c>
      <c r="C1500" t="s">
        <v>12887</v>
      </c>
      <c r="D1500" s="5">
        <v>0.62493055555555554</v>
      </c>
      <c r="E1500">
        <v>99.17</v>
      </c>
      <c r="F1500" t="s">
        <v>44</v>
      </c>
      <c r="G1500" t="s">
        <v>782</v>
      </c>
      <c r="H1500" t="s">
        <v>77</v>
      </c>
      <c r="I1500" t="s">
        <v>58</v>
      </c>
      <c r="J1500" t="s">
        <v>783</v>
      </c>
      <c r="K1500">
        <v>38</v>
      </c>
      <c r="L1500" t="s">
        <v>25</v>
      </c>
      <c r="M1500" t="s">
        <v>97</v>
      </c>
      <c r="N1500" t="s">
        <v>51</v>
      </c>
      <c r="O1500" t="s">
        <v>28</v>
      </c>
      <c r="P1500" t="s">
        <v>31</v>
      </c>
      <c r="Q1500">
        <v>0</v>
      </c>
      <c r="R1500" t="s">
        <v>12883</v>
      </c>
      <c r="S1500" t="s">
        <v>12889</v>
      </c>
    </row>
    <row r="1501" spans="1:19" x14ac:dyDescent="0.25">
      <c r="A1501" t="s">
        <v>1305</v>
      </c>
      <c r="B1501" s="1">
        <v>45843</v>
      </c>
      <c r="C1501" t="s">
        <v>12885</v>
      </c>
      <c r="D1501" s="5">
        <v>0.10394675925925925</v>
      </c>
      <c r="E1501">
        <v>99.06</v>
      </c>
      <c r="F1501" t="s">
        <v>44</v>
      </c>
      <c r="G1501" t="s">
        <v>1306</v>
      </c>
      <c r="H1501" t="s">
        <v>124</v>
      </c>
      <c r="I1501" t="s">
        <v>50</v>
      </c>
      <c r="J1501" t="s">
        <v>1307</v>
      </c>
      <c r="K1501">
        <v>43</v>
      </c>
      <c r="L1501" t="s">
        <v>49</v>
      </c>
      <c r="M1501" t="s">
        <v>119</v>
      </c>
      <c r="N1501" t="s">
        <v>39</v>
      </c>
      <c r="O1501" t="s">
        <v>28</v>
      </c>
      <c r="P1501" t="s">
        <v>31</v>
      </c>
      <c r="Q1501">
        <v>0</v>
      </c>
      <c r="R1501" t="s">
        <v>12883</v>
      </c>
      <c r="S1501" t="s">
        <v>12886</v>
      </c>
    </row>
    <row r="1502" spans="1:19" x14ac:dyDescent="0.25">
      <c r="A1502" t="s">
        <v>4250</v>
      </c>
      <c r="B1502" s="1">
        <v>45884</v>
      </c>
      <c r="C1502" t="s">
        <v>12893</v>
      </c>
      <c r="D1502" s="5">
        <v>0.24903935185185186</v>
      </c>
      <c r="E1502">
        <v>99.05</v>
      </c>
      <c r="F1502" t="s">
        <v>44</v>
      </c>
      <c r="G1502" t="s">
        <v>959</v>
      </c>
      <c r="H1502" t="s">
        <v>71</v>
      </c>
      <c r="I1502" t="s">
        <v>97</v>
      </c>
      <c r="J1502" t="s">
        <v>4251</v>
      </c>
      <c r="K1502">
        <v>32</v>
      </c>
      <c r="L1502" t="s">
        <v>37</v>
      </c>
      <c r="M1502" t="s">
        <v>119</v>
      </c>
      <c r="N1502" t="s">
        <v>84</v>
      </c>
      <c r="O1502" t="s">
        <v>28</v>
      </c>
      <c r="P1502" t="s">
        <v>31</v>
      </c>
      <c r="Q1502">
        <v>0</v>
      </c>
      <c r="R1502" t="s">
        <v>12883</v>
      </c>
      <c r="S1502" t="s">
        <v>12889</v>
      </c>
    </row>
    <row r="1503" spans="1:19" x14ac:dyDescent="0.25">
      <c r="A1503" t="s">
        <v>6416</v>
      </c>
      <c r="B1503" s="1">
        <v>45856</v>
      </c>
      <c r="C1503" t="s">
        <v>12885</v>
      </c>
      <c r="D1503" s="5">
        <v>0.64004629629629628</v>
      </c>
      <c r="E1503">
        <v>99.01</v>
      </c>
      <c r="F1503" t="s">
        <v>44</v>
      </c>
      <c r="G1503" t="s">
        <v>242</v>
      </c>
      <c r="H1503" t="s">
        <v>34</v>
      </c>
      <c r="I1503" t="s">
        <v>50</v>
      </c>
      <c r="J1503" t="s">
        <v>6417</v>
      </c>
      <c r="K1503">
        <v>63</v>
      </c>
      <c r="L1503" t="s">
        <v>37</v>
      </c>
      <c r="M1503" t="s">
        <v>58</v>
      </c>
      <c r="N1503" t="s">
        <v>39</v>
      </c>
      <c r="O1503" t="s">
        <v>28</v>
      </c>
      <c r="P1503" t="s">
        <v>31</v>
      </c>
      <c r="Q1503">
        <v>0</v>
      </c>
      <c r="R1503" t="s">
        <v>12883</v>
      </c>
      <c r="S1503" t="s">
        <v>12884</v>
      </c>
    </row>
    <row r="1504" spans="1:19" x14ac:dyDescent="0.25">
      <c r="A1504" t="s">
        <v>9863</v>
      </c>
      <c r="B1504" s="1">
        <v>45866</v>
      </c>
      <c r="C1504" t="s">
        <v>12885</v>
      </c>
      <c r="D1504" s="5">
        <v>0.6831828703703704</v>
      </c>
      <c r="E1504">
        <v>98.85</v>
      </c>
      <c r="F1504" t="s">
        <v>44</v>
      </c>
      <c r="G1504" t="s">
        <v>2433</v>
      </c>
      <c r="H1504" t="s">
        <v>46</v>
      </c>
      <c r="I1504" t="s">
        <v>91</v>
      </c>
      <c r="J1504" t="s">
        <v>9864</v>
      </c>
      <c r="K1504">
        <v>48</v>
      </c>
      <c r="L1504" t="s">
        <v>49</v>
      </c>
      <c r="M1504" t="s">
        <v>38</v>
      </c>
      <c r="N1504" t="s">
        <v>112</v>
      </c>
      <c r="O1504" t="s">
        <v>28</v>
      </c>
      <c r="P1504" t="s">
        <v>31</v>
      </c>
      <c r="Q1504">
        <v>0</v>
      </c>
      <c r="R1504" t="s">
        <v>12883</v>
      </c>
      <c r="S1504" t="s">
        <v>12886</v>
      </c>
    </row>
    <row r="1505" spans="1:19" x14ac:dyDescent="0.25">
      <c r="A1505" t="s">
        <v>11706</v>
      </c>
      <c r="B1505" s="1">
        <v>45859</v>
      </c>
      <c r="C1505" t="s">
        <v>12885</v>
      </c>
      <c r="D1505" s="5">
        <v>0.9045023148148148</v>
      </c>
      <c r="E1505">
        <v>98.79</v>
      </c>
      <c r="F1505" t="s">
        <v>44</v>
      </c>
      <c r="G1505" t="s">
        <v>7069</v>
      </c>
      <c r="H1505" t="s">
        <v>22</v>
      </c>
      <c r="I1505" t="s">
        <v>26</v>
      </c>
      <c r="J1505" t="s">
        <v>11707</v>
      </c>
      <c r="K1505">
        <v>70</v>
      </c>
      <c r="L1505" t="s">
        <v>49</v>
      </c>
      <c r="M1505" t="s">
        <v>47</v>
      </c>
      <c r="N1505" t="s">
        <v>112</v>
      </c>
      <c r="O1505" t="s">
        <v>28</v>
      </c>
      <c r="P1505" t="s">
        <v>31</v>
      </c>
      <c r="Q1505">
        <v>0</v>
      </c>
      <c r="R1505" t="s">
        <v>12883</v>
      </c>
      <c r="S1505" t="s">
        <v>12884</v>
      </c>
    </row>
    <row r="1506" spans="1:19" x14ac:dyDescent="0.25">
      <c r="A1506" t="s">
        <v>43</v>
      </c>
      <c r="B1506" s="1">
        <v>45866</v>
      </c>
      <c r="C1506" t="s">
        <v>12885</v>
      </c>
      <c r="D1506" s="5">
        <v>5.9918981481481483E-2</v>
      </c>
      <c r="E1506">
        <v>98.73</v>
      </c>
      <c r="F1506" t="s">
        <v>44</v>
      </c>
      <c r="G1506" t="s">
        <v>45</v>
      </c>
      <c r="H1506" t="s">
        <v>46</v>
      </c>
      <c r="I1506" t="s">
        <v>47</v>
      </c>
      <c r="J1506" t="s">
        <v>48</v>
      </c>
      <c r="K1506">
        <v>46</v>
      </c>
      <c r="L1506" t="s">
        <v>49</v>
      </c>
      <c r="M1506" t="s">
        <v>50</v>
      </c>
      <c r="N1506" t="s">
        <v>51</v>
      </c>
      <c r="O1506" t="s">
        <v>28</v>
      </c>
      <c r="P1506" t="s">
        <v>31</v>
      </c>
      <c r="Q1506">
        <v>0</v>
      </c>
      <c r="R1506" t="s">
        <v>12883</v>
      </c>
      <c r="S1506" t="s">
        <v>12886</v>
      </c>
    </row>
    <row r="1507" spans="1:19" x14ac:dyDescent="0.25">
      <c r="A1507" t="s">
        <v>10206</v>
      </c>
      <c r="B1507" s="1">
        <v>45881</v>
      </c>
      <c r="C1507" t="s">
        <v>12893</v>
      </c>
      <c r="D1507" s="5">
        <v>0.48787037037037034</v>
      </c>
      <c r="E1507">
        <v>98.73</v>
      </c>
      <c r="F1507" t="s">
        <v>44</v>
      </c>
      <c r="G1507" t="s">
        <v>5430</v>
      </c>
      <c r="H1507" t="s">
        <v>46</v>
      </c>
      <c r="I1507" t="s">
        <v>248</v>
      </c>
      <c r="J1507" t="s">
        <v>10207</v>
      </c>
      <c r="K1507">
        <v>29</v>
      </c>
      <c r="L1507" t="s">
        <v>49</v>
      </c>
      <c r="M1507" t="s">
        <v>23</v>
      </c>
      <c r="N1507" t="s">
        <v>27</v>
      </c>
      <c r="O1507" t="s">
        <v>28</v>
      </c>
      <c r="P1507" t="s">
        <v>31</v>
      </c>
      <c r="Q1507">
        <v>0</v>
      </c>
      <c r="R1507" t="s">
        <v>12883</v>
      </c>
      <c r="S1507" t="s">
        <v>12889</v>
      </c>
    </row>
    <row r="1508" spans="1:19" x14ac:dyDescent="0.25">
      <c r="A1508" t="s">
        <v>2399</v>
      </c>
      <c r="B1508" s="1">
        <v>45905</v>
      </c>
      <c r="C1508" t="s">
        <v>12882</v>
      </c>
      <c r="D1508" s="5">
        <v>0.74230324074074072</v>
      </c>
      <c r="E1508">
        <v>98.66</v>
      </c>
      <c r="F1508" t="s">
        <v>44</v>
      </c>
      <c r="G1508" t="s">
        <v>863</v>
      </c>
      <c r="H1508" t="s">
        <v>89</v>
      </c>
      <c r="I1508" t="s">
        <v>50</v>
      </c>
      <c r="J1508" t="s">
        <v>2400</v>
      </c>
      <c r="K1508">
        <v>26</v>
      </c>
      <c r="L1508" t="s">
        <v>49</v>
      </c>
      <c r="M1508" t="s">
        <v>110</v>
      </c>
      <c r="N1508" t="s">
        <v>84</v>
      </c>
      <c r="O1508" t="s">
        <v>28</v>
      </c>
      <c r="P1508" t="s">
        <v>31</v>
      </c>
      <c r="Q1508">
        <v>0</v>
      </c>
      <c r="R1508" t="s">
        <v>12883</v>
      </c>
      <c r="S1508" t="s">
        <v>12889</v>
      </c>
    </row>
    <row r="1509" spans="1:19" x14ac:dyDescent="0.25">
      <c r="A1509" t="s">
        <v>10412</v>
      </c>
      <c r="B1509" s="1">
        <v>45809</v>
      </c>
      <c r="C1509" t="s">
        <v>12888</v>
      </c>
      <c r="D1509" s="5">
        <v>0.14266203703703703</v>
      </c>
      <c r="E1509">
        <v>98.53</v>
      </c>
      <c r="F1509" t="s">
        <v>44</v>
      </c>
      <c r="G1509" t="s">
        <v>1968</v>
      </c>
      <c r="H1509" t="s">
        <v>46</v>
      </c>
      <c r="I1509" t="s">
        <v>38</v>
      </c>
      <c r="J1509" t="s">
        <v>10413</v>
      </c>
      <c r="K1509">
        <v>67</v>
      </c>
      <c r="L1509" t="s">
        <v>37</v>
      </c>
      <c r="M1509" t="s">
        <v>26</v>
      </c>
      <c r="N1509" t="s">
        <v>27</v>
      </c>
      <c r="O1509" t="s">
        <v>28</v>
      </c>
      <c r="P1509" t="s">
        <v>31</v>
      </c>
      <c r="Q1509">
        <v>0</v>
      </c>
      <c r="R1509" t="s">
        <v>12883</v>
      </c>
      <c r="S1509" t="s">
        <v>12884</v>
      </c>
    </row>
    <row r="1510" spans="1:19" x14ac:dyDescent="0.25">
      <c r="A1510" t="s">
        <v>6156</v>
      </c>
      <c r="B1510" s="1">
        <v>45938</v>
      </c>
      <c r="C1510" t="s">
        <v>12890</v>
      </c>
      <c r="D1510" s="5">
        <v>0.43417824074074074</v>
      </c>
      <c r="E1510">
        <v>98.51</v>
      </c>
      <c r="F1510" t="s">
        <v>44</v>
      </c>
      <c r="G1510" t="s">
        <v>5782</v>
      </c>
      <c r="H1510" t="s">
        <v>34</v>
      </c>
      <c r="I1510" t="s">
        <v>23</v>
      </c>
      <c r="J1510" t="s">
        <v>6157</v>
      </c>
      <c r="K1510">
        <v>64</v>
      </c>
      <c r="L1510" t="s">
        <v>37</v>
      </c>
      <c r="M1510" t="s">
        <v>50</v>
      </c>
      <c r="N1510" t="s">
        <v>27</v>
      </c>
      <c r="O1510" t="s">
        <v>28</v>
      </c>
      <c r="P1510" t="s">
        <v>31</v>
      </c>
      <c r="Q1510">
        <v>0</v>
      </c>
      <c r="R1510" t="s">
        <v>12883</v>
      </c>
      <c r="S1510" t="s">
        <v>12884</v>
      </c>
    </row>
    <row r="1511" spans="1:19" x14ac:dyDescent="0.25">
      <c r="A1511" t="s">
        <v>11456</v>
      </c>
      <c r="B1511" s="1">
        <v>45931</v>
      </c>
      <c r="C1511" t="s">
        <v>12890</v>
      </c>
      <c r="D1511" s="5">
        <v>0.66248842592592594</v>
      </c>
      <c r="E1511">
        <v>98.43</v>
      </c>
      <c r="F1511" t="s">
        <v>44</v>
      </c>
      <c r="G1511" t="s">
        <v>3035</v>
      </c>
      <c r="H1511" t="s">
        <v>89</v>
      </c>
      <c r="I1511" t="s">
        <v>97</v>
      </c>
      <c r="J1511" t="s">
        <v>7375</v>
      </c>
      <c r="K1511">
        <v>50</v>
      </c>
      <c r="L1511" t="s">
        <v>37</v>
      </c>
      <c r="M1511" t="s">
        <v>91</v>
      </c>
      <c r="N1511" t="s">
        <v>84</v>
      </c>
      <c r="O1511" t="s">
        <v>28</v>
      </c>
      <c r="P1511" t="s">
        <v>31</v>
      </c>
      <c r="Q1511">
        <v>0</v>
      </c>
      <c r="R1511" t="s">
        <v>12883</v>
      </c>
      <c r="S1511" t="s">
        <v>12886</v>
      </c>
    </row>
    <row r="1512" spans="1:19" x14ac:dyDescent="0.25">
      <c r="A1512" t="s">
        <v>8429</v>
      </c>
      <c r="B1512" s="1">
        <v>45859</v>
      </c>
      <c r="C1512" t="s">
        <v>12885</v>
      </c>
      <c r="D1512" s="5">
        <v>0.38133101851851853</v>
      </c>
      <c r="E1512">
        <v>98.29</v>
      </c>
      <c r="F1512" t="s">
        <v>44</v>
      </c>
      <c r="G1512" t="s">
        <v>8430</v>
      </c>
      <c r="H1512" t="s">
        <v>22</v>
      </c>
      <c r="I1512" t="s">
        <v>38</v>
      </c>
      <c r="J1512" t="s">
        <v>8431</v>
      </c>
      <c r="K1512">
        <v>25</v>
      </c>
      <c r="L1512" t="s">
        <v>49</v>
      </c>
      <c r="M1512" t="s">
        <v>58</v>
      </c>
      <c r="N1512" t="s">
        <v>39</v>
      </c>
      <c r="O1512" t="s">
        <v>28</v>
      </c>
      <c r="P1512" t="s">
        <v>31</v>
      </c>
      <c r="Q1512">
        <v>0</v>
      </c>
      <c r="R1512" t="s">
        <v>12883</v>
      </c>
      <c r="S1512" t="s">
        <v>12889</v>
      </c>
    </row>
    <row r="1513" spans="1:19" x14ac:dyDescent="0.25">
      <c r="A1513" t="s">
        <v>5191</v>
      </c>
      <c r="B1513" s="1">
        <v>45893</v>
      </c>
      <c r="C1513" t="s">
        <v>12893</v>
      </c>
      <c r="D1513" s="5">
        <v>0.76724537037037033</v>
      </c>
      <c r="E1513">
        <v>98.17</v>
      </c>
      <c r="F1513" t="s">
        <v>44</v>
      </c>
      <c r="G1513" t="s">
        <v>5192</v>
      </c>
      <c r="H1513" t="s">
        <v>34</v>
      </c>
      <c r="I1513" t="s">
        <v>91</v>
      </c>
      <c r="J1513" t="s">
        <v>5193</v>
      </c>
      <c r="K1513">
        <v>72</v>
      </c>
      <c r="L1513" t="s">
        <v>25</v>
      </c>
      <c r="M1513" t="s">
        <v>91</v>
      </c>
      <c r="N1513" t="s">
        <v>112</v>
      </c>
      <c r="O1513" t="s">
        <v>113</v>
      </c>
      <c r="P1513" t="s">
        <v>31</v>
      </c>
      <c r="Q1513">
        <v>0</v>
      </c>
      <c r="R1513" t="s">
        <v>12883</v>
      </c>
      <c r="S1513" t="s">
        <v>12884</v>
      </c>
    </row>
    <row r="1514" spans="1:19" x14ac:dyDescent="0.25">
      <c r="A1514" t="s">
        <v>6112</v>
      </c>
      <c r="B1514" s="1">
        <v>45791</v>
      </c>
      <c r="C1514" t="s">
        <v>12887</v>
      </c>
      <c r="D1514" s="5">
        <v>0.39143518518518516</v>
      </c>
      <c r="E1514">
        <v>98.08</v>
      </c>
      <c r="F1514" t="s">
        <v>44</v>
      </c>
      <c r="G1514" t="s">
        <v>6113</v>
      </c>
      <c r="H1514" t="s">
        <v>77</v>
      </c>
      <c r="I1514" t="s">
        <v>47</v>
      </c>
      <c r="J1514" t="s">
        <v>6114</v>
      </c>
      <c r="K1514">
        <v>54</v>
      </c>
      <c r="L1514" t="s">
        <v>25</v>
      </c>
      <c r="M1514" t="s">
        <v>130</v>
      </c>
      <c r="N1514" t="s">
        <v>27</v>
      </c>
      <c r="O1514" t="s">
        <v>28</v>
      </c>
      <c r="P1514" t="s">
        <v>31</v>
      </c>
      <c r="Q1514">
        <v>0</v>
      </c>
      <c r="R1514" t="s">
        <v>12883</v>
      </c>
      <c r="S1514" t="s">
        <v>12886</v>
      </c>
    </row>
    <row r="1515" spans="1:19" x14ac:dyDescent="0.25">
      <c r="A1515" t="s">
        <v>662</v>
      </c>
      <c r="B1515" s="1">
        <v>45948</v>
      </c>
      <c r="C1515" t="s">
        <v>12890</v>
      </c>
      <c r="D1515" s="5">
        <v>0.85519675925925931</v>
      </c>
      <c r="E1515">
        <v>98.03</v>
      </c>
      <c r="F1515" t="s">
        <v>44</v>
      </c>
      <c r="G1515" t="s">
        <v>663</v>
      </c>
      <c r="H1515" t="s">
        <v>64</v>
      </c>
      <c r="I1515" t="s">
        <v>146</v>
      </c>
      <c r="J1515" t="s">
        <v>664</v>
      </c>
      <c r="K1515">
        <v>54</v>
      </c>
      <c r="L1515" t="s">
        <v>37</v>
      </c>
      <c r="M1515" t="s">
        <v>47</v>
      </c>
      <c r="N1515" t="s">
        <v>84</v>
      </c>
      <c r="O1515" t="s">
        <v>28</v>
      </c>
      <c r="P1515" t="s">
        <v>31</v>
      </c>
      <c r="Q1515">
        <v>0</v>
      </c>
      <c r="R1515" t="s">
        <v>12883</v>
      </c>
      <c r="S1515" t="s">
        <v>12886</v>
      </c>
    </row>
    <row r="1516" spans="1:19" x14ac:dyDescent="0.25">
      <c r="A1516" t="s">
        <v>4199</v>
      </c>
      <c r="B1516" s="1">
        <v>45936</v>
      </c>
      <c r="C1516" t="s">
        <v>12890</v>
      </c>
      <c r="D1516" s="5">
        <v>0.76478009259259261</v>
      </c>
      <c r="E1516">
        <v>97.94</v>
      </c>
      <c r="F1516" t="s">
        <v>44</v>
      </c>
      <c r="G1516" t="s">
        <v>2805</v>
      </c>
      <c r="H1516" t="s">
        <v>57</v>
      </c>
      <c r="I1516" t="s">
        <v>47</v>
      </c>
      <c r="J1516" t="s">
        <v>4200</v>
      </c>
      <c r="K1516">
        <v>22</v>
      </c>
      <c r="L1516" t="s">
        <v>37</v>
      </c>
      <c r="M1516" t="s">
        <v>50</v>
      </c>
      <c r="N1516" t="s">
        <v>39</v>
      </c>
      <c r="O1516" t="s">
        <v>28</v>
      </c>
      <c r="P1516" t="s">
        <v>31</v>
      </c>
      <c r="Q1516">
        <v>0</v>
      </c>
      <c r="R1516" t="s">
        <v>12883</v>
      </c>
      <c r="S1516" t="s">
        <v>12892</v>
      </c>
    </row>
    <row r="1517" spans="1:19" x14ac:dyDescent="0.25">
      <c r="A1517" t="s">
        <v>1315</v>
      </c>
      <c r="B1517" s="1">
        <v>45866</v>
      </c>
      <c r="C1517" t="s">
        <v>12885</v>
      </c>
      <c r="D1517" s="5">
        <v>0.36519675925925926</v>
      </c>
      <c r="E1517">
        <v>97.92</v>
      </c>
      <c r="F1517" t="s">
        <v>44</v>
      </c>
      <c r="G1517" t="s">
        <v>1316</v>
      </c>
      <c r="H1517" t="s">
        <v>96</v>
      </c>
      <c r="I1517" t="s">
        <v>91</v>
      </c>
      <c r="J1517" t="s">
        <v>1317</v>
      </c>
      <c r="K1517">
        <v>40</v>
      </c>
      <c r="L1517" t="s">
        <v>49</v>
      </c>
      <c r="M1517" t="s">
        <v>248</v>
      </c>
      <c r="N1517" t="s">
        <v>105</v>
      </c>
      <c r="O1517" t="s">
        <v>28</v>
      </c>
      <c r="P1517" t="s">
        <v>31</v>
      </c>
      <c r="Q1517">
        <v>0</v>
      </c>
      <c r="R1517" t="s">
        <v>12883</v>
      </c>
      <c r="S1517" t="s">
        <v>12886</v>
      </c>
    </row>
    <row r="1518" spans="1:19" x14ac:dyDescent="0.25">
      <c r="A1518" t="s">
        <v>1484</v>
      </c>
      <c r="B1518" s="1">
        <v>45835</v>
      </c>
      <c r="C1518" t="s">
        <v>12888</v>
      </c>
      <c r="D1518" s="5">
        <v>0.68606481481481485</v>
      </c>
      <c r="E1518">
        <v>97.83</v>
      </c>
      <c r="F1518" t="s">
        <v>44</v>
      </c>
      <c r="G1518" t="s">
        <v>1485</v>
      </c>
      <c r="H1518" t="s">
        <v>77</v>
      </c>
      <c r="I1518" t="s">
        <v>35</v>
      </c>
      <c r="J1518" t="s">
        <v>1486</v>
      </c>
      <c r="K1518">
        <v>25</v>
      </c>
      <c r="L1518" t="s">
        <v>37</v>
      </c>
      <c r="M1518" t="s">
        <v>146</v>
      </c>
      <c r="N1518" t="s">
        <v>105</v>
      </c>
      <c r="O1518" t="s">
        <v>28</v>
      </c>
      <c r="P1518" t="s">
        <v>31</v>
      </c>
      <c r="Q1518">
        <v>0</v>
      </c>
      <c r="R1518" t="s">
        <v>12883</v>
      </c>
      <c r="S1518" t="s">
        <v>12889</v>
      </c>
    </row>
    <row r="1519" spans="1:19" x14ac:dyDescent="0.25">
      <c r="A1519" t="s">
        <v>12577</v>
      </c>
      <c r="B1519" s="1">
        <v>45900</v>
      </c>
      <c r="C1519" t="s">
        <v>12893</v>
      </c>
      <c r="D1519" s="5">
        <v>5.0497685185185187E-2</v>
      </c>
      <c r="E1519">
        <v>97.78</v>
      </c>
      <c r="F1519" t="s">
        <v>44</v>
      </c>
      <c r="G1519" t="s">
        <v>11064</v>
      </c>
      <c r="H1519" t="s">
        <v>89</v>
      </c>
      <c r="I1519" t="s">
        <v>248</v>
      </c>
      <c r="J1519" t="s">
        <v>12578</v>
      </c>
      <c r="K1519">
        <v>60</v>
      </c>
      <c r="L1519" t="s">
        <v>37</v>
      </c>
      <c r="M1519" t="s">
        <v>26</v>
      </c>
      <c r="N1519" t="s">
        <v>27</v>
      </c>
      <c r="O1519" t="s">
        <v>28</v>
      </c>
      <c r="P1519" t="s">
        <v>31</v>
      </c>
      <c r="Q1519">
        <v>0</v>
      </c>
      <c r="R1519" t="s">
        <v>12883</v>
      </c>
      <c r="S1519" t="s">
        <v>12884</v>
      </c>
    </row>
    <row r="1520" spans="1:19" x14ac:dyDescent="0.25">
      <c r="A1520" t="s">
        <v>8197</v>
      </c>
      <c r="B1520" s="1">
        <v>45847</v>
      </c>
      <c r="C1520" t="s">
        <v>12885</v>
      </c>
      <c r="D1520" s="5">
        <v>0.99266203703703704</v>
      </c>
      <c r="E1520">
        <v>97.77</v>
      </c>
      <c r="F1520" t="s">
        <v>44</v>
      </c>
      <c r="G1520" t="s">
        <v>6000</v>
      </c>
      <c r="H1520" t="s">
        <v>57</v>
      </c>
      <c r="I1520" t="s">
        <v>50</v>
      </c>
      <c r="J1520" t="s">
        <v>8198</v>
      </c>
      <c r="K1520">
        <v>44</v>
      </c>
      <c r="L1520" t="s">
        <v>25</v>
      </c>
      <c r="M1520" t="s">
        <v>91</v>
      </c>
      <c r="N1520" t="s">
        <v>39</v>
      </c>
      <c r="O1520" t="s">
        <v>28</v>
      </c>
      <c r="P1520" t="s">
        <v>31</v>
      </c>
      <c r="Q1520">
        <v>0</v>
      </c>
      <c r="R1520" t="s">
        <v>12883</v>
      </c>
      <c r="S1520" t="s">
        <v>12886</v>
      </c>
    </row>
    <row r="1521" spans="1:19" x14ac:dyDescent="0.25">
      <c r="A1521" t="s">
        <v>8214</v>
      </c>
      <c r="B1521" s="1">
        <v>45800</v>
      </c>
      <c r="C1521" t="s">
        <v>12887</v>
      </c>
      <c r="D1521" s="5">
        <v>0.6274305555555556</v>
      </c>
      <c r="E1521">
        <v>97.7</v>
      </c>
      <c r="F1521" t="s">
        <v>44</v>
      </c>
      <c r="G1521" t="s">
        <v>2966</v>
      </c>
      <c r="H1521" t="s">
        <v>96</v>
      </c>
      <c r="I1521" t="s">
        <v>38</v>
      </c>
      <c r="J1521" t="s">
        <v>8215</v>
      </c>
      <c r="K1521">
        <v>60</v>
      </c>
      <c r="L1521" t="s">
        <v>49</v>
      </c>
      <c r="M1521" t="s">
        <v>50</v>
      </c>
      <c r="N1521" t="s">
        <v>105</v>
      </c>
      <c r="O1521" t="s">
        <v>28</v>
      </c>
      <c r="P1521" t="s">
        <v>31</v>
      </c>
      <c r="Q1521">
        <v>0</v>
      </c>
      <c r="R1521" t="s">
        <v>12883</v>
      </c>
      <c r="S1521" t="s">
        <v>12884</v>
      </c>
    </row>
    <row r="1522" spans="1:19" x14ac:dyDescent="0.25">
      <c r="A1522" t="s">
        <v>10914</v>
      </c>
      <c r="B1522" s="1">
        <v>45878</v>
      </c>
      <c r="C1522" t="s">
        <v>12893</v>
      </c>
      <c r="D1522" s="5">
        <v>0.76241898148148146</v>
      </c>
      <c r="E1522">
        <v>97.56</v>
      </c>
      <c r="F1522" t="s">
        <v>44</v>
      </c>
      <c r="G1522" t="s">
        <v>2494</v>
      </c>
      <c r="H1522" t="s">
        <v>89</v>
      </c>
      <c r="I1522" t="s">
        <v>119</v>
      </c>
      <c r="J1522" t="s">
        <v>10915</v>
      </c>
      <c r="K1522">
        <v>18</v>
      </c>
      <c r="L1522" t="s">
        <v>25</v>
      </c>
      <c r="M1522" t="s">
        <v>38</v>
      </c>
      <c r="N1522" t="s">
        <v>39</v>
      </c>
      <c r="O1522" t="s">
        <v>28</v>
      </c>
      <c r="P1522" t="s">
        <v>31</v>
      </c>
      <c r="Q1522">
        <v>0</v>
      </c>
      <c r="R1522" t="s">
        <v>12883</v>
      </c>
      <c r="S1522" t="s">
        <v>12892</v>
      </c>
    </row>
    <row r="1523" spans="1:19" x14ac:dyDescent="0.25">
      <c r="A1523" t="s">
        <v>7825</v>
      </c>
      <c r="B1523" s="1">
        <v>45807</v>
      </c>
      <c r="C1523" t="s">
        <v>12887</v>
      </c>
      <c r="D1523" s="5">
        <v>0.86165509259259254</v>
      </c>
      <c r="E1523">
        <v>97.42</v>
      </c>
      <c r="F1523" t="s">
        <v>44</v>
      </c>
      <c r="G1523" t="s">
        <v>4518</v>
      </c>
      <c r="H1523" t="s">
        <v>22</v>
      </c>
      <c r="I1523" t="s">
        <v>97</v>
      </c>
      <c r="J1523" t="s">
        <v>7826</v>
      </c>
      <c r="K1523">
        <v>64</v>
      </c>
      <c r="L1523" t="s">
        <v>37</v>
      </c>
      <c r="M1523" t="s">
        <v>47</v>
      </c>
      <c r="N1523" t="s">
        <v>51</v>
      </c>
      <c r="O1523" t="s">
        <v>28</v>
      </c>
      <c r="P1523" t="s">
        <v>31</v>
      </c>
      <c r="Q1523">
        <v>0</v>
      </c>
      <c r="R1523" t="s">
        <v>12883</v>
      </c>
      <c r="S1523" t="s">
        <v>12884</v>
      </c>
    </row>
    <row r="1524" spans="1:19" x14ac:dyDescent="0.25">
      <c r="A1524" t="s">
        <v>12518</v>
      </c>
      <c r="B1524" s="1">
        <v>45913</v>
      </c>
      <c r="C1524" t="s">
        <v>12882</v>
      </c>
      <c r="D1524" s="5">
        <v>0.48152777777777778</v>
      </c>
      <c r="E1524">
        <v>97.39</v>
      </c>
      <c r="F1524" t="s">
        <v>44</v>
      </c>
      <c r="G1524" t="s">
        <v>4504</v>
      </c>
      <c r="H1524" t="s">
        <v>124</v>
      </c>
      <c r="I1524" t="s">
        <v>146</v>
      </c>
      <c r="J1524" t="s">
        <v>12519</v>
      </c>
      <c r="K1524">
        <v>67</v>
      </c>
      <c r="L1524" t="s">
        <v>25</v>
      </c>
      <c r="M1524" t="s">
        <v>50</v>
      </c>
      <c r="N1524" t="s">
        <v>105</v>
      </c>
      <c r="O1524" t="s">
        <v>28</v>
      </c>
      <c r="P1524" t="s">
        <v>31</v>
      </c>
      <c r="Q1524">
        <v>0</v>
      </c>
      <c r="R1524" t="s">
        <v>12883</v>
      </c>
      <c r="S1524" t="s">
        <v>12884</v>
      </c>
    </row>
    <row r="1525" spans="1:19" x14ac:dyDescent="0.25">
      <c r="A1525" t="s">
        <v>1119</v>
      </c>
      <c r="B1525" s="1">
        <v>45783</v>
      </c>
      <c r="C1525" t="s">
        <v>12887</v>
      </c>
      <c r="D1525" s="5">
        <v>0.41494212962962962</v>
      </c>
      <c r="E1525">
        <v>97.36</v>
      </c>
      <c r="F1525" t="s">
        <v>44</v>
      </c>
      <c r="G1525" t="s">
        <v>1120</v>
      </c>
      <c r="H1525" t="s">
        <v>34</v>
      </c>
      <c r="I1525" t="s">
        <v>119</v>
      </c>
      <c r="J1525" t="s">
        <v>1121</v>
      </c>
      <c r="K1525">
        <v>26</v>
      </c>
      <c r="L1525" t="s">
        <v>49</v>
      </c>
      <c r="M1525" t="s">
        <v>66</v>
      </c>
      <c r="N1525" t="s">
        <v>39</v>
      </c>
      <c r="O1525" t="s">
        <v>28</v>
      </c>
      <c r="P1525" t="s">
        <v>31</v>
      </c>
      <c r="Q1525">
        <v>0</v>
      </c>
      <c r="R1525" t="s">
        <v>12883</v>
      </c>
      <c r="S1525" t="s">
        <v>12889</v>
      </c>
    </row>
    <row r="1526" spans="1:19" x14ac:dyDescent="0.25">
      <c r="A1526" t="s">
        <v>3220</v>
      </c>
      <c r="B1526" s="1">
        <v>45832</v>
      </c>
      <c r="C1526" t="s">
        <v>12888</v>
      </c>
      <c r="D1526" s="5">
        <v>2.6678240740740742E-2</v>
      </c>
      <c r="E1526">
        <v>97.29</v>
      </c>
      <c r="F1526" t="s">
        <v>44</v>
      </c>
      <c r="G1526" t="s">
        <v>2654</v>
      </c>
      <c r="H1526" t="s">
        <v>57</v>
      </c>
      <c r="I1526" t="s">
        <v>97</v>
      </c>
      <c r="J1526" t="s">
        <v>3221</v>
      </c>
      <c r="K1526">
        <v>39</v>
      </c>
      <c r="L1526" t="s">
        <v>37</v>
      </c>
      <c r="M1526" t="s">
        <v>58</v>
      </c>
      <c r="N1526" t="s">
        <v>105</v>
      </c>
      <c r="O1526" t="s">
        <v>28</v>
      </c>
      <c r="P1526" t="s">
        <v>31</v>
      </c>
      <c r="Q1526">
        <v>0</v>
      </c>
      <c r="R1526" t="s">
        <v>12883</v>
      </c>
      <c r="S1526" t="s">
        <v>12889</v>
      </c>
    </row>
    <row r="1527" spans="1:19" x14ac:dyDescent="0.25">
      <c r="A1527" t="s">
        <v>7076</v>
      </c>
      <c r="B1527" s="1">
        <v>45906</v>
      </c>
      <c r="C1527" t="s">
        <v>12882</v>
      </c>
      <c r="D1527" s="5">
        <v>0.71511574074074069</v>
      </c>
      <c r="E1527">
        <v>97.22</v>
      </c>
      <c r="F1527" t="s">
        <v>44</v>
      </c>
      <c r="G1527" t="s">
        <v>472</v>
      </c>
      <c r="H1527" t="s">
        <v>96</v>
      </c>
      <c r="I1527" t="s">
        <v>130</v>
      </c>
      <c r="J1527" t="s">
        <v>7077</v>
      </c>
      <c r="K1527">
        <v>75</v>
      </c>
      <c r="L1527" t="s">
        <v>25</v>
      </c>
      <c r="M1527" t="s">
        <v>248</v>
      </c>
      <c r="N1527" t="s">
        <v>27</v>
      </c>
      <c r="O1527" t="s">
        <v>28</v>
      </c>
      <c r="P1527" t="s">
        <v>31</v>
      </c>
      <c r="Q1527">
        <v>0</v>
      </c>
      <c r="R1527" t="s">
        <v>12883</v>
      </c>
      <c r="S1527" t="s">
        <v>12884</v>
      </c>
    </row>
    <row r="1528" spans="1:19" x14ac:dyDescent="0.25">
      <c r="A1528" t="s">
        <v>6771</v>
      </c>
      <c r="B1528" s="1">
        <v>45880</v>
      </c>
      <c r="C1528" t="s">
        <v>12893</v>
      </c>
      <c r="D1528" s="5">
        <v>0.60692129629629632</v>
      </c>
      <c r="E1528">
        <v>97.18</v>
      </c>
      <c r="F1528" t="s">
        <v>44</v>
      </c>
      <c r="G1528" t="s">
        <v>6772</v>
      </c>
      <c r="H1528" t="s">
        <v>64</v>
      </c>
      <c r="I1528" t="s">
        <v>248</v>
      </c>
      <c r="J1528" t="s">
        <v>6773</v>
      </c>
      <c r="K1528">
        <v>45</v>
      </c>
      <c r="L1528" t="s">
        <v>25</v>
      </c>
      <c r="M1528" t="s">
        <v>130</v>
      </c>
      <c r="N1528" t="s">
        <v>105</v>
      </c>
      <c r="O1528" t="s">
        <v>28</v>
      </c>
      <c r="P1528" t="s">
        <v>31</v>
      </c>
      <c r="Q1528">
        <v>0</v>
      </c>
      <c r="R1528" t="s">
        <v>12883</v>
      </c>
      <c r="S1528" t="s">
        <v>12886</v>
      </c>
    </row>
    <row r="1529" spans="1:19" x14ac:dyDescent="0.25">
      <c r="A1529" t="s">
        <v>4283</v>
      </c>
      <c r="B1529" s="1">
        <v>45851</v>
      </c>
      <c r="C1529" t="s">
        <v>12885</v>
      </c>
      <c r="D1529" s="5">
        <v>0.99159722222222224</v>
      </c>
      <c r="E1529">
        <v>97.12</v>
      </c>
      <c r="F1529" t="s">
        <v>44</v>
      </c>
      <c r="G1529" t="s">
        <v>4284</v>
      </c>
      <c r="H1529" t="s">
        <v>77</v>
      </c>
      <c r="I1529" t="s">
        <v>110</v>
      </c>
      <c r="J1529" t="s">
        <v>4285</v>
      </c>
      <c r="K1529">
        <v>45</v>
      </c>
      <c r="L1529" t="s">
        <v>49</v>
      </c>
      <c r="M1529" t="s">
        <v>110</v>
      </c>
      <c r="N1529" t="s">
        <v>84</v>
      </c>
      <c r="O1529" t="s">
        <v>113</v>
      </c>
      <c r="P1529" t="s">
        <v>31</v>
      </c>
      <c r="Q1529">
        <v>0</v>
      </c>
      <c r="R1529" t="s">
        <v>12883</v>
      </c>
      <c r="S1529" t="s">
        <v>12886</v>
      </c>
    </row>
    <row r="1530" spans="1:19" x14ac:dyDescent="0.25">
      <c r="A1530" t="s">
        <v>12421</v>
      </c>
      <c r="B1530" s="1">
        <v>45793</v>
      </c>
      <c r="C1530" t="s">
        <v>12887</v>
      </c>
      <c r="D1530" s="5">
        <v>0.88730324074074074</v>
      </c>
      <c r="E1530">
        <v>96.93</v>
      </c>
      <c r="F1530" t="s">
        <v>44</v>
      </c>
      <c r="G1530" t="s">
        <v>1012</v>
      </c>
      <c r="H1530" t="s">
        <v>96</v>
      </c>
      <c r="I1530" t="s">
        <v>38</v>
      </c>
      <c r="J1530" t="s">
        <v>12422</v>
      </c>
      <c r="K1530">
        <v>23</v>
      </c>
      <c r="L1530" t="s">
        <v>49</v>
      </c>
      <c r="M1530" t="s">
        <v>110</v>
      </c>
      <c r="N1530" t="s">
        <v>112</v>
      </c>
      <c r="O1530" t="s">
        <v>28</v>
      </c>
      <c r="P1530" t="s">
        <v>31</v>
      </c>
      <c r="Q1530">
        <v>1</v>
      </c>
      <c r="R1530" t="s">
        <v>12891</v>
      </c>
      <c r="S1530" t="s">
        <v>12892</v>
      </c>
    </row>
    <row r="1531" spans="1:19" x14ac:dyDescent="0.25">
      <c r="A1531" t="s">
        <v>7568</v>
      </c>
      <c r="B1531" s="1">
        <v>45920</v>
      </c>
      <c r="C1531" t="s">
        <v>12882</v>
      </c>
      <c r="D1531" s="5">
        <v>0.19850694444444444</v>
      </c>
      <c r="E1531">
        <v>96.8</v>
      </c>
      <c r="F1531" t="s">
        <v>44</v>
      </c>
      <c r="G1531" t="s">
        <v>333</v>
      </c>
      <c r="H1531" t="s">
        <v>46</v>
      </c>
      <c r="I1531" t="s">
        <v>38</v>
      </c>
      <c r="J1531" t="s">
        <v>7569</v>
      </c>
      <c r="K1531">
        <v>73</v>
      </c>
      <c r="L1531" t="s">
        <v>37</v>
      </c>
      <c r="M1531" t="s">
        <v>26</v>
      </c>
      <c r="N1531" t="s">
        <v>51</v>
      </c>
      <c r="O1531" t="s">
        <v>28</v>
      </c>
      <c r="P1531" t="s">
        <v>31</v>
      </c>
      <c r="Q1531">
        <v>0</v>
      </c>
      <c r="R1531" t="s">
        <v>12883</v>
      </c>
      <c r="S1531" t="s">
        <v>12884</v>
      </c>
    </row>
    <row r="1532" spans="1:19" x14ac:dyDescent="0.25">
      <c r="A1532" t="s">
        <v>9163</v>
      </c>
      <c r="B1532" s="1">
        <v>45918</v>
      </c>
      <c r="C1532" t="s">
        <v>12882</v>
      </c>
      <c r="D1532" s="5">
        <v>0.26799768518518519</v>
      </c>
      <c r="E1532">
        <v>96.76</v>
      </c>
      <c r="F1532" t="s">
        <v>44</v>
      </c>
      <c r="G1532" t="s">
        <v>8430</v>
      </c>
      <c r="H1532" t="s">
        <v>34</v>
      </c>
      <c r="I1532" t="s">
        <v>66</v>
      </c>
      <c r="J1532" t="s">
        <v>9164</v>
      </c>
      <c r="K1532">
        <v>117</v>
      </c>
      <c r="L1532" t="s">
        <v>49</v>
      </c>
      <c r="M1532" t="s">
        <v>23</v>
      </c>
      <c r="N1532" t="s">
        <v>105</v>
      </c>
      <c r="O1532" t="s">
        <v>28</v>
      </c>
      <c r="P1532" t="s">
        <v>31</v>
      </c>
      <c r="Q1532">
        <v>0</v>
      </c>
      <c r="R1532" t="s">
        <v>12883</v>
      </c>
      <c r="S1532" t="s">
        <v>12884</v>
      </c>
    </row>
    <row r="1533" spans="1:19" x14ac:dyDescent="0.25">
      <c r="A1533" t="s">
        <v>8282</v>
      </c>
      <c r="B1533" s="1">
        <v>45950</v>
      </c>
      <c r="C1533" t="s">
        <v>12890</v>
      </c>
      <c r="D1533" s="5">
        <v>0.96299768518518514</v>
      </c>
      <c r="E1533">
        <v>96.71</v>
      </c>
      <c r="F1533" t="s">
        <v>44</v>
      </c>
      <c r="G1533" t="s">
        <v>2680</v>
      </c>
      <c r="H1533" t="s">
        <v>124</v>
      </c>
      <c r="I1533" t="s">
        <v>47</v>
      </c>
      <c r="J1533" t="s">
        <v>8283</v>
      </c>
      <c r="K1533">
        <v>26</v>
      </c>
      <c r="L1533" t="s">
        <v>25</v>
      </c>
      <c r="M1533" t="s">
        <v>119</v>
      </c>
      <c r="N1533" t="s">
        <v>51</v>
      </c>
      <c r="O1533" t="s">
        <v>28</v>
      </c>
      <c r="P1533" t="s">
        <v>31</v>
      </c>
      <c r="Q1533">
        <v>0</v>
      </c>
      <c r="R1533" t="s">
        <v>12883</v>
      </c>
      <c r="S1533" t="s">
        <v>12889</v>
      </c>
    </row>
    <row r="1534" spans="1:19" x14ac:dyDescent="0.25">
      <c r="A1534" t="s">
        <v>1845</v>
      </c>
      <c r="B1534" s="1">
        <v>45910</v>
      </c>
      <c r="C1534" t="s">
        <v>12882</v>
      </c>
      <c r="D1534" s="5">
        <v>0.41173611111111114</v>
      </c>
      <c r="E1534">
        <v>96.6</v>
      </c>
      <c r="F1534" t="s">
        <v>44</v>
      </c>
      <c r="G1534" t="s">
        <v>1846</v>
      </c>
      <c r="H1534" t="s">
        <v>46</v>
      </c>
      <c r="I1534" t="s">
        <v>130</v>
      </c>
      <c r="J1534" t="s">
        <v>1847</v>
      </c>
      <c r="K1534">
        <v>48</v>
      </c>
      <c r="L1534" t="s">
        <v>25</v>
      </c>
      <c r="M1534" t="s">
        <v>47</v>
      </c>
      <c r="N1534" t="s">
        <v>27</v>
      </c>
      <c r="O1534" t="s">
        <v>28</v>
      </c>
      <c r="P1534" t="s">
        <v>31</v>
      </c>
      <c r="Q1534">
        <v>0</v>
      </c>
      <c r="R1534" t="s">
        <v>12883</v>
      </c>
      <c r="S1534" t="s">
        <v>12886</v>
      </c>
    </row>
    <row r="1535" spans="1:19" x14ac:dyDescent="0.25">
      <c r="A1535" t="s">
        <v>4513</v>
      </c>
      <c r="B1535" s="1">
        <v>45822</v>
      </c>
      <c r="C1535" t="s">
        <v>12888</v>
      </c>
      <c r="D1535" s="5">
        <v>3.4965277777777776E-2</v>
      </c>
      <c r="E1535">
        <v>96.59</v>
      </c>
      <c r="F1535" t="s">
        <v>44</v>
      </c>
      <c r="G1535" t="s">
        <v>2721</v>
      </c>
      <c r="H1535" t="s">
        <v>34</v>
      </c>
      <c r="I1535" t="s">
        <v>38</v>
      </c>
      <c r="J1535" t="s">
        <v>4514</v>
      </c>
      <c r="K1535">
        <v>59</v>
      </c>
      <c r="L1535" t="s">
        <v>25</v>
      </c>
      <c r="M1535" t="s">
        <v>130</v>
      </c>
      <c r="N1535" t="s">
        <v>112</v>
      </c>
      <c r="O1535" t="s">
        <v>28</v>
      </c>
      <c r="P1535" t="s">
        <v>31</v>
      </c>
      <c r="Q1535">
        <v>0</v>
      </c>
      <c r="R1535" t="s">
        <v>12883</v>
      </c>
      <c r="S1535" t="s">
        <v>12886</v>
      </c>
    </row>
    <row r="1536" spans="1:19" x14ac:dyDescent="0.25">
      <c r="A1536" t="s">
        <v>12776</v>
      </c>
      <c r="B1536" s="1">
        <v>45917</v>
      </c>
      <c r="C1536" t="s">
        <v>12882</v>
      </c>
      <c r="D1536" s="5">
        <v>0.4710300925925926</v>
      </c>
      <c r="E1536">
        <v>96.54</v>
      </c>
      <c r="F1536" t="s">
        <v>44</v>
      </c>
      <c r="G1536" t="s">
        <v>5335</v>
      </c>
      <c r="H1536" t="s">
        <v>64</v>
      </c>
      <c r="I1536" t="s">
        <v>91</v>
      </c>
      <c r="J1536" t="s">
        <v>12777</v>
      </c>
      <c r="K1536">
        <v>28</v>
      </c>
      <c r="L1536" t="s">
        <v>49</v>
      </c>
      <c r="M1536" t="s">
        <v>23</v>
      </c>
      <c r="N1536" t="s">
        <v>105</v>
      </c>
      <c r="O1536" t="s">
        <v>28</v>
      </c>
      <c r="P1536" t="s">
        <v>31</v>
      </c>
      <c r="Q1536">
        <v>0</v>
      </c>
      <c r="R1536" t="s">
        <v>12883</v>
      </c>
      <c r="S1536" t="s">
        <v>12889</v>
      </c>
    </row>
    <row r="1537" spans="1:19" x14ac:dyDescent="0.25">
      <c r="A1537" t="s">
        <v>3707</v>
      </c>
      <c r="B1537" s="1">
        <v>45819</v>
      </c>
      <c r="C1537" t="s">
        <v>12888</v>
      </c>
      <c r="D1537" s="5">
        <v>0.28255787037037039</v>
      </c>
      <c r="E1537">
        <v>96.41</v>
      </c>
      <c r="F1537" t="s">
        <v>44</v>
      </c>
      <c r="G1537" t="s">
        <v>3708</v>
      </c>
      <c r="H1537" t="s">
        <v>77</v>
      </c>
      <c r="I1537" t="s">
        <v>97</v>
      </c>
      <c r="J1537" t="s">
        <v>3709</v>
      </c>
      <c r="K1537">
        <v>35</v>
      </c>
      <c r="L1537" t="s">
        <v>25</v>
      </c>
      <c r="M1537" t="s">
        <v>66</v>
      </c>
      <c r="N1537" t="s">
        <v>105</v>
      </c>
      <c r="O1537" t="s">
        <v>28</v>
      </c>
      <c r="P1537" t="s">
        <v>31</v>
      </c>
      <c r="Q1537">
        <v>0</v>
      </c>
      <c r="R1537" t="s">
        <v>12883</v>
      </c>
      <c r="S1537" t="s">
        <v>12889</v>
      </c>
    </row>
    <row r="1538" spans="1:19" x14ac:dyDescent="0.25">
      <c r="A1538" t="s">
        <v>8318</v>
      </c>
      <c r="B1538" s="1">
        <v>45906</v>
      </c>
      <c r="C1538" t="s">
        <v>12882</v>
      </c>
      <c r="D1538" s="5">
        <v>0.72315972222222225</v>
      </c>
      <c r="E1538">
        <v>96.36</v>
      </c>
      <c r="F1538" t="s">
        <v>44</v>
      </c>
      <c r="G1538" t="s">
        <v>3960</v>
      </c>
      <c r="H1538" t="s">
        <v>34</v>
      </c>
      <c r="I1538" t="s">
        <v>91</v>
      </c>
      <c r="J1538" t="s">
        <v>8319</v>
      </c>
      <c r="K1538">
        <v>26</v>
      </c>
      <c r="L1538" t="s">
        <v>37</v>
      </c>
      <c r="M1538" t="s">
        <v>110</v>
      </c>
      <c r="N1538" t="s">
        <v>105</v>
      </c>
      <c r="O1538" t="s">
        <v>28</v>
      </c>
      <c r="P1538" t="s">
        <v>31</v>
      </c>
      <c r="Q1538">
        <v>0</v>
      </c>
      <c r="R1538" t="s">
        <v>12883</v>
      </c>
      <c r="S1538" t="s">
        <v>12889</v>
      </c>
    </row>
    <row r="1539" spans="1:19" x14ac:dyDescent="0.25">
      <c r="A1539" t="s">
        <v>10738</v>
      </c>
      <c r="B1539" s="1">
        <v>45851</v>
      </c>
      <c r="C1539" t="s">
        <v>12885</v>
      </c>
      <c r="D1539" s="5">
        <v>0.66328703703703706</v>
      </c>
      <c r="E1539">
        <v>96.3</v>
      </c>
      <c r="F1539" t="s">
        <v>44</v>
      </c>
      <c r="G1539" t="s">
        <v>5858</v>
      </c>
      <c r="H1539" t="s">
        <v>89</v>
      </c>
      <c r="I1539" t="s">
        <v>66</v>
      </c>
      <c r="J1539" t="s">
        <v>10739</v>
      </c>
      <c r="K1539">
        <v>49</v>
      </c>
      <c r="L1539" t="s">
        <v>49</v>
      </c>
      <c r="M1539" t="s">
        <v>23</v>
      </c>
      <c r="N1539" t="s">
        <v>84</v>
      </c>
      <c r="O1539" t="s">
        <v>28</v>
      </c>
      <c r="P1539" t="s">
        <v>31</v>
      </c>
      <c r="Q1539">
        <v>0</v>
      </c>
      <c r="R1539" t="s">
        <v>12883</v>
      </c>
      <c r="S1539" t="s">
        <v>12886</v>
      </c>
    </row>
    <row r="1540" spans="1:19" x14ac:dyDescent="0.25">
      <c r="A1540" t="s">
        <v>11411</v>
      </c>
      <c r="B1540" s="1">
        <v>45811</v>
      </c>
      <c r="C1540" t="s">
        <v>12888</v>
      </c>
      <c r="D1540" s="5">
        <v>0.65892361111111108</v>
      </c>
      <c r="E1540">
        <v>96.08</v>
      </c>
      <c r="F1540" t="s">
        <v>44</v>
      </c>
      <c r="G1540" t="s">
        <v>399</v>
      </c>
      <c r="H1540" t="s">
        <v>57</v>
      </c>
      <c r="I1540" t="s">
        <v>47</v>
      </c>
      <c r="J1540" t="s">
        <v>11412</v>
      </c>
      <c r="K1540">
        <v>23</v>
      </c>
      <c r="L1540" t="s">
        <v>37</v>
      </c>
      <c r="M1540" t="s">
        <v>130</v>
      </c>
      <c r="N1540" t="s">
        <v>27</v>
      </c>
      <c r="O1540" t="s">
        <v>28</v>
      </c>
      <c r="P1540" t="s">
        <v>31</v>
      </c>
      <c r="Q1540">
        <v>0</v>
      </c>
      <c r="R1540" t="s">
        <v>12883</v>
      </c>
      <c r="S1540" t="s">
        <v>12892</v>
      </c>
    </row>
    <row r="1541" spans="1:19" x14ac:dyDescent="0.25">
      <c r="A1541" t="s">
        <v>5954</v>
      </c>
      <c r="B1541" s="1">
        <v>45803</v>
      </c>
      <c r="C1541" t="s">
        <v>12887</v>
      </c>
      <c r="D1541" s="5">
        <v>0.33901620370370372</v>
      </c>
      <c r="E1541">
        <v>96.01</v>
      </c>
      <c r="F1541" t="s">
        <v>44</v>
      </c>
      <c r="G1541" t="s">
        <v>5858</v>
      </c>
      <c r="H1541" t="s">
        <v>57</v>
      </c>
      <c r="I1541" t="s">
        <v>66</v>
      </c>
      <c r="J1541" t="s">
        <v>5955</v>
      </c>
      <c r="K1541">
        <v>22</v>
      </c>
      <c r="L1541" t="s">
        <v>49</v>
      </c>
      <c r="M1541" t="s">
        <v>58</v>
      </c>
      <c r="N1541" t="s">
        <v>112</v>
      </c>
      <c r="O1541" t="s">
        <v>28</v>
      </c>
      <c r="P1541" t="s">
        <v>31</v>
      </c>
      <c r="Q1541">
        <v>0</v>
      </c>
      <c r="R1541" t="s">
        <v>12883</v>
      </c>
      <c r="S1541" t="s">
        <v>12892</v>
      </c>
    </row>
    <row r="1542" spans="1:19" x14ac:dyDescent="0.25">
      <c r="A1542" t="s">
        <v>4621</v>
      </c>
      <c r="B1542" s="1">
        <v>45830</v>
      </c>
      <c r="C1542" t="s">
        <v>12888</v>
      </c>
      <c r="D1542" s="5">
        <v>0.10888888888888888</v>
      </c>
      <c r="E1542">
        <v>95.88</v>
      </c>
      <c r="F1542" t="s">
        <v>44</v>
      </c>
      <c r="G1542" t="s">
        <v>4622</v>
      </c>
      <c r="H1542" t="s">
        <v>77</v>
      </c>
      <c r="I1542" t="s">
        <v>47</v>
      </c>
      <c r="J1542" t="s">
        <v>4623</v>
      </c>
      <c r="K1542">
        <v>32</v>
      </c>
      <c r="L1542" t="s">
        <v>25</v>
      </c>
      <c r="M1542" t="s">
        <v>38</v>
      </c>
      <c r="N1542" t="s">
        <v>84</v>
      </c>
      <c r="O1542" t="s">
        <v>28</v>
      </c>
      <c r="P1542" t="s">
        <v>31</v>
      </c>
      <c r="Q1542">
        <v>0</v>
      </c>
      <c r="R1542" t="s">
        <v>12883</v>
      </c>
      <c r="S1542" t="s">
        <v>12889</v>
      </c>
    </row>
    <row r="1543" spans="1:19" x14ac:dyDescent="0.25">
      <c r="A1543" t="s">
        <v>5700</v>
      </c>
      <c r="B1543" s="1">
        <v>45806</v>
      </c>
      <c r="C1543" t="s">
        <v>12887</v>
      </c>
      <c r="D1543" s="5">
        <v>4.7002314814814816E-2</v>
      </c>
      <c r="E1543">
        <v>95.81</v>
      </c>
      <c r="F1543" t="s">
        <v>44</v>
      </c>
      <c r="G1543" t="s">
        <v>4067</v>
      </c>
      <c r="H1543" t="s">
        <v>34</v>
      </c>
      <c r="I1543" t="s">
        <v>130</v>
      </c>
      <c r="J1543" t="s">
        <v>5701</v>
      </c>
      <c r="K1543">
        <v>22</v>
      </c>
      <c r="L1543" t="s">
        <v>25</v>
      </c>
      <c r="M1543" t="s">
        <v>58</v>
      </c>
      <c r="N1543" t="s">
        <v>112</v>
      </c>
      <c r="O1543" t="s">
        <v>28</v>
      </c>
      <c r="P1543" t="s">
        <v>31</v>
      </c>
      <c r="Q1543">
        <v>0</v>
      </c>
      <c r="R1543" t="s">
        <v>12883</v>
      </c>
      <c r="S1543" t="s">
        <v>12892</v>
      </c>
    </row>
    <row r="1544" spans="1:19" x14ac:dyDescent="0.25">
      <c r="A1544" t="s">
        <v>9526</v>
      </c>
      <c r="B1544" s="1">
        <v>45786</v>
      </c>
      <c r="C1544" t="s">
        <v>12887</v>
      </c>
      <c r="D1544" s="5">
        <v>0.31540509259259258</v>
      </c>
      <c r="E1544">
        <v>95.78</v>
      </c>
      <c r="F1544" t="s">
        <v>44</v>
      </c>
      <c r="G1544" t="s">
        <v>4329</v>
      </c>
      <c r="H1544" t="s">
        <v>64</v>
      </c>
      <c r="I1544" t="s">
        <v>110</v>
      </c>
      <c r="J1544" t="s">
        <v>9527</v>
      </c>
      <c r="K1544">
        <v>57</v>
      </c>
      <c r="L1544" t="s">
        <v>25</v>
      </c>
      <c r="M1544" t="s">
        <v>130</v>
      </c>
      <c r="N1544" t="s">
        <v>39</v>
      </c>
      <c r="O1544" t="s">
        <v>28</v>
      </c>
      <c r="P1544" t="s">
        <v>31</v>
      </c>
      <c r="Q1544">
        <v>0</v>
      </c>
      <c r="R1544" t="s">
        <v>12883</v>
      </c>
      <c r="S1544" t="s">
        <v>12886</v>
      </c>
    </row>
    <row r="1545" spans="1:19" x14ac:dyDescent="0.25">
      <c r="A1545" t="s">
        <v>4609</v>
      </c>
      <c r="B1545" s="1">
        <v>45855</v>
      </c>
      <c r="C1545" t="s">
        <v>12885</v>
      </c>
      <c r="D1545" s="5">
        <v>0.229375</v>
      </c>
      <c r="E1545">
        <v>95.6</v>
      </c>
      <c r="F1545" t="s">
        <v>44</v>
      </c>
      <c r="G1545" t="s">
        <v>978</v>
      </c>
      <c r="H1545" t="s">
        <v>57</v>
      </c>
      <c r="I1545" t="s">
        <v>97</v>
      </c>
      <c r="J1545" t="s">
        <v>4610</v>
      </c>
      <c r="K1545">
        <v>37</v>
      </c>
      <c r="L1545" t="s">
        <v>37</v>
      </c>
      <c r="M1545" t="s">
        <v>58</v>
      </c>
      <c r="N1545" t="s">
        <v>84</v>
      </c>
      <c r="O1545" t="s">
        <v>28</v>
      </c>
      <c r="P1545" t="s">
        <v>31</v>
      </c>
      <c r="Q1545">
        <v>0</v>
      </c>
      <c r="R1545" t="s">
        <v>12883</v>
      </c>
      <c r="S1545" t="s">
        <v>12889</v>
      </c>
    </row>
    <row r="1546" spans="1:19" x14ac:dyDescent="0.25">
      <c r="A1546" t="s">
        <v>5151</v>
      </c>
      <c r="B1546" s="1">
        <v>45924</v>
      </c>
      <c r="C1546" t="s">
        <v>12882</v>
      </c>
      <c r="D1546" s="5">
        <v>0.78255787037037039</v>
      </c>
      <c r="E1546">
        <v>95.56</v>
      </c>
      <c r="F1546" t="s">
        <v>44</v>
      </c>
      <c r="G1546" t="s">
        <v>5152</v>
      </c>
      <c r="H1546" t="s">
        <v>89</v>
      </c>
      <c r="I1546" t="s">
        <v>130</v>
      </c>
      <c r="J1546" t="s">
        <v>5153</v>
      </c>
      <c r="K1546">
        <v>18</v>
      </c>
      <c r="L1546" t="s">
        <v>37</v>
      </c>
      <c r="M1546" t="s">
        <v>66</v>
      </c>
      <c r="N1546" t="s">
        <v>39</v>
      </c>
      <c r="O1546" t="s">
        <v>28</v>
      </c>
      <c r="P1546" t="s">
        <v>31</v>
      </c>
      <c r="Q1546">
        <v>0</v>
      </c>
      <c r="R1546" t="s">
        <v>12883</v>
      </c>
      <c r="S1546" t="s">
        <v>12892</v>
      </c>
    </row>
    <row r="1547" spans="1:19" x14ac:dyDescent="0.25">
      <c r="A1547" t="s">
        <v>5684</v>
      </c>
      <c r="B1547" s="1">
        <v>45935</v>
      </c>
      <c r="C1547" t="s">
        <v>12890</v>
      </c>
      <c r="D1547" s="5">
        <v>0.34789351851851852</v>
      </c>
      <c r="E1547">
        <v>95.54</v>
      </c>
      <c r="F1547" t="s">
        <v>44</v>
      </c>
      <c r="G1547" t="s">
        <v>88</v>
      </c>
      <c r="H1547" t="s">
        <v>22</v>
      </c>
      <c r="I1547" t="s">
        <v>91</v>
      </c>
      <c r="J1547" t="s">
        <v>5685</v>
      </c>
      <c r="K1547">
        <v>22</v>
      </c>
      <c r="L1547" t="s">
        <v>25</v>
      </c>
      <c r="M1547" t="s">
        <v>248</v>
      </c>
      <c r="N1547" t="s">
        <v>112</v>
      </c>
      <c r="O1547" t="s">
        <v>28</v>
      </c>
      <c r="P1547" t="s">
        <v>31</v>
      </c>
      <c r="Q1547">
        <v>0</v>
      </c>
      <c r="R1547" t="s">
        <v>12883</v>
      </c>
      <c r="S1547" t="s">
        <v>12892</v>
      </c>
    </row>
    <row r="1548" spans="1:19" x14ac:dyDescent="0.25">
      <c r="A1548" t="s">
        <v>9827</v>
      </c>
      <c r="B1548" s="1">
        <v>45788</v>
      </c>
      <c r="C1548" t="s">
        <v>12887</v>
      </c>
      <c r="D1548" s="5">
        <v>0.34671296296296295</v>
      </c>
      <c r="E1548">
        <v>95.5</v>
      </c>
      <c r="F1548" t="s">
        <v>44</v>
      </c>
      <c r="G1548" t="s">
        <v>1321</v>
      </c>
      <c r="H1548" t="s">
        <v>64</v>
      </c>
      <c r="I1548" t="s">
        <v>130</v>
      </c>
      <c r="J1548" t="s">
        <v>9828</v>
      </c>
      <c r="K1548">
        <v>57</v>
      </c>
      <c r="L1548" t="s">
        <v>25</v>
      </c>
      <c r="M1548" t="s">
        <v>66</v>
      </c>
      <c r="N1548" t="s">
        <v>27</v>
      </c>
      <c r="O1548" t="s">
        <v>28</v>
      </c>
      <c r="P1548" t="s">
        <v>31</v>
      </c>
      <c r="Q1548">
        <v>0</v>
      </c>
      <c r="R1548" t="s">
        <v>12883</v>
      </c>
      <c r="S1548" t="s">
        <v>12886</v>
      </c>
    </row>
    <row r="1549" spans="1:19" x14ac:dyDescent="0.25">
      <c r="A1549" t="s">
        <v>3021</v>
      </c>
      <c r="B1549" s="1">
        <v>45937</v>
      </c>
      <c r="C1549" t="s">
        <v>12890</v>
      </c>
      <c r="D1549" s="5">
        <v>0.91541666666666666</v>
      </c>
      <c r="E1549">
        <v>95.48</v>
      </c>
      <c r="F1549" t="s">
        <v>44</v>
      </c>
      <c r="G1549" t="s">
        <v>109</v>
      </c>
      <c r="H1549" t="s">
        <v>71</v>
      </c>
      <c r="I1549" t="s">
        <v>110</v>
      </c>
      <c r="J1549" t="s">
        <v>3022</v>
      </c>
      <c r="K1549">
        <v>61</v>
      </c>
      <c r="L1549" t="s">
        <v>49</v>
      </c>
      <c r="M1549" t="s">
        <v>66</v>
      </c>
      <c r="N1549" t="s">
        <v>39</v>
      </c>
      <c r="O1549" t="s">
        <v>28</v>
      </c>
      <c r="P1549" t="s">
        <v>31</v>
      </c>
      <c r="Q1549">
        <v>0</v>
      </c>
      <c r="R1549" t="s">
        <v>12883</v>
      </c>
      <c r="S1549" t="s">
        <v>12884</v>
      </c>
    </row>
    <row r="1550" spans="1:19" x14ac:dyDescent="0.25">
      <c r="A1550" t="s">
        <v>7541</v>
      </c>
      <c r="B1550" s="1">
        <v>45959</v>
      </c>
      <c r="C1550" t="s">
        <v>12890</v>
      </c>
      <c r="D1550" s="5">
        <v>0.93509259259259259</v>
      </c>
      <c r="E1550">
        <v>95.44</v>
      </c>
      <c r="F1550" t="s">
        <v>44</v>
      </c>
      <c r="G1550" t="s">
        <v>581</v>
      </c>
      <c r="H1550" t="s">
        <v>46</v>
      </c>
      <c r="I1550" t="s">
        <v>130</v>
      </c>
      <c r="J1550" t="s">
        <v>7542</v>
      </c>
      <c r="K1550">
        <v>66</v>
      </c>
      <c r="L1550" t="s">
        <v>49</v>
      </c>
      <c r="M1550" t="s">
        <v>91</v>
      </c>
      <c r="N1550" t="s">
        <v>39</v>
      </c>
      <c r="O1550" t="s">
        <v>28</v>
      </c>
      <c r="P1550" t="s">
        <v>31</v>
      </c>
      <c r="Q1550">
        <v>0</v>
      </c>
      <c r="R1550" t="s">
        <v>12883</v>
      </c>
      <c r="S1550" t="s">
        <v>12884</v>
      </c>
    </row>
    <row r="1551" spans="1:19" x14ac:dyDescent="0.25">
      <c r="A1551" t="s">
        <v>11955</v>
      </c>
      <c r="B1551" s="1">
        <v>45888</v>
      </c>
      <c r="C1551" t="s">
        <v>12893</v>
      </c>
      <c r="D1551" s="5">
        <v>0.67827546296296293</v>
      </c>
      <c r="E1551">
        <v>95.44</v>
      </c>
      <c r="F1551" t="s">
        <v>44</v>
      </c>
      <c r="G1551" t="s">
        <v>1403</v>
      </c>
      <c r="H1551" t="s">
        <v>71</v>
      </c>
      <c r="I1551" t="s">
        <v>97</v>
      </c>
      <c r="J1551" t="s">
        <v>11956</v>
      </c>
      <c r="K1551">
        <v>47</v>
      </c>
      <c r="L1551" t="s">
        <v>49</v>
      </c>
      <c r="M1551" t="s">
        <v>248</v>
      </c>
      <c r="N1551" t="s">
        <v>27</v>
      </c>
      <c r="O1551" t="s">
        <v>28</v>
      </c>
      <c r="P1551" t="s">
        <v>31</v>
      </c>
      <c r="Q1551">
        <v>0</v>
      </c>
      <c r="R1551" t="s">
        <v>12883</v>
      </c>
      <c r="S1551" t="s">
        <v>12886</v>
      </c>
    </row>
    <row r="1552" spans="1:19" x14ac:dyDescent="0.25">
      <c r="A1552" t="s">
        <v>2974</v>
      </c>
      <c r="B1552" s="1">
        <v>45858</v>
      </c>
      <c r="C1552" t="s">
        <v>12885</v>
      </c>
      <c r="D1552" s="5">
        <v>0.33902777777777776</v>
      </c>
      <c r="E1552">
        <v>95.3</v>
      </c>
      <c r="F1552" t="s">
        <v>44</v>
      </c>
      <c r="G1552" t="s">
        <v>2975</v>
      </c>
      <c r="H1552" t="s">
        <v>124</v>
      </c>
      <c r="I1552" t="s">
        <v>50</v>
      </c>
      <c r="J1552" t="s">
        <v>2976</v>
      </c>
      <c r="K1552">
        <v>50</v>
      </c>
      <c r="L1552" t="s">
        <v>25</v>
      </c>
      <c r="M1552" t="s">
        <v>23</v>
      </c>
      <c r="N1552" t="s">
        <v>51</v>
      </c>
      <c r="O1552" t="s">
        <v>28</v>
      </c>
      <c r="P1552" t="s">
        <v>31</v>
      </c>
      <c r="Q1552">
        <v>0</v>
      </c>
      <c r="R1552" t="s">
        <v>12883</v>
      </c>
      <c r="S1552" t="s">
        <v>12886</v>
      </c>
    </row>
    <row r="1553" spans="1:19" x14ac:dyDescent="0.25">
      <c r="A1553" t="s">
        <v>7725</v>
      </c>
      <c r="B1553" s="1">
        <v>45906</v>
      </c>
      <c r="C1553" t="s">
        <v>12882</v>
      </c>
      <c r="D1553" s="5">
        <v>0.36534722222222221</v>
      </c>
      <c r="E1553">
        <v>95.17</v>
      </c>
      <c r="F1553" t="s">
        <v>44</v>
      </c>
      <c r="G1553" t="s">
        <v>1790</v>
      </c>
      <c r="H1553" t="s">
        <v>96</v>
      </c>
      <c r="I1553" t="s">
        <v>146</v>
      </c>
      <c r="J1553" t="s">
        <v>7726</v>
      </c>
      <c r="K1553">
        <v>34</v>
      </c>
      <c r="L1553" t="s">
        <v>25</v>
      </c>
      <c r="M1553" t="s">
        <v>35</v>
      </c>
      <c r="N1553" t="s">
        <v>51</v>
      </c>
      <c r="O1553" t="s">
        <v>28</v>
      </c>
      <c r="P1553" t="s">
        <v>31</v>
      </c>
      <c r="Q1553">
        <v>1</v>
      </c>
      <c r="R1553" t="s">
        <v>12891</v>
      </c>
      <c r="S1553" t="s">
        <v>12889</v>
      </c>
    </row>
    <row r="1554" spans="1:19" x14ac:dyDescent="0.25">
      <c r="A1554" t="s">
        <v>317</v>
      </c>
      <c r="B1554" s="1">
        <v>45896</v>
      </c>
      <c r="C1554" t="s">
        <v>12893</v>
      </c>
      <c r="D1554" s="5">
        <v>0.90672453703703704</v>
      </c>
      <c r="E1554">
        <v>95.09</v>
      </c>
      <c r="F1554" t="s">
        <v>44</v>
      </c>
      <c r="G1554" t="s">
        <v>318</v>
      </c>
      <c r="H1554" t="s">
        <v>46</v>
      </c>
      <c r="I1554" t="s">
        <v>110</v>
      </c>
      <c r="J1554" t="s">
        <v>319</v>
      </c>
      <c r="K1554">
        <v>50</v>
      </c>
      <c r="L1554" t="s">
        <v>49</v>
      </c>
      <c r="M1554" t="s">
        <v>35</v>
      </c>
      <c r="N1554" t="s">
        <v>105</v>
      </c>
      <c r="O1554" t="s">
        <v>28</v>
      </c>
      <c r="P1554" t="s">
        <v>31</v>
      </c>
      <c r="Q1554">
        <v>0</v>
      </c>
      <c r="R1554" t="s">
        <v>12883</v>
      </c>
      <c r="S1554" t="s">
        <v>12886</v>
      </c>
    </row>
    <row r="1555" spans="1:19" x14ac:dyDescent="0.25">
      <c r="A1555" t="s">
        <v>9745</v>
      </c>
      <c r="B1555" s="1">
        <v>45862</v>
      </c>
      <c r="C1555" t="s">
        <v>12885</v>
      </c>
      <c r="D1555" s="5">
        <v>9.6678240740740745E-2</v>
      </c>
      <c r="E1555">
        <v>94.92</v>
      </c>
      <c r="F1555" t="s">
        <v>44</v>
      </c>
      <c r="G1555" t="s">
        <v>1504</v>
      </c>
      <c r="H1555" t="s">
        <v>71</v>
      </c>
      <c r="I1555" t="s">
        <v>35</v>
      </c>
      <c r="J1555" t="s">
        <v>9746</v>
      </c>
      <c r="K1555">
        <v>71</v>
      </c>
      <c r="L1555" t="s">
        <v>37</v>
      </c>
      <c r="M1555" t="s">
        <v>130</v>
      </c>
      <c r="N1555" t="s">
        <v>39</v>
      </c>
      <c r="O1555" t="s">
        <v>28</v>
      </c>
      <c r="P1555" t="s">
        <v>31</v>
      </c>
      <c r="Q1555">
        <v>0</v>
      </c>
      <c r="R1555" t="s">
        <v>12883</v>
      </c>
      <c r="S1555" t="s">
        <v>12884</v>
      </c>
    </row>
    <row r="1556" spans="1:19" x14ac:dyDescent="0.25">
      <c r="A1556" t="s">
        <v>11289</v>
      </c>
      <c r="B1556" s="1">
        <v>45848</v>
      </c>
      <c r="C1556" t="s">
        <v>12885</v>
      </c>
      <c r="D1556" s="5">
        <v>0.94329861111111113</v>
      </c>
      <c r="E1556">
        <v>94.91</v>
      </c>
      <c r="F1556" t="s">
        <v>44</v>
      </c>
      <c r="G1556" t="s">
        <v>2833</v>
      </c>
      <c r="H1556" t="s">
        <v>71</v>
      </c>
      <c r="I1556" t="s">
        <v>146</v>
      </c>
      <c r="J1556" t="s">
        <v>11290</v>
      </c>
      <c r="K1556">
        <v>48</v>
      </c>
      <c r="L1556" t="s">
        <v>49</v>
      </c>
      <c r="M1556" t="s">
        <v>23</v>
      </c>
      <c r="N1556" t="s">
        <v>39</v>
      </c>
      <c r="O1556" t="s">
        <v>28</v>
      </c>
      <c r="P1556" t="s">
        <v>31</v>
      </c>
      <c r="Q1556">
        <v>0</v>
      </c>
      <c r="R1556" t="s">
        <v>12883</v>
      </c>
      <c r="S1556" t="s">
        <v>12886</v>
      </c>
    </row>
    <row r="1557" spans="1:19" x14ac:dyDescent="0.25">
      <c r="A1557" t="s">
        <v>10162</v>
      </c>
      <c r="B1557" s="1">
        <v>45868</v>
      </c>
      <c r="C1557" t="s">
        <v>12885</v>
      </c>
      <c r="D1557" s="5">
        <v>0.82320601851851849</v>
      </c>
      <c r="E1557">
        <v>94.87</v>
      </c>
      <c r="F1557" t="s">
        <v>44</v>
      </c>
      <c r="G1557" t="s">
        <v>4491</v>
      </c>
      <c r="H1557" t="s">
        <v>71</v>
      </c>
      <c r="I1557" t="s">
        <v>50</v>
      </c>
      <c r="J1557" t="s">
        <v>10163</v>
      </c>
      <c r="K1557">
        <v>52</v>
      </c>
      <c r="L1557" t="s">
        <v>25</v>
      </c>
      <c r="M1557" t="s">
        <v>110</v>
      </c>
      <c r="N1557" t="s">
        <v>105</v>
      </c>
      <c r="O1557" t="s">
        <v>28</v>
      </c>
      <c r="P1557" t="s">
        <v>31</v>
      </c>
      <c r="Q1557">
        <v>0</v>
      </c>
      <c r="R1557" t="s">
        <v>12883</v>
      </c>
      <c r="S1557" t="s">
        <v>12886</v>
      </c>
    </row>
    <row r="1558" spans="1:19" x14ac:dyDescent="0.25">
      <c r="A1558" t="s">
        <v>3468</v>
      </c>
      <c r="B1558" s="1">
        <v>45808</v>
      </c>
      <c r="C1558" t="s">
        <v>12887</v>
      </c>
      <c r="D1558" s="5">
        <v>0.34604166666666669</v>
      </c>
      <c r="E1558">
        <v>94.81</v>
      </c>
      <c r="F1558" t="s">
        <v>44</v>
      </c>
      <c r="G1558" t="s">
        <v>3469</v>
      </c>
      <c r="H1558" t="s">
        <v>34</v>
      </c>
      <c r="I1558" t="s">
        <v>50</v>
      </c>
      <c r="J1558" t="s">
        <v>3470</v>
      </c>
      <c r="K1558">
        <v>50</v>
      </c>
      <c r="L1558" t="s">
        <v>25</v>
      </c>
      <c r="M1558" t="s">
        <v>50</v>
      </c>
      <c r="N1558" t="s">
        <v>51</v>
      </c>
      <c r="O1558" t="s">
        <v>113</v>
      </c>
      <c r="P1558" t="s">
        <v>31</v>
      </c>
      <c r="Q1558">
        <v>1</v>
      </c>
      <c r="R1558" t="s">
        <v>12891</v>
      </c>
      <c r="S1558" t="s">
        <v>12886</v>
      </c>
    </row>
    <row r="1559" spans="1:19" x14ac:dyDescent="0.25">
      <c r="A1559" t="s">
        <v>8834</v>
      </c>
      <c r="B1559" s="1">
        <v>45822</v>
      </c>
      <c r="C1559" t="s">
        <v>12888</v>
      </c>
      <c r="D1559" s="5">
        <v>0.13002314814814814</v>
      </c>
      <c r="E1559">
        <v>94.81</v>
      </c>
      <c r="F1559" t="s">
        <v>44</v>
      </c>
      <c r="G1559" t="s">
        <v>481</v>
      </c>
      <c r="H1559" t="s">
        <v>71</v>
      </c>
      <c r="I1559" t="s">
        <v>47</v>
      </c>
      <c r="J1559" t="s">
        <v>8835</v>
      </c>
      <c r="K1559">
        <v>54</v>
      </c>
      <c r="L1559" t="s">
        <v>25</v>
      </c>
      <c r="M1559" t="s">
        <v>47</v>
      </c>
      <c r="N1559" t="s">
        <v>39</v>
      </c>
      <c r="O1559" t="s">
        <v>113</v>
      </c>
      <c r="P1559" t="s">
        <v>31</v>
      </c>
      <c r="Q1559">
        <v>0</v>
      </c>
      <c r="R1559" t="s">
        <v>12883</v>
      </c>
      <c r="S1559" t="s">
        <v>12886</v>
      </c>
    </row>
    <row r="1560" spans="1:19" x14ac:dyDescent="0.25">
      <c r="A1560" t="s">
        <v>6504</v>
      </c>
      <c r="B1560" s="1">
        <v>45863</v>
      </c>
      <c r="C1560" t="s">
        <v>12885</v>
      </c>
      <c r="D1560" s="5">
        <v>0.88810185185185186</v>
      </c>
      <c r="E1560">
        <v>94.79</v>
      </c>
      <c r="F1560" t="s">
        <v>44</v>
      </c>
      <c r="G1560" t="s">
        <v>5412</v>
      </c>
      <c r="H1560" t="s">
        <v>34</v>
      </c>
      <c r="I1560" t="s">
        <v>47</v>
      </c>
      <c r="J1560" t="s">
        <v>6505</v>
      </c>
      <c r="K1560">
        <v>56</v>
      </c>
      <c r="L1560" t="s">
        <v>49</v>
      </c>
      <c r="M1560" t="s">
        <v>23</v>
      </c>
      <c r="N1560" t="s">
        <v>27</v>
      </c>
      <c r="O1560" t="s">
        <v>28</v>
      </c>
      <c r="P1560" t="s">
        <v>31</v>
      </c>
      <c r="Q1560">
        <v>0</v>
      </c>
      <c r="R1560" t="s">
        <v>12883</v>
      </c>
      <c r="S1560" t="s">
        <v>12886</v>
      </c>
    </row>
    <row r="1561" spans="1:19" x14ac:dyDescent="0.25">
      <c r="A1561" t="s">
        <v>11831</v>
      </c>
      <c r="B1561" s="1">
        <v>45917</v>
      </c>
      <c r="C1561" t="s">
        <v>12882</v>
      </c>
      <c r="D1561" s="5">
        <v>0.50671296296296298</v>
      </c>
      <c r="E1561">
        <v>94.68</v>
      </c>
      <c r="F1561" t="s">
        <v>44</v>
      </c>
      <c r="G1561" t="s">
        <v>978</v>
      </c>
      <c r="H1561" t="s">
        <v>22</v>
      </c>
      <c r="I1561" t="s">
        <v>38</v>
      </c>
      <c r="J1561" t="s">
        <v>11832</v>
      </c>
      <c r="K1561">
        <v>54</v>
      </c>
      <c r="L1561" t="s">
        <v>37</v>
      </c>
      <c r="M1561" t="s">
        <v>38</v>
      </c>
      <c r="N1561" t="s">
        <v>51</v>
      </c>
      <c r="O1561" t="s">
        <v>113</v>
      </c>
      <c r="P1561" t="s">
        <v>31</v>
      </c>
      <c r="Q1561">
        <v>0</v>
      </c>
      <c r="R1561" t="s">
        <v>12883</v>
      </c>
      <c r="S1561" t="s">
        <v>12886</v>
      </c>
    </row>
    <row r="1562" spans="1:19" x14ac:dyDescent="0.25">
      <c r="A1562" t="s">
        <v>8575</v>
      </c>
      <c r="B1562" s="1">
        <v>45901</v>
      </c>
      <c r="C1562" t="s">
        <v>12882</v>
      </c>
      <c r="D1562" s="5">
        <v>0.79945601851851855</v>
      </c>
      <c r="E1562">
        <v>94.62</v>
      </c>
      <c r="F1562" t="s">
        <v>44</v>
      </c>
      <c r="G1562" t="s">
        <v>3691</v>
      </c>
      <c r="H1562" t="s">
        <v>22</v>
      </c>
      <c r="I1562" t="s">
        <v>97</v>
      </c>
      <c r="J1562" t="s">
        <v>8576</v>
      </c>
      <c r="K1562">
        <v>58</v>
      </c>
      <c r="L1562" t="s">
        <v>25</v>
      </c>
      <c r="M1562" t="s">
        <v>66</v>
      </c>
      <c r="N1562" t="s">
        <v>105</v>
      </c>
      <c r="O1562" t="s">
        <v>28</v>
      </c>
      <c r="P1562" t="s">
        <v>31</v>
      </c>
      <c r="Q1562">
        <v>0</v>
      </c>
      <c r="R1562" t="s">
        <v>12883</v>
      </c>
      <c r="S1562" t="s">
        <v>12886</v>
      </c>
    </row>
    <row r="1563" spans="1:19" x14ac:dyDescent="0.25">
      <c r="A1563" t="s">
        <v>368</v>
      </c>
      <c r="B1563" s="1">
        <v>45886</v>
      </c>
      <c r="C1563" t="s">
        <v>12893</v>
      </c>
      <c r="D1563" s="5">
        <v>0.27288194444444447</v>
      </c>
      <c r="E1563">
        <v>94.52</v>
      </c>
      <c r="F1563" t="s">
        <v>44</v>
      </c>
      <c r="G1563" t="s">
        <v>369</v>
      </c>
      <c r="H1563" t="s">
        <v>77</v>
      </c>
      <c r="I1563" t="s">
        <v>130</v>
      </c>
      <c r="J1563" t="s">
        <v>370</v>
      </c>
      <c r="K1563">
        <v>45</v>
      </c>
      <c r="L1563" t="s">
        <v>49</v>
      </c>
      <c r="M1563" t="s">
        <v>110</v>
      </c>
      <c r="N1563" t="s">
        <v>105</v>
      </c>
      <c r="O1563" t="s">
        <v>28</v>
      </c>
      <c r="P1563" t="s">
        <v>31</v>
      </c>
      <c r="Q1563">
        <v>0</v>
      </c>
      <c r="R1563" t="s">
        <v>12883</v>
      </c>
      <c r="S1563" t="s">
        <v>12886</v>
      </c>
    </row>
    <row r="1564" spans="1:19" x14ac:dyDescent="0.25">
      <c r="A1564" t="s">
        <v>2903</v>
      </c>
      <c r="B1564" s="1">
        <v>45870</v>
      </c>
      <c r="C1564" t="s">
        <v>12893</v>
      </c>
      <c r="D1564" s="5">
        <v>0.17871527777777776</v>
      </c>
      <c r="E1564">
        <v>94.4</v>
      </c>
      <c r="F1564" t="s">
        <v>44</v>
      </c>
      <c r="G1564" t="s">
        <v>2904</v>
      </c>
      <c r="H1564" t="s">
        <v>64</v>
      </c>
      <c r="I1564" t="s">
        <v>50</v>
      </c>
      <c r="J1564" t="s">
        <v>2905</v>
      </c>
      <c r="K1564">
        <v>73</v>
      </c>
      <c r="L1564" t="s">
        <v>37</v>
      </c>
      <c r="M1564" t="s">
        <v>26</v>
      </c>
      <c r="N1564" t="s">
        <v>112</v>
      </c>
      <c r="O1564" t="s">
        <v>28</v>
      </c>
      <c r="P1564" t="s">
        <v>31</v>
      </c>
      <c r="Q1564">
        <v>0</v>
      </c>
      <c r="R1564" t="s">
        <v>12883</v>
      </c>
      <c r="S1564" t="s">
        <v>12884</v>
      </c>
    </row>
    <row r="1565" spans="1:19" x14ac:dyDescent="0.25">
      <c r="A1565" t="s">
        <v>10062</v>
      </c>
      <c r="B1565" s="1">
        <v>45907</v>
      </c>
      <c r="C1565" t="s">
        <v>12882</v>
      </c>
      <c r="D1565" s="5">
        <v>0.81658564814814816</v>
      </c>
      <c r="E1565">
        <v>94.4</v>
      </c>
      <c r="F1565" t="s">
        <v>44</v>
      </c>
      <c r="G1565" t="s">
        <v>4242</v>
      </c>
      <c r="H1565" t="s">
        <v>46</v>
      </c>
      <c r="I1565" t="s">
        <v>146</v>
      </c>
      <c r="J1565" t="s">
        <v>10063</v>
      </c>
      <c r="K1565">
        <v>69</v>
      </c>
      <c r="L1565" t="s">
        <v>25</v>
      </c>
      <c r="M1565" t="s">
        <v>35</v>
      </c>
      <c r="N1565" t="s">
        <v>112</v>
      </c>
      <c r="O1565" t="s">
        <v>28</v>
      </c>
      <c r="P1565" t="s">
        <v>31</v>
      </c>
      <c r="Q1565">
        <v>0</v>
      </c>
      <c r="R1565" t="s">
        <v>12883</v>
      </c>
      <c r="S1565" t="s">
        <v>12884</v>
      </c>
    </row>
    <row r="1566" spans="1:19" x14ac:dyDescent="0.25">
      <c r="A1566" t="s">
        <v>7891</v>
      </c>
      <c r="B1566" s="1">
        <v>45883</v>
      </c>
      <c r="C1566" t="s">
        <v>12893</v>
      </c>
      <c r="D1566" s="5">
        <v>0.67163194444444441</v>
      </c>
      <c r="E1566">
        <v>94.29</v>
      </c>
      <c r="F1566" t="s">
        <v>44</v>
      </c>
      <c r="G1566" t="s">
        <v>5824</v>
      </c>
      <c r="H1566" t="s">
        <v>57</v>
      </c>
      <c r="I1566" t="s">
        <v>248</v>
      </c>
      <c r="J1566" t="s">
        <v>7892</v>
      </c>
      <c r="K1566">
        <v>42</v>
      </c>
      <c r="L1566" t="s">
        <v>25</v>
      </c>
      <c r="M1566" t="s">
        <v>119</v>
      </c>
      <c r="N1566" t="s">
        <v>112</v>
      </c>
      <c r="O1566" t="s">
        <v>28</v>
      </c>
      <c r="P1566" t="s">
        <v>31</v>
      </c>
      <c r="Q1566">
        <v>0</v>
      </c>
      <c r="R1566" t="s">
        <v>12883</v>
      </c>
      <c r="S1566" t="s">
        <v>12886</v>
      </c>
    </row>
    <row r="1567" spans="1:19" x14ac:dyDescent="0.25">
      <c r="A1567" t="s">
        <v>9605</v>
      </c>
      <c r="B1567" s="1">
        <v>45887</v>
      </c>
      <c r="C1567" t="s">
        <v>12893</v>
      </c>
      <c r="D1567" s="5">
        <v>0.34752314814814816</v>
      </c>
      <c r="E1567">
        <v>94.01</v>
      </c>
      <c r="F1567" t="s">
        <v>44</v>
      </c>
      <c r="G1567" t="s">
        <v>946</v>
      </c>
      <c r="H1567" t="s">
        <v>64</v>
      </c>
      <c r="I1567" t="s">
        <v>38</v>
      </c>
      <c r="J1567" t="s">
        <v>9606</v>
      </c>
      <c r="K1567">
        <v>24</v>
      </c>
      <c r="L1567" t="s">
        <v>49</v>
      </c>
      <c r="M1567" t="s">
        <v>119</v>
      </c>
      <c r="N1567" t="s">
        <v>27</v>
      </c>
      <c r="O1567" t="s">
        <v>28</v>
      </c>
      <c r="P1567" t="s">
        <v>31</v>
      </c>
      <c r="Q1567">
        <v>1</v>
      </c>
      <c r="R1567" t="s">
        <v>12891</v>
      </c>
      <c r="S1567" t="s">
        <v>12892</v>
      </c>
    </row>
    <row r="1568" spans="1:19" x14ac:dyDescent="0.25">
      <c r="A1568" t="s">
        <v>12464</v>
      </c>
      <c r="B1568" s="1">
        <v>45871</v>
      </c>
      <c r="C1568" t="s">
        <v>12893</v>
      </c>
      <c r="D1568" s="5">
        <v>0.67719907407407409</v>
      </c>
      <c r="E1568">
        <v>93.91</v>
      </c>
      <c r="F1568" t="s">
        <v>44</v>
      </c>
      <c r="G1568" t="s">
        <v>3413</v>
      </c>
      <c r="H1568" t="s">
        <v>46</v>
      </c>
      <c r="I1568" t="s">
        <v>26</v>
      </c>
      <c r="J1568" t="s">
        <v>12465</v>
      </c>
      <c r="K1568">
        <v>21</v>
      </c>
      <c r="L1568" t="s">
        <v>49</v>
      </c>
      <c r="M1568" t="s">
        <v>97</v>
      </c>
      <c r="N1568" t="s">
        <v>51</v>
      </c>
      <c r="O1568" t="s">
        <v>28</v>
      </c>
      <c r="P1568" t="s">
        <v>31</v>
      </c>
      <c r="Q1568">
        <v>0</v>
      </c>
      <c r="R1568" t="s">
        <v>12883</v>
      </c>
      <c r="S1568" t="s">
        <v>12892</v>
      </c>
    </row>
    <row r="1569" spans="1:19" x14ac:dyDescent="0.25">
      <c r="A1569" t="s">
        <v>5299</v>
      </c>
      <c r="B1569" s="1">
        <v>45862</v>
      </c>
      <c r="C1569" t="s">
        <v>12885</v>
      </c>
      <c r="D1569" s="5">
        <v>0.92197916666666668</v>
      </c>
      <c r="E1569">
        <v>93.73</v>
      </c>
      <c r="F1569" t="s">
        <v>44</v>
      </c>
      <c r="G1569" t="s">
        <v>5300</v>
      </c>
      <c r="H1569" t="s">
        <v>34</v>
      </c>
      <c r="I1569" t="s">
        <v>26</v>
      </c>
      <c r="J1569" t="s">
        <v>5301</v>
      </c>
      <c r="K1569">
        <v>45</v>
      </c>
      <c r="L1569" t="s">
        <v>37</v>
      </c>
      <c r="M1569" t="s">
        <v>66</v>
      </c>
      <c r="N1569" t="s">
        <v>39</v>
      </c>
      <c r="O1569" t="s">
        <v>28</v>
      </c>
      <c r="P1569" t="s">
        <v>31</v>
      </c>
      <c r="Q1569">
        <v>0</v>
      </c>
      <c r="R1569" t="s">
        <v>12883</v>
      </c>
      <c r="S1569" t="s">
        <v>12886</v>
      </c>
    </row>
    <row r="1570" spans="1:19" x14ac:dyDescent="0.25">
      <c r="A1570" t="s">
        <v>7204</v>
      </c>
      <c r="B1570" s="1">
        <v>45793</v>
      </c>
      <c r="C1570" t="s">
        <v>12887</v>
      </c>
      <c r="D1570" s="5">
        <v>1.3657407407407407E-3</v>
      </c>
      <c r="E1570">
        <v>93.67</v>
      </c>
      <c r="F1570" t="s">
        <v>44</v>
      </c>
      <c r="G1570" t="s">
        <v>1983</v>
      </c>
      <c r="H1570" t="s">
        <v>71</v>
      </c>
      <c r="I1570" t="s">
        <v>130</v>
      </c>
      <c r="J1570" t="s">
        <v>7205</v>
      </c>
      <c r="K1570">
        <v>48</v>
      </c>
      <c r="L1570" t="s">
        <v>25</v>
      </c>
      <c r="M1570" t="s">
        <v>47</v>
      </c>
      <c r="N1570" t="s">
        <v>84</v>
      </c>
      <c r="O1570" t="s">
        <v>28</v>
      </c>
      <c r="P1570" t="s">
        <v>31</v>
      </c>
      <c r="Q1570">
        <v>0</v>
      </c>
      <c r="R1570" t="s">
        <v>12883</v>
      </c>
      <c r="S1570" t="s">
        <v>12886</v>
      </c>
    </row>
    <row r="1571" spans="1:19" x14ac:dyDescent="0.25">
      <c r="A1571" t="s">
        <v>9507</v>
      </c>
      <c r="B1571" s="1">
        <v>45879</v>
      </c>
      <c r="C1571" t="s">
        <v>12893</v>
      </c>
      <c r="D1571" s="5">
        <v>4.2627314814814812E-2</v>
      </c>
      <c r="E1571">
        <v>93.66</v>
      </c>
      <c r="F1571" t="s">
        <v>44</v>
      </c>
      <c r="G1571" t="s">
        <v>2044</v>
      </c>
      <c r="H1571" t="s">
        <v>64</v>
      </c>
      <c r="I1571" t="s">
        <v>248</v>
      </c>
      <c r="J1571" t="s">
        <v>9508</v>
      </c>
      <c r="K1571">
        <v>48</v>
      </c>
      <c r="L1571" t="s">
        <v>25</v>
      </c>
      <c r="M1571" t="s">
        <v>38</v>
      </c>
      <c r="N1571" t="s">
        <v>105</v>
      </c>
      <c r="O1571" t="s">
        <v>28</v>
      </c>
      <c r="P1571" t="s">
        <v>31</v>
      </c>
      <c r="Q1571">
        <v>0</v>
      </c>
      <c r="R1571" t="s">
        <v>12883</v>
      </c>
      <c r="S1571" t="s">
        <v>12886</v>
      </c>
    </row>
    <row r="1572" spans="1:19" x14ac:dyDescent="0.25">
      <c r="A1572" t="s">
        <v>11467</v>
      </c>
      <c r="B1572" s="1">
        <v>45819</v>
      </c>
      <c r="C1572" t="s">
        <v>12888</v>
      </c>
      <c r="D1572" s="5">
        <v>0.26255787037037037</v>
      </c>
      <c r="E1572">
        <v>93.58</v>
      </c>
      <c r="F1572" t="s">
        <v>44</v>
      </c>
      <c r="G1572" t="s">
        <v>11468</v>
      </c>
      <c r="H1572" t="s">
        <v>64</v>
      </c>
      <c r="I1572" t="s">
        <v>47</v>
      </c>
      <c r="J1572" t="s">
        <v>11469</v>
      </c>
      <c r="K1572">
        <v>21</v>
      </c>
      <c r="L1572" t="s">
        <v>49</v>
      </c>
      <c r="M1572" t="s">
        <v>23</v>
      </c>
      <c r="N1572" t="s">
        <v>39</v>
      </c>
      <c r="O1572" t="s">
        <v>28</v>
      </c>
      <c r="P1572" t="s">
        <v>31</v>
      </c>
      <c r="Q1572">
        <v>0</v>
      </c>
      <c r="R1572" t="s">
        <v>12883</v>
      </c>
      <c r="S1572" t="s">
        <v>12892</v>
      </c>
    </row>
    <row r="1573" spans="1:19" x14ac:dyDescent="0.25">
      <c r="A1573" t="s">
        <v>550</v>
      </c>
      <c r="B1573" s="1">
        <v>45792</v>
      </c>
      <c r="C1573" t="s">
        <v>12887</v>
      </c>
      <c r="D1573" s="5">
        <v>0.54403935185185182</v>
      </c>
      <c r="E1573">
        <v>93.51</v>
      </c>
      <c r="F1573" t="s">
        <v>44</v>
      </c>
      <c r="G1573" t="s">
        <v>551</v>
      </c>
      <c r="H1573" t="s">
        <v>89</v>
      </c>
      <c r="I1573" t="s">
        <v>50</v>
      </c>
      <c r="J1573" t="s">
        <v>552</v>
      </c>
      <c r="K1573">
        <v>31</v>
      </c>
      <c r="L1573" t="s">
        <v>25</v>
      </c>
      <c r="M1573" t="s">
        <v>38</v>
      </c>
      <c r="N1573" t="s">
        <v>84</v>
      </c>
      <c r="O1573" t="s">
        <v>28</v>
      </c>
      <c r="P1573" t="s">
        <v>31</v>
      </c>
      <c r="Q1573">
        <v>0</v>
      </c>
      <c r="R1573" t="s">
        <v>12883</v>
      </c>
      <c r="S1573" t="s">
        <v>12889</v>
      </c>
    </row>
    <row r="1574" spans="1:19" x14ac:dyDescent="0.25">
      <c r="A1574" t="s">
        <v>12324</v>
      </c>
      <c r="B1574" s="1">
        <v>45843</v>
      </c>
      <c r="C1574" t="s">
        <v>12885</v>
      </c>
      <c r="D1574" s="5">
        <v>0.67410879629629628</v>
      </c>
      <c r="E1574">
        <v>93.34</v>
      </c>
      <c r="F1574" t="s">
        <v>44</v>
      </c>
      <c r="G1574" t="s">
        <v>2860</v>
      </c>
      <c r="H1574" t="s">
        <v>71</v>
      </c>
      <c r="I1574" t="s">
        <v>248</v>
      </c>
      <c r="J1574" t="s">
        <v>10865</v>
      </c>
      <c r="K1574">
        <v>58</v>
      </c>
      <c r="L1574" t="s">
        <v>37</v>
      </c>
      <c r="M1574" t="s">
        <v>47</v>
      </c>
      <c r="N1574" t="s">
        <v>105</v>
      </c>
      <c r="O1574" t="s">
        <v>28</v>
      </c>
      <c r="P1574" t="s">
        <v>31</v>
      </c>
      <c r="Q1574">
        <v>1</v>
      </c>
      <c r="R1574" t="s">
        <v>12891</v>
      </c>
      <c r="S1574" t="s">
        <v>12886</v>
      </c>
    </row>
    <row r="1575" spans="1:19" x14ac:dyDescent="0.25">
      <c r="A1575" t="s">
        <v>2171</v>
      </c>
      <c r="B1575" s="1">
        <v>45790</v>
      </c>
      <c r="C1575" t="s">
        <v>12887</v>
      </c>
      <c r="D1575" s="5">
        <v>0.26603009259259258</v>
      </c>
      <c r="E1575">
        <v>93.29</v>
      </c>
      <c r="F1575" t="s">
        <v>44</v>
      </c>
      <c r="G1575" t="s">
        <v>109</v>
      </c>
      <c r="H1575" t="s">
        <v>96</v>
      </c>
      <c r="I1575" t="s">
        <v>50</v>
      </c>
      <c r="J1575" t="s">
        <v>2172</v>
      </c>
      <c r="K1575">
        <v>23</v>
      </c>
      <c r="L1575" t="s">
        <v>25</v>
      </c>
      <c r="M1575" t="s">
        <v>26</v>
      </c>
      <c r="N1575" t="s">
        <v>84</v>
      </c>
      <c r="O1575" t="s">
        <v>28</v>
      </c>
      <c r="P1575" t="s">
        <v>31</v>
      </c>
      <c r="Q1575">
        <v>0</v>
      </c>
      <c r="R1575" t="s">
        <v>12883</v>
      </c>
      <c r="S1575" t="s">
        <v>12892</v>
      </c>
    </row>
    <row r="1576" spans="1:19" x14ac:dyDescent="0.25">
      <c r="A1576" t="s">
        <v>1770</v>
      </c>
      <c r="B1576" s="1">
        <v>45836</v>
      </c>
      <c r="C1576" t="s">
        <v>12888</v>
      </c>
      <c r="D1576" s="5">
        <v>0.33282407407407405</v>
      </c>
      <c r="E1576">
        <v>93.26</v>
      </c>
      <c r="F1576" t="s">
        <v>44</v>
      </c>
      <c r="G1576" t="s">
        <v>1771</v>
      </c>
      <c r="H1576" t="s">
        <v>77</v>
      </c>
      <c r="I1576" t="s">
        <v>248</v>
      </c>
      <c r="J1576" t="s">
        <v>1772</v>
      </c>
      <c r="K1576">
        <v>46</v>
      </c>
      <c r="L1576" t="s">
        <v>37</v>
      </c>
      <c r="M1576" t="s">
        <v>110</v>
      </c>
      <c r="N1576" t="s">
        <v>51</v>
      </c>
      <c r="O1576" t="s">
        <v>28</v>
      </c>
      <c r="P1576" t="s">
        <v>31</v>
      </c>
      <c r="Q1576">
        <v>0</v>
      </c>
      <c r="R1576" t="s">
        <v>12883</v>
      </c>
      <c r="S1576" t="s">
        <v>12886</v>
      </c>
    </row>
    <row r="1577" spans="1:19" x14ac:dyDescent="0.25">
      <c r="A1577" t="s">
        <v>8106</v>
      </c>
      <c r="B1577" s="1">
        <v>45952</v>
      </c>
      <c r="C1577" t="s">
        <v>12890</v>
      </c>
      <c r="D1577" s="5">
        <v>0.33822916666666669</v>
      </c>
      <c r="E1577">
        <v>93.25</v>
      </c>
      <c r="F1577" t="s">
        <v>44</v>
      </c>
      <c r="G1577" t="s">
        <v>272</v>
      </c>
      <c r="H1577" t="s">
        <v>46</v>
      </c>
      <c r="I1577" t="s">
        <v>38</v>
      </c>
      <c r="J1577" t="s">
        <v>8107</v>
      </c>
      <c r="K1577">
        <v>18</v>
      </c>
      <c r="L1577" t="s">
        <v>49</v>
      </c>
      <c r="M1577" t="s">
        <v>66</v>
      </c>
      <c r="N1577" t="s">
        <v>84</v>
      </c>
      <c r="O1577" t="s">
        <v>28</v>
      </c>
      <c r="P1577" t="s">
        <v>31</v>
      </c>
      <c r="Q1577">
        <v>0</v>
      </c>
      <c r="R1577" t="s">
        <v>12883</v>
      </c>
      <c r="S1577" t="s">
        <v>12892</v>
      </c>
    </row>
    <row r="1578" spans="1:19" x14ac:dyDescent="0.25">
      <c r="A1578" t="s">
        <v>9206</v>
      </c>
      <c r="B1578" s="1">
        <v>45831</v>
      </c>
      <c r="C1578" t="s">
        <v>12888</v>
      </c>
      <c r="D1578" s="5">
        <v>0.78994212962962962</v>
      </c>
      <c r="E1578">
        <v>93.16</v>
      </c>
      <c r="F1578" t="s">
        <v>44</v>
      </c>
      <c r="G1578" t="s">
        <v>7069</v>
      </c>
      <c r="H1578" t="s">
        <v>64</v>
      </c>
      <c r="I1578" t="s">
        <v>58</v>
      </c>
      <c r="J1578" t="s">
        <v>9207</v>
      </c>
      <c r="K1578">
        <v>67</v>
      </c>
      <c r="L1578" t="s">
        <v>25</v>
      </c>
      <c r="M1578" t="s">
        <v>146</v>
      </c>
      <c r="N1578" t="s">
        <v>39</v>
      </c>
      <c r="O1578" t="s">
        <v>28</v>
      </c>
      <c r="P1578" t="s">
        <v>31</v>
      </c>
      <c r="Q1578">
        <v>0</v>
      </c>
      <c r="R1578" t="s">
        <v>12883</v>
      </c>
      <c r="S1578" t="s">
        <v>12884</v>
      </c>
    </row>
    <row r="1579" spans="1:19" x14ac:dyDescent="0.25">
      <c r="A1579" t="s">
        <v>3779</v>
      </c>
      <c r="B1579" s="1">
        <v>45854</v>
      </c>
      <c r="C1579" t="s">
        <v>12885</v>
      </c>
      <c r="D1579" s="5">
        <v>0.58296296296296302</v>
      </c>
      <c r="E1579">
        <v>93.15</v>
      </c>
      <c r="F1579" t="s">
        <v>44</v>
      </c>
      <c r="G1579" t="s">
        <v>3780</v>
      </c>
      <c r="H1579" t="s">
        <v>96</v>
      </c>
      <c r="I1579" t="s">
        <v>130</v>
      </c>
      <c r="J1579" t="s">
        <v>3781</v>
      </c>
      <c r="K1579">
        <v>39</v>
      </c>
      <c r="L1579" t="s">
        <v>37</v>
      </c>
      <c r="M1579" t="s">
        <v>110</v>
      </c>
      <c r="N1579" t="s">
        <v>27</v>
      </c>
      <c r="O1579" t="s">
        <v>28</v>
      </c>
      <c r="P1579" t="s">
        <v>31</v>
      </c>
      <c r="Q1579">
        <v>0</v>
      </c>
      <c r="R1579" t="s">
        <v>12883</v>
      </c>
      <c r="S1579" t="s">
        <v>12889</v>
      </c>
    </row>
    <row r="1580" spans="1:19" x14ac:dyDescent="0.25">
      <c r="A1580" t="s">
        <v>5890</v>
      </c>
      <c r="B1580" s="1">
        <v>45900</v>
      </c>
      <c r="C1580" t="s">
        <v>12893</v>
      </c>
      <c r="D1580" s="5">
        <v>0.12767361111111111</v>
      </c>
      <c r="E1580">
        <v>93.11</v>
      </c>
      <c r="F1580" t="s">
        <v>44</v>
      </c>
      <c r="G1580" t="s">
        <v>3600</v>
      </c>
      <c r="H1580" t="s">
        <v>34</v>
      </c>
      <c r="I1580" t="s">
        <v>97</v>
      </c>
      <c r="J1580" t="s">
        <v>5891</v>
      </c>
      <c r="K1580">
        <v>31</v>
      </c>
      <c r="L1580" t="s">
        <v>37</v>
      </c>
      <c r="M1580" t="s">
        <v>26</v>
      </c>
      <c r="N1580" t="s">
        <v>27</v>
      </c>
      <c r="O1580" t="s">
        <v>28</v>
      </c>
      <c r="P1580" t="s">
        <v>31</v>
      </c>
      <c r="Q1580">
        <v>1</v>
      </c>
      <c r="R1580" t="s">
        <v>12891</v>
      </c>
      <c r="S1580" t="s">
        <v>12889</v>
      </c>
    </row>
    <row r="1581" spans="1:19" x14ac:dyDescent="0.25">
      <c r="A1581" t="s">
        <v>8701</v>
      </c>
      <c r="B1581" s="1">
        <v>45948</v>
      </c>
      <c r="C1581" t="s">
        <v>12890</v>
      </c>
      <c r="D1581" s="5">
        <v>0.42781249999999998</v>
      </c>
      <c r="E1581">
        <v>93.07</v>
      </c>
      <c r="F1581" t="s">
        <v>44</v>
      </c>
      <c r="G1581" t="s">
        <v>292</v>
      </c>
      <c r="H1581" t="s">
        <v>57</v>
      </c>
      <c r="I1581" t="s">
        <v>110</v>
      </c>
      <c r="J1581" t="s">
        <v>8702</v>
      </c>
      <c r="K1581">
        <v>65</v>
      </c>
      <c r="L1581" t="s">
        <v>25</v>
      </c>
      <c r="M1581" t="s">
        <v>248</v>
      </c>
      <c r="N1581" t="s">
        <v>84</v>
      </c>
      <c r="O1581" t="s">
        <v>28</v>
      </c>
      <c r="P1581" t="s">
        <v>31</v>
      </c>
      <c r="Q1581">
        <v>1</v>
      </c>
      <c r="R1581" t="s">
        <v>12891</v>
      </c>
      <c r="S1581" t="s">
        <v>12884</v>
      </c>
    </row>
    <row r="1582" spans="1:19" x14ac:dyDescent="0.25">
      <c r="A1582" t="s">
        <v>4971</v>
      </c>
      <c r="B1582" s="1">
        <v>45861</v>
      </c>
      <c r="C1582" t="s">
        <v>12885</v>
      </c>
      <c r="D1582" s="5">
        <v>0.21206018518518518</v>
      </c>
      <c r="E1582">
        <v>93.04</v>
      </c>
      <c r="F1582" t="s">
        <v>44</v>
      </c>
      <c r="G1582" t="s">
        <v>4972</v>
      </c>
      <c r="H1582" t="s">
        <v>124</v>
      </c>
      <c r="I1582" t="s">
        <v>50</v>
      </c>
      <c r="J1582" t="s">
        <v>4973</v>
      </c>
      <c r="K1582">
        <v>53</v>
      </c>
      <c r="L1582" t="s">
        <v>37</v>
      </c>
      <c r="M1582" t="s">
        <v>47</v>
      </c>
      <c r="N1582" t="s">
        <v>112</v>
      </c>
      <c r="O1582" t="s">
        <v>28</v>
      </c>
      <c r="P1582" t="s">
        <v>31</v>
      </c>
      <c r="Q1582">
        <v>0</v>
      </c>
      <c r="R1582" t="s">
        <v>12883</v>
      </c>
      <c r="S1582" t="s">
        <v>12886</v>
      </c>
    </row>
    <row r="1583" spans="1:19" x14ac:dyDescent="0.25">
      <c r="A1583" t="s">
        <v>6428</v>
      </c>
      <c r="B1583" s="1">
        <v>45858</v>
      </c>
      <c r="C1583" t="s">
        <v>12885</v>
      </c>
      <c r="D1583" s="5">
        <v>0.93479166666666669</v>
      </c>
      <c r="E1583">
        <v>93.03</v>
      </c>
      <c r="F1583" t="s">
        <v>44</v>
      </c>
      <c r="G1583" t="s">
        <v>3432</v>
      </c>
      <c r="H1583" t="s">
        <v>46</v>
      </c>
      <c r="I1583" t="s">
        <v>26</v>
      </c>
      <c r="J1583" t="s">
        <v>6429</v>
      </c>
      <c r="K1583">
        <v>72</v>
      </c>
      <c r="L1583" t="s">
        <v>49</v>
      </c>
      <c r="M1583" t="s">
        <v>47</v>
      </c>
      <c r="N1583" t="s">
        <v>105</v>
      </c>
      <c r="O1583" t="s">
        <v>28</v>
      </c>
      <c r="P1583" t="s">
        <v>31</v>
      </c>
      <c r="Q1583">
        <v>0</v>
      </c>
      <c r="R1583" t="s">
        <v>12883</v>
      </c>
      <c r="S1583" t="s">
        <v>12884</v>
      </c>
    </row>
    <row r="1584" spans="1:19" x14ac:dyDescent="0.25">
      <c r="A1584" t="s">
        <v>6780</v>
      </c>
      <c r="B1584" s="1">
        <v>45785</v>
      </c>
      <c r="C1584" t="s">
        <v>12887</v>
      </c>
      <c r="D1584" s="5">
        <v>0.63320601851851854</v>
      </c>
      <c r="E1584">
        <v>92.95</v>
      </c>
      <c r="F1584" t="s">
        <v>44</v>
      </c>
      <c r="G1584" t="s">
        <v>4561</v>
      </c>
      <c r="H1584" t="s">
        <v>64</v>
      </c>
      <c r="I1584" t="s">
        <v>35</v>
      </c>
      <c r="J1584" t="s">
        <v>6781</v>
      </c>
      <c r="K1584">
        <v>58</v>
      </c>
      <c r="L1584" t="s">
        <v>37</v>
      </c>
      <c r="M1584" t="s">
        <v>130</v>
      </c>
      <c r="N1584" t="s">
        <v>105</v>
      </c>
      <c r="O1584" t="s">
        <v>28</v>
      </c>
      <c r="P1584" t="s">
        <v>31</v>
      </c>
      <c r="Q1584">
        <v>0</v>
      </c>
      <c r="R1584" t="s">
        <v>12883</v>
      </c>
      <c r="S1584" t="s">
        <v>12886</v>
      </c>
    </row>
    <row r="1585" spans="1:19" x14ac:dyDescent="0.25">
      <c r="A1585" t="s">
        <v>10880</v>
      </c>
      <c r="B1585" s="1">
        <v>45823</v>
      </c>
      <c r="C1585" t="s">
        <v>12888</v>
      </c>
      <c r="D1585" s="5">
        <v>0.11722222222222223</v>
      </c>
      <c r="E1585">
        <v>92.93</v>
      </c>
      <c r="F1585" t="s">
        <v>44</v>
      </c>
      <c r="G1585" t="s">
        <v>4696</v>
      </c>
      <c r="H1585" t="s">
        <v>22</v>
      </c>
      <c r="I1585" t="s">
        <v>38</v>
      </c>
      <c r="J1585" t="s">
        <v>10881</v>
      </c>
      <c r="K1585">
        <v>36</v>
      </c>
      <c r="L1585" t="s">
        <v>25</v>
      </c>
      <c r="M1585" t="s">
        <v>97</v>
      </c>
      <c r="N1585" t="s">
        <v>39</v>
      </c>
      <c r="O1585" t="s">
        <v>28</v>
      </c>
      <c r="P1585" t="s">
        <v>31</v>
      </c>
      <c r="Q1585">
        <v>0</v>
      </c>
      <c r="R1585" t="s">
        <v>12883</v>
      </c>
      <c r="S1585" t="s">
        <v>12889</v>
      </c>
    </row>
    <row r="1586" spans="1:19" x14ac:dyDescent="0.25">
      <c r="A1586" t="s">
        <v>10525</v>
      </c>
      <c r="B1586" s="1">
        <v>45923</v>
      </c>
      <c r="C1586" t="s">
        <v>12882</v>
      </c>
      <c r="D1586" s="5">
        <v>0.98517361111111112</v>
      </c>
      <c r="E1586">
        <v>92.87</v>
      </c>
      <c r="F1586" t="s">
        <v>44</v>
      </c>
      <c r="G1586" t="s">
        <v>7338</v>
      </c>
      <c r="H1586" t="s">
        <v>34</v>
      </c>
      <c r="I1586" t="s">
        <v>26</v>
      </c>
      <c r="J1586" t="s">
        <v>10526</v>
      </c>
      <c r="K1586">
        <v>64</v>
      </c>
      <c r="L1586" t="s">
        <v>49</v>
      </c>
      <c r="M1586" t="s">
        <v>146</v>
      </c>
      <c r="N1586" t="s">
        <v>51</v>
      </c>
      <c r="O1586" t="s">
        <v>28</v>
      </c>
      <c r="P1586" t="s">
        <v>31</v>
      </c>
      <c r="Q1586">
        <v>0</v>
      </c>
      <c r="R1586" t="s">
        <v>12883</v>
      </c>
      <c r="S1586" t="s">
        <v>12884</v>
      </c>
    </row>
    <row r="1587" spans="1:19" x14ac:dyDescent="0.25">
      <c r="A1587" t="s">
        <v>6308</v>
      </c>
      <c r="B1587" s="1">
        <v>45935</v>
      </c>
      <c r="C1587" t="s">
        <v>12890</v>
      </c>
      <c r="D1587" s="5">
        <v>0.45303240740740741</v>
      </c>
      <c r="E1587">
        <v>92.81</v>
      </c>
      <c r="F1587" t="s">
        <v>44</v>
      </c>
      <c r="G1587" t="s">
        <v>824</v>
      </c>
      <c r="H1587" t="s">
        <v>34</v>
      </c>
      <c r="I1587" t="s">
        <v>50</v>
      </c>
      <c r="J1587" t="s">
        <v>6309</v>
      </c>
      <c r="K1587">
        <v>37</v>
      </c>
      <c r="L1587" t="s">
        <v>37</v>
      </c>
      <c r="M1587" t="s">
        <v>23</v>
      </c>
      <c r="N1587" t="s">
        <v>51</v>
      </c>
      <c r="O1587" t="s">
        <v>28</v>
      </c>
      <c r="P1587" t="s">
        <v>31</v>
      </c>
      <c r="Q1587">
        <v>0</v>
      </c>
      <c r="R1587" t="s">
        <v>12883</v>
      </c>
      <c r="S1587" t="s">
        <v>12889</v>
      </c>
    </row>
    <row r="1588" spans="1:19" x14ac:dyDescent="0.25">
      <c r="A1588" t="s">
        <v>9155</v>
      </c>
      <c r="B1588" s="1">
        <v>45805</v>
      </c>
      <c r="C1588" t="s">
        <v>12887</v>
      </c>
      <c r="D1588" s="5">
        <v>0.61473379629629632</v>
      </c>
      <c r="E1588">
        <v>92.77</v>
      </c>
      <c r="F1588" t="s">
        <v>44</v>
      </c>
      <c r="G1588" t="s">
        <v>1341</v>
      </c>
      <c r="H1588" t="s">
        <v>46</v>
      </c>
      <c r="I1588" t="s">
        <v>130</v>
      </c>
      <c r="J1588" t="s">
        <v>9156</v>
      </c>
      <c r="K1588">
        <v>61</v>
      </c>
      <c r="L1588" t="s">
        <v>37</v>
      </c>
      <c r="M1588" t="s">
        <v>26</v>
      </c>
      <c r="N1588" t="s">
        <v>39</v>
      </c>
      <c r="O1588" t="s">
        <v>28</v>
      </c>
      <c r="P1588" t="s">
        <v>31</v>
      </c>
      <c r="Q1588">
        <v>0</v>
      </c>
      <c r="R1588" t="s">
        <v>12883</v>
      </c>
      <c r="S1588" t="s">
        <v>12884</v>
      </c>
    </row>
    <row r="1589" spans="1:19" x14ac:dyDescent="0.25">
      <c r="A1589" t="s">
        <v>6014</v>
      </c>
      <c r="B1589" s="1">
        <v>45810</v>
      </c>
      <c r="C1589" t="s">
        <v>12888</v>
      </c>
      <c r="D1589" s="5">
        <v>0.20819444444444443</v>
      </c>
      <c r="E1589">
        <v>92.67</v>
      </c>
      <c r="F1589" t="s">
        <v>44</v>
      </c>
      <c r="G1589" t="s">
        <v>733</v>
      </c>
      <c r="H1589" t="s">
        <v>46</v>
      </c>
      <c r="I1589" t="s">
        <v>23</v>
      </c>
      <c r="J1589" t="s">
        <v>6015</v>
      </c>
      <c r="K1589">
        <v>45</v>
      </c>
      <c r="L1589" t="s">
        <v>49</v>
      </c>
      <c r="M1589" t="s">
        <v>26</v>
      </c>
      <c r="N1589" t="s">
        <v>112</v>
      </c>
      <c r="O1589" t="s">
        <v>28</v>
      </c>
      <c r="P1589" t="s">
        <v>31</v>
      </c>
      <c r="Q1589">
        <v>0</v>
      </c>
      <c r="R1589" t="s">
        <v>12883</v>
      </c>
      <c r="S1589" t="s">
        <v>12886</v>
      </c>
    </row>
    <row r="1590" spans="1:19" x14ac:dyDescent="0.25">
      <c r="A1590" t="s">
        <v>2776</v>
      </c>
      <c r="B1590" s="1">
        <v>45781</v>
      </c>
      <c r="C1590" t="s">
        <v>12887</v>
      </c>
      <c r="D1590" s="5">
        <v>4.8935185185185186E-2</v>
      </c>
      <c r="E1590">
        <v>92.47</v>
      </c>
      <c r="F1590" t="s">
        <v>44</v>
      </c>
      <c r="G1590" t="s">
        <v>1950</v>
      </c>
      <c r="H1590" t="s">
        <v>22</v>
      </c>
      <c r="I1590" t="s">
        <v>58</v>
      </c>
      <c r="J1590" t="s">
        <v>2777</v>
      </c>
      <c r="K1590">
        <v>32</v>
      </c>
      <c r="L1590" t="s">
        <v>49</v>
      </c>
      <c r="M1590" t="s">
        <v>146</v>
      </c>
      <c r="N1590" t="s">
        <v>112</v>
      </c>
      <c r="O1590" t="s">
        <v>28</v>
      </c>
      <c r="P1590" t="s">
        <v>31</v>
      </c>
      <c r="Q1590">
        <v>0</v>
      </c>
      <c r="R1590" t="s">
        <v>12883</v>
      </c>
      <c r="S1590" t="s">
        <v>12889</v>
      </c>
    </row>
    <row r="1591" spans="1:19" x14ac:dyDescent="0.25">
      <c r="A1591" t="s">
        <v>6339</v>
      </c>
      <c r="B1591" s="1">
        <v>45865</v>
      </c>
      <c r="C1591" t="s">
        <v>12885</v>
      </c>
      <c r="D1591" s="5">
        <v>0.80450231481481482</v>
      </c>
      <c r="E1591">
        <v>92.39</v>
      </c>
      <c r="F1591" t="s">
        <v>44</v>
      </c>
      <c r="G1591" t="s">
        <v>3418</v>
      </c>
      <c r="H1591" t="s">
        <v>46</v>
      </c>
      <c r="I1591" t="s">
        <v>146</v>
      </c>
      <c r="J1591" t="s">
        <v>6340</v>
      </c>
      <c r="K1591">
        <v>60</v>
      </c>
      <c r="L1591" t="s">
        <v>49</v>
      </c>
      <c r="M1591" t="s">
        <v>38</v>
      </c>
      <c r="N1591" t="s">
        <v>105</v>
      </c>
      <c r="O1591" t="s">
        <v>28</v>
      </c>
      <c r="P1591" t="s">
        <v>31</v>
      </c>
      <c r="Q1591">
        <v>0</v>
      </c>
      <c r="R1591" t="s">
        <v>12883</v>
      </c>
      <c r="S1591" t="s">
        <v>12884</v>
      </c>
    </row>
    <row r="1592" spans="1:19" x14ac:dyDescent="0.25">
      <c r="A1592" t="s">
        <v>5994</v>
      </c>
      <c r="B1592" s="1">
        <v>45908</v>
      </c>
      <c r="C1592" t="s">
        <v>12882</v>
      </c>
      <c r="D1592" s="5">
        <v>0.17856481481481482</v>
      </c>
      <c r="E1592">
        <v>92.36</v>
      </c>
      <c r="F1592" t="s">
        <v>44</v>
      </c>
      <c r="G1592" t="s">
        <v>5995</v>
      </c>
      <c r="H1592" t="s">
        <v>34</v>
      </c>
      <c r="I1592" t="s">
        <v>35</v>
      </c>
      <c r="J1592" t="s">
        <v>5996</v>
      </c>
      <c r="K1592">
        <v>73</v>
      </c>
      <c r="L1592" t="s">
        <v>25</v>
      </c>
      <c r="M1592" t="s">
        <v>47</v>
      </c>
      <c r="N1592" t="s">
        <v>27</v>
      </c>
      <c r="O1592" t="s">
        <v>28</v>
      </c>
      <c r="P1592" t="s">
        <v>31</v>
      </c>
      <c r="Q1592">
        <v>0</v>
      </c>
      <c r="R1592" t="s">
        <v>12883</v>
      </c>
      <c r="S1592" t="s">
        <v>12884</v>
      </c>
    </row>
    <row r="1593" spans="1:19" x14ac:dyDescent="0.25">
      <c r="A1593" t="s">
        <v>11127</v>
      </c>
      <c r="B1593" s="1">
        <v>45882</v>
      </c>
      <c r="C1593" t="s">
        <v>12893</v>
      </c>
      <c r="D1593" s="5">
        <v>0.60932870370370373</v>
      </c>
      <c r="E1593">
        <v>92.29</v>
      </c>
      <c r="F1593" t="s">
        <v>44</v>
      </c>
      <c r="G1593" t="s">
        <v>2467</v>
      </c>
      <c r="H1593" t="s">
        <v>22</v>
      </c>
      <c r="I1593" t="s">
        <v>110</v>
      </c>
      <c r="J1593" t="s">
        <v>11128</v>
      </c>
      <c r="K1593">
        <v>27</v>
      </c>
      <c r="L1593" t="s">
        <v>49</v>
      </c>
      <c r="M1593" t="s">
        <v>130</v>
      </c>
      <c r="N1593" t="s">
        <v>84</v>
      </c>
      <c r="O1593" t="s">
        <v>28</v>
      </c>
      <c r="P1593" t="s">
        <v>31</v>
      </c>
      <c r="Q1593">
        <v>0</v>
      </c>
      <c r="R1593" t="s">
        <v>12883</v>
      </c>
      <c r="S1593" t="s">
        <v>12889</v>
      </c>
    </row>
    <row r="1594" spans="1:19" x14ac:dyDescent="0.25">
      <c r="A1594" t="s">
        <v>12589</v>
      </c>
      <c r="B1594" s="1">
        <v>45875</v>
      </c>
      <c r="C1594" t="s">
        <v>12893</v>
      </c>
      <c r="D1594" s="5">
        <v>0.55112268518518515</v>
      </c>
      <c r="E1594">
        <v>92.27</v>
      </c>
      <c r="F1594" t="s">
        <v>44</v>
      </c>
      <c r="G1594" t="s">
        <v>2712</v>
      </c>
      <c r="H1594" t="s">
        <v>96</v>
      </c>
      <c r="I1594" t="s">
        <v>26</v>
      </c>
      <c r="J1594" t="s">
        <v>12590</v>
      </c>
      <c r="K1594">
        <v>61</v>
      </c>
      <c r="L1594" t="s">
        <v>49</v>
      </c>
      <c r="M1594" t="s">
        <v>248</v>
      </c>
      <c r="N1594" t="s">
        <v>112</v>
      </c>
      <c r="O1594" t="s">
        <v>28</v>
      </c>
      <c r="P1594" t="s">
        <v>31</v>
      </c>
      <c r="Q1594">
        <v>0</v>
      </c>
      <c r="R1594" t="s">
        <v>12883</v>
      </c>
      <c r="S1594" t="s">
        <v>12884</v>
      </c>
    </row>
    <row r="1595" spans="1:19" x14ac:dyDescent="0.25">
      <c r="A1595" t="s">
        <v>9674</v>
      </c>
      <c r="B1595" s="1">
        <v>45908</v>
      </c>
      <c r="C1595" t="s">
        <v>12882</v>
      </c>
      <c r="D1595" s="5">
        <v>0.34490740740740738</v>
      </c>
      <c r="E1595">
        <v>92.16</v>
      </c>
      <c r="F1595" t="s">
        <v>44</v>
      </c>
      <c r="G1595" t="s">
        <v>3681</v>
      </c>
      <c r="H1595" t="s">
        <v>57</v>
      </c>
      <c r="I1595" t="s">
        <v>26</v>
      </c>
      <c r="J1595" t="s">
        <v>1220</v>
      </c>
      <c r="K1595">
        <v>60</v>
      </c>
      <c r="L1595" t="s">
        <v>37</v>
      </c>
      <c r="M1595" t="s">
        <v>248</v>
      </c>
      <c r="N1595" t="s">
        <v>27</v>
      </c>
      <c r="O1595" t="s">
        <v>28</v>
      </c>
      <c r="P1595" t="s">
        <v>31</v>
      </c>
      <c r="Q1595">
        <v>0</v>
      </c>
      <c r="R1595" t="s">
        <v>12883</v>
      </c>
      <c r="S1595" t="s">
        <v>12884</v>
      </c>
    </row>
    <row r="1596" spans="1:19" x14ac:dyDescent="0.25">
      <c r="A1596" t="s">
        <v>2125</v>
      </c>
      <c r="B1596" s="1">
        <v>45877</v>
      </c>
      <c r="C1596" t="s">
        <v>12893</v>
      </c>
      <c r="D1596" s="5">
        <v>0.88523148148148145</v>
      </c>
      <c r="E1596">
        <v>92.11</v>
      </c>
      <c r="F1596" t="s">
        <v>44</v>
      </c>
      <c r="G1596" t="s">
        <v>2126</v>
      </c>
      <c r="H1596" t="s">
        <v>89</v>
      </c>
      <c r="I1596" t="s">
        <v>130</v>
      </c>
      <c r="J1596" t="s">
        <v>2127</v>
      </c>
      <c r="K1596">
        <v>67</v>
      </c>
      <c r="L1596" t="s">
        <v>49</v>
      </c>
      <c r="M1596" t="s">
        <v>50</v>
      </c>
      <c r="N1596" t="s">
        <v>51</v>
      </c>
      <c r="O1596" t="s">
        <v>28</v>
      </c>
      <c r="P1596" t="s">
        <v>31</v>
      </c>
      <c r="Q1596">
        <v>0</v>
      </c>
      <c r="R1596" t="s">
        <v>12883</v>
      </c>
      <c r="S1596" t="s">
        <v>12884</v>
      </c>
    </row>
    <row r="1597" spans="1:19" x14ac:dyDescent="0.25">
      <c r="A1597" t="s">
        <v>7217</v>
      </c>
      <c r="B1597" s="1">
        <v>45853</v>
      </c>
      <c r="C1597" t="s">
        <v>12885</v>
      </c>
      <c r="D1597" s="5">
        <v>0.13622685185185185</v>
      </c>
      <c r="E1597">
        <v>91.94</v>
      </c>
      <c r="F1597" t="s">
        <v>44</v>
      </c>
      <c r="G1597" t="s">
        <v>4556</v>
      </c>
      <c r="H1597" t="s">
        <v>64</v>
      </c>
      <c r="I1597" t="s">
        <v>35</v>
      </c>
      <c r="J1597" t="s">
        <v>7218</v>
      </c>
      <c r="K1597">
        <v>46</v>
      </c>
      <c r="L1597" t="s">
        <v>25</v>
      </c>
      <c r="M1597" t="s">
        <v>130</v>
      </c>
      <c r="N1597" t="s">
        <v>51</v>
      </c>
      <c r="O1597" t="s">
        <v>28</v>
      </c>
      <c r="P1597" t="s">
        <v>31</v>
      </c>
      <c r="Q1597">
        <v>0</v>
      </c>
      <c r="R1597" t="s">
        <v>12883</v>
      </c>
      <c r="S1597" t="s">
        <v>12886</v>
      </c>
    </row>
    <row r="1598" spans="1:19" x14ac:dyDescent="0.25">
      <c r="A1598" t="s">
        <v>9410</v>
      </c>
      <c r="B1598" s="1">
        <v>45790</v>
      </c>
      <c r="C1598" t="s">
        <v>12887</v>
      </c>
      <c r="D1598" s="5">
        <v>0.35072916666666665</v>
      </c>
      <c r="E1598">
        <v>91.85</v>
      </c>
      <c r="F1598" t="s">
        <v>44</v>
      </c>
      <c r="G1598" t="s">
        <v>1267</v>
      </c>
      <c r="H1598" t="s">
        <v>77</v>
      </c>
      <c r="I1598" t="s">
        <v>38</v>
      </c>
      <c r="J1598" t="s">
        <v>9411</v>
      </c>
      <c r="K1598">
        <v>32</v>
      </c>
      <c r="L1598" t="s">
        <v>25</v>
      </c>
      <c r="M1598" t="s">
        <v>23</v>
      </c>
      <c r="N1598" t="s">
        <v>112</v>
      </c>
      <c r="O1598" t="s">
        <v>28</v>
      </c>
      <c r="P1598" t="s">
        <v>31</v>
      </c>
      <c r="Q1598">
        <v>0</v>
      </c>
      <c r="R1598" t="s">
        <v>12883</v>
      </c>
      <c r="S1598" t="s">
        <v>12889</v>
      </c>
    </row>
    <row r="1599" spans="1:19" x14ac:dyDescent="0.25">
      <c r="A1599" t="s">
        <v>7686</v>
      </c>
      <c r="B1599" s="1">
        <v>45787</v>
      </c>
      <c r="C1599" t="s">
        <v>12887</v>
      </c>
      <c r="D1599" s="5">
        <v>0.95817129629629627</v>
      </c>
      <c r="E1599">
        <v>91.79</v>
      </c>
      <c r="F1599" t="s">
        <v>44</v>
      </c>
      <c r="G1599" t="s">
        <v>3418</v>
      </c>
      <c r="H1599" t="s">
        <v>64</v>
      </c>
      <c r="I1599" t="s">
        <v>35</v>
      </c>
      <c r="J1599" t="s">
        <v>7687</v>
      </c>
      <c r="K1599">
        <v>56</v>
      </c>
      <c r="L1599" t="s">
        <v>49</v>
      </c>
      <c r="M1599" t="s">
        <v>119</v>
      </c>
      <c r="N1599" t="s">
        <v>27</v>
      </c>
      <c r="O1599" t="s">
        <v>28</v>
      </c>
      <c r="P1599" t="s">
        <v>31</v>
      </c>
      <c r="Q1599">
        <v>1</v>
      </c>
      <c r="R1599" t="s">
        <v>12891</v>
      </c>
      <c r="S1599" t="s">
        <v>12886</v>
      </c>
    </row>
    <row r="1600" spans="1:19" x14ac:dyDescent="0.25">
      <c r="A1600" t="s">
        <v>10710</v>
      </c>
      <c r="B1600" s="1">
        <v>45850</v>
      </c>
      <c r="C1600" t="s">
        <v>12885</v>
      </c>
      <c r="D1600" s="5">
        <v>0.95600694444444445</v>
      </c>
      <c r="E1600">
        <v>91.67</v>
      </c>
      <c r="F1600" t="s">
        <v>44</v>
      </c>
      <c r="G1600" t="s">
        <v>9007</v>
      </c>
      <c r="H1600" t="s">
        <v>46</v>
      </c>
      <c r="I1600" t="s">
        <v>130</v>
      </c>
      <c r="J1600" t="s">
        <v>10711</v>
      </c>
      <c r="K1600">
        <v>41</v>
      </c>
      <c r="L1600" t="s">
        <v>49</v>
      </c>
      <c r="M1600" t="s">
        <v>119</v>
      </c>
      <c r="N1600" t="s">
        <v>27</v>
      </c>
      <c r="O1600" t="s">
        <v>28</v>
      </c>
      <c r="P1600" t="s">
        <v>31</v>
      </c>
      <c r="Q1600">
        <v>0</v>
      </c>
      <c r="R1600" t="s">
        <v>12883</v>
      </c>
      <c r="S1600" t="s">
        <v>12886</v>
      </c>
    </row>
    <row r="1601" spans="1:19" x14ac:dyDescent="0.25">
      <c r="A1601" t="s">
        <v>3923</v>
      </c>
      <c r="B1601" s="1">
        <v>45893</v>
      </c>
      <c r="C1601" t="s">
        <v>12893</v>
      </c>
      <c r="D1601" s="5">
        <v>0.26870370370370372</v>
      </c>
      <c r="E1601">
        <v>91.61</v>
      </c>
      <c r="F1601" t="s">
        <v>44</v>
      </c>
      <c r="G1601" t="s">
        <v>3924</v>
      </c>
      <c r="H1601" t="s">
        <v>96</v>
      </c>
      <c r="I1601" t="s">
        <v>66</v>
      </c>
      <c r="J1601" t="s">
        <v>3925</v>
      </c>
      <c r="K1601">
        <v>72</v>
      </c>
      <c r="L1601" t="s">
        <v>49</v>
      </c>
      <c r="M1601" t="s">
        <v>47</v>
      </c>
      <c r="N1601" t="s">
        <v>27</v>
      </c>
      <c r="O1601" t="s">
        <v>28</v>
      </c>
      <c r="P1601" t="s">
        <v>31</v>
      </c>
      <c r="Q1601">
        <v>0</v>
      </c>
      <c r="R1601" t="s">
        <v>12883</v>
      </c>
      <c r="S1601" t="s">
        <v>12884</v>
      </c>
    </row>
    <row r="1602" spans="1:19" x14ac:dyDescent="0.25">
      <c r="A1602" t="s">
        <v>3384</v>
      </c>
      <c r="B1602" s="1">
        <v>45904</v>
      </c>
      <c r="C1602" t="s">
        <v>12882</v>
      </c>
      <c r="D1602" s="5">
        <v>0.52332175925925928</v>
      </c>
      <c r="E1602">
        <v>91.54</v>
      </c>
      <c r="F1602" t="s">
        <v>44</v>
      </c>
      <c r="G1602" t="s">
        <v>3385</v>
      </c>
      <c r="H1602" t="s">
        <v>22</v>
      </c>
      <c r="I1602" t="s">
        <v>38</v>
      </c>
      <c r="J1602" t="s">
        <v>3386</v>
      </c>
      <c r="K1602">
        <v>50</v>
      </c>
      <c r="L1602" t="s">
        <v>37</v>
      </c>
      <c r="M1602" t="s">
        <v>97</v>
      </c>
      <c r="N1602" t="s">
        <v>27</v>
      </c>
      <c r="O1602" t="s">
        <v>28</v>
      </c>
      <c r="P1602" t="s">
        <v>31</v>
      </c>
      <c r="Q1602">
        <v>0</v>
      </c>
      <c r="R1602" t="s">
        <v>12883</v>
      </c>
      <c r="S1602" t="s">
        <v>12886</v>
      </c>
    </row>
    <row r="1603" spans="1:19" x14ac:dyDescent="0.25">
      <c r="A1603" t="s">
        <v>1915</v>
      </c>
      <c r="B1603" s="1">
        <v>45799</v>
      </c>
      <c r="C1603" t="s">
        <v>12887</v>
      </c>
      <c r="D1603" s="5">
        <v>0.75745370370370368</v>
      </c>
      <c r="E1603">
        <v>91.48</v>
      </c>
      <c r="F1603" t="s">
        <v>44</v>
      </c>
      <c r="G1603" t="s">
        <v>1916</v>
      </c>
      <c r="H1603" t="s">
        <v>46</v>
      </c>
      <c r="I1603" t="s">
        <v>50</v>
      </c>
      <c r="J1603" t="s">
        <v>1917</v>
      </c>
      <c r="K1603">
        <v>65</v>
      </c>
      <c r="L1603" t="s">
        <v>25</v>
      </c>
      <c r="M1603" t="s">
        <v>50</v>
      </c>
      <c r="N1603" t="s">
        <v>84</v>
      </c>
      <c r="O1603" t="s">
        <v>113</v>
      </c>
      <c r="P1603" t="s">
        <v>31</v>
      </c>
      <c r="Q1603">
        <v>0</v>
      </c>
      <c r="R1603" t="s">
        <v>12883</v>
      </c>
      <c r="S1603" t="s">
        <v>12884</v>
      </c>
    </row>
    <row r="1604" spans="1:19" x14ac:dyDescent="0.25">
      <c r="A1604" t="s">
        <v>2611</v>
      </c>
      <c r="B1604" s="1">
        <v>45792</v>
      </c>
      <c r="C1604" t="s">
        <v>12887</v>
      </c>
      <c r="D1604" s="5">
        <v>0.17650462962962962</v>
      </c>
      <c r="E1604">
        <v>91.48</v>
      </c>
      <c r="F1604" t="s">
        <v>44</v>
      </c>
      <c r="G1604" t="s">
        <v>2612</v>
      </c>
      <c r="H1604" t="s">
        <v>57</v>
      </c>
      <c r="I1604" t="s">
        <v>119</v>
      </c>
      <c r="J1604" t="s">
        <v>2613</v>
      </c>
      <c r="K1604">
        <v>41</v>
      </c>
      <c r="L1604" t="s">
        <v>25</v>
      </c>
      <c r="M1604" t="s">
        <v>110</v>
      </c>
      <c r="N1604" t="s">
        <v>27</v>
      </c>
      <c r="O1604" t="s">
        <v>28</v>
      </c>
      <c r="P1604" t="s">
        <v>31</v>
      </c>
      <c r="Q1604">
        <v>0</v>
      </c>
      <c r="R1604" t="s">
        <v>12883</v>
      </c>
      <c r="S1604" t="s">
        <v>12886</v>
      </c>
    </row>
    <row r="1605" spans="1:19" x14ac:dyDescent="0.25">
      <c r="A1605" t="s">
        <v>10697</v>
      </c>
      <c r="B1605" s="1">
        <v>45795</v>
      </c>
      <c r="C1605" t="s">
        <v>12887</v>
      </c>
      <c r="D1605" s="5">
        <v>0.45902777777777776</v>
      </c>
      <c r="E1605">
        <v>91.47</v>
      </c>
      <c r="F1605" t="s">
        <v>44</v>
      </c>
      <c r="G1605" t="s">
        <v>8686</v>
      </c>
      <c r="H1605" t="s">
        <v>71</v>
      </c>
      <c r="I1605" t="s">
        <v>47</v>
      </c>
      <c r="J1605" t="s">
        <v>10698</v>
      </c>
      <c r="K1605">
        <v>71</v>
      </c>
      <c r="L1605" t="s">
        <v>25</v>
      </c>
      <c r="M1605" t="s">
        <v>23</v>
      </c>
      <c r="N1605" t="s">
        <v>27</v>
      </c>
      <c r="O1605" t="s">
        <v>28</v>
      </c>
      <c r="P1605" t="s">
        <v>31</v>
      </c>
      <c r="Q1605">
        <v>0</v>
      </c>
      <c r="R1605" t="s">
        <v>12883</v>
      </c>
      <c r="S1605" t="s">
        <v>12884</v>
      </c>
    </row>
    <row r="1606" spans="1:19" x14ac:dyDescent="0.25">
      <c r="A1606" t="s">
        <v>11206</v>
      </c>
      <c r="B1606" s="1">
        <v>45788</v>
      </c>
      <c r="C1606" t="s">
        <v>12887</v>
      </c>
      <c r="D1606" s="5">
        <v>0.98290509259259262</v>
      </c>
      <c r="E1606">
        <v>91.47</v>
      </c>
      <c r="F1606" t="s">
        <v>44</v>
      </c>
      <c r="G1606" t="s">
        <v>1321</v>
      </c>
      <c r="H1606" t="s">
        <v>96</v>
      </c>
      <c r="I1606" t="s">
        <v>130</v>
      </c>
      <c r="J1606" t="s">
        <v>11207</v>
      </c>
      <c r="K1606">
        <v>65</v>
      </c>
      <c r="L1606" t="s">
        <v>49</v>
      </c>
      <c r="M1606" t="s">
        <v>58</v>
      </c>
      <c r="N1606" t="s">
        <v>105</v>
      </c>
      <c r="O1606" t="s">
        <v>28</v>
      </c>
      <c r="P1606" t="s">
        <v>31</v>
      </c>
      <c r="Q1606">
        <v>0</v>
      </c>
      <c r="R1606" t="s">
        <v>12883</v>
      </c>
      <c r="S1606" t="s">
        <v>12884</v>
      </c>
    </row>
    <row r="1607" spans="1:19" x14ac:dyDescent="0.25">
      <c r="A1607" t="s">
        <v>12048</v>
      </c>
      <c r="B1607" s="1">
        <v>45925</v>
      </c>
      <c r="C1607" t="s">
        <v>12882</v>
      </c>
      <c r="D1607" s="5">
        <v>0.88072916666666667</v>
      </c>
      <c r="E1607">
        <v>91.26</v>
      </c>
      <c r="F1607" t="s">
        <v>44</v>
      </c>
      <c r="G1607" t="s">
        <v>56</v>
      </c>
      <c r="H1607" t="s">
        <v>34</v>
      </c>
      <c r="I1607" t="s">
        <v>91</v>
      </c>
      <c r="J1607" t="s">
        <v>12049</v>
      </c>
      <c r="K1607">
        <v>43</v>
      </c>
      <c r="L1607" t="s">
        <v>37</v>
      </c>
      <c r="M1607" t="s">
        <v>38</v>
      </c>
      <c r="N1607" t="s">
        <v>112</v>
      </c>
      <c r="O1607" t="s">
        <v>28</v>
      </c>
      <c r="P1607" t="s">
        <v>31</v>
      </c>
      <c r="Q1607">
        <v>0</v>
      </c>
      <c r="R1607" t="s">
        <v>12883</v>
      </c>
      <c r="S1607" t="s">
        <v>12886</v>
      </c>
    </row>
    <row r="1608" spans="1:19" x14ac:dyDescent="0.25">
      <c r="A1608" t="s">
        <v>7580</v>
      </c>
      <c r="B1608" s="1">
        <v>45798</v>
      </c>
      <c r="C1608" t="s">
        <v>12887</v>
      </c>
      <c r="D1608" s="5">
        <v>0.6713541666666667</v>
      </c>
      <c r="E1608">
        <v>91.23</v>
      </c>
      <c r="F1608" t="s">
        <v>44</v>
      </c>
      <c r="G1608" t="s">
        <v>7581</v>
      </c>
      <c r="H1608" t="s">
        <v>89</v>
      </c>
      <c r="I1608" t="s">
        <v>130</v>
      </c>
      <c r="J1608" t="s">
        <v>7582</v>
      </c>
      <c r="K1608">
        <v>51</v>
      </c>
      <c r="L1608" t="s">
        <v>49</v>
      </c>
      <c r="M1608" t="s">
        <v>58</v>
      </c>
      <c r="N1608" t="s">
        <v>84</v>
      </c>
      <c r="O1608" t="s">
        <v>28</v>
      </c>
      <c r="P1608" t="s">
        <v>31</v>
      </c>
      <c r="Q1608">
        <v>0</v>
      </c>
      <c r="R1608" t="s">
        <v>12883</v>
      </c>
      <c r="S1608" t="s">
        <v>12886</v>
      </c>
    </row>
    <row r="1609" spans="1:19" x14ac:dyDescent="0.25">
      <c r="A1609" t="s">
        <v>6816</v>
      </c>
      <c r="B1609" s="1">
        <v>45785</v>
      </c>
      <c r="C1609" t="s">
        <v>12887</v>
      </c>
      <c r="D1609" s="5">
        <v>0.34239583333333334</v>
      </c>
      <c r="E1609">
        <v>91.22</v>
      </c>
      <c r="F1609" t="s">
        <v>44</v>
      </c>
      <c r="G1609" t="s">
        <v>6546</v>
      </c>
      <c r="H1609" t="s">
        <v>57</v>
      </c>
      <c r="I1609" t="s">
        <v>130</v>
      </c>
      <c r="J1609" t="s">
        <v>6817</v>
      </c>
      <c r="K1609">
        <v>40</v>
      </c>
      <c r="L1609" t="s">
        <v>37</v>
      </c>
      <c r="M1609" t="s">
        <v>110</v>
      </c>
      <c r="N1609" t="s">
        <v>27</v>
      </c>
      <c r="O1609" t="s">
        <v>28</v>
      </c>
      <c r="P1609" t="s">
        <v>31</v>
      </c>
      <c r="Q1609">
        <v>0</v>
      </c>
      <c r="R1609" t="s">
        <v>12883</v>
      </c>
      <c r="S1609" t="s">
        <v>12886</v>
      </c>
    </row>
    <row r="1610" spans="1:19" x14ac:dyDescent="0.25">
      <c r="A1610" t="s">
        <v>4499</v>
      </c>
      <c r="B1610" s="1">
        <v>45844</v>
      </c>
      <c r="C1610" t="s">
        <v>12885</v>
      </c>
      <c r="D1610" s="5">
        <v>0.64784722222222224</v>
      </c>
      <c r="E1610">
        <v>91.15</v>
      </c>
      <c r="F1610" t="s">
        <v>44</v>
      </c>
      <c r="G1610" t="s">
        <v>1543</v>
      </c>
      <c r="H1610" t="s">
        <v>57</v>
      </c>
      <c r="I1610" t="s">
        <v>38</v>
      </c>
      <c r="J1610" t="s">
        <v>4500</v>
      </c>
      <c r="K1610">
        <v>67</v>
      </c>
      <c r="L1610" t="s">
        <v>37</v>
      </c>
      <c r="M1610" t="s">
        <v>47</v>
      </c>
      <c r="N1610" t="s">
        <v>27</v>
      </c>
      <c r="O1610" t="s">
        <v>28</v>
      </c>
      <c r="P1610" t="s">
        <v>31</v>
      </c>
      <c r="Q1610">
        <v>0</v>
      </c>
      <c r="R1610" t="s">
        <v>12883</v>
      </c>
      <c r="S1610" t="s">
        <v>12884</v>
      </c>
    </row>
    <row r="1611" spans="1:19" x14ac:dyDescent="0.25">
      <c r="A1611" t="s">
        <v>8501</v>
      </c>
      <c r="B1611" s="1">
        <v>45867</v>
      </c>
      <c r="C1611" t="s">
        <v>12885</v>
      </c>
      <c r="D1611" s="5">
        <v>0.85898148148148146</v>
      </c>
      <c r="E1611">
        <v>90.92</v>
      </c>
      <c r="F1611" t="s">
        <v>44</v>
      </c>
      <c r="G1611" t="s">
        <v>2640</v>
      </c>
      <c r="H1611" t="s">
        <v>64</v>
      </c>
      <c r="I1611" t="s">
        <v>47</v>
      </c>
      <c r="J1611" t="s">
        <v>8502</v>
      </c>
      <c r="K1611">
        <v>45</v>
      </c>
      <c r="L1611" t="s">
        <v>25</v>
      </c>
      <c r="M1611" t="s">
        <v>91</v>
      </c>
      <c r="N1611" t="s">
        <v>112</v>
      </c>
      <c r="O1611" t="s">
        <v>28</v>
      </c>
      <c r="P1611" t="s">
        <v>31</v>
      </c>
      <c r="Q1611">
        <v>0</v>
      </c>
      <c r="R1611" t="s">
        <v>12883</v>
      </c>
      <c r="S1611" t="s">
        <v>12886</v>
      </c>
    </row>
    <row r="1612" spans="1:19" x14ac:dyDescent="0.25">
      <c r="A1612" t="s">
        <v>4080</v>
      </c>
      <c r="B1612" s="1">
        <v>45832</v>
      </c>
      <c r="C1612" t="s">
        <v>12888</v>
      </c>
      <c r="D1612" s="5">
        <v>0.10658564814814815</v>
      </c>
      <c r="E1612">
        <v>90.58</v>
      </c>
      <c r="F1612" t="s">
        <v>44</v>
      </c>
      <c r="G1612" t="s">
        <v>4081</v>
      </c>
      <c r="H1612" t="s">
        <v>124</v>
      </c>
      <c r="I1612" t="s">
        <v>50</v>
      </c>
      <c r="J1612" t="s">
        <v>4082</v>
      </c>
      <c r="K1612">
        <v>20</v>
      </c>
      <c r="L1612" t="s">
        <v>49</v>
      </c>
      <c r="M1612" t="s">
        <v>35</v>
      </c>
      <c r="N1612" t="s">
        <v>112</v>
      </c>
      <c r="O1612" t="s">
        <v>28</v>
      </c>
      <c r="P1612" t="s">
        <v>31</v>
      </c>
      <c r="Q1612">
        <v>0</v>
      </c>
      <c r="R1612" t="s">
        <v>12883</v>
      </c>
      <c r="S1612" t="s">
        <v>12892</v>
      </c>
    </row>
    <row r="1613" spans="1:19" x14ac:dyDescent="0.25">
      <c r="A1613" t="s">
        <v>12737</v>
      </c>
      <c r="B1613" s="1">
        <v>45793</v>
      </c>
      <c r="C1613" t="s">
        <v>12887</v>
      </c>
      <c r="D1613" s="5">
        <v>0.56535879629629626</v>
      </c>
      <c r="E1613">
        <v>90.56</v>
      </c>
      <c r="F1613" t="s">
        <v>44</v>
      </c>
      <c r="G1613" t="s">
        <v>1017</v>
      </c>
      <c r="H1613" t="s">
        <v>64</v>
      </c>
      <c r="I1613" t="s">
        <v>58</v>
      </c>
      <c r="J1613" t="s">
        <v>12738</v>
      </c>
      <c r="K1613">
        <v>44</v>
      </c>
      <c r="L1613" t="s">
        <v>37</v>
      </c>
      <c r="M1613" t="s">
        <v>58</v>
      </c>
      <c r="N1613" t="s">
        <v>112</v>
      </c>
      <c r="O1613" t="s">
        <v>113</v>
      </c>
      <c r="P1613" t="s">
        <v>31</v>
      </c>
      <c r="Q1613">
        <v>0</v>
      </c>
      <c r="R1613" t="s">
        <v>12883</v>
      </c>
      <c r="S1613" t="s">
        <v>12886</v>
      </c>
    </row>
    <row r="1614" spans="1:19" x14ac:dyDescent="0.25">
      <c r="A1614" t="s">
        <v>7537</v>
      </c>
      <c r="B1614" s="1">
        <v>45871</v>
      </c>
      <c r="C1614" t="s">
        <v>12893</v>
      </c>
      <c r="D1614" s="5">
        <v>0.6215046296296296</v>
      </c>
      <c r="E1614">
        <v>90.42</v>
      </c>
      <c r="F1614" t="s">
        <v>44</v>
      </c>
      <c r="G1614" t="s">
        <v>5913</v>
      </c>
      <c r="H1614" t="s">
        <v>96</v>
      </c>
      <c r="I1614" t="s">
        <v>35</v>
      </c>
      <c r="J1614" t="s">
        <v>7538</v>
      </c>
      <c r="K1614">
        <v>118</v>
      </c>
      <c r="L1614" t="s">
        <v>49</v>
      </c>
      <c r="M1614" t="s">
        <v>26</v>
      </c>
      <c r="N1614" t="s">
        <v>51</v>
      </c>
      <c r="O1614" t="s">
        <v>28</v>
      </c>
      <c r="P1614" t="s">
        <v>31</v>
      </c>
      <c r="Q1614">
        <v>0</v>
      </c>
      <c r="R1614" t="s">
        <v>12883</v>
      </c>
      <c r="S1614" t="s">
        <v>12884</v>
      </c>
    </row>
    <row r="1615" spans="1:19" x14ac:dyDescent="0.25">
      <c r="A1615" t="s">
        <v>8350</v>
      </c>
      <c r="B1615" s="1">
        <v>45910</v>
      </c>
      <c r="C1615" t="s">
        <v>12882</v>
      </c>
      <c r="D1615" s="5">
        <v>0.21553240740740739</v>
      </c>
      <c r="E1615">
        <v>90.34</v>
      </c>
      <c r="F1615" t="s">
        <v>44</v>
      </c>
      <c r="G1615" t="s">
        <v>888</v>
      </c>
      <c r="H1615" t="s">
        <v>22</v>
      </c>
      <c r="I1615" t="s">
        <v>38</v>
      </c>
      <c r="J1615" t="s">
        <v>8351</v>
      </c>
      <c r="K1615">
        <v>46</v>
      </c>
      <c r="L1615" t="s">
        <v>25</v>
      </c>
      <c r="M1615" t="s">
        <v>26</v>
      </c>
      <c r="N1615" t="s">
        <v>112</v>
      </c>
      <c r="O1615" t="s">
        <v>28</v>
      </c>
      <c r="P1615" t="s">
        <v>31</v>
      </c>
      <c r="Q1615">
        <v>0</v>
      </c>
      <c r="R1615" t="s">
        <v>12883</v>
      </c>
      <c r="S1615" t="s">
        <v>12886</v>
      </c>
    </row>
    <row r="1616" spans="1:19" x14ac:dyDescent="0.25">
      <c r="A1616" t="s">
        <v>8662</v>
      </c>
      <c r="B1616" s="1">
        <v>45841</v>
      </c>
      <c r="C1616" t="s">
        <v>12885</v>
      </c>
      <c r="D1616" s="5">
        <v>0.48572916666666666</v>
      </c>
      <c r="E1616">
        <v>90.26</v>
      </c>
      <c r="F1616" t="s">
        <v>44</v>
      </c>
      <c r="G1616" t="s">
        <v>447</v>
      </c>
      <c r="H1616" t="s">
        <v>71</v>
      </c>
      <c r="I1616" t="s">
        <v>50</v>
      </c>
      <c r="J1616" t="s">
        <v>8663</v>
      </c>
      <c r="K1616">
        <v>26</v>
      </c>
      <c r="L1616" t="s">
        <v>25</v>
      </c>
      <c r="M1616" t="s">
        <v>26</v>
      </c>
      <c r="N1616" t="s">
        <v>51</v>
      </c>
      <c r="O1616" t="s">
        <v>28</v>
      </c>
      <c r="P1616" t="s">
        <v>31</v>
      </c>
      <c r="Q1616">
        <v>0</v>
      </c>
      <c r="R1616" t="s">
        <v>12883</v>
      </c>
      <c r="S1616" t="s">
        <v>12889</v>
      </c>
    </row>
    <row r="1617" spans="1:19" x14ac:dyDescent="0.25">
      <c r="A1617" t="s">
        <v>2730</v>
      </c>
      <c r="B1617" s="1">
        <v>45894</v>
      </c>
      <c r="C1617" t="s">
        <v>12893</v>
      </c>
      <c r="D1617" s="5">
        <v>0.79309027777777774</v>
      </c>
      <c r="E1617">
        <v>90.22</v>
      </c>
      <c r="F1617" t="s">
        <v>44</v>
      </c>
      <c r="G1617" t="s">
        <v>33</v>
      </c>
      <c r="H1617" t="s">
        <v>64</v>
      </c>
      <c r="I1617" t="s">
        <v>110</v>
      </c>
      <c r="J1617" t="s">
        <v>2731</v>
      </c>
      <c r="K1617">
        <v>25</v>
      </c>
      <c r="L1617" t="s">
        <v>25</v>
      </c>
      <c r="M1617" t="s">
        <v>38</v>
      </c>
      <c r="N1617" t="s">
        <v>112</v>
      </c>
      <c r="O1617" t="s">
        <v>28</v>
      </c>
      <c r="P1617" t="s">
        <v>31</v>
      </c>
      <c r="Q1617">
        <v>0</v>
      </c>
      <c r="R1617" t="s">
        <v>12883</v>
      </c>
      <c r="S1617" t="s">
        <v>12889</v>
      </c>
    </row>
    <row r="1618" spans="1:19" x14ac:dyDescent="0.25">
      <c r="A1618" t="s">
        <v>128</v>
      </c>
      <c r="B1618" s="1">
        <v>45946</v>
      </c>
      <c r="C1618" t="s">
        <v>12890</v>
      </c>
      <c r="D1618" s="5">
        <v>0.6413078703703704</v>
      </c>
      <c r="E1618">
        <v>90.21</v>
      </c>
      <c r="F1618" t="s">
        <v>44</v>
      </c>
      <c r="G1618" t="s">
        <v>129</v>
      </c>
      <c r="H1618" t="s">
        <v>77</v>
      </c>
      <c r="I1618" t="s">
        <v>130</v>
      </c>
      <c r="J1618" t="s">
        <v>131</v>
      </c>
      <c r="K1618">
        <v>53</v>
      </c>
      <c r="L1618" t="s">
        <v>25</v>
      </c>
      <c r="M1618" t="s">
        <v>97</v>
      </c>
      <c r="N1618" t="s">
        <v>39</v>
      </c>
      <c r="O1618" t="s">
        <v>28</v>
      </c>
      <c r="P1618" t="s">
        <v>31</v>
      </c>
      <c r="Q1618">
        <v>1</v>
      </c>
      <c r="R1618" t="s">
        <v>12891</v>
      </c>
      <c r="S1618" t="s">
        <v>12886</v>
      </c>
    </row>
    <row r="1619" spans="1:19" x14ac:dyDescent="0.25">
      <c r="A1619" t="s">
        <v>12388</v>
      </c>
      <c r="B1619" s="1">
        <v>45943</v>
      </c>
      <c r="C1619" t="s">
        <v>12890</v>
      </c>
      <c r="D1619" s="5">
        <v>0.4914351851851852</v>
      </c>
      <c r="E1619">
        <v>90.11</v>
      </c>
      <c r="F1619" t="s">
        <v>44</v>
      </c>
      <c r="G1619" t="s">
        <v>4751</v>
      </c>
      <c r="H1619" t="s">
        <v>22</v>
      </c>
      <c r="I1619" t="s">
        <v>26</v>
      </c>
      <c r="J1619" t="s">
        <v>12389</v>
      </c>
      <c r="K1619">
        <v>56</v>
      </c>
      <c r="L1619" t="s">
        <v>25</v>
      </c>
      <c r="M1619" t="s">
        <v>26</v>
      </c>
      <c r="N1619" t="s">
        <v>51</v>
      </c>
      <c r="O1619" t="s">
        <v>113</v>
      </c>
      <c r="P1619" t="s">
        <v>31</v>
      </c>
      <c r="Q1619">
        <v>0</v>
      </c>
      <c r="R1619" t="s">
        <v>12883</v>
      </c>
      <c r="S1619" t="s">
        <v>12886</v>
      </c>
    </row>
    <row r="1620" spans="1:19" x14ac:dyDescent="0.25">
      <c r="A1620" t="s">
        <v>11159</v>
      </c>
      <c r="B1620" s="1">
        <v>45810</v>
      </c>
      <c r="C1620" t="s">
        <v>12888</v>
      </c>
      <c r="D1620" s="5">
        <v>0.11907407407407407</v>
      </c>
      <c r="E1620">
        <v>89.91</v>
      </c>
      <c r="F1620" t="s">
        <v>44</v>
      </c>
      <c r="G1620" t="s">
        <v>2075</v>
      </c>
      <c r="H1620" t="s">
        <v>89</v>
      </c>
      <c r="I1620" t="s">
        <v>130</v>
      </c>
      <c r="J1620" t="s">
        <v>11160</v>
      </c>
      <c r="K1620">
        <v>29</v>
      </c>
      <c r="L1620" t="s">
        <v>25</v>
      </c>
      <c r="M1620" t="s">
        <v>110</v>
      </c>
      <c r="N1620" t="s">
        <v>51</v>
      </c>
      <c r="O1620" t="s">
        <v>28</v>
      </c>
      <c r="P1620" t="s">
        <v>31</v>
      </c>
      <c r="Q1620">
        <v>0</v>
      </c>
      <c r="R1620" t="s">
        <v>12883</v>
      </c>
      <c r="S1620" t="s">
        <v>12889</v>
      </c>
    </row>
    <row r="1621" spans="1:19" x14ac:dyDescent="0.25">
      <c r="A1621" t="s">
        <v>9545</v>
      </c>
      <c r="B1621" s="1">
        <v>45836</v>
      </c>
      <c r="C1621" t="s">
        <v>12888</v>
      </c>
      <c r="D1621" s="5">
        <v>0.72292824074074069</v>
      </c>
      <c r="E1621">
        <v>89.9</v>
      </c>
      <c r="F1621" t="s">
        <v>44</v>
      </c>
      <c r="G1621" t="s">
        <v>5115</v>
      </c>
      <c r="H1621" t="s">
        <v>57</v>
      </c>
      <c r="I1621" t="s">
        <v>91</v>
      </c>
      <c r="J1621" t="s">
        <v>9546</v>
      </c>
      <c r="K1621">
        <v>22</v>
      </c>
      <c r="L1621" t="s">
        <v>49</v>
      </c>
      <c r="M1621" t="s">
        <v>248</v>
      </c>
      <c r="N1621" t="s">
        <v>27</v>
      </c>
      <c r="O1621" t="s">
        <v>28</v>
      </c>
      <c r="P1621" t="s">
        <v>31</v>
      </c>
      <c r="Q1621">
        <v>0</v>
      </c>
      <c r="R1621" t="s">
        <v>12883</v>
      </c>
      <c r="S1621" t="s">
        <v>12892</v>
      </c>
    </row>
    <row r="1622" spans="1:19" x14ac:dyDescent="0.25">
      <c r="A1622" t="s">
        <v>9697</v>
      </c>
      <c r="B1622" s="1">
        <v>45905</v>
      </c>
      <c r="C1622" t="s">
        <v>12882</v>
      </c>
      <c r="D1622" s="5">
        <v>0.25914351851851852</v>
      </c>
      <c r="E1622">
        <v>89.89</v>
      </c>
      <c r="F1622" t="s">
        <v>44</v>
      </c>
      <c r="G1622" t="s">
        <v>5045</v>
      </c>
      <c r="H1622" t="s">
        <v>89</v>
      </c>
      <c r="I1622" t="s">
        <v>50</v>
      </c>
      <c r="J1622" t="s">
        <v>9698</v>
      </c>
      <c r="K1622">
        <v>51</v>
      </c>
      <c r="L1622" t="s">
        <v>25</v>
      </c>
      <c r="M1622" t="s">
        <v>26</v>
      </c>
      <c r="N1622" t="s">
        <v>51</v>
      </c>
      <c r="O1622" t="s">
        <v>28</v>
      </c>
      <c r="P1622" t="s">
        <v>31</v>
      </c>
      <c r="Q1622">
        <v>0</v>
      </c>
      <c r="R1622" t="s">
        <v>12883</v>
      </c>
      <c r="S1622" t="s">
        <v>12886</v>
      </c>
    </row>
    <row r="1623" spans="1:19" x14ac:dyDescent="0.25">
      <c r="A1623" t="s">
        <v>3964</v>
      </c>
      <c r="B1623" s="1">
        <v>45786</v>
      </c>
      <c r="C1623" t="s">
        <v>12887</v>
      </c>
      <c r="D1623" s="5">
        <v>0.10234953703703703</v>
      </c>
      <c r="E1623">
        <v>89.88</v>
      </c>
      <c r="F1623" t="s">
        <v>44</v>
      </c>
      <c r="G1623" t="s">
        <v>3934</v>
      </c>
      <c r="H1623" t="s">
        <v>124</v>
      </c>
      <c r="I1623" t="s">
        <v>26</v>
      </c>
      <c r="J1623" t="s">
        <v>3965</v>
      </c>
      <c r="K1623">
        <v>46</v>
      </c>
      <c r="L1623" t="s">
        <v>37</v>
      </c>
      <c r="M1623" t="s">
        <v>50</v>
      </c>
      <c r="N1623" t="s">
        <v>84</v>
      </c>
      <c r="O1623" t="s">
        <v>28</v>
      </c>
      <c r="P1623" t="s">
        <v>31</v>
      </c>
      <c r="Q1623">
        <v>0</v>
      </c>
      <c r="R1623" t="s">
        <v>12883</v>
      </c>
      <c r="S1623" t="s">
        <v>12886</v>
      </c>
    </row>
    <row r="1624" spans="1:19" x14ac:dyDescent="0.25">
      <c r="A1624" t="s">
        <v>11068</v>
      </c>
      <c r="B1624" s="1">
        <v>45879</v>
      </c>
      <c r="C1624" t="s">
        <v>12893</v>
      </c>
      <c r="D1624" s="5">
        <v>0.11291666666666667</v>
      </c>
      <c r="E1624">
        <v>89.76</v>
      </c>
      <c r="F1624" t="s">
        <v>44</v>
      </c>
      <c r="G1624" t="s">
        <v>3279</v>
      </c>
      <c r="H1624" t="s">
        <v>64</v>
      </c>
      <c r="I1624" t="s">
        <v>58</v>
      </c>
      <c r="J1624" t="s">
        <v>11069</v>
      </c>
      <c r="K1624">
        <v>18</v>
      </c>
      <c r="L1624" t="s">
        <v>25</v>
      </c>
      <c r="M1624" t="s">
        <v>58</v>
      </c>
      <c r="N1624" t="s">
        <v>51</v>
      </c>
      <c r="O1624" t="s">
        <v>113</v>
      </c>
      <c r="P1624" t="s">
        <v>31</v>
      </c>
      <c r="Q1624">
        <v>0</v>
      </c>
      <c r="R1624" t="s">
        <v>12883</v>
      </c>
      <c r="S1624" t="s">
        <v>12892</v>
      </c>
    </row>
    <row r="1625" spans="1:19" x14ac:dyDescent="0.25">
      <c r="A1625" t="s">
        <v>3928</v>
      </c>
      <c r="B1625" s="1">
        <v>45855</v>
      </c>
      <c r="C1625" t="s">
        <v>12885</v>
      </c>
      <c r="D1625" s="5">
        <v>0.5926851851851852</v>
      </c>
      <c r="E1625">
        <v>89.72</v>
      </c>
      <c r="F1625" t="s">
        <v>44</v>
      </c>
      <c r="G1625" t="s">
        <v>3929</v>
      </c>
      <c r="H1625" t="s">
        <v>71</v>
      </c>
      <c r="I1625" t="s">
        <v>35</v>
      </c>
      <c r="J1625" t="s">
        <v>3930</v>
      </c>
      <c r="K1625">
        <v>54</v>
      </c>
      <c r="L1625" t="s">
        <v>25</v>
      </c>
      <c r="M1625" t="s">
        <v>58</v>
      </c>
      <c r="N1625" t="s">
        <v>105</v>
      </c>
      <c r="O1625" t="s">
        <v>28</v>
      </c>
      <c r="P1625" t="s">
        <v>31</v>
      </c>
      <c r="Q1625">
        <v>0</v>
      </c>
      <c r="R1625" t="s">
        <v>12883</v>
      </c>
      <c r="S1625" t="s">
        <v>12886</v>
      </c>
    </row>
    <row r="1626" spans="1:19" x14ac:dyDescent="0.25">
      <c r="A1626" t="s">
        <v>9871</v>
      </c>
      <c r="B1626" s="1">
        <v>45817</v>
      </c>
      <c r="C1626" t="s">
        <v>12888</v>
      </c>
      <c r="D1626" s="5">
        <v>0.63796296296296295</v>
      </c>
      <c r="E1626">
        <v>89.49</v>
      </c>
      <c r="F1626" t="s">
        <v>44</v>
      </c>
      <c r="G1626" t="s">
        <v>9872</v>
      </c>
      <c r="H1626" t="s">
        <v>57</v>
      </c>
      <c r="I1626" t="s">
        <v>97</v>
      </c>
      <c r="J1626" t="s">
        <v>9873</v>
      </c>
      <c r="K1626">
        <v>46</v>
      </c>
      <c r="L1626" t="s">
        <v>49</v>
      </c>
      <c r="M1626" t="s">
        <v>26</v>
      </c>
      <c r="N1626" t="s">
        <v>27</v>
      </c>
      <c r="O1626" t="s">
        <v>28</v>
      </c>
      <c r="P1626" t="s">
        <v>31</v>
      </c>
      <c r="Q1626">
        <v>0</v>
      </c>
      <c r="R1626" t="s">
        <v>12883</v>
      </c>
      <c r="S1626" t="s">
        <v>12886</v>
      </c>
    </row>
    <row r="1627" spans="1:19" x14ac:dyDescent="0.25">
      <c r="A1627" t="s">
        <v>12769</v>
      </c>
      <c r="B1627" s="1">
        <v>45954</v>
      </c>
      <c r="C1627" t="s">
        <v>12890</v>
      </c>
      <c r="D1627" s="5">
        <v>0.3067361111111111</v>
      </c>
      <c r="E1627">
        <v>89.27</v>
      </c>
      <c r="F1627" t="s">
        <v>44</v>
      </c>
      <c r="G1627" t="s">
        <v>6058</v>
      </c>
      <c r="H1627" t="s">
        <v>34</v>
      </c>
      <c r="I1627" t="s">
        <v>50</v>
      </c>
      <c r="J1627" t="s">
        <v>350</v>
      </c>
      <c r="K1627">
        <v>48</v>
      </c>
      <c r="L1627" t="s">
        <v>25</v>
      </c>
      <c r="M1627" t="s">
        <v>248</v>
      </c>
      <c r="N1627" t="s">
        <v>39</v>
      </c>
      <c r="O1627" t="s">
        <v>28</v>
      </c>
      <c r="P1627" t="s">
        <v>31</v>
      </c>
      <c r="Q1627">
        <v>0</v>
      </c>
      <c r="R1627" t="s">
        <v>12883</v>
      </c>
      <c r="S1627" t="s">
        <v>12886</v>
      </c>
    </row>
    <row r="1628" spans="1:19" x14ac:dyDescent="0.25">
      <c r="A1628" t="s">
        <v>3825</v>
      </c>
      <c r="B1628" s="1">
        <v>45905</v>
      </c>
      <c r="C1628" t="s">
        <v>12882</v>
      </c>
      <c r="D1628" s="5">
        <v>0.86195601851851855</v>
      </c>
      <c r="E1628">
        <v>89.02</v>
      </c>
      <c r="F1628" t="s">
        <v>44</v>
      </c>
      <c r="G1628" t="s">
        <v>3826</v>
      </c>
      <c r="H1628" t="s">
        <v>71</v>
      </c>
      <c r="I1628" t="s">
        <v>50</v>
      </c>
      <c r="J1628" t="s">
        <v>3827</v>
      </c>
      <c r="K1628">
        <v>43</v>
      </c>
      <c r="L1628" t="s">
        <v>37</v>
      </c>
      <c r="M1628" t="s">
        <v>50</v>
      </c>
      <c r="N1628" t="s">
        <v>105</v>
      </c>
      <c r="O1628" t="s">
        <v>113</v>
      </c>
      <c r="P1628" t="s">
        <v>31</v>
      </c>
      <c r="Q1628">
        <v>0</v>
      </c>
      <c r="R1628" t="s">
        <v>12883</v>
      </c>
      <c r="S1628" t="s">
        <v>12886</v>
      </c>
    </row>
    <row r="1629" spans="1:19" x14ac:dyDescent="0.25">
      <c r="A1629" t="s">
        <v>5241</v>
      </c>
      <c r="B1629" s="1">
        <v>45912</v>
      </c>
      <c r="C1629" t="s">
        <v>12882</v>
      </c>
      <c r="D1629" s="5">
        <v>0.2434837962962963</v>
      </c>
      <c r="E1629">
        <v>88.67</v>
      </c>
      <c r="F1629" t="s">
        <v>44</v>
      </c>
      <c r="G1629" t="s">
        <v>1911</v>
      </c>
      <c r="H1629" t="s">
        <v>71</v>
      </c>
      <c r="I1629" t="s">
        <v>23</v>
      </c>
      <c r="J1629" t="s">
        <v>5242</v>
      </c>
      <c r="K1629">
        <v>36</v>
      </c>
      <c r="L1629" t="s">
        <v>49</v>
      </c>
      <c r="M1629" t="s">
        <v>119</v>
      </c>
      <c r="N1629" t="s">
        <v>84</v>
      </c>
      <c r="O1629" t="s">
        <v>28</v>
      </c>
      <c r="P1629" t="s">
        <v>31</v>
      </c>
      <c r="Q1629">
        <v>0</v>
      </c>
      <c r="R1629" t="s">
        <v>12883</v>
      </c>
      <c r="S1629" t="s">
        <v>12889</v>
      </c>
    </row>
    <row r="1630" spans="1:19" x14ac:dyDescent="0.25">
      <c r="A1630" t="s">
        <v>8342</v>
      </c>
      <c r="B1630" s="1">
        <v>45807</v>
      </c>
      <c r="C1630" t="s">
        <v>12887</v>
      </c>
      <c r="D1630" s="5">
        <v>0.24189814814814814</v>
      </c>
      <c r="E1630">
        <v>88.62</v>
      </c>
      <c r="F1630" t="s">
        <v>44</v>
      </c>
      <c r="G1630" t="s">
        <v>1366</v>
      </c>
      <c r="H1630" t="s">
        <v>34</v>
      </c>
      <c r="I1630" t="s">
        <v>66</v>
      </c>
      <c r="J1630" t="s">
        <v>8343</v>
      </c>
      <c r="K1630">
        <v>72</v>
      </c>
      <c r="L1630" t="s">
        <v>49</v>
      </c>
      <c r="M1630" t="s">
        <v>110</v>
      </c>
      <c r="N1630" t="s">
        <v>27</v>
      </c>
      <c r="O1630" t="s">
        <v>28</v>
      </c>
      <c r="P1630" t="s">
        <v>31</v>
      </c>
      <c r="Q1630">
        <v>0</v>
      </c>
      <c r="R1630" t="s">
        <v>12883</v>
      </c>
      <c r="S1630" t="s">
        <v>12884</v>
      </c>
    </row>
    <row r="1631" spans="1:19" x14ac:dyDescent="0.25">
      <c r="A1631" t="s">
        <v>10850</v>
      </c>
      <c r="B1631" s="1">
        <v>45931</v>
      </c>
      <c r="C1631" t="s">
        <v>12890</v>
      </c>
      <c r="D1631" s="5">
        <v>0.21359953703703705</v>
      </c>
      <c r="E1631">
        <v>88.53</v>
      </c>
      <c r="F1631" t="s">
        <v>44</v>
      </c>
      <c r="G1631" t="s">
        <v>2176</v>
      </c>
      <c r="H1631" t="s">
        <v>96</v>
      </c>
      <c r="I1631" t="s">
        <v>35</v>
      </c>
      <c r="J1631" t="s">
        <v>10851</v>
      </c>
      <c r="K1631">
        <v>71</v>
      </c>
      <c r="L1631" t="s">
        <v>37</v>
      </c>
      <c r="M1631" t="s">
        <v>35</v>
      </c>
      <c r="N1631" t="s">
        <v>51</v>
      </c>
      <c r="O1631" t="s">
        <v>113</v>
      </c>
      <c r="P1631" t="s">
        <v>31</v>
      </c>
      <c r="Q1631">
        <v>0</v>
      </c>
      <c r="R1631" t="s">
        <v>12883</v>
      </c>
      <c r="S1631" t="s">
        <v>12884</v>
      </c>
    </row>
    <row r="1632" spans="1:19" x14ac:dyDescent="0.25">
      <c r="A1632" t="s">
        <v>8857</v>
      </c>
      <c r="B1632" s="1">
        <v>45892</v>
      </c>
      <c r="C1632" t="s">
        <v>12893</v>
      </c>
      <c r="D1632" s="5">
        <v>0.42542824074074076</v>
      </c>
      <c r="E1632">
        <v>88.48</v>
      </c>
      <c r="F1632" t="s">
        <v>44</v>
      </c>
      <c r="G1632" t="s">
        <v>5036</v>
      </c>
      <c r="H1632" t="s">
        <v>34</v>
      </c>
      <c r="I1632" t="s">
        <v>23</v>
      </c>
      <c r="J1632" t="s">
        <v>8858</v>
      </c>
      <c r="K1632">
        <v>63</v>
      </c>
      <c r="L1632" t="s">
        <v>49</v>
      </c>
      <c r="M1632" t="s">
        <v>130</v>
      </c>
      <c r="N1632" t="s">
        <v>105</v>
      </c>
      <c r="O1632" t="s">
        <v>28</v>
      </c>
      <c r="P1632" t="s">
        <v>31</v>
      </c>
      <c r="Q1632">
        <v>0</v>
      </c>
      <c r="R1632" t="s">
        <v>12883</v>
      </c>
      <c r="S1632" t="s">
        <v>12884</v>
      </c>
    </row>
    <row r="1633" spans="1:19" x14ac:dyDescent="0.25">
      <c r="A1633" t="s">
        <v>8787</v>
      </c>
      <c r="B1633" s="1">
        <v>45952</v>
      </c>
      <c r="C1633" t="s">
        <v>12890</v>
      </c>
      <c r="D1633" s="5">
        <v>0.97952546296296295</v>
      </c>
      <c r="E1633">
        <v>88.45</v>
      </c>
      <c r="F1633" t="s">
        <v>44</v>
      </c>
      <c r="G1633" t="s">
        <v>1553</v>
      </c>
      <c r="H1633" t="s">
        <v>34</v>
      </c>
      <c r="I1633" t="s">
        <v>50</v>
      </c>
      <c r="J1633" t="s">
        <v>4977</v>
      </c>
      <c r="K1633">
        <v>67</v>
      </c>
      <c r="L1633" t="s">
        <v>25</v>
      </c>
      <c r="M1633" t="s">
        <v>47</v>
      </c>
      <c r="N1633" t="s">
        <v>84</v>
      </c>
      <c r="O1633" t="s">
        <v>28</v>
      </c>
      <c r="P1633" t="s">
        <v>31</v>
      </c>
      <c r="Q1633">
        <v>0</v>
      </c>
      <c r="R1633" t="s">
        <v>12883</v>
      </c>
      <c r="S1633" t="s">
        <v>12884</v>
      </c>
    </row>
    <row r="1634" spans="1:19" x14ac:dyDescent="0.25">
      <c r="A1634" t="s">
        <v>4349</v>
      </c>
      <c r="B1634" s="1">
        <v>45885</v>
      </c>
      <c r="C1634" t="s">
        <v>12893</v>
      </c>
      <c r="D1634" s="5">
        <v>0.41651620370370368</v>
      </c>
      <c r="E1634">
        <v>88.21</v>
      </c>
      <c r="F1634" t="s">
        <v>44</v>
      </c>
      <c r="G1634" t="s">
        <v>4350</v>
      </c>
      <c r="H1634" t="s">
        <v>77</v>
      </c>
      <c r="I1634" t="s">
        <v>35</v>
      </c>
      <c r="J1634" t="s">
        <v>4351</v>
      </c>
      <c r="K1634">
        <v>41</v>
      </c>
      <c r="L1634" t="s">
        <v>37</v>
      </c>
      <c r="M1634" t="s">
        <v>23</v>
      </c>
      <c r="N1634" t="s">
        <v>84</v>
      </c>
      <c r="O1634" t="s">
        <v>28</v>
      </c>
      <c r="P1634" t="s">
        <v>31</v>
      </c>
      <c r="Q1634">
        <v>0</v>
      </c>
      <c r="R1634" t="s">
        <v>12883</v>
      </c>
      <c r="S1634" t="s">
        <v>12886</v>
      </c>
    </row>
    <row r="1635" spans="1:19" x14ac:dyDescent="0.25">
      <c r="A1635" t="s">
        <v>11174</v>
      </c>
      <c r="B1635" s="1">
        <v>45811</v>
      </c>
      <c r="C1635" t="s">
        <v>12888</v>
      </c>
      <c r="D1635" s="5">
        <v>9.975694444444444E-2</v>
      </c>
      <c r="E1635">
        <v>88.19</v>
      </c>
      <c r="F1635" t="s">
        <v>44</v>
      </c>
      <c r="G1635" t="s">
        <v>313</v>
      </c>
      <c r="H1635" t="s">
        <v>57</v>
      </c>
      <c r="I1635" t="s">
        <v>91</v>
      </c>
      <c r="J1635" t="s">
        <v>11175</v>
      </c>
      <c r="K1635">
        <v>70</v>
      </c>
      <c r="L1635" t="s">
        <v>25</v>
      </c>
      <c r="M1635" t="s">
        <v>35</v>
      </c>
      <c r="N1635" t="s">
        <v>84</v>
      </c>
      <c r="O1635" t="s">
        <v>28</v>
      </c>
      <c r="P1635" t="s">
        <v>31</v>
      </c>
      <c r="Q1635">
        <v>0</v>
      </c>
      <c r="R1635" t="s">
        <v>12883</v>
      </c>
      <c r="S1635" t="s">
        <v>12884</v>
      </c>
    </row>
    <row r="1636" spans="1:19" x14ac:dyDescent="0.25">
      <c r="A1636" t="s">
        <v>3535</v>
      </c>
      <c r="B1636" s="1">
        <v>45885</v>
      </c>
      <c r="C1636" t="s">
        <v>12893</v>
      </c>
      <c r="D1636" s="5">
        <v>4.1423611111111112E-2</v>
      </c>
      <c r="E1636">
        <v>88.13</v>
      </c>
      <c r="F1636" t="s">
        <v>44</v>
      </c>
      <c r="G1636" t="s">
        <v>1200</v>
      </c>
      <c r="H1636" t="s">
        <v>89</v>
      </c>
      <c r="I1636" t="s">
        <v>146</v>
      </c>
      <c r="J1636" t="s">
        <v>3536</v>
      </c>
      <c r="K1636">
        <v>18</v>
      </c>
      <c r="L1636" t="s">
        <v>49</v>
      </c>
      <c r="M1636" t="s">
        <v>23</v>
      </c>
      <c r="N1636" t="s">
        <v>39</v>
      </c>
      <c r="O1636" t="s">
        <v>28</v>
      </c>
      <c r="P1636" t="s">
        <v>31</v>
      </c>
      <c r="Q1636">
        <v>0</v>
      </c>
      <c r="R1636" t="s">
        <v>12883</v>
      </c>
      <c r="S1636" t="s">
        <v>12892</v>
      </c>
    </row>
    <row r="1637" spans="1:19" x14ac:dyDescent="0.25">
      <c r="A1637" t="s">
        <v>7088</v>
      </c>
      <c r="B1637" s="1">
        <v>45957</v>
      </c>
      <c r="C1637" t="s">
        <v>12890</v>
      </c>
      <c r="D1637" s="5">
        <v>0.70917824074074076</v>
      </c>
      <c r="E1637">
        <v>88.08</v>
      </c>
      <c r="F1637" t="s">
        <v>44</v>
      </c>
      <c r="G1637" t="s">
        <v>4661</v>
      </c>
      <c r="H1637" t="s">
        <v>64</v>
      </c>
      <c r="I1637" t="s">
        <v>58</v>
      </c>
      <c r="J1637" t="s">
        <v>7089</v>
      </c>
      <c r="K1637">
        <v>68</v>
      </c>
      <c r="L1637" t="s">
        <v>25</v>
      </c>
      <c r="M1637" t="s">
        <v>130</v>
      </c>
      <c r="N1637" t="s">
        <v>27</v>
      </c>
      <c r="O1637" t="s">
        <v>28</v>
      </c>
      <c r="P1637" t="s">
        <v>31</v>
      </c>
      <c r="Q1637">
        <v>0</v>
      </c>
      <c r="R1637" t="s">
        <v>12883</v>
      </c>
      <c r="S1637" t="s">
        <v>12884</v>
      </c>
    </row>
    <row r="1638" spans="1:19" x14ac:dyDescent="0.25">
      <c r="A1638" t="s">
        <v>10497</v>
      </c>
      <c r="B1638" s="1">
        <v>45837</v>
      </c>
      <c r="C1638" t="s">
        <v>12888</v>
      </c>
      <c r="D1638" s="5">
        <v>0.66423611111111114</v>
      </c>
      <c r="E1638">
        <v>88.07</v>
      </c>
      <c r="F1638" t="s">
        <v>44</v>
      </c>
      <c r="G1638" t="s">
        <v>2918</v>
      </c>
      <c r="H1638" t="s">
        <v>57</v>
      </c>
      <c r="I1638" t="s">
        <v>119</v>
      </c>
      <c r="J1638" t="s">
        <v>10498</v>
      </c>
      <c r="K1638">
        <v>45</v>
      </c>
      <c r="L1638" t="s">
        <v>25</v>
      </c>
      <c r="M1638" t="s">
        <v>110</v>
      </c>
      <c r="N1638" t="s">
        <v>105</v>
      </c>
      <c r="O1638" t="s">
        <v>28</v>
      </c>
      <c r="P1638" t="s">
        <v>31</v>
      </c>
      <c r="Q1638">
        <v>0</v>
      </c>
      <c r="R1638" t="s">
        <v>12883</v>
      </c>
      <c r="S1638" t="s">
        <v>12886</v>
      </c>
    </row>
    <row r="1639" spans="1:19" x14ac:dyDescent="0.25">
      <c r="A1639" t="s">
        <v>286</v>
      </c>
      <c r="B1639" s="1">
        <v>45877</v>
      </c>
      <c r="C1639" t="s">
        <v>12893</v>
      </c>
      <c r="D1639" s="5">
        <v>0.67067129629629629</v>
      </c>
      <c r="E1639">
        <v>87.91</v>
      </c>
      <c r="F1639" t="s">
        <v>44</v>
      </c>
      <c r="G1639" t="s">
        <v>287</v>
      </c>
      <c r="H1639" t="s">
        <v>124</v>
      </c>
      <c r="I1639" t="s">
        <v>110</v>
      </c>
      <c r="J1639" t="s">
        <v>288</v>
      </c>
      <c r="K1639">
        <v>57</v>
      </c>
      <c r="L1639" t="s">
        <v>49</v>
      </c>
      <c r="M1639" t="s">
        <v>47</v>
      </c>
      <c r="N1639" t="s">
        <v>39</v>
      </c>
      <c r="O1639" t="s">
        <v>28</v>
      </c>
      <c r="P1639" t="s">
        <v>31</v>
      </c>
      <c r="Q1639">
        <v>0</v>
      </c>
      <c r="R1639" t="s">
        <v>12883</v>
      </c>
      <c r="S1639" t="s">
        <v>12886</v>
      </c>
    </row>
    <row r="1640" spans="1:19" x14ac:dyDescent="0.25">
      <c r="A1640" t="s">
        <v>8782</v>
      </c>
      <c r="B1640" s="1">
        <v>45795</v>
      </c>
      <c r="C1640" t="s">
        <v>12887</v>
      </c>
      <c r="D1640" s="5">
        <v>0.86349537037037039</v>
      </c>
      <c r="E1640">
        <v>87.79</v>
      </c>
      <c r="F1640" t="s">
        <v>44</v>
      </c>
      <c r="G1640" t="s">
        <v>8783</v>
      </c>
      <c r="H1640" t="s">
        <v>22</v>
      </c>
      <c r="I1640" t="s">
        <v>97</v>
      </c>
      <c r="J1640" t="s">
        <v>8784</v>
      </c>
      <c r="K1640">
        <v>29</v>
      </c>
      <c r="L1640" t="s">
        <v>37</v>
      </c>
      <c r="M1640" t="s">
        <v>35</v>
      </c>
      <c r="N1640" t="s">
        <v>51</v>
      </c>
      <c r="O1640" t="s">
        <v>28</v>
      </c>
      <c r="P1640" t="s">
        <v>31</v>
      </c>
      <c r="Q1640">
        <v>0</v>
      </c>
      <c r="R1640" t="s">
        <v>12883</v>
      </c>
      <c r="S1640" t="s">
        <v>12889</v>
      </c>
    </row>
    <row r="1641" spans="1:19" x14ac:dyDescent="0.25">
      <c r="A1641" t="s">
        <v>2634</v>
      </c>
      <c r="B1641" s="1">
        <v>45855</v>
      </c>
      <c r="C1641" t="s">
        <v>12885</v>
      </c>
      <c r="D1641" s="5">
        <v>0.18844907407407407</v>
      </c>
      <c r="E1641">
        <v>87.73</v>
      </c>
      <c r="F1641" t="s">
        <v>44</v>
      </c>
      <c r="G1641" t="s">
        <v>2635</v>
      </c>
      <c r="H1641" t="s">
        <v>77</v>
      </c>
      <c r="I1641" t="s">
        <v>58</v>
      </c>
      <c r="J1641" t="s">
        <v>2636</v>
      </c>
      <c r="K1641">
        <v>21</v>
      </c>
      <c r="L1641" t="s">
        <v>37</v>
      </c>
      <c r="M1641" t="s">
        <v>47</v>
      </c>
      <c r="N1641" t="s">
        <v>112</v>
      </c>
      <c r="O1641" t="s">
        <v>28</v>
      </c>
      <c r="P1641" t="s">
        <v>31</v>
      </c>
      <c r="Q1641">
        <v>0</v>
      </c>
      <c r="R1641" t="s">
        <v>12883</v>
      </c>
      <c r="S1641" t="s">
        <v>12892</v>
      </c>
    </row>
    <row r="1642" spans="1:19" x14ac:dyDescent="0.25">
      <c r="A1642" t="s">
        <v>4774</v>
      </c>
      <c r="B1642" s="1">
        <v>45807</v>
      </c>
      <c r="C1642" t="s">
        <v>12887</v>
      </c>
      <c r="D1642" s="5">
        <v>0.49657407407407406</v>
      </c>
      <c r="E1642">
        <v>87.7</v>
      </c>
      <c r="F1642" t="s">
        <v>44</v>
      </c>
      <c r="G1642" t="s">
        <v>4775</v>
      </c>
      <c r="H1642" t="s">
        <v>57</v>
      </c>
      <c r="I1642" t="s">
        <v>119</v>
      </c>
      <c r="J1642" t="s">
        <v>4776</v>
      </c>
      <c r="K1642">
        <v>75</v>
      </c>
      <c r="L1642" t="s">
        <v>25</v>
      </c>
      <c r="M1642" t="s">
        <v>58</v>
      </c>
      <c r="N1642" t="s">
        <v>105</v>
      </c>
      <c r="O1642" t="s">
        <v>28</v>
      </c>
      <c r="P1642" t="s">
        <v>31</v>
      </c>
      <c r="Q1642">
        <v>0</v>
      </c>
      <c r="R1642" t="s">
        <v>12883</v>
      </c>
      <c r="S1642" t="s">
        <v>12884</v>
      </c>
    </row>
    <row r="1643" spans="1:19" x14ac:dyDescent="0.25">
      <c r="A1643" t="s">
        <v>9557</v>
      </c>
      <c r="B1643" s="1">
        <v>45795</v>
      </c>
      <c r="C1643" t="s">
        <v>12887</v>
      </c>
      <c r="D1643" s="5">
        <v>0.85546296296296298</v>
      </c>
      <c r="E1643">
        <v>87.64</v>
      </c>
      <c r="F1643" t="s">
        <v>44</v>
      </c>
      <c r="G1643" t="s">
        <v>5058</v>
      </c>
      <c r="H1643" t="s">
        <v>124</v>
      </c>
      <c r="I1643" t="s">
        <v>38</v>
      </c>
      <c r="J1643" t="s">
        <v>9558</v>
      </c>
      <c r="K1643">
        <v>28</v>
      </c>
      <c r="L1643" t="s">
        <v>49</v>
      </c>
      <c r="M1643" t="s">
        <v>38</v>
      </c>
      <c r="N1643" t="s">
        <v>105</v>
      </c>
      <c r="O1643" t="s">
        <v>113</v>
      </c>
      <c r="P1643" t="s">
        <v>31</v>
      </c>
      <c r="Q1643">
        <v>0</v>
      </c>
      <c r="R1643" t="s">
        <v>12883</v>
      </c>
      <c r="S1643" t="s">
        <v>12889</v>
      </c>
    </row>
    <row r="1644" spans="1:19" x14ac:dyDescent="0.25">
      <c r="A1644" t="s">
        <v>4565</v>
      </c>
      <c r="B1644" s="1">
        <v>45871</v>
      </c>
      <c r="C1644" t="s">
        <v>12893</v>
      </c>
      <c r="D1644" s="5">
        <v>0.47028935185185183</v>
      </c>
      <c r="E1644">
        <v>87.38</v>
      </c>
      <c r="F1644" t="s">
        <v>44</v>
      </c>
      <c r="G1644" t="s">
        <v>4053</v>
      </c>
      <c r="H1644" t="s">
        <v>96</v>
      </c>
      <c r="I1644" t="s">
        <v>110</v>
      </c>
      <c r="J1644" t="s">
        <v>4566</v>
      </c>
      <c r="K1644">
        <v>72</v>
      </c>
      <c r="L1644" t="s">
        <v>49</v>
      </c>
      <c r="M1644" t="s">
        <v>248</v>
      </c>
      <c r="N1644" t="s">
        <v>105</v>
      </c>
      <c r="O1644" t="s">
        <v>28</v>
      </c>
      <c r="P1644" t="s">
        <v>31</v>
      </c>
      <c r="Q1644">
        <v>0</v>
      </c>
      <c r="R1644" t="s">
        <v>12883</v>
      </c>
      <c r="S1644" t="s">
        <v>12884</v>
      </c>
    </row>
    <row r="1645" spans="1:19" x14ac:dyDescent="0.25">
      <c r="A1645" t="s">
        <v>3801</v>
      </c>
      <c r="B1645" s="1">
        <v>45932</v>
      </c>
      <c r="C1645" t="s">
        <v>12890</v>
      </c>
      <c r="D1645" s="5">
        <v>0.78076388888888892</v>
      </c>
      <c r="E1645">
        <v>87.34</v>
      </c>
      <c r="F1645" t="s">
        <v>44</v>
      </c>
      <c r="G1645" t="s">
        <v>3802</v>
      </c>
      <c r="H1645" t="s">
        <v>124</v>
      </c>
      <c r="I1645" t="s">
        <v>38</v>
      </c>
      <c r="J1645" t="s">
        <v>3803</v>
      </c>
      <c r="K1645">
        <v>42</v>
      </c>
      <c r="L1645" t="s">
        <v>25</v>
      </c>
      <c r="M1645" t="s">
        <v>130</v>
      </c>
      <c r="N1645" t="s">
        <v>112</v>
      </c>
      <c r="O1645" t="s">
        <v>28</v>
      </c>
      <c r="P1645" t="s">
        <v>31</v>
      </c>
      <c r="Q1645">
        <v>0</v>
      </c>
      <c r="R1645" t="s">
        <v>12883</v>
      </c>
      <c r="S1645" t="s">
        <v>12886</v>
      </c>
    </row>
    <row r="1646" spans="1:19" x14ac:dyDescent="0.25">
      <c r="A1646" t="s">
        <v>3767</v>
      </c>
      <c r="B1646" s="1">
        <v>45839</v>
      </c>
      <c r="C1646" t="s">
        <v>12885</v>
      </c>
      <c r="D1646" s="5">
        <v>0.33206018518518521</v>
      </c>
      <c r="E1646">
        <v>87.22</v>
      </c>
      <c r="F1646" t="s">
        <v>44</v>
      </c>
      <c r="G1646" t="s">
        <v>763</v>
      </c>
      <c r="H1646" t="s">
        <v>96</v>
      </c>
      <c r="I1646" t="s">
        <v>38</v>
      </c>
      <c r="J1646" t="s">
        <v>3768</v>
      </c>
      <c r="K1646">
        <v>30</v>
      </c>
      <c r="L1646" t="s">
        <v>37</v>
      </c>
      <c r="M1646" t="s">
        <v>110</v>
      </c>
      <c r="N1646" t="s">
        <v>84</v>
      </c>
      <c r="O1646" t="s">
        <v>28</v>
      </c>
      <c r="P1646" t="s">
        <v>31</v>
      </c>
      <c r="Q1646">
        <v>0</v>
      </c>
      <c r="R1646" t="s">
        <v>12883</v>
      </c>
      <c r="S1646" t="s">
        <v>12889</v>
      </c>
    </row>
    <row r="1647" spans="1:19" x14ac:dyDescent="0.25">
      <c r="A1647" t="s">
        <v>8617</v>
      </c>
      <c r="B1647" s="1">
        <v>45920</v>
      </c>
      <c r="C1647" t="s">
        <v>12882</v>
      </c>
      <c r="D1647" s="5">
        <v>0.12</v>
      </c>
      <c r="E1647">
        <v>87.21</v>
      </c>
      <c r="F1647" t="s">
        <v>44</v>
      </c>
      <c r="G1647" t="s">
        <v>1692</v>
      </c>
      <c r="H1647" t="s">
        <v>46</v>
      </c>
      <c r="I1647" t="s">
        <v>146</v>
      </c>
      <c r="J1647" t="s">
        <v>8618</v>
      </c>
      <c r="K1647">
        <v>45</v>
      </c>
      <c r="L1647" t="s">
        <v>25</v>
      </c>
      <c r="M1647" t="s">
        <v>146</v>
      </c>
      <c r="N1647" t="s">
        <v>84</v>
      </c>
      <c r="O1647" t="s">
        <v>113</v>
      </c>
      <c r="P1647" t="s">
        <v>31</v>
      </c>
      <c r="Q1647">
        <v>0</v>
      </c>
      <c r="R1647" t="s">
        <v>12883</v>
      </c>
      <c r="S1647" t="s">
        <v>12886</v>
      </c>
    </row>
    <row r="1648" spans="1:19" x14ac:dyDescent="0.25">
      <c r="A1648" t="s">
        <v>6711</v>
      </c>
      <c r="B1648" s="1">
        <v>45941</v>
      </c>
      <c r="C1648" t="s">
        <v>12890</v>
      </c>
      <c r="D1648" s="5">
        <v>0.96055555555555561</v>
      </c>
      <c r="E1648">
        <v>87.1</v>
      </c>
      <c r="F1648" t="s">
        <v>44</v>
      </c>
      <c r="G1648" t="s">
        <v>2094</v>
      </c>
      <c r="H1648" t="s">
        <v>77</v>
      </c>
      <c r="I1648" t="s">
        <v>66</v>
      </c>
      <c r="J1648" t="s">
        <v>6712</v>
      </c>
      <c r="K1648">
        <v>45</v>
      </c>
      <c r="L1648" t="s">
        <v>37</v>
      </c>
      <c r="M1648" t="s">
        <v>47</v>
      </c>
      <c r="N1648" t="s">
        <v>84</v>
      </c>
      <c r="O1648" t="s">
        <v>28</v>
      </c>
      <c r="P1648" t="s">
        <v>31</v>
      </c>
      <c r="Q1648">
        <v>0</v>
      </c>
      <c r="R1648" t="s">
        <v>12883</v>
      </c>
      <c r="S1648" t="s">
        <v>12886</v>
      </c>
    </row>
    <row r="1649" spans="1:19" x14ac:dyDescent="0.25">
      <c r="A1649" t="s">
        <v>1523</v>
      </c>
      <c r="B1649" s="1">
        <v>45806</v>
      </c>
      <c r="C1649" t="s">
        <v>12887</v>
      </c>
      <c r="D1649" s="5">
        <v>0.43493055555555554</v>
      </c>
      <c r="E1649">
        <v>86.87</v>
      </c>
      <c r="F1649" t="s">
        <v>44</v>
      </c>
      <c r="G1649" t="s">
        <v>1524</v>
      </c>
      <c r="H1649" t="s">
        <v>34</v>
      </c>
      <c r="I1649" t="s">
        <v>66</v>
      </c>
      <c r="J1649" t="s">
        <v>1525</v>
      </c>
      <c r="K1649">
        <v>45</v>
      </c>
      <c r="L1649" t="s">
        <v>25</v>
      </c>
      <c r="M1649" t="s">
        <v>110</v>
      </c>
      <c r="N1649" t="s">
        <v>105</v>
      </c>
      <c r="O1649" t="s">
        <v>28</v>
      </c>
      <c r="P1649" t="s">
        <v>31</v>
      </c>
      <c r="Q1649">
        <v>0</v>
      </c>
      <c r="R1649" t="s">
        <v>12883</v>
      </c>
      <c r="S1649" t="s">
        <v>12886</v>
      </c>
    </row>
    <row r="1650" spans="1:19" x14ac:dyDescent="0.25">
      <c r="A1650" t="s">
        <v>11034</v>
      </c>
      <c r="B1650" s="1">
        <v>45948</v>
      </c>
      <c r="C1650" t="s">
        <v>12890</v>
      </c>
      <c r="D1650" s="5">
        <v>0.37005787037037036</v>
      </c>
      <c r="E1650">
        <v>86.79</v>
      </c>
      <c r="F1650" t="s">
        <v>44</v>
      </c>
      <c r="G1650" t="s">
        <v>658</v>
      </c>
      <c r="H1650" t="s">
        <v>124</v>
      </c>
      <c r="I1650" t="s">
        <v>50</v>
      </c>
      <c r="J1650" t="s">
        <v>11035</v>
      </c>
      <c r="K1650">
        <v>27</v>
      </c>
      <c r="L1650" t="s">
        <v>37</v>
      </c>
      <c r="M1650" t="s">
        <v>248</v>
      </c>
      <c r="N1650" t="s">
        <v>51</v>
      </c>
      <c r="O1650" t="s">
        <v>28</v>
      </c>
      <c r="P1650" t="s">
        <v>31</v>
      </c>
      <c r="Q1650">
        <v>0</v>
      </c>
      <c r="R1650" t="s">
        <v>12883</v>
      </c>
      <c r="S1650" t="s">
        <v>12889</v>
      </c>
    </row>
    <row r="1651" spans="1:19" x14ac:dyDescent="0.25">
      <c r="A1651" t="s">
        <v>8853</v>
      </c>
      <c r="B1651" s="1">
        <v>45899</v>
      </c>
      <c r="C1651" t="s">
        <v>12893</v>
      </c>
      <c r="D1651" s="5">
        <v>0.49464120370370368</v>
      </c>
      <c r="E1651">
        <v>86.73</v>
      </c>
      <c r="F1651" t="s">
        <v>44</v>
      </c>
      <c r="G1651" t="s">
        <v>6668</v>
      </c>
      <c r="H1651" t="s">
        <v>77</v>
      </c>
      <c r="I1651" t="s">
        <v>97</v>
      </c>
      <c r="J1651" t="s">
        <v>8854</v>
      </c>
      <c r="K1651">
        <v>54</v>
      </c>
      <c r="L1651" t="s">
        <v>37</v>
      </c>
      <c r="M1651" t="s">
        <v>23</v>
      </c>
      <c r="N1651" t="s">
        <v>51</v>
      </c>
      <c r="O1651" t="s">
        <v>28</v>
      </c>
      <c r="P1651" t="s">
        <v>31</v>
      </c>
      <c r="Q1651">
        <v>0</v>
      </c>
      <c r="R1651" t="s">
        <v>12883</v>
      </c>
      <c r="S1651" t="s">
        <v>12886</v>
      </c>
    </row>
    <row r="1652" spans="1:19" x14ac:dyDescent="0.25">
      <c r="A1652" t="s">
        <v>9378</v>
      </c>
      <c r="B1652" s="1">
        <v>45904</v>
      </c>
      <c r="C1652" t="s">
        <v>12882</v>
      </c>
      <c r="D1652" s="5">
        <v>0.60148148148148151</v>
      </c>
      <c r="E1652">
        <v>86.72</v>
      </c>
      <c r="F1652" t="s">
        <v>44</v>
      </c>
      <c r="G1652" t="s">
        <v>1734</v>
      </c>
      <c r="H1652" t="s">
        <v>96</v>
      </c>
      <c r="I1652" t="s">
        <v>146</v>
      </c>
      <c r="J1652" t="s">
        <v>9379</v>
      </c>
      <c r="K1652">
        <v>33</v>
      </c>
      <c r="L1652" t="s">
        <v>25</v>
      </c>
      <c r="M1652" t="s">
        <v>47</v>
      </c>
      <c r="N1652" t="s">
        <v>51</v>
      </c>
      <c r="O1652" t="s">
        <v>28</v>
      </c>
      <c r="P1652" t="s">
        <v>31</v>
      </c>
      <c r="Q1652">
        <v>0</v>
      </c>
      <c r="R1652" t="s">
        <v>12883</v>
      </c>
      <c r="S1652" t="s">
        <v>12889</v>
      </c>
    </row>
    <row r="1653" spans="1:19" x14ac:dyDescent="0.25">
      <c r="A1653" t="s">
        <v>6319</v>
      </c>
      <c r="B1653" s="1">
        <v>45868</v>
      </c>
      <c r="C1653" t="s">
        <v>12885</v>
      </c>
      <c r="D1653" s="5">
        <v>0.19927083333333334</v>
      </c>
      <c r="E1653">
        <v>86.66</v>
      </c>
      <c r="F1653" t="s">
        <v>44</v>
      </c>
      <c r="G1653" t="s">
        <v>1017</v>
      </c>
      <c r="H1653" t="s">
        <v>124</v>
      </c>
      <c r="I1653" t="s">
        <v>35</v>
      </c>
      <c r="J1653" t="s">
        <v>6320</v>
      </c>
      <c r="K1653">
        <v>54</v>
      </c>
      <c r="L1653" t="s">
        <v>49</v>
      </c>
      <c r="M1653" t="s">
        <v>35</v>
      </c>
      <c r="N1653" t="s">
        <v>105</v>
      </c>
      <c r="O1653" t="s">
        <v>113</v>
      </c>
      <c r="P1653" t="s">
        <v>31</v>
      </c>
      <c r="Q1653">
        <v>0</v>
      </c>
      <c r="R1653" t="s">
        <v>12883</v>
      </c>
      <c r="S1653" t="s">
        <v>12886</v>
      </c>
    </row>
    <row r="1654" spans="1:19" x14ac:dyDescent="0.25">
      <c r="A1654" t="s">
        <v>10846</v>
      </c>
      <c r="B1654" s="1">
        <v>45783</v>
      </c>
      <c r="C1654" t="s">
        <v>12887</v>
      </c>
      <c r="D1654" s="5">
        <v>0.72078703703703706</v>
      </c>
      <c r="E1654">
        <v>86.66</v>
      </c>
      <c r="F1654" t="s">
        <v>44</v>
      </c>
      <c r="G1654" t="s">
        <v>4852</v>
      </c>
      <c r="H1654" t="s">
        <v>34</v>
      </c>
      <c r="I1654" t="s">
        <v>110</v>
      </c>
      <c r="J1654" t="s">
        <v>10847</v>
      </c>
      <c r="K1654">
        <v>46</v>
      </c>
      <c r="L1654" t="s">
        <v>49</v>
      </c>
      <c r="M1654" t="s">
        <v>50</v>
      </c>
      <c r="N1654" t="s">
        <v>39</v>
      </c>
      <c r="O1654" t="s">
        <v>28</v>
      </c>
      <c r="P1654" t="s">
        <v>31</v>
      </c>
      <c r="Q1654">
        <v>0</v>
      </c>
      <c r="R1654" t="s">
        <v>12883</v>
      </c>
      <c r="S1654" t="s">
        <v>12886</v>
      </c>
    </row>
    <row r="1655" spans="1:19" x14ac:dyDescent="0.25">
      <c r="A1655" t="s">
        <v>7262</v>
      </c>
      <c r="B1655" s="1">
        <v>45818</v>
      </c>
      <c r="C1655" t="s">
        <v>12888</v>
      </c>
      <c r="D1655" s="5">
        <v>0.28493055555555558</v>
      </c>
      <c r="E1655">
        <v>86.53</v>
      </c>
      <c r="F1655" t="s">
        <v>44</v>
      </c>
      <c r="G1655" t="s">
        <v>3293</v>
      </c>
      <c r="H1655" t="s">
        <v>89</v>
      </c>
      <c r="I1655" t="s">
        <v>58</v>
      </c>
      <c r="J1655" t="s">
        <v>7263</v>
      </c>
      <c r="K1655">
        <v>27</v>
      </c>
      <c r="L1655" t="s">
        <v>25</v>
      </c>
      <c r="M1655" t="s">
        <v>110</v>
      </c>
      <c r="N1655" t="s">
        <v>105</v>
      </c>
      <c r="O1655" t="s">
        <v>28</v>
      </c>
      <c r="P1655" t="s">
        <v>31</v>
      </c>
      <c r="Q1655">
        <v>0</v>
      </c>
      <c r="R1655" t="s">
        <v>12883</v>
      </c>
      <c r="S1655" t="s">
        <v>12889</v>
      </c>
    </row>
    <row r="1656" spans="1:19" x14ac:dyDescent="0.25">
      <c r="A1656" t="s">
        <v>3655</v>
      </c>
      <c r="B1656" s="1">
        <v>45925</v>
      </c>
      <c r="C1656" t="s">
        <v>12882</v>
      </c>
      <c r="D1656" s="5">
        <v>0.32319444444444445</v>
      </c>
      <c r="E1656">
        <v>86.2</v>
      </c>
      <c r="F1656" t="s">
        <v>44</v>
      </c>
      <c r="G1656" t="s">
        <v>3656</v>
      </c>
      <c r="H1656" t="s">
        <v>64</v>
      </c>
      <c r="I1656" t="s">
        <v>47</v>
      </c>
      <c r="J1656" t="s">
        <v>243</v>
      </c>
      <c r="K1656">
        <v>22</v>
      </c>
      <c r="L1656" t="s">
        <v>25</v>
      </c>
      <c r="M1656" t="s">
        <v>47</v>
      </c>
      <c r="N1656" t="s">
        <v>27</v>
      </c>
      <c r="O1656" t="s">
        <v>113</v>
      </c>
      <c r="P1656" t="s">
        <v>31</v>
      </c>
      <c r="Q1656">
        <v>0</v>
      </c>
      <c r="R1656" t="s">
        <v>12883</v>
      </c>
      <c r="S1656" t="s">
        <v>12892</v>
      </c>
    </row>
    <row r="1657" spans="1:19" x14ac:dyDescent="0.25">
      <c r="A1657" t="s">
        <v>5886</v>
      </c>
      <c r="B1657" s="1">
        <v>45925</v>
      </c>
      <c r="C1657" t="s">
        <v>12882</v>
      </c>
      <c r="D1657" s="5">
        <v>0.11418981481481481</v>
      </c>
      <c r="E1657">
        <v>85.92</v>
      </c>
      <c r="F1657" t="s">
        <v>44</v>
      </c>
      <c r="G1657" t="s">
        <v>3929</v>
      </c>
      <c r="H1657" t="s">
        <v>34</v>
      </c>
      <c r="I1657" t="s">
        <v>97</v>
      </c>
      <c r="J1657" t="s">
        <v>5887</v>
      </c>
      <c r="K1657">
        <v>34</v>
      </c>
      <c r="L1657" t="s">
        <v>49</v>
      </c>
      <c r="M1657" t="s">
        <v>47</v>
      </c>
      <c r="N1657" t="s">
        <v>112</v>
      </c>
      <c r="O1657" t="s">
        <v>28</v>
      </c>
      <c r="P1657" t="s">
        <v>31</v>
      </c>
      <c r="Q1657">
        <v>0</v>
      </c>
      <c r="R1657" t="s">
        <v>12883</v>
      </c>
      <c r="S1657" t="s">
        <v>12889</v>
      </c>
    </row>
    <row r="1658" spans="1:19" x14ac:dyDescent="0.25">
      <c r="A1658" t="s">
        <v>2649</v>
      </c>
      <c r="B1658" s="1">
        <v>45802</v>
      </c>
      <c r="C1658" t="s">
        <v>12887</v>
      </c>
      <c r="D1658" s="5">
        <v>0.81670138888888888</v>
      </c>
      <c r="E1658">
        <v>85.85</v>
      </c>
      <c r="F1658" t="s">
        <v>44</v>
      </c>
      <c r="G1658" t="s">
        <v>1346</v>
      </c>
      <c r="H1658" t="s">
        <v>124</v>
      </c>
      <c r="I1658" t="s">
        <v>119</v>
      </c>
      <c r="J1658" t="s">
        <v>2650</v>
      </c>
      <c r="K1658">
        <v>24</v>
      </c>
      <c r="L1658" t="s">
        <v>49</v>
      </c>
      <c r="M1658" t="s">
        <v>50</v>
      </c>
      <c r="N1658" t="s">
        <v>51</v>
      </c>
      <c r="O1658" t="s">
        <v>28</v>
      </c>
      <c r="P1658" t="s">
        <v>31</v>
      </c>
      <c r="Q1658">
        <v>0</v>
      </c>
      <c r="R1658" t="s">
        <v>12883</v>
      </c>
      <c r="S1658" t="s">
        <v>12892</v>
      </c>
    </row>
    <row r="1659" spans="1:19" x14ac:dyDescent="0.25">
      <c r="A1659" t="s">
        <v>12138</v>
      </c>
      <c r="B1659" s="1">
        <v>45821</v>
      </c>
      <c r="C1659" t="s">
        <v>12888</v>
      </c>
      <c r="D1659" s="5">
        <v>0.54693287037037042</v>
      </c>
      <c r="E1659">
        <v>85.7</v>
      </c>
      <c r="F1659" t="s">
        <v>44</v>
      </c>
      <c r="G1659" t="s">
        <v>1607</v>
      </c>
      <c r="H1659" t="s">
        <v>64</v>
      </c>
      <c r="I1659" t="s">
        <v>248</v>
      </c>
      <c r="J1659" t="s">
        <v>4044</v>
      </c>
      <c r="K1659">
        <v>42</v>
      </c>
      <c r="L1659" t="s">
        <v>25</v>
      </c>
      <c r="M1659" t="s">
        <v>248</v>
      </c>
      <c r="N1659" t="s">
        <v>112</v>
      </c>
      <c r="O1659" t="s">
        <v>113</v>
      </c>
      <c r="P1659" t="s">
        <v>31</v>
      </c>
      <c r="Q1659">
        <v>0</v>
      </c>
      <c r="R1659" t="s">
        <v>12883</v>
      </c>
      <c r="S1659" t="s">
        <v>12886</v>
      </c>
    </row>
    <row r="1660" spans="1:19" x14ac:dyDescent="0.25">
      <c r="A1660" t="s">
        <v>4337</v>
      </c>
      <c r="B1660" s="1">
        <v>45918</v>
      </c>
      <c r="C1660" t="s">
        <v>12882</v>
      </c>
      <c r="D1660" s="5">
        <v>0.81571759259259258</v>
      </c>
      <c r="E1660">
        <v>85.68</v>
      </c>
      <c r="F1660" t="s">
        <v>44</v>
      </c>
      <c r="G1660" t="s">
        <v>1729</v>
      </c>
      <c r="H1660" t="s">
        <v>57</v>
      </c>
      <c r="I1660" t="s">
        <v>26</v>
      </c>
      <c r="J1660" t="s">
        <v>4338</v>
      </c>
      <c r="K1660">
        <v>55</v>
      </c>
      <c r="L1660" t="s">
        <v>49</v>
      </c>
      <c r="M1660" t="s">
        <v>110</v>
      </c>
      <c r="N1660" t="s">
        <v>27</v>
      </c>
      <c r="O1660" t="s">
        <v>28</v>
      </c>
      <c r="P1660" t="s">
        <v>31</v>
      </c>
      <c r="Q1660">
        <v>0</v>
      </c>
      <c r="R1660" t="s">
        <v>12883</v>
      </c>
      <c r="S1660" t="s">
        <v>12886</v>
      </c>
    </row>
    <row r="1661" spans="1:19" x14ac:dyDescent="0.25">
      <c r="A1661" t="s">
        <v>12249</v>
      </c>
      <c r="B1661" s="1">
        <v>45890</v>
      </c>
      <c r="C1661" t="s">
        <v>12893</v>
      </c>
      <c r="D1661" s="5">
        <v>0.28554398148148147</v>
      </c>
      <c r="E1661">
        <v>85.59</v>
      </c>
      <c r="F1661" t="s">
        <v>44</v>
      </c>
      <c r="G1661" t="s">
        <v>5648</v>
      </c>
      <c r="H1661" t="s">
        <v>46</v>
      </c>
      <c r="I1661" t="s">
        <v>23</v>
      </c>
      <c r="J1661" t="s">
        <v>12250</v>
      </c>
      <c r="K1661">
        <v>44</v>
      </c>
      <c r="L1661" t="s">
        <v>25</v>
      </c>
      <c r="M1661" t="s">
        <v>91</v>
      </c>
      <c r="N1661" t="s">
        <v>39</v>
      </c>
      <c r="O1661" t="s">
        <v>28</v>
      </c>
      <c r="P1661" t="s">
        <v>31</v>
      </c>
      <c r="Q1661">
        <v>0</v>
      </c>
      <c r="R1661" t="s">
        <v>12883</v>
      </c>
      <c r="S1661" t="s">
        <v>12886</v>
      </c>
    </row>
    <row r="1662" spans="1:19" x14ac:dyDescent="0.25">
      <c r="A1662" t="s">
        <v>11383</v>
      </c>
      <c r="B1662" s="1">
        <v>45804</v>
      </c>
      <c r="C1662" t="s">
        <v>12887</v>
      </c>
      <c r="D1662" s="5">
        <v>0.7681944444444444</v>
      </c>
      <c r="E1662">
        <v>85.32</v>
      </c>
      <c r="F1662" t="s">
        <v>44</v>
      </c>
      <c r="G1662" t="s">
        <v>328</v>
      </c>
      <c r="H1662" t="s">
        <v>124</v>
      </c>
      <c r="I1662" t="s">
        <v>58</v>
      </c>
      <c r="J1662" t="s">
        <v>11384</v>
      </c>
      <c r="K1662">
        <v>58</v>
      </c>
      <c r="L1662" t="s">
        <v>25</v>
      </c>
      <c r="M1662" t="s">
        <v>23</v>
      </c>
      <c r="N1662" t="s">
        <v>84</v>
      </c>
      <c r="O1662" t="s">
        <v>28</v>
      </c>
      <c r="P1662" t="s">
        <v>31</v>
      </c>
      <c r="Q1662">
        <v>0</v>
      </c>
      <c r="R1662" t="s">
        <v>12883</v>
      </c>
      <c r="S1662" t="s">
        <v>12886</v>
      </c>
    </row>
    <row r="1663" spans="1:19" x14ac:dyDescent="0.25">
      <c r="A1663" t="s">
        <v>11566</v>
      </c>
      <c r="B1663" s="1">
        <v>45933</v>
      </c>
      <c r="C1663" t="s">
        <v>12890</v>
      </c>
      <c r="D1663" s="5">
        <v>0.48891203703703706</v>
      </c>
      <c r="E1663">
        <v>85.13</v>
      </c>
      <c r="F1663" t="s">
        <v>44</v>
      </c>
      <c r="G1663" t="s">
        <v>2404</v>
      </c>
      <c r="H1663" t="s">
        <v>124</v>
      </c>
      <c r="I1663" t="s">
        <v>50</v>
      </c>
      <c r="J1663" t="s">
        <v>11567</v>
      </c>
      <c r="K1663">
        <v>70</v>
      </c>
      <c r="L1663" t="s">
        <v>37</v>
      </c>
      <c r="M1663" t="s">
        <v>47</v>
      </c>
      <c r="N1663" t="s">
        <v>105</v>
      </c>
      <c r="O1663" t="s">
        <v>28</v>
      </c>
      <c r="P1663" t="s">
        <v>31</v>
      </c>
      <c r="Q1663">
        <v>0</v>
      </c>
      <c r="R1663" t="s">
        <v>12883</v>
      </c>
      <c r="S1663" t="s">
        <v>12884</v>
      </c>
    </row>
    <row r="1664" spans="1:19" x14ac:dyDescent="0.25">
      <c r="A1664" t="s">
        <v>9045</v>
      </c>
      <c r="B1664" s="1">
        <v>45790</v>
      </c>
      <c r="C1664" t="s">
        <v>12887</v>
      </c>
      <c r="D1664" s="5">
        <v>0.39353009259259258</v>
      </c>
      <c r="E1664">
        <v>85.03</v>
      </c>
      <c r="F1664" t="s">
        <v>44</v>
      </c>
      <c r="G1664" t="s">
        <v>1077</v>
      </c>
      <c r="H1664" t="s">
        <v>89</v>
      </c>
      <c r="I1664" t="s">
        <v>146</v>
      </c>
      <c r="J1664" t="s">
        <v>4733</v>
      </c>
      <c r="K1664">
        <v>69</v>
      </c>
      <c r="L1664" t="s">
        <v>49</v>
      </c>
      <c r="M1664" t="s">
        <v>50</v>
      </c>
      <c r="N1664" t="s">
        <v>84</v>
      </c>
      <c r="O1664" t="s">
        <v>28</v>
      </c>
      <c r="P1664" t="s">
        <v>31</v>
      </c>
      <c r="Q1664">
        <v>0</v>
      </c>
      <c r="R1664" t="s">
        <v>12883</v>
      </c>
      <c r="S1664" t="s">
        <v>12884</v>
      </c>
    </row>
    <row r="1665" spans="1:19" x14ac:dyDescent="0.25">
      <c r="A1665" t="s">
        <v>9348</v>
      </c>
      <c r="B1665" s="1">
        <v>45898</v>
      </c>
      <c r="C1665" t="s">
        <v>12893</v>
      </c>
      <c r="D1665" s="5">
        <v>9.8379629629629633E-3</v>
      </c>
      <c r="E1665">
        <v>84.96</v>
      </c>
      <c r="F1665" t="s">
        <v>44</v>
      </c>
      <c r="G1665" t="s">
        <v>5335</v>
      </c>
      <c r="H1665" t="s">
        <v>89</v>
      </c>
      <c r="I1665" t="s">
        <v>66</v>
      </c>
      <c r="J1665" t="s">
        <v>8915</v>
      </c>
      <c r="K1665">
        <v>57</v>
      </c>
      <c r="L1665" t="s">
        <v>49</v>
      </c>
      <c r="M1665" t="s">
        <v>66</v>
      </c>
      <c r="N1665" t="s">
        <v>39</v>
      </c>
      <c r="O1665" t="s">
        <v>113</v>
      </c>
      <c r="P1665" t="s">
        <v>31</v>
      </c>
      <c r="Q1665">
        <v>0</v>
      </c>
      <c r="R1665" t="s">
        <v>12883</v>
      </c>
      <c r="S1665" t="s">
        <v>12886</v>
      </c>
    </row>
    <row r="1666" spans="1:19" x14ac:dyDescent="0.25">
      <c r="A1666" t="s">
        <v>2584</v>
      </c>
      <c r="B1666" s="1">
        <v>45957</v>
      </c>
      <c r="C1666" t="s">
        <v>12890</v>
      </c>
      <c r="D1666" s="5">
        <v>0.11491898148148148</v>
      </c>
      <c r="E1666">
        <v>84.91</v>
      </c>
      <c r="F1666" t="s">
        <v>44</v>
      </c>
      <c r="G1666" t="s">
        <v>829</v>
      </c>
      <c r="H1666" t="s">
        <v>96</v>
      </c>
      <c r="I1666" t="s">
        <v>110</v>
      </c>
      <c r="J1666" t="s">
        <v>2585</v>
      </c>
      <c r="K1666">
        <v>67</v>
      </c>
      <c r="L1666" t="s">
        <v>49</v>
      </c>
      <c r="M1666" t="s">
        <v>23</v>
      </c>
      <c r="N1666" t="s">
        <v>27</v>
      </c>
      <c r="O1666" t="s">
        <v>28</v>
      </c>
      <c r="P1666" t="s">
        <v>31</v>
      </c>
      <c r="Q1666">
        <v>0</v>
      </c>
      <c r="R1666" t="s">
        <v>12883</v>
      </c>
      <c r="S1666" t="s">
        <v>12884</v>
      </c>
    </row>
    <row r="1667" spans="1:19" x14ac:dyDescent="0.25">
      <c r="A1667" t="s">
        <v>8694</v>
      </c>
      <c r="B1667" s="1">
        <v>45853</v>
      </c>
      <c r="C1667" t="s">
        <v>12885</v>
      </c>
      <c r="D1667" s="5">
        <v>0.77628472222222222</v>
      </c>
      <c r="E1667">
        <v>84.83</v>
      </c>
      <c r="F1667" t="s">
        <v>44</v>
      </c>
      <c r="G1667" t="s">
        <v>202</v>
      </c>
      <c r="H1667" t="s">
        <v>96</v>
      </c>
      <c r="I1667" t="s">
        <v>47</v>
      </c>
      <c r="J1667" t="s">
        <v>7974</v>
      </c>
      <c r="K1667">
        <v>31</v>
      </c>
      <c r="L1667" t="s">
        <v>37</v>
      </c>
      <c r="M1667" t="s">
        <v>146</v>
      </c>
      <c r="N1667" t="s">
        <v>84</v>
      </c>
      <c r="O1667" t="s">
        <v>28</v>
      </c>
      <c r="P1667" t="s">
        <v>31</v>
      </c>
      <c r="Q1667">
        <v>0</v>
      </c>
      <c r="R1667" t="s">
        <v>12883</v>
      </c>
      <c r="S1667" t="s">
        <v>12889</v>
      </c>
    </row>
    <row r="1668" spans="1:19" x14ac:dyDescent="0.25">
      <c r="A1668" t="s">
        <v>4647</v>
      </c>
      <c r="B1668" s="1">
        <v>45867</v>
      </c>
      <c r="C1668" t="s">
        <v>12885</v>
      </c>
      <c r="D1668" s="5">
        <v>0.11761574074074074</v>
      </c>
      <c r="E1668">
        <v>84.77</v>
      </c>
      <c r="F1668" t="s">
        <v>44</v>
      </c>
      <c r="G1668" t="s">
        <v>4648</v>
      </c>
      <c r="H1668" t="s">
        <v>46</v>
      </c>
      <c r="I1668" t="s">
        <v>248</v>
      </c>
      <c r="J1668" t="s">
        <v>4649</v>
      </c>
      <c r="K1668">
        <v>71</v>
      </c>
      <c r="L1668" t="s">
        <v>37</v>
      </c>
      <c r="M1668" t="s">
        <v>97</v>
      </c>
      <c r="N1668" t="s">
        <v>51</v>
      </c>
      <c r="O1668" t="s">
        <v>28</v>
      </c>
      <c r="P1668" t="s">
        <v>31</v>
      </c>
      <c r="Q1668">
        <v>0</v>
      </c>
      <c r="R1668" t="s">
        <v>12883</v>
      </c>
      <c r="S1668" t="s">
        <v>12884</v>
      </c>
    </row>
    <row r="1669" spans="1:19" x14ac:dyDescent="0.25">
      <c r="A1669" t="s">
        <v>12025</v>
      </c>
      <c r="B1669" s="1">
        <v>45883</v>
      </c>
      <c r="C1669" t="s">
        <v>12893</v>
      </c>
      <c r="D1669" s="5">
        <v>0.56259259259259264</v>
      </c>
      <c r="E1669">
        <v>84.69</v>
      </c>
      <c r="F1669" t="s">
        <v>44</v>
      </c>
      <c r="G1669" t="s">
        <v>82</v>
      </c>
      <c r="H1669" t="s">
        <v>64</v>
      </c>
      <c r="I1669" t="s">
        <v>26</v>
      </c>
      <c r="J1669" t="s">
        <v>12026</v>
      </c>
      <c r="K1669">
        <v>25</v>
      </c>
      <c r="L1669" t="s">
        <v>25</v>
      </c>
      <c r="M1669" t="s">
        <v>47</v>
      </c>
      <c r="N1669" t="s">
        <v>84</v>
      </c>
      <c r="O1669" t="s">
        <v>28</v>
      </c>
      <c r="P1669" t="s">
        <v>31</v>
      </c>
      <c r="Q1669">
        <v>0</v>
      </c>
      <c r="R1669" t="s">
        <v>12883</v>
      </c>
      <c r="S1669" t="s">
        <v>12889</v>
      </c>
    </row>
    <row r="1670" spans="1:19" x14ac:dyDescent="0.25">
      <c r="A1670" t="s">
        <v>12549</v>
      </c>
      <c r="B1670" s="1">
        <v>45920</v>
      </c>
      <c r="C1670" t="s">
        <v>12882</v>
      </c>
      <c r="D1670" s="5">
        <v>0.22880787037037037</v>
      </c>
      <c r="E1670">
        <v>84.65</v>
      </c>
      <c r="F1670" t="s">
        <v>44</v>
      </c>
      <c r="G1670" t="s">
        <v>217</v>
      </c>
      <c r="H1670" t="s">
        <v>124</v>
      </c>
      <c r="I1670" t="s">
        <v>130</v>
      </c>
      <c r="J1670" t="s">
        <v>12550</v>
      </c>
      <c r="K1670">
        <v>37</v>
      </c>
      <c r="L1670" t="s">
        <v>25</v>
      </c>
      <c r="M1670" t="s">
        <v>97</v>
      </c>
      <c r="N1670" t="s">
        <v>39</v>
      </c>
      <c r="O1670" t="s">
        <v>28</v>
      </c>
      <c r="P1670" t="s">
        <v>31</v>
      </c>
      <c r="Q1670">
        <v>0</v>
      </c>
      <c r="R1670" t="s">
        <v>12883</v>
      </c>
      <c r="S1670" t="s">
        <v>12889</v>
      </c>
    </row>
    <row r="1671" spans="1:19" x14ac:dyDescent="0.25">
      <c r="A1671" t="s">
        <v>6520</v>
      </c>
      <c r="B1671" s="1">
        <v>45940</v>
      </c>
      <c r="C1671" t="s">
        <v>12890</v>
      </c>
      <c r="D1671" s="5">
        <v>0.77435185185185185</v>
      </c>
      <c r="E1671">
        <v>84.34</v>
      </c>
      <c r="F1671" t="s">
        <v>44</v>
      </c>
      <c r="G1671" t="s">
        <v>2707</v>
      </c>
      <c r="H1671" t="s">
        <v>22</v>
      </c>
      <c r="I1671" t="s">
        <v>97</v>
      </c>
      <c r="J1671" t="s">
        <v>6521</v>
      </c>
      <c r="K1671">
        <v>34</v>
      </c>
      <c r="L1671" t="s">
        <v>37</v>
      </c>
      <c r="M1671" t="s">
        <v>130</v>
      </c>
      <c r="N1671" t="s">
        <v>39</v>
      </c>
      <c r="O1671" t="s">
        <v>28</v>
      </c>
      <c r="P1671" t="s">
        <v>31</v>
      </c>
      <c r="Q1671">
        <v>0</v>
      </c>
      <c r="R1671" t="s">
        <v>12883</v>
      </c>
      <c r="S1671" t="s">
        <v>12889</v>
      </c>
    </row>
    <row r="1672" spans="1:19" x14ac:dyDescent="0.25">
      <c r="A1672" t="s">
        <v>12788</v>
      </c>
      <c r="B1672" s="1">
        <v>45852</v>
      </c>
      <c r="C1672" t="s">
        <v>12885</v>
      </c>
      <c r="D1672" s="5">
        <v>0.48708333333333331</v>
      </c>
      <c r="E1672">
        <v>84.29</v>
      </c>
      <c r="F1672" t="s">
        <v>44</v>
      </c>
      <c r="G1672" t="s">
        <v>12789</v>
      </c>
      <c r="H1672" t="s">
        <v>34</v>
      </c>
      <c r="I1672" t="s">
        <v>58</v>
      </c>
      <c r="J1672" t="s">
        <v>12790</v>
      </c>
      <c r="K1672">
        <v>62</v>
      </c>
      <c r="L1672" t="s">
        <v>25</v>
      </c>
      <c r="M1672" t="s">
        <v>130</v>
      </c>
      <c r="N1672" t="s">
        <v>39</v>
      </c>
      <c r="O1672" t="s">
        <v>28</v>
      </c>
      <c r="P1672" t="s">
        <v>31</v>
      </c>
      <c r="Q1672">
        <v>0</v>
      </c>
      <c r="R1672" t="s">
        <v>12883</v>
      </c>
      <c r="S1672" t="s">
        <v>12884</v>
      </c>
    </row>
    <row r="1673" spans="1:19" x14ac:dyDescent="0.25">
      <c r="A1673" t="s">
        <v>8587</v>
      </c>
      <c r="B1673" s="1">
        <v>45864</v>
      </c>
      <c r="C1673" t="s">
        <v>12885</v>
      </c>
      <c r="D1673" s="5">
        <v>0.79826388888888888</v>
      </c>
      <c r="E1673">
        <v>84.26</v>
      </c>
      <c r="F1673" t="s">
        <v>44</v>
      </c>
      <c r="G1673" t="s">
        <v>2980</v>
      </c>
      <c r="H1673" t="s">
        <v>57</v>
      </c>
      <c r="I1673" t="s">
        <v>38</v>
      </c>
      <c r="J1673" t="s">
        <v>8588</v>
      </c>
      <c r="K1673">
        <v>72</v>
      </c>
      <c r="L1673" t="s">
        <v>25</v>
      </c>
      <c r="M1673" t="s">
        <v>110</v>
      </c>
      <c r="N1673" t="s">
        <v>39</v>
      </c>
      <c r="O1673" t="s">
        <v>28</v>
      </c>
      <c r="P1673" t="s">
        <v>31</v>
      </c>
      <c r="Q1673">
        <v>0</v>
      </c>
      <c r="R1673" t="s">
        <v>12883</v>
      </c>
      <c r="S1673" t="s">
        <v>12884</v>
      </c>
    </row>
    <row r="1674" spans="1:19" x14ac:dyDescent="0.25">
      <c r="A1674" t="s">
        <v>8957</v>
      </c>
      <c r="B1674" s="1">
        <v>45914</v>
      </c>
      <c r="C1674" t="s">
        <v>12882</v>
      </c>
      <c r="D1674" s="5">
        <v>0.43834490740740739</v>
      </c>
      <c r="E1674">
        <v>84.21</v>
      </c>
      <c r="F1674" t="s">
        <v>44</v>
      </c>
      <c r="G1674" t="s">
        <v>4811</v>
      </c>
      <c r="H1674" t="s">
        <v>124</v>
      </c>
      <c r="I1674" t="s">
        <v>248</v>
      </c>
      <c r="J1674" t="s">
        <v>8958</v>
      </c>
      <c r="K1674">
        <v>40</v>
      </c>
      <c r="L1674" t="s">
        <v>49</v>
      </c>
      <c r="M1674" t="s">
        <v>47</v>
      </c>
      <c r="N1674" t="s">
        <v>39</v>
      </c>
      <c r="O1674" t="s">
        <v>28</v>
      </c>
      <c r="P1674" t="s">
        <v>31</v>
      </c>
      <c r="Q1674">
        <v>0</v>
      </c>
      <c r="R1674" t="s">
        <v>12883</v>
      </c>
      <c r="S1674" t="s">
        <v>12886</v>
      </c>
    </row>
    <row r="1675" spans="1:19" x14ac:dyDescent="0.25">
      <c r="A1675" t="s">
        <v>10103</v>
      </c>
      <c r="B1675" s="1">
        <v>45797</v>
      </c>
      <c r="C1675" t="s">
        <v>12887</v>
      </c>
      <c r="D1675" s="5">
        <v>0.10547453703703703</v>
      </c>
      <c r="E1675">
        <v>84.01</v>
      </c>
      <c r="F1675" t="s">
        <v>44</v>
      </c>
      <c r="G1675" t="s">
        <v>1306</v>
      </c>
      <c r="H1675" t="s">
        <v>96</v>
      </c>
      <c r="I1675" t="s">
        <v>23</v>
      </c>
      <c r="J1675" t="s">
        <v>10104</v>
      </c>
      <c r="K1675">
        <v>48</v>
      </c>
      <c r="L1675" t="s">
        <v>49</v>
      </c>
      <c r="M1675" t="s">
        <v>23</v>
      </c>
      <c r="N1675" t="s">
        <v>84</v>
      </c>
      <c r="O1675" t="s">
        <v>113</v>
      </c>
      <c r="P1675" t="s">
        <v>31</v>
      </c>
      <c r="Q1675">
        <v>0</v>
      </c>
      <c r="R1675" t="s">
        <v>12883</v>
      </c>
      <c r="S1675" t="s">
        <v>12886</v>
      </c>
    </row>
    <row r="1676" spans="1:19" x14ac:dyDescent="0.25">
      <c r="A1676" t="s">
        <v>398</v>
      </c>
      <c r="B1676" s="1">
        <v>45910</v>
      </c>
      <c r="C1676" t="s">
        <v>12882</v>
      </c>
      <c r="D1676" s="5">
        <v>0.86034722222222226</v>
      </c>
      <c r="E1676">
        <v>83.84</v>
      </c>
      <c r="F1676" t="s">
        <v>44</v>
      </c>
      <c r="G1676" t="s">
        <v>399</v>
      </c>
      <c r="H1676" t="s">
        <v>57</v>
      </c>
      <c r="I1676" t="s">
        <v>130</v>
      </c>
      <c r="J1676" t="s">
        <v>400</v>
      </c>
      <c r="K1676">
        <v>35</v>
      </c>
      <c r="L1676" t="s">
        <v>37</v>
      </c>
      <c r="M1676" t="s">
        <v>26</v>
      </c>
      <c r="N1676" t="s">
        <v>105</v>
      </c>
      <c r="O1676" t="s">
        <v>28</v>
      </c>
      <c r="P1676" t="s">
        <v>31</v>
      </c>
      <c r="Q1676">
        <v>0</v>
      </c>
      <c r="R1676" t="s">
        <v>12883</v>
      </c>
      <c r="S1676" t="s">
        <v>12889</v>
      </c>
    </row>
    <row r="1677" spans="1:19" x14ac:dyDescent="0.25">
      <c r="A1677" t="s">
        <v>11908</v>
      </c>
      <c r="B1677" s="1">
        <v>45949</v>
      </c>
      <c r="C1677" t="s">
        <v>12890</v>
      </c>
      <c r="D1677" s="5">
        <v>0.5436805555555555</v>
      </c>
      <c r="E1677">
        <v>83.8</v>
      </c>
      <c r="F1677" t="s">
        <v>44</v>
      </c>
      <c r="G1677" t="s">
        <v>11084</v>
      </c>
      <c r="H1677" t="s">
        <v>71</v>
      </c>
      <c r="I1677" t="s">
        <v>66</v>
      </c>
      <c r="J1677" t="s">
        <v>11909</v>
      </c>
      <c r="K1677">
        <v>48</v>
      </c>
      <c r="L1677" t="s">
        <v>25</v>
      </c>
      <c r="M1677" t="s">
        <v>146</v>
      </c>
      <c r="N1677" t="s">
        <v>39</v>
      </c>
      <c r="O1677" t="s">
        <v>28</v>
      </c>
      <c r="P1677" t="s">
        <v>31</v>
      </c>
      <c r="Q1677">
        <v>0</v>
      </c>
      <c r="R1677" t="s">
        <v>12883</v>
      </c>
      <c r="S1677" t="s">
        <v>12886</v>
      </c>
    </row>
    <row r="1678" spans="1:19" x14ac:dyDescent="0.25">
      <c r="A1678" t="s">
        <v>6736</v>
      </c>
      <c r="B1678" s="1">
        <v>45864</v>
      </c>
      <c r="C1678" t="s">
        <v>12885</v>
      </c>
      <c r="D1678" s="5">
        <v>0.42100694444444442</v>
      </c>
      <c r="E1678">
        <v>83.77</v>
      </c>
      <c r="F1678" t="s">
        <v>44</v>
      </c>
      <c r="G1678" t="s">
        <v>5147</v>
      </c>
      <c r="H1678" t="s">
        <v>89</v>
      </c>
      <c r="I1678" t="s">
        <v>50</v>
      </c>
      <c r="J1678" t="s">
        <v>6737</v>
      </c>
      <c r="K1678">
        <v>62</v>
      </c>
      <c r="L1678" t="s">
        <v>37</v>
      </c>
      <c r="M1678" t="s">
        <v>47</v>
      </c>
      <c r="N1678" t="s">
        <v>112</v>
      </c>
      <c r="O1678" t="s">
        <v>28</v>
      </c>
      <c r="P1678" t="s">
        <v>31</v>
      </c>
      <c r="Q1678">
        <v>0</v>
      </c>
      <c r="R1678" t="s">
        <v>12883</v>
      </c>
      <c r="S1678" t="s">
        <v>12884</v>
      </c>
    </row>
    <row r="1679" spans="1:19" x14ac:dyDescent="0.25">
      <c r="A1679" t="s">
        <v>6982</v>
      </c>
      <c r="B1679" s="1">
        <v>45800</v>
      </c>
      <c r="C1679" t="s">
        <v>12887</v>
      </c>
      <c r="D1679" s="5">
        <v>0.43194444444444446</v>
      </c>
      <c r="E1679">
        <v>83.75</v>
      </c>
      <c r="F1679" t="s">
        <v>44</v>
      </c>
      <c r="G1679" t="s">
        <v>6983</v>
      </c>
      <c r="H1679" t="s">
        <v>71</v>
      </c>
      <c r="I1679" t="s">
        <v>248</v>
      </c>
      <c r="J1679" t="s">
        <v>6984</v>
      </c>
      <c r="K1679">
        <v>25</v>
      </c>
      <c r="L1679" t="s">
        <v>49</v>
      </c>
      <c r="M1679" t="s">
        <v>91</v>
      </c>
      <c r="N1679" t="s">
        <v>105</v>
      </c>
      <c r="O1679" t="s">
        <v>28</v>
      </c>
      <c r="P1679" t="s">
        <v>31</v>
      </c>
      <c r="Q1679">
        <v>0</v>
      </c>
      <c r="R1679" t="s">
        <v>12883</v>
      </c>
      <c r="S1679" t="s">
        <v>12889</v>
      </c>
    </row>
    <row r="1680" spans="1:19" x14ac:dyDescent="0.25">
      <c r="A1680" t="s">
        <v>9693</v>
      </c>
      <c r="B1680" s="1">
        <v>45919</v>
      </c>
      <c r="C1680" t="s">
        <v>12882</v>
      </c>
      <c r="D1680" s="5">
        <v>0.56657407407407412</v>
      </c>
      <c r="E1680">
        <v>83.73</v>
      </c>
      <c r="F1680" t="s">
        <v>44</v>
      </c>
      <c r="G1680" t="s">
        <v>1804</v>
      </c>
      <c r="H1680" t="s">
        <v>22</v>
      </c>
      <c r="I1680" t="s">
        <v>26</v>
      </c>
      <c r="J1680" t="s">
        <v>9694</v>
      </c>
      <c r="K1680">
        <v>31</v>
      </c>
      <c r="L1680" t="s">
        <v>25</v>
      </c>
      <c r="M1680" t="s">
        <v>47</v>
      </c>
      <c r="N1680" t="s">
        <v>112</v>
      </c>
      <c r="O1680" t="s">
        <v>28</v>
      </c>
      <c r="P1680" t="s">
        <v>31</v>
      </c>
      <c r="Q1680">
        <v>0</v>
      </c>
      <c r="R1680" t="s">
        <v>12883</v>
      </c>
      <c r="S1680" t="s">
        <v>12889</v>
      </c>
    </row>
    <row r="1681" spans="1:19" x14ac:dyDescent="0.25">
      <c r="A1681" t="s">
        <v>5214</v>
      </c>
      <c r="B1681" s="1">
        <v>45832</v>
      </c>
      <c r="C1681" t="s">
        <v>12888</v>
      </c>
      <c r="D1681" s="5">
        <v>0.51947916666666671</v>
      </c>
      <c r="E1681">
        <v>83.72</v>
      </c>
      <c r="F1681" t="s">
        <v>44</v>
      </c>
      <c r="G1681" t="s">
        <v>1637</v>
      </c>
      <c r="H1681" t="s">
        <v>46</v>
      </c>
      <c r="I1681" t="s">
        <v>146</v>
      </c>
      <c r="J1681" t="s">
        <v>5215</v>
      </c>
      <c r="K1681">
        <v>59</v>
      </c>
      <c r="L1681" t="s">
        <v>49</v>
      </c>
      <c r="M1681" t="s">
        <v>119</v>
      </c>
      <c r="N1681" t="s">
        <v>27</v>
      </c>
      <c r="O1681" t="s">
        <v>28</v>
      </c>
      <c r="P1681" t="s">
        <v>31</v>
      </c>
      <c r="Q1681">
        <v>0</v>
      </c>
      <c r="R1681" t="s">
        <v>12883</v>
      </c>
      <c r="S1681" t="s">
        <v>12886</v>
      </c>
    </row>
    <row r="1682" spans="1:19" x14ac:dyDescent="0.25">
      <c r="A1682" t="s">
        <v>7283</v>
      </c>
      <c r="B1682" s="1">
        <v>45837</v>
      </c>
      <c r="C1682" t="s">
        <v>12888</v>
      </c>
      <c r="D1682" s="5">
        <v>0.79282407407407407</v>
      </c>
      <c r="E1682">
        <v>83.68</v>
      </c>
      <c r="F1682" t="s">
        <v>44</v>
      </c>
      <c r="G1682" t="s">
        <v>6108</v>
      </c>
      <c r="H1682" t="s">
        <v>124</v>
      </c>
      <c r="I1682" t="s">
        <v>146</v>
      </c>
      <c r="J1682" t="s">
        <v>7284</v>
      </c>
      <c r="K1682">
        <v>30</v>
      </c>
      <c r="L1682" t="s">
        <v>37</v>
      </c>
      <c r="M1682" t="s">
        <v>58</v>
      </c>
      <c r="N1682" t="s">
        <v>105</v>
      </c>
      <c r="O1682" t="s">
        <v>28</v>
      </c>
      <c r="P1682" t="s">
        <v>31</v>
      </c>
      <c r="Q1682">
        <v>0</v>
      </c>
      <c r="R1682" t="s">
        <v>12883</v>
      </c>
      <c r="S1682" t="s">
        <v>12889</v>
      </c>
    </row>
    <row r="1683" spans="1:19" x14ac:dyDescent="0.25">
      <c r="A1683" t="s">
        <v>4279</v>
      </c>
      <c r="B1683" s="1">
        <v>45825</v>
      </c>
      <c r="C1683" t="s">
        <v>12888</v>
      </c>
      <c r="D1683" s="5">
        <v>0.73285879629629624</v>
      </c>
      <c r="E1683">
        <v>83.66</v>
      </c>
      <c r="F1683" t="s">
        <v>44</v>
      </c>
      <c r="G1683" t="s">
        <v>1366</v>
      </c>
      <c r="H1683" t="s">
        <v>71</v>
      </c>
      <c r="I1683" t="s">
        <v>26</v>
      </c>
      <c r="J1683" t="s">
        <v>4280</v>
      </c>
      <c r="K1683">
        <v>63</v>
      </c>
      <c r="L1683" t="s">
        <v>25</v>
      </c>
      <c r="M1683" t="s">
        <v>38</v>
      </c>
      <c r="N1683" t="s">
        <v>39</v>
      </c>
      <c r="O1683" t="s">
        <v>28</v>
      </c>
      <c r="P1683" t="s">
        <v>31</v>
      </c>
      <c r="Q1683">
        <v>0</v>
      </c>
      <c r="R1683" t="s">
        <v>12883</v>
      </c>
      <c r="S1683" t="s">
        <v>12884</v>
      </c>
    </row>
    <row r="1684" spans="1:19" x14ac:dyDescent="0.25">
      <c r="A1684" t="s">
        <v>12698</v>
      </c>
      <c r="B1684" s="1">
        <v>45912</v>
      </c>
      <c r="C1684" t="s">
        <v>12882</v>
      </c>
      <c r="D1684" s="5">
        <v>0.25755787037037037</v>
      </c>
      <c r="E1684">
        <v>83.66</v>
      </c>
      <c r="F1684" t="s">
        <v>44</v>
      </c>
      <c r="G1684" t="s">
        <v>5412</v>
      </c>
      <c r="H1684" t="s">
        <v>124</v>
      </c>
      <c r="I1684" t="s">
        <v>35</v>
      </c>
      <c r="J1684" t="s">
        <v>12699</v>
      </c>
      <c r="K1684">
        <v>58</v>
      </c>
      <c r="L1684" t="s">
        <v>49</v>
      </c>
      <c r="M1684" t="s">
        <v>26</v>
      </c>
      <c r="N1684" t="s">
        <v>27</v>
      </c>
      <c r="O1684" t="s">
        <v>28</v>
      </c>
      <c r="P1684" t="s">
        <v>31</v>
      </c>
      <c r="Q1684">
        <v>0</v>
      </c>
      <c r="R1684" t="s">
        <v>12883</v>
      </c>
      <c r="S1684" t="s">
        <v>12886</v>
      </c>
    </row>
    <row r="1685" spans="1:19" x14ac:dyDescent="0.25">
      <c r="A1685" t="s">
        <v>10958</v>
      </c>
      <c r="B1685" s="1">
        <v>45867</v>
      </c>
      <c r="C1685" t="s">
        <v>12885</v>
      </c>
      <c r="D1685" s="5">
        <v>0.575775462962963</v>
      </c>
      <c r="E1685">
        <v>83.54</v>
      </c>
      <c r="F1685" t="s">
        <v>44</v>
      </c>
      <c r="G1685" t="s">
        <v>56</v>
      </c>
      <c r="H1685" t="s">
        <v>34</v>
      </c>
      <c r="I1685" t="s">
        <v>130</v>
      </c>
      <c r="J1685" t="s">
        <v>10959</v>
      </c>
      <c r="K1685">
        <v>27</v>
      </c>
      <c r="L1685" t="s">
        <v>37</v>
      </c>
      <c r="M1685" t="s">
        <v>35</v>
      </c>
      <c r="N1685" t="s">
        <v>51</v>
      </c>
      <c r="O1685" t="s">
        <v>28</v>
      </c>
      <c r="P1685" t="s">
        <v>31</v>
      </c>
      <c r="Q1685">
        <v>0</v>
      </c>
      <c r="R1685" t="s">
        <v>12883</v>
      </c>
      <c r="S1685" t="s">
        <v>12889</v>
      </c>
    </row>
    <row r="1686" spans="1:19" x14ac:dyDescent="0.25">
      <c r="A1686" t="s">
        <v>5021</v>
      </c>
      <c r="B1686" s="1">
        <v>45902</v>
      </c>
      <c r="C1686" t="s">
        <v>12882</v>
      </c>
      <c r="D1686" s="5">
        <v>0.36729166666666668</v>
      </c>
      <c r="E1686">
        <v>83.4</v>
      </c>
      <c r="F1686" t="s">
        <v>44</v>
      </c>
      <c r="G1686" t="s">
        <v>1408</v>
      </c>
      <c r="H1686" t="s">
        <v>22</v>
      </c>
      <c r="I1686" t="s">
        <v>23</v>
      </c>
      <c r="J1686" t="s">
        <v>5022</v>
      </c>
      <c r="K1686">
        <v>34</v>
      </c>
      <c r="L1686" t="s">
        <v>49</v>
      </c>
      <c r="M1686" t="s">
        <v>110</v>
      </c>
      <c r="N1686" t="s">
        <v>39</v>
      </c>
      <c r="O1686" t="s">
        <v>28</v>
      </c>
      <c r="P1686" t="s">
        <v>31</v>
      </c>
      <c r="Q1686">
        <v>0</v>
      </c>
      <c r="R1686" t="s">
        <v>12883</v>
      </c>
      <c r="S1686" t="s">
        <v>12889</v>
      </c>
    </row>
    <row r="1687" spans="1:19" x14ac:dyDescent="0.25">
      <c r="A1687" t="s">
        <v>8674</v>
      </c>
      <c r="B1687" s="1">
        <v>45792</v>
      </c>
      <c r="C1687" t="s">
        <v>12887</v>
      </c>
      <c r="D1687" s="5">
        <v>0.72530092592592588</v>
      </c>
      <c r="E1687">
        <v>83.38</v>
      </c>
      <c r="F1687" t="s">
        <v>44</v>
      </c>
      <c r="G1687" t="s">
        <v>5317</v>
      </c>
      <c r="H1687" t="s">
        <v>89</v>
      </c>
      <c r="I1687" t="s">
        <v>119</v>
      </c>
      <c r="J1687" t="s">
        <v>8675</v>
      </c>
      <c r="K1687">
        <v>61</v>
      </c>
      <c r="L1687" t="s">
        <v>49</v>
      </c>
      <c r="M1687" t="s">
        <v>146</v>
      </c>
      <c r="N1687" t="s">
        <v>112</v>
      </c>
      <c r="O1687" t="s">
        <v>28</v>
      </c>
      <c r="P1687" t="s">
        <v>31</v>
      </c>
      <c r="Q1687">
        <v>0</v>
      </c>
      <c r="R1687" t="s">
        <v>12883</v>
      </c>
      <c r="S1687" t="s">
        <v>12884</v>
      </c>
    </row>
    <row r="1688" spans="1:19" x14ac:dyDescent="0.25">
      <c r="A1688" t="s">
        <v>912</v>
      </c>
      <c r="B1688" s="1">
        <v>45941</v>
      </c>
      <c r="C1688" t="s">
        <v>12890</v>
      </c>
      <c r="D1688" s="5">
        <v>4.5208333333333336E-2</v>
      </c>
      <c r="E1688">
        <v>83.23</v>
      </c>
      <c r="F1688" t="s">
        <v>44</v>
      </c>
      <c r="G1688" t="s">
        <v>913</v>
      </c>
      <c r="H1688" t="s">
        <v>89</v>
      </c>
      <c r="I1688" t="s">
        <v>26</v>
      </c>
      <c r="J1688" t="s">
        <v>914</v>
      </c>
      <c r="K1688">
        <v>27</v>
      </c>
      <c r="L1688" t="s">
        <v>25</v>
      </c>
      <c r="M1688" t="s">
        <v>119</v>
      </c>
      <c r="N1688" t="s">
        <v>84</v>
      </c>
      <c r="O1688" t="s">
        <v>28</v>
      </c>
      <c r="P1688" t="s">
        <v>31</v>
      </c>
      <c r="Q1688">
        <v>0</v>
      </c>
      <c r="R1688" t="s">
        <v>12883</v>
      </c>
      <c r="S1688" t="s">
        <v>12889</v>
      </c>
    </row>
    <row r="1689" spans="1:19" x14ac:dyDescent="0.25">
      <c r="A1689" t="s">
        <v>10448</v>
      </c>
      <c r="B1689" s="1">
        <v>45883</v>
      </c>
      <c r="C1689" t="s">
        <v>12893</v>
      </c>
      <c r="D1689" s="5">
        <v>0.66494212962962962</v>
      </c>
      <c r="E1689">
        <v>83.23</v>
      </c>
      <c r="F1689" t="s">
        <v>44</v>
      </c>
      <c r="G1689" t="s">
        <v>541</v>
      </c>
      <c r="H1689" t="s">
        <v>34</v>
      </c>
      <c r="I1689" t="s">
        <v>38</v>
      </c>
      <c r="J1689" t="s">
        <v>10449</v>
      </c>
      <c r="K1689">
        <v>64</v>
      </c>
      <c r="L1689" t="s">
        <v>49</v>
      </c>
      <c r="M1689" t="s">
        <v>97</v>
      </c>
      <c r="N1689" t="s">
        <v>105</v>
      </c>
      <c r="O1689" t="s">
        <v>28</v>
      </c>
      <c r="P1689" t="s">
        <v>31</v>
      </c>
      <c r="Q1689">
        <v>0</v>
      </c>
      <c r="R1689" t="s">
        <v>12883</v>
      </c>
      <c r="S1689" t="s">
        <v>12884</v>
      </c>
    </row>
    <row r="1690" spans="1:19" x14ac:dyDescent="0.25">
      <c r="A1690" t="s">
        <v>5661</v>
      </c>
      <c r="B1690" s="1">
        <v>45944</v>
      </c>
      <c r="C1690" t="s">
        <v>12890</v>
      </c>
      <c r="D1690" s="5">
        <v>0.50108796296296299</v>
      </c>
      <c r="E1690">
        <v>82.97</v>
      </c>
      <c r="F1690" t="s">
        <v>44</v>
      </c>
      <c r="G1690" t="s">
        <v>5662</v>
      </c>
      <c r="H1690" t="s">
        <v>64</v>
      </c>
      <c r="I1690" t="s">
        <v>58</v>
      </c>
      <c r="J1690" t="s">
        <v>5663</v>
      </c>
      <c r="K1690">
        <v>60</v>
      </c>
      <c r="L1690" t="s">
        <v>37</v>
      </c>
      <c r="M1690" t="s">
        <v>97</v>
      </c>
      <c r="N1690" t="s">
        <v>105</v>
      </c>
      <c r="O1690" t="s">
        <v>28</v>
      </c>
      <c r="P1690" t="s">
        <v>31</v>
      </c>
      <c r="Q1690">
        <v>0</v>
      </c>
      <c r="R1690" t="s">
        <v>12883</v>
      </c>
      <c r="S1690" t="s">
        <v>12884</v>
      </c>
    </row>
    <row r="1691" spans="1:19" x14ac:dyDescent="0.25">
      <c r="A1691" t="s">
        <v>7937</v>
      </c>
      <c r="B1691" s="1">
        <v>45889</v>
      </c>
      <c r="C1691" t="s">
        <v>12893</v>
      </c>
      <c r="D1691" s="5">
        <v>0.97312500000000002</v>
      </c>
      <c r="E1691">
        <v>82.97</v>
      </c>
      <c r="F1691" t="s">
        <v>44</v>
      </c>
      <c r="G1691" t="s">
        <v>364</v>
      </c>
      <c r="H1691" t="s">
        <v>77</v>
      </c>
      <c r="I1691" t="s">
        <v>146</v>
      </c>
      <c r="J1691" t="s">
        <v>7938</v>
      </c>
      <c r="K1691">
        <v>66</v>
      </c>
      <c r="L1691" t="s">
        <v>25</v>
      </c>
      <c r="M1691" t="s">
        <v>38</v>
      </c>
      <c r="N1691" t="s">
        <v>27</v>
      </c>
      <c r="O1691" t="s">
        <v>28</v>
      </c>
      <c r="P1691" t="s">
        <v>31</v>
      </c>
      <c r="Q1691">
        <v>0</v>
      </c>
      <c r="R1691" t="s">
        <v>12883</v>
      </c>
      <c r="S1691" t="s">
        <v>12884</v>
      </c>
    </row>
    <row r="1692" spans="1:19" x14ac:dyDescent="0.25">
      <c r="A1692" t="s">
        <v>10476</v>
      </c>
      <c r="B1692" s="1">
        <v>45912</v>
      </c>
      <c r="C1692" t="s">
        <v>12882</v>
      </c>
      <c r="D1692" s="5">
        <v>0.47869212962962965</v>
      </c>
      <c r="E1692">
        <v>82.97</v>
      </c>
      <c r="F1692" t="s">
        <v>44</v>
      </c>
      <c r="G1692" t="s">
        <v>5094</v>
      </c>
      <c r="H1692" t="s">
        <v>124</v>
      </c>
      <c r="I1692" t="s">
        <v>35</v>
      </c>
      <c r="J1692" t="s">
        <v>10477</v>
      </c>
      <c r="K1692">
        <v>25</v>
      </c>
      <c r="L1692" t="s">
        <v>37</v>
      </c>
      <c r="M1692" t="s">
        <v>50</v>
      </c>
      <c r="N1692" t="s">
        <v>39</v>
      </c>
      <c r="O1692" t="s">
        <v>28</v>
      </c>
      <c r="P1692" t="s">
        <v>31</v>
      </c>
      <c r="Q1692">
        <v>0</v>
      </c>
      <c r="R1692" t="s">
        <v>12883</v>
      </c>
      <c r="S1692" t="s">
        <v>12889</v>
      </c>
    </row>
    <row r="1693" spans="1:19" x14ac:dyDescent="0.25">
      <c r="A1693" t="s">
        <v>3247</v>
      </c>
      <c r="B1693" s="1">
        <v>45886</v>
      </c>
      <c r="C1693" t="s">
        <v>12893</v>
      </c>
      <c r="D1693" s="5">
        <v>5.3009259259259256E-2</v>
      </c>
      <c r="E1693">
        <v>82.88</v>
      </c>
      <c r="F1693" t="s">
        <v>44</v>
      </c>
      <c r="G1693" t="s">
        <v>1499</v>
      </c>
      <c r="H1693" t="s">
        <v>89</v>
      </c>
      <c r="I1693" t="s">
        <v>38</v>
      </c>
      <c r="J1693" t="s">
        <v>3248</v>
      </c>
      <c r="K1693">
        <v>21</v>
      </c>
      <c r="L1693" t="s">
        <v>49</v>
      </c>
      <c r="M1693" t="s">
        <v>91</v>
      </c>
      <c r="N1693" t="s">
        <v>27</v>
      </c>
      <c r="O1693" t="s">
        <v>28</v>
      </c>
      <c r="P1693" t="s">
        <v>31</v>
      </c>
      <c r="Q1693">
        <v>0</v>
      </c>
      <c r="R1693" t="s">
        <v>12883</v>
      </c>
      <c r="S1693" t="s">
        <v>12892</v>
      </c>
    </row>
    <row r="1694" spans="1:19" x14ac:dyDescent="0.25">
      <c r="A1694" t="s">
        <v>8807</v>
      </c>
      <c r="B1694" s="1">
        <v>45799</v>
      </c>
      <c r="C1694" t="s">
        <v>12887</v>
      </c>
      <c r="D1694" s="5">
        <v>0.79861111111111116</v>
      </c>
      <c r="E1694">
        <v>82.84</v>
      </c>
      <c r="F1694" t="s">
        <v>44</v>
      </c>
      <c r="G1694" t="s">
        <v>8808</v>
      </c>
      <c r="H1694" t="s">
        <v>124</v>
      </c>
      <c r="I1694" t="s">
        <v>146</v>
      </c>
      <c r="J1694" t="s">
        <v>8809</v>
      </c>
      <c r="K1694">
        <v>28</v>
      </c>
      <c r="L1694" t="s">
        <v>49</v>
      </c>
      <c r="M1694" t="s">
        <v>47</v>
      </c>
      <c r="N1694" t="s">
        <v>105</v>
      </c>
      <c r="O1694" t="s">
        <v>28</v>
      </c>
      <c r="P1694" t="s">
        <v>31</v>
      </c>
      <c r="Q1694">
        <v>0</v>
      </c>
      <c r="R1694" t="s">
        <v>12883</v>
      </c>
      <c r="S1694" t="s">
        <v>12889</v>
      </c>
    </row>
    <row r="1695" spans="1:19" x14ac:dyDescent="0.25">
      <c r="A1695" t="s">
        <v>4810</v>
      </c>
      <c r="B1695" s="1">
        <v>45896</v>
      </c>
      <c r="C1695" t="s">
        <v>12893</v>
      </c>
      <c r="D1695" s="5">
        <v>0.2575115740740741</v>
      </c>
      <c r="E1695">
        <v>82.79</v>
      </c>
      <c r="F1695" t="s">
        <v>44</v>
      </c>
      <c r="G1695" t="s">
        <v>4811</v>
      </c>
      <c r="H1695" t="s">
        <v>57</v>
      </c>
      <c r="I1695" t="s">
        <v>35</v>
      </c>
      <c r="J1695" t="s">
        <v>4812</v>
      </c>
      <c r="K1695">
        <v>46</v>
      </c>
      <c r="L1695" t="s">
        <v>37</v>
      </c>
      <c r="M1695" t="s">
        <v>66</v>
      </c>
      <c r="N1695" t="s">
        <v>51</v>
      </c>
      <c r="O1695" t="s">
        <v>28</v>
      </c>
      <c r="P1695" t="s">
        <v>31</v>
      </c>
      <c r="Q1695">
        <v>0</v>
      </c>
      <c r="R1695" t="s">
        <v>12883</v>
      </c>
      <c r="S1695" t="s">
        <v>12886</v>
      </c>
    </row>
    <row r="1696" spans="1:19" x14ac:dyDescent="0.25">
      <c r="A1696" t="s">
        <v>206</v>
      </c>
      <c r="B1696" s="1">
        <v>45834</v>
      </c>
      <c r="C1696" t="s">
        <v>12888</v>
      </c>
      <c r="D1696" s="5">
        <v>0.22025462962962963</v>
      </c>
      <c r="E1696">
        <v>82.78</v>
      </c>
      <c r="F1696" t="s">
        <v>44</v>
      </c>
      <c r="G1696" t="s">
        <v>207</v>
      </c>
      <c r="H1696" t="s">
        <v>71</v>
      </c>
      <c r="I1696" t="s">
        <v>110</v>
      </c>
      <c r="J1696" t="s">
        <v>208</v>
      </c>
      <c r="K1696">
        <v>69</v>
      </c>
      <c r="L1696" t="s">
        <v>37</v>
      </c>
      <c r="M1696" t="s">
        <v>130</v>
      </c>
      <c r="N1696" t="s">
        <v>39</v>
      </c>
      <c r="O1696" t="s">
        <v>28</v>
      </c>
      <c r="P1696" t="s">
        <v>31</v>
      </c>
      <c r="Q1696">
        <v>0</v>
      </c>
      <c r="R1696" t="s">
        <v>12883</v>
      </c>
      <c r="S1696" t="s">
        <v>12884</v>
      </c>
    </row>
    <row r="1697" spans="1:19" x14ac:dyDescent="0.25">
      <c r="A1697" t="s">
        <v>1498</v>
      </c>
      <c r="B1697" s="1">
        <v>45817</v>
      </c>
      <c r="C1697" t="s">
        <v>12888</v>
      </c>
      <c r="D1697" s="5">
        <v>0.54222222222222227</v>
      </c>
      <c r="E1697">
        <v>82.71</v>
      </c>
      <c r="F1697" t="s">
        <v>44</v>
      </c>
      <c r="G1697" t="s">
        <v>1499</v>
      </c>
      <c r="H1697" t="s">
        <v>89</v>
      </c>
      <c r="I1697" t="s">
        <v>35</v>
      </c>
      <c r="J1697" t="s">
        <v>1500</v>
      </c>
      <c r="K1697">
        <v>50</v>
      </c>
      <c r="L1697" t="s">
        <v>25</v>
      </c>
      <c r="M1697" t="s">
        <v>23</v>
      </c>
      <c r="N1697" t="s">
        <v>112</v>
      </c>
      <c r="O1697" t="s">
        <v>28</v>
      </c>
      <c r="P1697" t="s">
        <v>31</v>
      </c>
      <c r="Q1697">
        <v>0</v>
      </c>
      <c r="R1697" t="s">
        <v>12883</v>
      </c>
      <c r="S1697" t="s">
        <v>12886</v>
      </c>
    </row>
    <row r="1698" spans="1:19" x14ac:dyDescent="0.25">
      <c r="A1698" t="s">
        <v>9530</v>
      </c>
      <c r="B1698" s="1">
        <v>45886</v>
      </c>
      <c r="C1698" t="s">
        <v>12893</v>
      </c>
      <c r="D1698" s="5">
        <v>0.92820601851851847</v>
      </c>
      <c r="E1698">
        <v>82.65</v>
      </c>
      <c r="F1698" t="s">
        <v>44</v>
      </c>
      <c r="G1698" t="s">
        <v>318</v>
      </c>
      <c r="H1698" t="s">
        <v>124</v>
      </c>
      <c r="I1698" t="s">
        <v>66</v>
      </c>
      <c r="J1698" t="s">
        <v>9531</v>
      </c>
      <c r="K1698">
        <v>67</v>
      </c>
      <c r="L1698" t="s">
        <v>37</v>
      </c>
      <c r="M1698" t="s">
        <v>23</v>
      </c>
      <c r="N1698" t="s">
        <v>84</v>
      </c>
      <c r="O1698" t="s">
        <v>28</v>
      </c>
      <c r="P1698" t="s">
        <v>31</v>
      </c>
      <c r="Q1698">
        <v>0</v>
      </c>
      <c r="R1698" t="s">
        <v>12883</v>
      </c>
      <c r="S1698" t="s">
        <v>12884</v>
      </c>
    </row>
    <row r="1699" spans="1:19" x14ac:dyDescent="0.25">
      <c r="A1699" t="s">
        <v>6634</v>
      </c>
      <c r="B1699" s="1">
        <v>45836</v>
      </c>
      <c r="C1699" t="s">
        <v>12888</v>
      </c>
      <c r="D1699" s="5">
        <v>0.38188657407407406</v>
      </c>
      <c r="E1699">
        <v>82.63</v>
      </c>
      <c r="F1699" t="s">
        <v>44</v>
      </c>
      <c r="G1699" t="s">
        <v>6635</v>
      </c>
      <c r="H1699" t="s">
        <v>57</v>
      </c>
      <c r="I1699" t="s">
        <v>119</v>
      </c>
      <c r="J1699" t="s">
        <v>6636</v>
      </c>
      <c r="K1699">
        <v>64</v>
      </c>
      <c r="L1699" t="s">
        <v>49</v>
      </c>
      <c r="M1699" t="s">
        <v>38</v>
      </c>
      <c r="N1699" t="s">
        <v>27</v>
      </c>
      <c r="O1699" t="s">
        <v>28</v>
      </c>
      <c r="P1699" t="s">
        <v>31</v>
      </c>
      <c r="Q1699">
        <v>0</v>
      </c>
      <c r="R1699" t="s">
        <v>12883</v>
      </c>
      <c r="S1699" t="s">
        <v>12884</v>
      </c>
    </row>
    <row r="1700" spans="1:19" x14ac:dyDescent="0.25">
      <c r="A1700" t="s">
        <v>10035</v>
      </c>
      <c r="B1700" s="1">
        <v>45807</v>
      </c>
      <c r="C1700" t="s">
        <v>12887</v>
      </c>
      <c r="D1700" s="5">
        <v>0.39893518518518517</v>
      </c>
      <c r="E1700">
        <v>82.58</v>
      </c>
      <c r="F1700" t="s">
        <v>44</v>
      </c>
      <c r="G1700" t="s">
        <v>10036</v>
      </c>
      <c r="H1700" t="s">
        <v>77</v>
      </c>
      <c r="I1700" t="s">
        <v>130</v>
      </c>
      <c r="J1700" t="s">
        <v>10037</v>
      </c>
      <c r="K1700">
        <v>44</v>
      </c>
      <c r="L1700" t="s">
        <v>25</v>
      </c>
      <c r="M1700" t="s">
        <v>58</v>
      </c>
      <c r="N1700" t="s">
        <v>84</v>
      </c>
      <c r="O1700" t="s">
        <v>28</v>
      </c>
      <c r="P1700" t="s">
        <v>31</v>
      </c>
      <c r="Q1700">
        <v>0</v>
      </c>
      <c r="R1700" t="s">
        <v>12883</v>
      </c>
      <c r="S1700" t="s">
        <v>12886</v>
      </c>
    </row>
    <row r="1701" spans="1:19" x14ac:dyDescent="0.25">
      <c r="A1701" t="s">
        <v>10791</v>
      </c>
      <c r="B1701" s="1">
        <v>45912</v>
      </c>
      <c r="C1701" t="s">
        <v>12882</v>
      </c>
      <c r="D1701" s="5">
        <v>0.73829861111111106</v>
      </c>
      <c r="E1701">
        <v>82.54</v>
      </c>
      <c r="F1701" t="s">
        <v>44</v>
      </c>
      <c r="G1701" t="s">
        <v>1973</v>
      </c>
      <c r="H1701" t="s">
        <v>57</v>
      </c>
      <c r="I1701" t="s">
        <v>50</v>
      </c>
      <c r="J1701" t="s">
        <v>10792</v>
      </c>
      <c r="K1701">
        <v>37</v>
      </c>
      <c r="L1701" t="s">
        <v>25</v>
      </c>
      <c r="M1701" t="s">
        <v>23</v>
      </c>
      <c r="N1701" t="s">
        <v>105</v>
      </c>
      <c r="O1701" t="s">
        <v>28</v>
      </c>
      <c r="P1701" t="s">
        <v>31</v>
      </c>
      <c r="Q1701">
        <v>0</v>
      </c>
      <c r="R1701" t="s">
        <v>12883</v>
      </c>
      <c r="S1701" t="s">
        <v>12889</v>
      </c>
    </row>
    <row r="1702" spans="1:19" x14ac:dyDescent="0.25">
      <c r="A1702" t="s">
        <v>12033</v>
      </c>
      <c r="B1702" s="1">
        <v>45884</v>
      </c>
      <c r="C1702" t="s">
        <v>12893</v>
      </c>
      <c r="D1702" s="5">
        <v>0.24587962962962964</v>
      </c>
      <c r="E1702">
        <v>82.45</v>
      </c>
      <c r="F1702" t="s">
        <v>44</v>
      </c>
      <c r="G1702" t="s">
        <v>1427</v>
      </c>
      <c r="H1702" t="s">
        <v>77</v>
      </c>
      <c r="I1702" t="s">
        <v>110</v>
      </c>
      <c r="J1702" t="s">
        <v>12034</v>
      </c>
      <c r="K1702">
        <v>74</v>
      </c>
      <c r="L1702" t="s">
        <v>25</v>
      </c>
      <c r="M1702" t="s">
        <v>119</v>
      </c>
      <c r="N1702" t="s">
        <v>105</v>
      </c>
      <c r="O1702" t="s">
        <v>28</v>
      </c>
      <c r="P1702" t="s">
        <v>31</v>
      </c>
      <c r="Q1702">
        <v>0</v>
      </c>
      <c r="R1702" t="s">
        <v>12883</v>
      </c>
      <c r="S1702" t="s">
        <v>12884</v>
      </c>
    </row>
    <row r="1703" spans="1:19" x14ac:dyDescent="0.25">
      <c r="A1703" t="s">
        <v>4039</v>
      </c>
      <c r="B1703" s="1">
        <v>45958</v>
      </c>
      <c r="C1703" t="s">
        <v>12890</v>
      </c>
      <c r="D1703" s="5">
        <v>0.67002314814814812</v>
      </c>
      <c r="E1703">
        <v>82.39</v>
      </c>
      <c r="F1703" t="s">
        <v>44</v>
      </c>
      <c r="G1703" t="s">
        <v>787</v>
      </c>
      <c r="H1703" t="s">
        <v>34</v>
      </c>
      <c r="I1703" t="s">
        <v>110</v>
      </c>
      <c r="J1703" t="s">
        <v>4040</v>
      </c>
      <c r="K1703">
        <v>30</v>
      </c>
      <c r="L1703" t="s">
        <v>25</v>
      </c>
      <c r="M1703" t="s">
        <v>146</v>
      </c>
      <c r="N1703" t="s">
        <v>51</v>
      </c>
      <c r="O1703" t="s">
        <v>28</v>
      </c>
      <c r="P1703" t="s">
        <v>31</v>
      </c>
      <c r="Q1703">
        <v>0</v>
      </c>
      <c r="R1703" t="s">
        <v>12883</v>
      </c>
      <c r="S1703" t="s">
        <v>12889</v>
      </c>
    </row>
    <row r="1704" spans="1:19" x14ac:dyDescent="0.25">
      <c r="A1704" t="s">
        <v>3322</v>
      </c>
      <c r="B1704" s="1">
        <v>45920</v>
      </c>
      <c r="C1704" t="s">
        <v>12882</v>
      </c>
      <c r="D1704" s="5">
        <v>0.25903935185185184</v>
      </c>
      <c r="E1704">
        <v>82.36</v>
      </c>
      <c r="F1704" t="s">
        <v>44</v>
      </c>
      <c r="G1704" t="s">
        <v>3323</v>
      </c>
      <c r="H1704" t="s">
        <v>96</v>
      </c>
      <c r="I1704" t="s">
        <v>119</v>
      </c>
      <c r="J1704" t="s">
        <v>3324</v>
      </c>
      <c r="K1704">
        <v>60</v>
      </c>
      <c r="L1704" t="s">
        <v>25</v>
      </c>
      <c r="M1704" t="s">
        <v>50</v>
      </c>
      <c r="N1704" t="s">
        <v>112</v>
      </c>
      <c r="O1704" t="s">
        <v>28</v>
      </c>
      <c r="P1704" t="s">
        <v>31</v>
      </c>
      <c r="Q1704">
        <v>0</v>
      </c>
      <c r="R1704" t="s">
        <v>12883</v>
      </c>
      <c r="S1704" t="s">
        <v>12884</v>
      </c>
    </row>
    <row r="1705" spans="1:19" x14ac:dyDescent="0.25">
      <c r="A1705" t="s">
        <v>12001</v>
      </c>
      <c r="B1705" s="1">
        <v>45789</v>
      </c>
      <c r="C1705" t="s">
        <v>12887</v>
      </c>
      <c r="D1705" s="5">
        <v>0.14836805555555554</v>
      </c>
      <c r="E1705">
        <v>82.32</v>
      </c>
      <c r="F1705" t="s">
        <v>44</v>
      </c>
      <c r="G1705" t="s">
        <v>988</v>
      </c>
      <c r="H1705" t="s">
        <v>64</v>
      </c>
      <c r="I1705" t="s">
        <v>58</v>
      </c>
      <c r="J1705" t="s">
        <v>12002</v>
      </c>
      <c r="K1705">
        <v>13</v>
      </c>
      <c r="L1705" t="s">
        <v>37</v>
      </c>
      <c r="M1705" t="s">
        <v>146</v>
      </c>
      <c r="N1705" t="s">
        <v>112</v>
      </c>
      <c r="O1705" t="s">
        <v>28</v>
      </c>
      <c r="P1705" t="s">
        <v>31</v>
      </c>
      <c r="Q1705">
        <v>0</v>
      </c>
      <c r="R1705" t="s">
        <v>12883</v>
      </c>
      <c r="S1705" t="s">
        <v>12892</v>
      </c>
    </row>
    <row r="1706" spans="1:19" x14ac:dyDescent="0.25">
      <c r="A1706" t="s">
        <v>6380</v>
      </c>
      <c r="B1706" s="1">
        <v>45807</v>
      </c>
      <c r="C1706" t="s">
        <v>12887</v>
      </c>
      <c r="D1706" s="5">
        <v>0.40369212962962964</v>
      </c>
      <c r="E1706">
        <v>82.29</v>
      </c>
      <c r="F1706" t="s">
        <v>44</v>
      </c>
      <c r="G1706" t="s">
        <v>2755</v>
      </c>
      <c r="H1706" t="s">
        <v>34</v>
      </c>
      <c r="I1706" t="s">
        <v>91</v>
      </c>
      <c r="J1706" t="s">
        <v>6381</v>
      </c>
      <c r="K1706">
        <v>34</v>
      </c>
      <c r="L1706" t="s">
        <v>37</v>
      </c>
      <c r="M1706" t="s">
        <v>119</v>
      </c>
      <c r="N1706" t="s">
        <v>39</v>
      </c>
      <c r="O1706" t="s">
        <v>28</v>
      </c>
      <c r="P1706" t="s">
        <v>31</v>
      </c>
      <c r="Q1706">
        <v>1</v>
      </c>
      <c r="R1706" t="s">
        <v>12891</v>
      </c>
      <c r="S1706" t="s">
        <v>12889</v>
      </c>
    </row>
    <row r="1707" spans="1:19" x14ac:dyDescent="0.25">
      <c r="A1707" t="s">
        <v>6071</v>
      </c>
      <c r="B1707" s="1">
        <v>45782</v>
      </c>
      <c r="C1707" t="s">
        <v>12887</v>
      </c>
      <c r="D1707" s="5">
        <v>0.1018287037037037</v>
      </c>
      <c r="E1707">
        <v>82.24</v>
      </c>
      <c r="F1707" t="s">
        <v>44</v>
      </c>
      <c r="G1707" t="s">
        <v>5624</v>
      </c>
      <c r="H1707" t="s">
        <v>77</v>
      </c>
      <c r="I1707" t="s">
        <v>23</v>
      </c>
      <c r="J1707" t="s">
        <v>6072</v>
      </c>
      <c r="K1707">
        <v>69</v>
      </c>
      <c r="L1707" t="s">
        <v>49</v>
      </c>
      <c r="M1707" t="s">
        <v>91</v>
      </c>
      <c r="N1707" t="s">
        <v>51</v>
      </c>
      <c r="O1707" t="s">
        <v>28</v>
      </c>
      <c r="P1707" t="s">
        <v>31</v>
      </c>
      <c r="Q1707">
        <v>0</v>
      </c>
      <c r="R1707" t="s">
        <v>12883</v>
      </c>
      <c r="S1707" t="s">
        <v>12884</v>
      </c>
    </row>
    <row r="1708" spans="1:19" x14ac:dyDescent="0.25">
      <c r="A1708" t="s">
        <v>9593</v>
      </c>
      <c r="B1708" s="1">
        <v>45900</v>
      </c>
      <c r="C1708" t="s">
        <v>12893</v>
      </c>
      <c r="D1708" s="5">
        <v>0.61429398148148151</v>
      </c>
      <c r="E1708">
        <v>82.16</v>
      </c>
      <c r="F1708" t="s">
        <v>44</v>
      </c>
      <c r="G1708" t="s">
        <v>824</v>
      </c>
      <c r="H1708" t="s">
        <v>57</v>
      </c>
      <c r="I1708" t="s">
        <v>58</v>
      </c>
      <c r="J1708" t="s">
        <v>9594</v>
      </c>
      <c r="K1708">
        <v>21</v>
      </c>
      <c r="L1708" t="s">
        <v>49</v>
      </c>
      <c r="M1708" t="s">
        <v>130</v>
      </c>
      <c r="N1708" t="s">
        <v>105</v>
      </c>
      <c r="O1708" t="s">
        <v>28</v>
      </c>
      <c r="P1708" t="s">
        <v>31</v>
      </c>
      <c r="Q1708">
        <v>0</v>
      </c>
      <c r="R1708" t="s">
        <v>12883</v>
      </c>
      <c r="S1708" t="s">
        <v>12892</v>
      </c>
    </row>
    <row r="1709" spans="1:19" x14ac:dyDescent="0.25">
      <c r="A1709" t="s">
        <v>10309</v>
      </c>
      <c r="B1709" s="1">
        <v>45898</v>
      </c>
      <c r="C1709" t="s">
        <v>12893</v>
      </c>
      <c r="D1709" s="5">
        <v>2.7118055555555555E-2</v>
      </c>
      <c r="E1709">
        <v>82.02</v>
      </c>
      <c r="F1709" t="s">
        <v>44</v>
      </c>
      <c r="G1709" t="s">
        <v>2645</v>
      </c>
      <c r="H1709" t="s">
        <v>89</v>
      </c>
      <c r="I1709" t="s">
        <v>97</v>
      </c>
      <c r="J1709" t="s">
        <v>10310</v>
      </c>
      <c r="K1709">
        <v>42</v>
      </c>
      <c r="L1709" t="s">
        <v>25</v>
      </c>
      <c r="M1709" t="s">
        <v>97</v>
      </c>
      <c r="N1709" t="s">
        <v>112</v>
      </c>
      <c r="O1709" t="s">
        <v>113</v>
      </c>
      <c r="P1709" t="s">
        <v>31</v>
      </c>
      <c r="Q1709">
        <v>0</v>
      </c>
      <c r="R1709" t="s">
        <v>12883</v>
      </c>
      <c r="S1709" t="s">
        <v>12886</v>
      </c>
    </row>
    <row r="1710" spans="1:19" x14ac:dyDescent="0.25">
      <c r="A1710" t="s">
        <v>2693</v>
      </c>
      <c r="B1710" s="1">
        <v>45810</v>
      </c>
      <c r="C1710" t="s">
        <v>12888</v>
      </c>
      <c r="D1710" s="5">
        <v>0.48226851851851854</v>
      </c>
      <c r="E1710">
        <v>81.86</v>
      </c>
      <c r="F1710" t="s">
        <v>44</v>
      </c>
      <c r="G1710" t="s">
        <v>1568</v>
      </c>
      <c r="H1710" t="s">
        <v>124</v>
      </c>
      <c r="I1710" t="s">
        <v>146</v>
      </c>
      <c r="J1710" t="s">
        <v>2694</v>
      </c>
      <c r="K1710">
        <v>63</v>
      </c>
      <c r="L1710" t="s">
        <v>37</v>
      </c>
      <c r="M1710" t="s">
        <v>38</v>
      </c>
      <c r="N1710" t="s">
        <v>105</v>
      </c>
      <c r="O1710" t="s">
        <v>28</v>
      </c>
      <c r="P1710" t="s">
        <v>31</v>
      </c>
      <c r="Q1710">
        <v>0</v>
      </c>
      <c r="R1710" t="s">
        <v>12883</v>
      </c>
      <c r="S1710" t="s">
        <v>12884</v>
      </c>
    </row>
    <row r="1711" spans="1:19" x14ac:dyDescent="0.25">
      <c r="A1711" t="s">
        <v>3901</v>
      </c>
      <c r="B1711" s="1">
        <v>45904</v>
      </c>
      <c r="C1711" t="s">
        <v>12882</v>
      </c>
      <c r="D1711" s="5">
        <v>0.14828703703703705</v>
      </c>
      <c r="E1711">
        <v>81.86</v>
      </c>
      <c r="F1711" t="s">
        <v>44</v>
      </c>
      <c r="G1711" t="s">
        <v>3902</v>
      </c>
      <c r="H1711" t="s">
        <v>77</v>
      </c>
      <c r="I1711" t="s">
        <v>50</v>
      </c>
      <c r="J1711" t="s">
        <v>3903</v>
      </c>
      <c r="K1711">
        <v>53</v>
      </c>
      <c r="L1711" t="s">
        <v>49</v>
      </c>
      <c r="M1711" t="s">
        <v>47</v>
      </c>
      <c r="N1711" t="s">
        <v>105</v>
      </c>
      <c r="O1711" t="s">
        <v>28</v>
      </c>
      <c r="P1711" t="s">
        <v>31</v>
      </c>
      <c r="Q1711">
        <v>0</v>
      </c>
      <c r="R1711" t="s">
        <v>12883</v>
      </c>
      <c r="S1711" t="s">
        <v>12886</v>
      </c>
    </row>
    <row r="1712" spans="1:19" x14ac:dyDescent="0.25">
      <c r="A1712" t="s">
        <v>12005</v>
      </c>
      <c r="B1712" s="1">
        <v>45793</v>
      </c>
      <c r="C1712" t="s">
        <v>12887</v>
      </c>
      <c r="D1712" s="5">
        <v>0.96909722222222228</v>
      </c>
      <c r="E1712">
        <v>81.7</v>
      </c>
      <c r="F1712" t="s">
        <v>44</v>
      </c>
      <c r="G1712" t="s">
        <v>946</v>
      </c>
      <c r="H1712" t="s">
        <v>77</v>
      </c>
      <c r="I1712" t="s">
        <v>23</v>
      </c>
      <c r="J1712" t="s">
        <v>12006</v>
      </c>
      <c r="K1712">
        <v>32</v>
      </c>
      <c r="L1712" t="s">
        <v>25</v>
      </c>
      <c r="M1712" t="s">
        <v>66</v>
      </c>
      <c r="N1712" t="s">
        <v>27</v>
      </c>
      <c r="O1712" t="s">
        <v>28</v>
      </c>
      <c r="P1712" t="s">
        <v>31</v>
      </c>
      <c r="Q1712">
        <v>0</v>
      </c>
      <c r="R1712" t="s">
        <v>12883</v>
      </c>
      <c r="S1712" t="s">
        <v>12889</v>
      </c>
    </row>
    <row r="1713" spans="1:19" x14ac:dyDescent="0.25">
      <c r="A1713" t="s">
        <v>10906</v>
      </c>
      <c r="B1713" s="1">
        <v>45788</v>
      </c>
      <c r="C1713" t="s">
        <v>12887</v>
      </c>
      <c r="D1713" s="5">
        <v>0.95001157407407411</v>
      </c>
      <c r="E1713">
        <v>81.62</v>
      </c>
      <c r="F1713" t="s">
        <v>44</v>
      </c>
      <c r="G1713" t="s">
        <v>10907</v>
      </c>
      <c r="H1713" t="s">
        <v>22</v>
      </c>
      <c r="I1713" t="s">
        <v>110</v>
      </c>
      <c r="J1713" t="s">
        <v>10908</v>
      </c>
      <c r="K1713">
        <v>32</v>
      </c>
      <c r="L1713" t="s">
        <v>37</v>
      </c>
      <c r="M1713" t="s">
        <v>119</v>
      </c>
      <c r="N1713" t="s">
        <v>112</v>
      </c>
      <c r="O1713" t="s">
        <v>28</v>
      </c>
      <c r="P1713" t="s">
        <v>31</v>
      </c>
      <c r="Q1713">
        <v>0</v>
      </c>
      <c r="R1713" t="s">
        <v>12883</v>
      </c>
      <c r="S1713" t="s">
        <v>12889</v>
      </c>
    </row>
    <row r="1714" spans="1:19" x14ac:dyDescent="0.25">
      <c r="A1714" t="s">
        <v>7793</v>
      </c>
      <c r="B1714" s="1">
        <v>45824</v>
      </c>
      <c r="C1714" t="s">
        <v>12888</v>
      </c>
      <c r="D1714" s="5">
        <v>0.4450925925925926</v>
      </c>
      <c r="E1714">
        <v>81.61</v>
      </c>
      <c r="F1714" t="s">
        <v>44</v>
      </c>
      <c r="G1714" t="s">
        <v>7794</v>
      </c>
      <c r="H1714" t="s">
        <v>64</v>
      </c>
      <c r="I1714" t="s">
        <v>26</v>
      </c>
      <c r="J1714" t="s">
        <v>7795</v>
      </c>
      <c r="K1714">
        <v>28</v>
      </c>
      <c r="L1714" t="s">
        <v>25</v>
      </c>
      <c r="M1714" t="s">
        <v>47</v>
      </c>
      <c r="N1714" t="s">
        <v>27</v>
      </c>
      <c r="O1714" t="s">
        <v>28</v>
      </c>
      <c r="P1714" t="s">
        <v>31</v>
      </c>
      <c r="Q1714">
        <v>0</v>
      </c>
      <c r="R1714" t="s">
        <v>12883</v>
      </c>
      <c r="S1714" t="s">
        <v>12889</v>
      </c>
    </row>
    <row r="1715" spans="1:19" x14ac:dyDescent="0.25">
      <c r="A1715" t="s">
        <v>12352</v>
      </c>
      <c r="B1715" s="1">
        <v>45952</v>
      </c>
      <c r="C1715" t="s">
        <v>12890</v>
      </c>
      <c r="D1715" s="5">
        <v>0.46965277777777775</v>
      </c>
      <c r="E1715">
        <v>81.55</v>
      </c>
      <c r="F1715" t="s">
        <v>44</v>
      </c>
      <c r="G1715" t="s">
        <v>2264</v>
      </c>
      <c r="H1715" t="s">
        <v>46</v>
      </c>
      <c r="I1715" t="s">
        <v>23</v>
      </c>
      <c r="J1715" t="s">
        <v>12353</v>
      </c>
      <c r="K1715">
        <v>54</v>
      </c>
      <c r="L1715" t="s">
        <v>37</v>
      </c>
      <c r="M1715" t="s">
        <v>130</v>
      </c>
      <c r="N1715" t="s">
        <v>84</v>
      </c>
      <c r="O1715" t="s">
        <v>28</v>
      </c>
      <c r="P1715" t="s">
        <v>31</v>
      </c>
      <c r="Q1715">
        <v>0</v>
      </c>
      <c r="R1715" t="s">
        <v>12883</v>
      </c>
      <c r="S1715" t="s">
        <v>12886</v>
      </c>
    </row>
    <row r="1716" spans="1:19" x14ac:dyDescent="0.25">
      <c r="A1716" t="s">
        <v>3331</v>
      </c>
      <c r="B1716" s="1">
        <v>45895</v>
      </c>
      <c r="C1716" t="s">
        <v>12893</v>
      </c>
      <c r="D1716" s="5">
        <v>0.9735300925925926</v>
      </c>
      <c r="E1716">
        <v>81.17</v>
      </c>
      <c r="F1716" t="s">
        <v>44</v>
      </c>
      <c r="G1716" t="s">
        <v>1326</v>
      </c>
      <c r="H1716" t="s">
        <v>96</v>
      </c>
      <c r="I1716" t="s">
        <v>35</v>
      </c>
      <c r="J1716" t="s">
        <v>3332</v>
      </c>
      <c r="K1716">
        <v>64</v>
      </c>
      <c r="L1716" t="s">
        <v>25</v>
      </c>
      <c r="M1716" t="s">
        <v>35</v>
      </c>
      <c r="N1716" t="s">
        <v>112</v>
      </c>
      <c r="O1716" t="s">
        <v>113</v>
      </c>
      <c r="P1716" t="s">
        <v>31</v>
      </c>
      <c r="Q1716">
        <v>0</v>
      </c>
      <c r="R1716" t="s">
        <v>12883</v>
      </c>
      <c r="S1716" t="s">
        <v>12884</v>
      </c>
    </row>
    <row r="1717" spans="1:19" x14ac:dyDescent="0.25">
      <c r="A1717" t="s">
        <v>9450</v>
      </c>
      <c r="B1717" s="1">
        <v>45812</v>
      </c>
      <c r="C1717" t="s">
        <v>12888</v>
      </c>
      <c r="D1717" s="5">
        <v>8.4074074074074079E-2</v>
      </c>
      <c r="E1717">
        <v>80.89</v>
      </c>
      <c r="F1717" t="s">
        <v>44</v>
      </c>
      <c r="G1717" t="s">
        <v>5036</v>
      </c>
      <c r="H1717" t="s">
        <v>57</v>
      </c>
      <c r="I1717" t="s">
        <v>47</v>
      </c>
      <c r="J1717" t="s">
        <v>9451</v>
      </c>
      <c r="K1717">
        <v>58</v>
      </c>
      <c r="L1717" t="s">
        <v>25</v>
      </c>
      <c r="M1717" t="s">
        <v>110</v>
      </c>
      <c r="N1717" t="s">
        <v>112</v>
      </c>
      <c r="O1717" t="s">
        <v>28</v>
      </c>
      <c r="P1717" t="s">
        <v>31</v>
      </c>
      <c r="Q1717">
        <v>0</v>
      </c>
      <c r="R1717" t="s">
        <v>12883</v>
      </c>
      <c r="S1717" t="s">
        <v>12886</v>
      </c>
    </row>
    <row r="1718" spans="1:19" x14ac:dyDescent="0.25">
      <c r="A1718" t="s">
        <v>11403</v>
      </c>
      <c r="B1718" s="1">
        <v>45783</v>
      </c>
      <c r="C1718" t="s">
        <v>12887</v>
      </c>
      <c r="D1718" s="5">
        <v>0.68328703703703708</v>
      </c>
      <c r="E1718">
        <v>80.760000000000005</v>
      </c>
      <c r="F1718" t="s">
        <v>44</v>
      </c>
      <c r="G1718" t="s">
        <v>2612</v>
      </c>
      <c r="H1718" t="s">
        <v>46</v>
      </c>
      <c r="I1718" t="s">
        <v>110</v>
      </c>
      <c r="J1718" t="s">
        <v>11404</v>
      </c>
      <c r="K1718">
        <v>52</v>
      </c>
      <c r="L1718" t="s">
        <v>37</v>
      </c>
      <c r="M1718" t="s">
        <v>38</v>
      </c>
      <c r="N1718" t="s">
        <v>51</v>
      </c>
      <c r="O1718" t="s">
        <v>28</v>
      </c>
      <c r="P1718" t="s">
        <v>31</v>
      </c>
      <c r="Q1718">
        <v>0</v>
      </c>
      <c r="R1718" t="s">
        <v>12883</v>
      </c>
      <c r="S1718" t="s">
        <v>12886</v>
      </c>
    </row>
    <row r="1719" spans="1:19" x14ac:dyDescent="0.25">
      <c r="A1719" t="s">
        <v>600</v>
      </c>
      <c r="B1719" s="1">
        <v>45787</v>
      </c>
      <c r="C1719" t="s">
        <v>12887</v>
      </c>
      <c r="D1719" s="5">
        <v>0.71785879629629634</v>
      </c>
      <c r="E1719">
        <v>80.650000000000006</v>
      </c>
      <c r="F1719" t="s">
        <v>44</v>
      </c>
      <c r="G1719" t="s">
        <v>601</v>
      </c>
      <c r="H1719" t="s">
        <v>71</v>
      </c>
      <c r="I1719" t="s">
        <v>146</v>
      </c>
      <c r="J1719" t="s">
        <v>602</v>
      </c>
      <c r="K1719">
        <v>62</v>
      </c>
      <c r="L1719" t="s">
        <v>37</v>
      </c>
      <c r="M1719" t="s">
        <v>66</v>
      </c>
      <c r="N1719" t="s">
        <v>84</v>
      </c>
      <c r="O1719" t="s">
        <v>28</v>
      </c>
      <c r="P1719" t="s">
        <v>31</v>
      </c>
      <c r="Q1719">
        <v>0</v>
      </c>
      <c r="R1719" t="s">
        <v>12883</v>
      </c>
      <c r="S1719" t="s">
        <v>12884</v>
      </c>
    </row>
    <row r="1720" spans="1:19" x14ac:dyDescent="0.25">
      <c r="A1720" t="s">
        <v>5264</v>
      </c>
      <c r="B1720" s="1">
        <v>45912</v>
      </c>
      <c r="C1720" t="s">
        <v>12882</v>
      </c>
      <c r="D1720" s="5">
        <v>0.62729166666666669</v>
      </c>
      <c r="E1720">
        <v>80.64</v>
      </c>
      <c r="F1720" t="s">
        <v>44</v>
      </c>
      <c r="G1720" t="s">
        <v>1205</v>
      </c>
      <c r="H1720" t="s">
        <v>46</v>
      </c>
      <c r="I1720" t="s">
        <v>66</v>
      </c>
      <c r="J1720" t="s">
        <v>5265</v>
      </c>
      <c r="K1720">
        <v>59</v>
      </c>
      <c r="L1720" t="s">
        <v>49</v>
      </c>
      <c r="M1720" t="s">
        <v>38</v>
      </c>
      <c r="N1720" t="s">
        <v>105</v>
      </c>
      <c r="O1720" t="s">
        <v>28</v>
      </c>
      <c r="P1720" t="s">
        <v>31</v>
      </c>
      <c r="Q1720">
        <v>0</v>
      </c>
      <c r="R1720" t="s">
        <v>12883</v>
      </c>
      <c r="S1720" t="s">
        <v>12886</v>
      </c>
    </row>
    <row r="1721" spans="1:19" x14ac:dyDescent="0.25">
      <c r="A1721" t="s">
        <v>7464</v>
      </c>
      <c r="B1721" s="1">
        <v>45948</v>
      </c>
      <c r="C1721" t="s">
        <v>12890</v>
      </c>
      <c r="D1721" s="5">
        <v>0.30674768518518519</v>
      </c>
      <c r="E1721">
        <v>80.59</v>
      </c>
      <c r="F1721" t="s">
        <v>44</v>
      </c>
      <c r="G1721" t="s">
        <v>2990</v>
      </c>
      <c r="H1721" t="s">
        <v>96</v>
      </c>
      <c r="I1721" t="s">
        <v>58</v>
      </c>
      <c r="J1721" t="s">
        <v>7465</v>
      </c>
      <c r="K1721">
        <v>55</v>
      </c>
      <c r="L1721" t="s">
        <v>49</v>
      </c>
      <c r="M1721" t="s">
        <v>35</v>
      </c>
      <c r="N1721" t="s">
        <v>39</v>
      </c>
      <c r="O1721" t="s">
        <v>28</v>
      </c>
      <c r="P1721" t="s">
        <v>31</v>
      </c>
      <c r="Q1721">
        <v>0</v>
      </c>
      <c r="R1721" t="s">
        <v>12883</v>
      </c>
      <c r="S1721" t="s">
        <v>12886</v>
      </c>
    </row>
    <row r="1722" spans="1:19" x14ac:dyDescent="0.25">
      <c r="A1722" t="s">
        <v>1925</v>
      </c>
      <c r="B1722" s="1">
        <v>45938</v>
      </c>
      <c r="C1722" t="s">
        <v>12890</v>
      </c>
      <c r="D1722" s="5">
        <v>3.4953703703703705E-3</v>
      </c>
      <c r="E1722">
        <v>80.55</v>
      </c>
      <c r="F1722" t="s">
        <v>44</v>
      </c>
      <c r="G1722" t="s">
        <v>1926</v>
      </c>
      <c r="H1722" t="s">
        <v>34</v>
      </c>
      <c r="I1722" t="s">
        <v>35</v>
      </c>
      <c r="J1722" t="s">
        <v>1927</v>
      </c>
      <c r="K1722">
        <v>52</v>
      </c>
      <c r="L1722" t="s">
        <v>25</v>
      </c>
      <c r="M1722" t="s">
        <v>110</v>
      </c>
      <c r="N1722" t="s">
        <v>105</v>
      </c>
      <c r="O1722" t="s">
        <v>28</v>
      </c>
      <c r="P1722" t="s">
        <v>31</v>
      </c>
      <c r="Q1722">
        <v>0</v>
      </c>
      <c r="R1722" t="s">
        <v>12883</v>
      </c>
      <c r="S1722" t="s">
        <v>12886</v>
      </c>
    </row>
    <row r="1723" spans="1:19" x14ac:dyDescent="0.25">
      <c r="A1723" t="s">
        <v>2529</v>
      </c>
      <c r="B1723" s="1">
        <v>45811</v>
      </c>
      <c r="C1723" t="s">
        <v>12888</v>
      </c>
      <c r="D1723" s="5">
        <v>0.98021990740740739</v>
      </c>
      <c r="E1723">
        <v>80.11</v>
      </c>
      <c r="F1723" t="s">
        <v>44</v>
      </c>
      <c r="G1723" t="s">
        <v>2530</v>
      </c>
      <c r="H1723" t="s">
        <v>57</v>
      </c>
      <c r="I1723" t="s">
        <v>35</v>
      </c>
      <c r="J1723" t="s">
        <v>2531</v>
      </c>
      <c r="K1723">
        <v>40</v>
      </c>
      <c r="L1723" t="s">
        <v>37</v>
      </c>
      <c r="M1723" t="s">
        <v>58</v>
      </c>
      <c r="N1723" t="s">
        <v>84</v>
      </c>
      <c r="O1723" t="s">
        <v>28</v>
      </c>
      <c r="P1723" t="s">
        <v>31</v>
      </c>
      <c r="Q1723">
        <v>0</v>
      </c>
      <c r="R1723" t="s">
        <v>12883</v>
      </c>
      <c r="S1723" t="s">
        <v>12886</v>
      </c>
    </row>
    <row r="1724" spans="1:19" x14ac:dyDescent="0.25">
      <c r="A1724" t="s">
        <v>4963</v>
      </c>
      <c r="B1724" s="1">
        <v>45874</v>
      </c>
      <c r="C1724" t="s">
        <v>12893</v>
      </c>
      <c r="D1724" s="5">
        <v>9.493055555555556E-2</v>
      </c>
      <c r="E1724">
        <v>79.959999999999994</v>
      </c>
      <c r="F1724" t="s">
        <v>44</v>
      </c>
      <c r="G1724" t="s">
        <v>4882</v>
      </c>
      <c r="H1724" t="s">
        <v>22</v>
      </c>
      <c r="I1724" t="s">
        <v>35</v>
      </c>
      <c r="J1724" t="s">
        <v>4964</v>
      </c>
      <c r="K1724">
        <v>71</v>
      </c>
      <c r="L1724" t="s">
        <v>25</v>
      </c>
      <c r="M1724" t="s">
        <v>35</v>
      </c>
      <c r="N1724" t="s">
        <v>27</v>
      </c>
      <c r="O1724" t="s">
        <v>113</v>
      </c>
      <c r="P1724" t="s">
        <v>31</v>
      </c>
      <c r="Q1724">
        <v>0</v>
      </c>
      <c r="R1724" t="s">
        <v>12883</v>
      </c>
      <c r="S1724" t="s">
        <v>12884</v>
      </c>
    </row>
    <row r="1725" spans="1:19" x14ac:dyDescent="0.25">
      <c r="A1725" t="s">
        <v>2039</v>
      </c>
      <c r="B1725" s="1">
        <v>45799</v>
      </c>
      <c r="C1725" t="s">
        <v>12887</v>
      </c>
      <c r="D1725" s="5">
        <v>0.82210648148148147</v>
      </c>
      <c r="E1725">
        <v>79.94</v>
      </c>
      <c r="F1725" t="s">
        <v>44</v>
      </c>
      <c r="G1725" t="s">
        <v>1883</v>
      </c>
      <c r="H1725" t="s">
        <v>57</v>
      </c>
      <c r="I1725" t="s">
        <v>26</v>
      </c>
      <c r="J1725" t="s">
        <v>2040</v>
      </c>
      <c r="K1725">
        <v>53</v>
      </c>
      <c r="L1725" t="s">
        <v>37</v>
      </c>
      <c r="M1725" t="s">
        <v>47</v>
      </c>
      <c r="N1725" t="s">
        <v>27</v>
      </c>
      <c r="O1725" t="s">
        <v>28</v>
      </c>
      <c r="P1725" t="s">
        <v>31</v>
      </c>
      <c r="Q1725">
        <v>0</v>
      </c>
      <c r="R1725" t="s">
        <v>12883</v>
      </c>
      <c r="S1725" t="s">
        <v>12886</v>
      </c>
    </row>
    <row r="1726" spans="1:19" x14ac:dyDescent="0.25">
      <c r="A1726" t="s">
        <v>9279</v>
      </c>
      <c r="B1726" s="1">
        <v>45860</v>
      </c>
      <c r="C1726" t="s">
        <v>12885</v>
      </c>
      <c r="D1726" s="5">
        <v>0.95586805555555554</v>
      </c>
      <c r="E1726">
        <v>79.92</v>
      </c>
      <c r="F1726" t="s">
        <v>44</v>
      </c>
      <c r="G1726" t="s">
        <v>6048</v>
      </c>
      <c r="H1726" t="s">
        <v>64</v>
      </c>
      <c r="I1726" t="s">
        <v>130</v>
      </c>
      <c r="J1726" t="s">
        <v>9280</v>
      </c>
      <c r="K1726">
        <v>36</v>
      </c>
      <c r="L1726" t="s">
        <v>49</v>
      </c>
      <c r="M1726" t="s">
        <v>146</v>
      </c>
      <c r="N1726" t="s">
        <v>51</v>
      </c>
      <c r="O1726" t="s">
        <v>28</v>
      </c>
      <c r="P1726" t="s">
        <v>31</v>
      </c>
      <c r="Q1726">
        <v>0</v>
      </c>
      <c r="R1726" t="s">
        <v>12883</v>
      </c>
      <c r="S1726" t="s">
        <v>12889</v>
      </c>
    </row>
    <row r="1727" spans="1:19" x14ac:dyDescent="0.25">
      <c r="A1727" t="s">
        <v>11026</v>
      </c>
      <c r="B1727" s="1">
        <v>45862</v>
      </c>
      <c r="C1727" t="s">
        <v>12885</v>
      </c>
      <c r="D1727" s="5">
        <v>0.74672453703703701</v>
      </c>
      <c r="E1727">
        <v>79.92</v>
      </c>
      <c r="F1727" t="s">
        <v>44</v>
      </c>
      <c r="G1727" t="s">
        <v>1993</v>
      </c>
      <c r="H1727" t="s">
        <v>22</v>
      </c>
      <c r="I1727" t="s">
        <v>146</v>
      </c>
      <c r="J1727" t="s">
        <v>11027</v>
      </c>
      <c r="K1727">
        <v>21</v>
      </c>
      <c r="L1727" t="s">
        <v>37</v>
      </c>
      <c r="M1727" t="s">
        <v>91</v>
      </c>
      <c r="N1727" t="s">
        <v>105</v>
      </c>
      <c r="O1727" t="s">
        <v>28</v>
      </c>
      <c r="P1727" t="s">
        <v>31</v>
      </c>
      <c r="Q1727">
        <v>0</v>
      </c>
      <c r="R1727" t="s">
        <v>12883</v>
      </c>
      <c r="S1727" t="s">
        <v>12892</v>
      </c>
    </row>
    <row r="1728" spans="1:19" x14ac:dyDescent="0.25">
      <c r="A1728" t="s">
        <v>11190</v>
      </c>
      <c r="B1728" s="1">
        <v>45841</v>
      </c>
      <c r="C1728" t="s">
        <v>12885</v>
      </c>
      <c r="D1728" s="5">
        <v>0.96229166666666666</v>
      </c>
      <c r="E1728">
        <v>79.849999999999994</v>
      </c>
      <c r="F1728" t="s">
        <v>44</v>
      </c>
      <c r="G1728" t="s">
        <v>10322</v>
      </c>
      <c r="H1728" t="s">
        <v>64</v>
      </c>
      <c r="I1728" t="s">
        <v>26</v>
      </c>
      <c r="J1728" t="s">
        <v>11191</v>
      </c>
      <c r="K1728">
        <v>59</v>
      </c>
      <c r="L1728" t="s">
        <v>37</v>
      </c>
      <c r="M1728" t="s">
        <v>50</v>
      </c>
      <c r="N1728" t="s">
        <v>112</v>
      </c>
      <c r="O1728" t="s">
        <v>28</v>
      </c>
      <c r="P1728" t="s">
        <v>31</v>
      </c>
      <c r="Q1728">
        <v>0</v>
      </c>
      <c r="R1728" t="s">
        <v>12883</v>
      </c>
      <c r="S1728" t="s">
        <v>12886</v>
      </c>
    </row>
    <row r="1729" spans="1:19" x14ac:dyDescent="0.25">
      <c r="A1729" t="s">
        <v>11555</v>
      </c>
      <c r="B1729" s="1">
        <v>45845</v>
      </c>
      <c r="C1729" t="s">
        <v>12885</v>
      </c>
      <c r="D1729" s="5">
        <v>3.3379629629629627E-2</v>
      </c>
      <c r="E1729">
        <v>79.7</v>
      </c>
      <c r="F1729" t="s">
        <v>44</v>
      </c>
      <c r="G1729" t="s">
        <v>3171</v>
      </c>
      <c r="H1729" t="s">
        <v>46</v>
      </c>
      <c r="I1729" t="s">
        <v>35</v>
      </c>
      <c r="J1729" t="s">
        <v>11556</v>
      </c>
      <c r="K1729">
        <v>26</v>
      </c>
      <c r="L1729" t="s">
        <v>49</v>
      </c>
      <c r="M1729" t="s">
        <v>47</v>
      </c>
      <c r="N1729" t="s">
        <v>51</v>
      </c>
      <c r="O1729" t="s">
        <v>28</v>
      </c>
      <c r="P1729" t="s">
        <v>31</v>
      </c>
      <c r="Q1729">
        <v>0</v>
      </c>
      <c r="R1729" t="s">
        <v>12883</v>
      </c>
      <c r="S1729" t="s">
        <v>12889</v>
      </c>
    </row>
    <row r="1730" spans="1:19" x14ac:dyDescent="0.25">
      <c r="A1730" t="s">
        <v>7250</v>
      </c>
      <c r="B1730" s="1">
        <v>45852</v>
      </c>
      <c r="C1730" t="s">
        <v>12885</v>
      </c>
      <c r="D1730" s="5">
        <v>0.41137731481481482</v>
      </c>
      <c r="E1730">
        <v>79.64</v>
      </c>
      <c r="F1730" t="s">
        <v>44</v>
      </c>
      <c r="G1730" t="s">
        <v>4852</v>
      </c>
      <c r="H1730" t="s">
        <v>124</v>
      </c>
      <c r="I1730" t="s">
        <v>35</v>
      </c>
      <c r="J1730" t="s">
        <v>7251</v>
      </c>
      <c r="K1730">
        <v>24</v>
      </c>
      <c r="L1730" t="s">
        <v>49</v>
      </c>
      <c r="M1730" t="s">
        <v>50</v>
      </c>
      <c r="N1730" t="s">
        <v>84</v>
      </c>
      <c r="O1730" t="s">
        <v>28</v>
      </c>
      <c r="P1730" t="s">
        <v>31</v>
      </c>
      <c r="Q1730">
        <v>0</v>
      </c>
      <c r="R1730" t="s">
        <v>12883</v>
      </c>
      <c r="S1730" t="s">
        <v>12892</v>
      </c>
    </row>
    <row r="1731" spans="1:19" x14ac:dyDescent="0.25">
      <c r="A1731" t="s">
        <v>6164</v>
      </c>
      <c r="B1731" s="1">
        <v>45938</v>
      </c>
      <c r="C1731" t="s">
        <v>12890</v>
      </c>
      <c r="D1731" s="5">
        <v>0.15931712962962963</v>
      </c>
      <c r="E1731">
        <v>79.63</v>
      </c>
      <c r="F1731" t="s">
        <v>44</v>
      </c>
      <c r="G1731" t="s">
        <v>6165</v>
      </c>
      <c r="H1731" t="s">
        <v>22</v>
      </c>
      <c r="I1731" t="s">
        <v>97</v>
      </c>
      <c r="J1731" t="s">
        <v>6166</v>
      </c>
      <c r="K1731">
        <v>25</v>
      </c>
      <c r="L1731" t="s">
        <v>37</v>
      </c>
      <c r="M1731" t="s">
        <v>66</v>
      </c>
      <c r="N1731" t="s">
        <v>39</v>
      </c>
      <c r="O1731" t="s">
        <v>28</v>
      </c>
      <c r="P1731" t="s">
        <v>31</v>
      </c>
      <c r="Q1731">
        <v>0</v>
      </c>
      <c r="R1731" t="s">
        <v>12883</v>
      </c>
      <c r="S1731" t="s">
        <v>12889</v>
      </c>
    </row>
    <row r="1732" spans="1:19" x14ac:dyDescent="0.25">
      <c r="A1732" t="s">
        <v>11791</v>
      </c>
      <c r="B1732" s="1">
        <v>45883</v>
      </c>
      <c r="C1732" t="s">
        <v>12893</v>
      </c>
      <c r="D1732" s="5">
        <v>0.6106597222222222</v>
      </c>
      <c r="E1732">
        <v>79.59</v>
      </c>
      <c r="F1732" t="s">
        <v>44</v>
      </c>
      <c r="G1732" t="s">
        <v>2621</v>
      </c>
      <c r="H1732" t="s">
        <v>57</v>
      </c>
      <c r="I1732" t="s">
        <v>38</v>
      </c>
      <c r="J1732" t="s">
        <v>11792</v>
      </c>
      <c r="K1732">
        <v>75</v>
      </c>
      <c r="L1732" t="s">
        <v>49</v>
      </c>
      <c r="M1732" t="s">
        <v>110</v>
      </c>
      <c r="N1732" t="s">
        <v>27</v>
      </c>
      <c r="O1732" t="s">
        <v>28</v>
      </c>
      <c r="P1732" t="s">
        <v>31</v>
      </c>
      <c r="Q1732">
        <v>0</v>
      </c>
      <c r="R1732" t="s">
        <v>12883</v>
      </c>
      <c r="S1732" t="s">
        <v>12884</v>
      </c>
    </row>
    <row r="1733" spans="1:19" x14ac:dyDescent="0.25">
      <c r="A1733" t="s">
        <v>353</v>
      </c>
      <c r="B1733" s="1">
        <v>45946</v>
      </c>
      <c r="C1733" t="s">
        <v>12890</v>
      </c>
      <c r="D1733" s="5">
        <v>3.7627314814814815E-2</v>
      </c>
      <c r="E1733">
        <v>79.36</v>
      </c>
      <c r="F1733" t="s">
        <v>44</v>
      </c>
      <c r="G1733" t="s">
        <v>354</v>
      </c>
      <c r="H1733" t="s">
        <v>64</v>
      </c>
      <c r="I1733" t="s">
        <v>248</v>
      </c>
      <c r="J1733" t="s">
        <v>355</v>
      </c>
      <c r="K1733">
        <v>37</v>
      </c>
      <c r="L1733" t="s">
        <v>25</v>
      </c>
      <c r="M1733" t="s">
        <v>248</v>
      </c>
      <c r="N1733" t="s">
        <v>112</v>
      </c>
      <c r="O1733" t="s">
        <v>113</v>
      </c>
      <c r="P1733" t="s">
        <v>31</v>
      </c>
      <c r="Q1733">
        <v>0</v>
      </c>
      <c r="R1733" t="s">
        <v>12883</v>
      </c>
      <c r="S1733" t="s">
        <v>12889</v>
      </c>
    </row>
    <row r="1734" spans="1:19" x14ac:dyDescent="0.25">
      <c r="A1734" t="s">
        <v>8442</v>
      </c>
      <c r="B1734" s="1">
        <v>45938</v>
      </c>
      <c r="C1734" t="s">
        <v>12890</v>
      </c>
      <c r="D1734" s="5">
        <v>0.49710648148148145</v>
      </c>
      <c r="E1734">
        <v>79.23</v>
      </c>
      <c r="F1734" t="s">
        <v>44</v>
      </c>
      <c r="G1734" t="s">
        <v>6092</v>
      </c>
      <c r="H1734" t="s">
        <v>22</v>
      </c>
      <c r="I1734" t="s">
        <v>119</v>
      </c>
      <c r="J1734" t="s">
        <v>8443</v>
      </c>
      <c r="K1734">
        <v>74</v>
      </c>
      <c r="L1734" t="s">
        <v>49</v>
      </c>
      <c r="M1734" t="s">
        <v>26</v>
      </c>
      <c r="N1734" t="s">
        <v>112</v>
      </c>
      <c r="O1734" t="s">
        <v>28</v>
      </c>
      <c r="P1734" t="s">
        <v>31</v>
      </c>
      <c r="Q1734">
        <v>0</v>
      </c>
      <c r="R1734" t="s">
        <v>12883</v>
      </c>
      <c r="S1734" t="s">
        <v>12884</v>
      </c>
    </row>
    <row r="1735" spans="1:19" x14ac:dyDescent="0.25">
      <c r="A1735" t="s">
        <v>7143</v>
      </c>
      <c r="B1735" s="1">
        <v>45955</v>
      </c>
      <c r="C1735" t="s">
        <v>12890</v>
      </c>
      <c r="D1735" s="5">
        <v>3.5520833333333335E-2</v>
      </c>
      <c r="E1735">
        <v>79.2</v>
      </c>
      <c r="F1735" t="s">
        <v>44</v>
      </c>
      <c r="G1735" t="s">
        <v>7144</v>
      </c>
      <c r="H1735" t="s">
        <v>46</v>
      </c>
      <c r="I1735" t="s">
        <v>38</v>
      </c>
      <c r="J1735" t="s">
        <v>7145</v>
      </c>
      <c r="K1735">
        <v>49</v>
      </c>
      <c r="L1735" t="s">
        <v>49</v>
      </c>
      <c r="M1735" t="s">
        <v>35</v>
      </c>
      <c r="N1735" t="s">
        <v>39</v>
      </c>
      <c r="O1735" t="s">
        <v>28</v>
      </c>
      <c r="P1735" t="s">
        <v>31</v>
      </c>
      <c r="Q1735">
        <v>0</v>
      </c>
      <c r="R1735" t="s">
        <v>12883</v>
      </c>
      <c r="S1735" t="s">
        <v>12886</v>
      </c>
    </row>
    <row r="1736" spans="1:19" x14ac:dyDescent="0.25">
      <c r="A1736" t="s">
        <v>8650</v>
      </c>
      <c r="B1736" s="1">
        <v>45791</v>
      </c>
      <c r="C1736" t="s">
        <v>12887</v>
      </c>
      <c r="D1736" s="5">
        <v>0.28946759259259258</v>
      </c>
      <c r="E1736">
        <v>79.180000000000007</v>
      </c>
      <c r="F1736" t="s">
        <v>44</v>
      </c>
      <c r="G1736" t="s">
        <v>3504</v>
      </c>
      <c r="H1736" t="s">
        <v>124</v>
      </c>
      <c r="I1736" t="s">
        <v>47</v>
      </c>
      <c r="J1736" t="s">
        <v>8651</v>
      </c>
      <c r="K1736">
        <v>23</v>
      </c>
      <c r="L1736" t="s">
        <v>49</v>
      </c>
      <c r="M1736" t="s">
        <v>58</v>
      </c>
      <c r="N1736" t="s">
        <v>27</v>
      </c>
      <c r="O1736" t="s">
        <v>28</v>
      </c>
      <c r="P1736" t="s">
        <v>31</v>
      </c>
      <c r="Q1736">
        <v>0</v>
      </c>
      <c r="R1736" t="s">
        <v>12883</v>
      </c>
      <c r="S1736" t="s">
        <v>12892</v>
      </c>
    </row>
    <row r="1737" spans="1:19" x14ac:dyDescent="0.25">
      <c r="A1737" t="s">
        <v>2162</v>
      </c>
      <c r="B1737" s="1">
        <v>45953</v>
      </c>
      <c r="C1737" t="s">
        <v>12890</v>
      </c>
      <c r="D1737" s="5">
        <v>0.74252314814814813</v>
      </c>
      <c r="E1737">
        <v>79.010000000000005</v>
      </c>
      <c r="F1737" t="s">
        <v>44</v>
      </c>
      <c r="G1737" t="s">
        <v>2163</v>
      </c>
      <c r="H1737" t="s">
        <v>34</v>
      </c>
      <c r="I1737" t="s">
        <v>110</v>
      </c>
      <c r="J1737" t="s">
        <v>2164</v>
      </c>
      <c r="K1737">
        <v>55</v>
      </c>
      <c r="L1737" t="s">
        <v>49</v>
      </c>
      <c r="M1737" t="s">
        <v>23</v>
      </c>
      <c r="N1737" t="s">
        <v>27</v>
      </c>
      <c r="O1737" t="s">
        <v>28</v>
      </c>
      <c r="P1737" t="s">
        <v>31</v>
      </c>
      <c r="Q1737">
        <v>0</v>
      </c>
      <c r="R1737" t="s">
        <v>12883</v>
      </c>
      <c r="S1737" t="s">
        <v>12886</v>
      </c>
    </row>
    <row r="1738" spans="1:19" x14ac:dyDescent="0.25">
      <c r="A1738" t="s">
        <v>4805</v>
      </c>
      <c r="B1738" s="1">
        <v>45832</v>
      </c>
      <c r="C1738" t="s">
        <v>12888</v>
      </c>
      <c r="D1738" s="5">
        <v>0.40914351851851855</v>
      </c>
      <c r="E1738">
        <v>78.930000000000007</v>
      </c>
      <c r="F1738" t="s">
        <v>44</v>
      </c>
      <c r="G1738" t="s">
        <v>4806</v>
      </c>
      <c r="H1738" t="s">
        <v>71</v>
      </c>
      <c r="I1738" t="s">
        <v>66</v>
      </c>
      <c r="J1738" t="s">
        <v>4807</v>
      </c>
      <c r="K1738">
        <v>54</v>
      </c>
      <c r="L1738" t="s">
        <v>37</v>
      </c>
      <c r="M1738" t="s">
        <v>47</v>
      </c>
      <c r="N1738" t="s">
        <v>51</v>
      </c>
      <c r="O1738" t="s">
        <v>28</v>
      </c>
      <c r="P1738" t="s">
        <v>31</v>
      </c>
      <c r="Q1738">
        <v>0</v>
      </c>
      <c r="R1738" t="s">
        <v>12883</v>
      </c>
      <c r="S1738" t="s">
        <v>12886</v>
      </c>
    </row>
    <row r="1739" spans="1:19" x14ac:dyDescent="0.25">
      <c r="A1739" t="s">
        <v>11739</v>
      </c>
      <c r="B1739" s="1">
        <v>45896</v>
      </c>
      <c r="C1739" t="s">
        <v>12893</v>
      </c>
      <c r="D1739" s="5">
        <v>0.34050925925925923</v>
      </c>
      <c r="E1739">
        <v>78.819999999999993</v>
      </c>
      <c r="F1739" t="s">
        <v>44</v>
      </c>
      <c r="G1739" t="s">
        <v>932</v>
      </c>
      <c r="H1739" t="s">
        <v>77</v>
      </c>
      <c r="I1739" t="s">
        <v>66</v>
      </c>
      <c r="J1739" t="s">
        <v>11740</v>
      </c>
      <c r="K1739">
        <v>43</v>
      </c>
      <c r="L1739" t="s">
        <v>25</v>
      </c>
      <c r="M1739" t="s">
        <v>66</v>
      </c>
      <c r="N1739" t="s">
        <v>105</v>
      </c>
      <c r="O1739" t="s">
        <v>113</v>
      </c>
      <c r="P1739" t="s">
        <v>31</v>
      </c>
      <c r="Q1739">
        <v>0</v>
      </c>
      <c r="R1739" t="s">
        <v>12883</v>
      </c>
      <c r="S1739" t="s">
        <v>12886</v>
      </c>
    </row>
    <row r="1740" spans="1:19" x14ac:dyDescent="0.25">
      <c r="A1740" t="s">
        <v>9721</v>
      </c>
      <c r="B1740" s="1">
        <v>45887</v>
      </c>
      <c r="C1740" t="s">
        <v>12893</v>
      </c>
      <c r="D1740" s="5">
        <v>0.76594907407407409</v>
      </c>
      <c r="E1740">
        <v>78.760000000000005</v>
      </c>
      <c r="F1740" t="s">
        <v>44</v>
      </c>
      <c r="G1740" t="s">
        <v>6108</v>
      </c>
      <c r="H1740" t="s">
        <v>124</v>
      </c>
      <c r="I1740" t="s">
        <v>47</v>
      </c>
      <c r="J1740" t="s">
        <v>9722</v>
      </c>
      <c r="K1740">
        <v>21</v>
      </c>
      <c r="L1740" t="s">
        <v>49</v>
      </c>
      <c r="M1740" t="s">
        <v>47</v>
      </c>
      <c r="N1740" t="s">
        <v>105</v>
      </c>
      <c r="O1740" t="s">
        <v>113</v>
      </c>
      <c r="P1740" t="s">
        <v>31</v>
      </c>
      <c r="Q1740">
        <v>0</v>
      </c>
      <c r="R1740" t="s">
        <v>12883</v>
      </c>
      <c r="S1740" t="s">
        <v>12892</v>
      </c>
    </row>
    <row r="1741" spans="1:19" x14ac:dyDescent="0.25">
      <c r="A1741" t="s">
        <v>12477</v>
      </c>
      <c r="B1741" s="1">
        <v>45941</v>
      </c>
      <c r="C1741" t="s">
        <v>12890</v>
      </c>
      <c r="D1741" s="5">
        <v>0.79114583333333333</v>
      </c>
      <c r="E1741">
        <v>78.760000000000005</v>
      </c>
      <c r="F1741" t="s">
        <v>44</v>
      </c>
      <c r="G1741" t="s">
        <v>5732</v>
      </c>
      <c r="H1741" t="s">
        <v>89</v>
      </c>
      <c r="I1741" t="s">
        <v>58</v>
      </c>
      <c r="J1741" t="s">
        <v>12478</v>
      </c>
      <c r="K1741">
        <v>52</v>
      </c>
      <c r="L1741" t="s">
        <v>37</v>
      </c>
      <c r="M1741" t="s">
        <v>119</v>
      </c>
      <c r="N1741" t="s">
        <v>39</v>
      </c>
      <c r="O1741" t="s">
        <v>28</v>
      </c>
      <c r="P1741" t="s">
        <v>31</v>
      </c>
      <c r="Q1741">
        <v>0</v>
      </c>
      <c r="R1741" t="s">
        <v>12883</v>
      </c>
      <c r="S1741" t="s">
        <v>12886</v>
      </c>
    </row>
    <row r="1742" spans="1:19" x14ac:dyDescent="0.25">
      <c r="A1742" t="s">
        <v>11265</v>
      </c>
      <c r="B1742" s="1">
        <v>45797</v>
      </c>
      <c r="C1742" t="s">
        <v>12887</v>
      </c>
      <c r="D1742" s="5">
        <v>0.15375</v>
      </c>
      <c r="E1742">
        <v>78.680000000000007</v>
      </c>
      <c r="F1742" t="s">
        <v>44</v>
      </c>
      <c r="G1742" t="s">
        <v>1538</v>
      </c>
      <c r="H1742" t="s">
        <v>96</v>
      </c>
      <c r="I1742" t="s">
        <v>146</v>
      </c>
      <c r="J1742" t="s">
        <v>11266</v>
      </c>
      <c r="K1742">
        <v>36</v>
      </c>
      <c r="L1742" t="s">
        <v>37</v>
      </c>
      <c r="M1742" t="s">
        <v>119</v>
      </c>
      <c r="N1742" t="s">
        <v>51</v>
      </c>
      <c r="O1742" t="s">
        <v>28</v>
      </c>
      <c r="P1742" t="s">
        <v>31</v>
      </c>
      <c r="Q1742">
        <v>0</v>
      </c>
      <c r="R1742" t="s">
        <v>12883</v>
      </c>
      <c r="S1742" t="s">
        <v>12889</v>
      </c>
    </row>
    <row r="1743" spans="1:19" x14ac:dyDescent="0.25">
      <c r="A1743" t="s">
        <v>12637</v>
      </c>
      <c r="B1743" s="1">
        <v>45828</v>
      </c>
      <c r="C1743" t="s">
        <v>12888</v>
      </c>
      <c r="D1743" s="5">
        <v>0.54701388888888891</v>
      </c>
      <c r="E1743">
        <v>78.599999999999994</v>
      </c>
      <c r="F1743" t="s">
        <v>44</v>
      </c>
      <c r="G1743" t="s">
        <v>3748</v>
      </c>
      <c r="H1743" t="s">
        <v>64</v>
      </c>
      <c r="I1743" t="s">
        <v>91</v>
      </c>
      <c r="J1743" t="s">
        <v>12638</v>
      </c>
      <c r="K1743">
        <v>63</v>
      </c>
      <c r="L1743" t="s">
        <v>25</v>
      </c>
      <c r="M1743" t="s">
        <v>119</v>
      </c>
      <c r="N1743" t="s">
        <v>84</v>
      </c>
      <c r="O1743" t="s">
        <v>28</v>
      </c>
      <c r="P1743" t="s">
        <v>31</v>
      </c>
      <c r="Q1743">
        <v>0</v>
      </c>
      <c r="R1743" t="s">
        <v>12883</v>
      </c>
      <c r="S1743" t="s">
        <v>12884</v>
      </c>
    </row>
    <row r="1744" spans="1:19" x14ac:dyDescent="0.25">
      <c r="A1744" t="s">
        <v>3184</v>
      </c>
      <c r="B1744" s="1">
        <v>45917</v>
      </c>
      <c r="C1744" t="s">
        <v>12882</v>
      </c>
      <c r="D1744" s="5">
        <v>0.93586805555555552</v>
      </c>
      <c r="E1744">
        <v>78.58</v>
      </c>
      <c r="F1744" t="s">
        <v>44</v>
      </c>
      <c r="G1744" t="s">
        <v>1296</v>
      </c>
      <c r="H1744" t="s">
        <v>64</v>
      </c>
      <c r="I1744" t="s">
        <v>248</v>
      </c>
      <c r="J1744" t="s">
        <v>3185</v>
      </c>
      <c r="K1744">
        <v>27</v>
      </c>
      <c r="L1744" t="s">
        <v>49</v>
      </c>
      <c r="M1744" t="s">
        <v>119</v>
      </c>
      <c r="N1744" t="s">
        <v>84</v>
      </c>
      <c r="O1744" t="s">
        <v>28</v>
      </c>
      <c r="P1744" t="s">
        <v>31</v>
      </c>
      <c r="Q1744">
        <v>0</v>
      </c>
      <c r="R1744" t="s">
        <v>12883</v>
      </c>
      <c r="S1744" t="s">
        <v>12889</v>
      </c>
    </row>
    <row r="1745" spans="1:19" x14ac:dyDescent="0.25">
      <c r="A1745" t="s">
        <v>3815</v>
      </c>
      <c r="B1745" s="1">
        <v>45861</v>
      </c>
      <c r="C1745" t="s">
        <v>12885</v>
      </c>
      <c r="D1745" s="5">
        <v>0.91570601851851852</v>
      </c>
      <c r="E1745">
        <v>78.34</v>
      </c>
      <c r="F1745" t="s">
        <v>44</v>
      </c>
      <c r="G1745" t="s">
        <v>3816</v>
      </c>
      <c r="H1745" t="s">
        <v>71</v>
      </c>
      <c r="I1745" t="s">
        <v>91</v>
      </c>
      <c r="J1745" t="s">
        <v>3817</v>
      </c>
      <c r="K1745">
        <v>62</v>
      </c>
      <c r="L1745" t="s">
        <v>25</v>
      </c>
      <c r="M1745" t="s">
        <v>66</v>
      </c>
      <c r="N1745" t="s">
        <v>27</v>
      </c>
      <c r="O1745" t="s">
        <v>28</v>
      </c>
      <c r="P1745" t="s">
        <v>31</v>
      </c>
      <c r="Q1745">
        <v>0</v>
      </c>
      <c r="R1745" t="s">
        <v>12883</v>
      </c>
      <c r="S1745" t="s">
        <v>12884</v>
      </c>
    </row>
    <row r="1746" spans="1:19" x14ac:dyDescent="0.25">
      <c r="A1746" t="s">
        <v>3690</v>
      </c>
      <c r="B1746" s="1">
        <v>45796</v>
      </c>
      <c r="C1746" t="s">
        <v>12887</v>
      </c>
      <c r="D1746" s="5">
        <v>8.5462962962962963E-2</v>
      </c>
      <c r="E1746">
        <v>78.31</v>
      </c>
      <c r="F1746" t="s">
        <v>44</v>
      </c>
      <c r="G1746" t="s">
        <v>3691</v>
      </c>
      <c r="H1746" t="s">
        <v>22</v>
      </c>
      <c r="I1746" t="s">
        <v>248</v>
      </c>
      <c r="J1746" t="s">
        <v>3692</v>
      </c>
      <c r="K1746">
        <v>73</v>
      </c>
      <c r="L1746" t="s">
        <v>25</v>
      </c>
      <c r="M1746" t="s">
        <v>91</v>
      </c>
      <c r="N1746" t="s">
        <v>39</v>
      </c>
      <c r="O1746" t="s">
        <v>28</v>
      </c>
      <c r="P1746" t="s">
        <v>31</v>
      </c>
      <c r="Q1746">
        <v>0</v>
      </c>
      <c r="R1746" t="s">
        <v>12883</v>
      </c>
      <c r="S1746" t="s">
        <v>12884</v>
      </c>
    </row>
    <row r="1747" spans="1:19" x14ac:dyDescent="0.25">
      <c r="A1747" t="s">
        <v>12498</v>
      </c>
      <c r="B1747" s="1">
        <v>45785</v>
      </c>
      <c r="C1747" t="s">
        <v>12887</v>
      </c>
      <c r="D1747" s="5">
        <v>0.76571759259259264</v>
      </c>
      <c r="E1747">
        <v>78.290000000000006</v>
      </c>
      <c r="F1747" t="s">
        <v>44</v>
      </c>
      <c r="G1747" t="s">
        <v>9288</v>
      </c>
      <c r="H1747" t="s">
        <v>89</v>
      </c>
      <c r="I1747" t="s">
        <v>47</v>
      </c>
      <c r="J1747" t="s">
        <v>12499</v>
      </c>
      <c r="K1747">
        <v>48</v>
      </c>
      <c r="L1747" t="s">
        <v>37</v>
      </c>
      <c r="M1747" t="s">
        <v>26</v>
      </c>
      <c r="N1747" t="s">
        <v>105</v>
      </c>
      <c r="O1747" t="s">
        <v>28</v>
      </c>
      <c r="P1747" t="s">
        <v>31</v>
      </c>
      <c r="Q1747">
        <v>0</v>
      </c>
      <c r="R1747" t="s">
        <v>12883</v>
      </c>
      <c r="S1747" t="s">
        <v>12886</v>
      </c>
    </row>
    <row r="1748" spans="1:19" x14ac:dyDescent="0.25">
      <c r="A1748" t="s">
        <v>12502</v>
      </c>
      <c r="B1748" s="1">
        <v>45904</v>
      </c>
      <c r="C1748" t="s">
        <v>12882</v>
      </c>
      <c r="D1748" s="5">
        <v>0.6937268518518519</v>
      </c>
      <c r="E1748">
        <v>78.290000000000006</v>
      </c>
      <c r="F1748" t="s">
        <v>44</v>
      </c>
      <c r="G1748" t="s">
        <v>1945</v>
      </c>
      <c r="H1748" t="s">
        <v>96</v>
      </c>
      <c r="I1748" t="s">
        <v>146</v>
      </c>
      <c r="J1748" t="s">
        <v>12503</v>
      </c>
      <c r="K1748">
        <v>42</v>
      </c>
      <c r="L1748" t="s">
        <v>25</v>
      </c>
      <c r="M1748" t="s">
        <v>91</v>
      </c>
      <c r="N1748" t="s">
        <v>105</v>
      </c>
      <c r="O1748" t="s">
        <v>28</v>
      </c>
      <c r="P1748" t="s">
        <v>31</v>
      </c>
      <c r="Q1748">
        <v>0</v>
      </c>
      <c r="R1748" t="s">
        <v>12883</v>
      </c>
      <c r="S1748" t="s">
        <v>12886</v>
      </c>
    </row>
    <row r="1749" spans="1:19" x14ac:dyDescent="0.25">
      <c r="A1749" t="s">
        <v>8918</v>
      </c>
      <c r="B1749" s="1">
        <v>45861</v>
      </c>
      <c r="C1749" t="s">
        <v>12885</v>
      </c>
      <c r="D1749" s="5">
        <v>0.20958333333333334</v>
      </c>
      <c r="E1749">
        <v>78.22</v>
      </c>
      <c r="F1749" t="s">
        <v>44</v>
      </c>
      <c r="G1749" t="s">
        <v>7135</v>
      </c>
      <c r="H1749" t="s">
        <v>124</v>
      </c>
      <c r="I1749" t="s">
        <v>91</v>
      </c>
      <c r="J1749" t="s">
        <v>8919</v>
      </c>
      <c r="K1749">
        <v>66</v>
      </c>
      <c r="L1749" t="s">
        <v>49</v>
      </c>
      <c r="M1749" t="s">
        <v>91</v>
      </c>
      <c r="N1749" t="s">
        <v>105</v>
      </c>
      <c r="O1749" t="s">
        <v>113</v>
      </c>
      <c r="P1749" t="s">
        <v>31</v>
      </c>
      <c r="Q1749">
        <v>0</v>
      </c>
      <c r="R1749" t="s">
        <v>12883</v>
      </c>
      <c r="S1749" t="s">
        <v>12884</v>
      </c>
    </row>
    <row r="1750" spans="1:19" x14ac:dyDescent="0.25">
      <c r="A1750" t="s">
        <v>5133</v>
      </c>
      <c r="B1750" s="1">
        <v>45798</v>
      </c>
      <c r="C1750" t="s">
        <v>12887</v>
      </c>
      <c r="D1750" s="5">
        <v>0.18221064814814814</v>
      </c>
      <c r="E1750">
        <v>78.06</v>
      </c>
      <c r="F1750" t="s">
        <v>44</v>
      </c>
      <c r="G1750" t="s">
        <v>3065</v>
      </c>
      <c r="H1750" t="s">
        <v>71</v>
      </c>
      <c r="I1750" t="s">
        <v>119</v>
      </c>
      <c r="J1750" t="s">
        <v>5134</v>
      </c>
      <c r="K1750">
        <v>54</v>
      </c>
      <c r="L1750" t="s">
        <v>37</v>
      </c>
      <c r="M1750" t="s">
        <v>146</v>
      </c>
      <c r="N1750" t="s">
        <v>27</v>
      </c>
      <c r="O1750" t="s">
        <v>28</v>
      </c>
      <c r="P1750" t="s">
        <v>31</v>
      </c>
      <c r="Q1750">
        <v>0</v>
      </c>
      <c r="R1750" t="s">
        <v>12883</v>
      </c>
      <c r="S1750" t="s">
        <v>12886</v>
      </c>
    </row>
    <row r="1751" spans="1:19" x14ac:dyDescent="0.25">
      <c r="A1751" t="s">
        <v>165</v>
      </c>
      <c r="B1751" s="1">
        <v>45798</v>
      </c>
      <c r="C1751" t="s">
        <v>12887</v>
      </c>
      <c r="D1751" s="5">
        <v>0.53881944444444441</v>
      </c>
      <c r="E1751">
        <v>77.959999999999994</v>
      </c>
      <c r="F1751" t="s">
        <v>44</v>
      </c>
      <c r="G1751" t="s">
        <v>166</v>
      </c>
      <c r="H1751" t="s">
        <v>124</v>
      </c>
      <c r="I1751" t="s">
        <v>23</v>
      </c>
      <c r="J1751" t="s">
        <v>167</v>
      </c>
      <c r="K1751">
        <v>19</v>
      </c>
      <c r="L1751" t="s">
        <v>49</v>
      </c>
      <c r="M1751" t="s">
        <v>38</v>
      </c>
      <c r="N1751" t="s">
        <v>27</v>
      </c>
      <c r="O1751" t="s">
        <v>28</v>
      </c>
      <c r="P1751" t="s">
        <v>31</v>
      </c>
      <c r="Q1751">
        <v>0</v>
      </c>
      <c r="R1751" t="s">
        <v>12883</v>
      </c>
      <c r="S1751" t="s">
        <v>12892</v>
      </c>
    </row>
    <row r="1752" spans="1:19" x14ac:dyDescent="0.25">
      <c r="A1752" t="s">
        <v>6784</v>
      </c>
      <c r="B1752" s="1">
        <v>45833</v>
      </c>
      <c r="C1752" t="s">
        <v>12888</v>
      </c>
      <c r="D1752" s="5">
        <v>0.29120370370370369</v>
      </c>
      <c r="E1752">
        <v>77.88</v>
      </c>
      <c r="F1752" t="s">
        <v>44</v>
      </c>
      <c r="G1752" t="s">
        <v>4145</v>
      </c>
      <c r="H1752" t="s">
        <v>71</v>
      </c>
      <c r="I1752" t="s">
        <v>97</v>
      </c>
      <c r="J1752" t="s">
        <v>6785</v>
      </c>
      <c r="K1752">
        <v>22</v>
      </c>
      <c r="L1752" t="s">
        <v>25</v>
      </c>
      <c r="M1752" t="s">
        <v>97</v>
      </c>
      <c r="N1752" t="s">
        <v>112</v>
      </c>
      <c r="O1752" t="s">
        <v>113</v>
      </c>
      <c r="P1752" t="s">
        <v>31</v>
      </c>
      <c r="Q1752">
        <v>0</v>
      </c>
      <c r="R1752" t="s">
        <v>12883</v>
      </c>
      <c r="S1752" t="s">
        <v>12892</v>
      </c>
    </row>
    <row r="1753" spans="1:19" x14ac:dyDescent="0.25">
      <c r="A1753" t="s">
        <v>12522</v>
      </c>
      <c r="B1753" s="1">
        <v>45827</v>
      </c>
      <c r="C1753" t="s">
        <v>12888</v>
      </c>
      <c r="D1753" s="5">
        <v>0.85721064814814818</v>
      </c>
      <c r="E1753">
        <v>77.790000000000006</v>
      </c>
      <c r="F1753" t="s">
        <v>44</v>
      </c>
      <c r="G1753" t="s">
        <v>6500</v>
      </c>
      <c r="H1753" t="s">
        <v>96</v>
      </c>
      <c r="I1753" t="s">
        <v>35</v>
      </c>
      <c r="J1753" t="s">
        <v>12523</v>
      </c>
      <c r="K1753">
        <v>29</v>
      </c>
      <c r="L1753" t="s">
        <v>49</v>
      </c>
      <c r="M1753" t="s">
        <v>97</v>
      </c>
      <c r="N1753" t="s">
        <v>51</v>
      </c>
      <c r="O1753" t="s">
        <v>28</v>
      </c>
      <c r="P1753" t="s">
        <v>31</v>
      </c>
      <c r="Q1753">
        <v>0</v>
      </c>
      <c r="R1753" t="s">
        <v>12883</v>
      </c>
      <c r="S1753" t="s">
        <v>12889</v>
      </c>
    </row>
    <row r="1754" spans="1:19" x14ac:dyDescent="0.25">
      <c r="A1754" t="s">
        <v>2412</v>
      </c>
      <c r="B1754" s="1">
        <v>45824</v>
      </c>
      <c r="C1754" t="s">
        <v>12888</v>
      </c>
      <c r="D1754" s="5">
        <v>0.16125</v>
      </c>
      <c r="E1754">
        <v>77.510000000000005</v>
      </c>
      <c r="F1754" t="s">
        <v>44</v>
      </c>
      <c r="G1754" t="s">
        <v>2413</v>
      </c>
      <c r="H1754" t="s">
        <v>89</v>
      </c>
      <c r="I1754" t="s">
        <v>119</v>
      </c>
      <c r="J1754" t="s">
        <v>2414</v>
      </c>
      <c r="K1754">
        <v>51</v>
      </c>
      <c r="L1754" t="s">
        <v>37</v>
      </c>
      <c r="M1754" t="s">
        <v>110</v>
      </c>
      <c r="N1754" t="s">
        <v>112</v>
      </c>
      <c r="O1754" t="s">
        <v>28</v>
      </c>
      <c r="P1754" t="s">
        <v>31</v>
      </c>
      <c r="Q1754">
        <v>0</v>
      </c>
      <c r="R1754" t="s">
        <v>12883</v>
      </c>
      <c r="S1754" t="s">
        <v>12886</v>
      </c>
    </row>
    <row r="1755" spans="1:19" x14ac:dyDescent="0.25">
      <c r="A1755" t="s">
        <v>8608</v>
      </c>
      <c r="B1755" s="1">
        <v>45880</v>
      </c>
      <c r="C1755" t="s">
        <v>12893</v>
      </c>
      <c r="D1755" s="5">
        <v>0.45403935185185185</v>
      </c>
      <c r="E1755">
        <v>77.489999999999995</v>
      </c>
      <c r="F1755" t="s">
        <v>44</v>
      </c>
      <c r="G1755" t="s">
        <v>253</v>
      </c>
      <c r="H1755" t="s">
        <v>57</v>
      </c>
      <c r="I1755" t="s">
        <v>130</v>
      </c>
      <c r="J1755" t="s">
        <v>8609</v>
      </c>
      <c r="K1755">
        <v>64</v>
      </c>
      <c r="L1755" t="s">
        <v>49</v>
      </c>
      <c r="M1755" t="s">
        <v>97</v>
      </c>
      <c r="N1755" t="s">
        <v>105</v>
      </c>
      <c r="O1755" t="s">
        <v>28</v>
      </c>
      <c r="P1755" t="s">
        <v>31</v>
      </c>
      <c r="Q1755">
        <v>1</v>
      </c>
      <c r="R1755" t="s">
        <v>12891</v>
      </c>
      <c r="S1755" t="s">
        <v>12884</v>
      </c>
    </row>
    <row r="1756" spans="1:19" x14ac:dyDescent="0.25">
      <c r="A1756" t="s">
        <v>7279</v>
      </c>
      <c r="B1756" s="1">
        <v>45841</v>
      </c>
      <c r="C1756" t="s">
        <v>12885</v>
      </c>
      <c r="D1756" s="5">
        <v>5.8657407407407408E-2</v>
      </c>
      <c r="E1756">
        <v>77.38</v>
      </c>
      <c r="F1756" t="s">
        <v>44</v>
      </c>
      <c r="G1756" t="s">
        <v>263</v>
      </c>
      <c r="H1756" t="s">
        <v>89</v>
      </c>
      <c r="I1756" t="s">
        <v>58</v>
      </c>
      <c r="J1756" t="s">
        <v>7280</v>
      </c>
      <c r="K1756">
        <v>55</v>
      </c>
      <c r="L1756" t="s">
        <v>37</v>
      </c>
      <c r="M1756" t="s">
        <v>38</v>
      </c>
      <c r="N1756" t="s">
        <v>84</v>
      </c>
      <c r="O1756" t="s">
        <v>28</v>
      </c>
      <c r="P1756" t="s">
        <v>31</v>
      </c>
      <c r="Q1756">
        <v>0</v>
      </c>
      <c r="R1756" t="s">
        <v>12883</v>
      </c>
      <c r="S1756" t="s">
        <v>12886</v>
      </c>
    </row>
    <row r="1757" spans="1:19" x14ac:dyDescent="0.25">
      <c r="A1757" t="s">
        <v>3399</v>
      </c>
      <c r="B1757" s="1">
        <v>45796</v>
      </c>
      <c r="C1757" t="s">
        <v>12887</v>
      </c>
      <c r="D1757" s="5">
        <v>0.29439814814814813</v>
      </c>
      <c r="E1757">
        <v>77.03</v>
      </c>
      <c r="F1757" t="s">
        <v>44</v>
      </c>
      <c r="G1757" t="s">
        <v>3400</v>
      </c>
      <c r="H1757" t="s">
        <v>22</v>
      </c>
      <c r="I1757" t="s">
        <v>119</v>
      </c>
      <c r="J1757" t="s">
        <v>3401</v>
      </c>
      <c r="K1757">
        <v>19</v>
      </c>
      <c r="L1757" t="s">
        <v>49</v>
      </c>
      <c r="M1757" t="s">
        <v>248</v>
      </c>
      <c r="N1757" t="s">
        <v>84</v>
      </c>
      <c r="O1757" t="s">
        <v>28</v>
      </c>
      <c r="P1757" t="s">
        <v>31</v>
      </c>
      <c r="Q1757">
        <v>0</v>
      </c>
      <c r="R1757" t="s">
        <v>12883</v>
      </c>
      <c r="S1757" t="s">
        <v>12892</v>
      </c>
    </row>
    <row r="1758" spans="1:19" x14ac:dyDescent="0.25">
      <c r="A1758" t="s">
        <v>7789</v>
      </c>
      <c r="B1758" s="1">
        <v>45927</v>
      </c>
      <c r="C1758" t="s">
        <v>12882</v>
      </c>
      <c r="D1758" s="5">
        <v>0.28769675925925925</v>
      </c>
      <c r="E1758">
        <v>76.98</v>
      </c>
      <c r="F1758" t="s">
        <v>44</v>
      </c>
      <c r="G1758" t="s">
        <v>2942</v>
      </c>
      <c r="H1758" t="s">
        <v>57</v>
      </c>
      <c r="I1758" t="s">
        <v>146</v>
      </c>
      <c r="J1758" t="s">
        <v>7790</v>
      </c>
      <c r="K1758">
        <v>71</v>
      </c>
      <c r="L1758" t="s">
        <v>25</v>
      </c>
      <c r="M1758" t="s">
        <v>146</v>
      </c>
      <c r="N1758" t="s">
        <v>51</v>
      </c>
      <c r="O1758" t="s">
        <v>113</v>
      </c>
      <c r="P1758" t="s">
        <v>31</v>
      </c>
      <c r="Q1758">
        <v>0</v>
      </c>
      <c r="R1758" t="s">
        <v>12883</v>
      </c>
      <c r="S1758" t="s">
        <v>12884</v>
      </c>
    </row>
    <row r="1759" spans="1:19" x14ac:dyDescent="0.25">
      <c r="A1759" t="s">
        <v>9063</v>
      </c>
      <c r="B1759" s="1">
        <v>45801</v>
      </c>
      <c r="C1759" t="s">
        <v>12887</v>
      </c>
      <c r="D1759" s="5">
        <v>0.57903935185185185</v>
      </c>
      <c r="E1759">
        <v>76.97</v>
      </c>
      <c r="F1759" t="s">
        <v>44</v>
      </c>
      <c r="G1759" t="s">
        <v>1598</v>
      </c>
      <c r="H1759" t="s">
        <v>22</v>
      </c>
      <c r="I1759" t="s">
        <v>38</v>
      </c>
      <c r="J1759" t="s">
        <v>9064</v>
      </c>
      <c r="K1759">
        <v>58</v>
      </c>
      <c r="L1759" t="s">
        <v>37</v>
      </c>
      <c r="M1759" t="s">
        <v>248</v>
      </c>
      <c r="N1759" t="s">
        <v>27</v>
      </c>
      <c r="O1759" t="s">
        <v>28</v>
      </c>
      <c r="P1759" t="s">
        <v>31</v>
      </c>
      <c r="Q1759">
        <v>0</v>
      </c>
      <c r="R1759" t="s">
        <v>12883</v>
      </c>
      <c r="S1759" t="s">
        <v>12886</v>
      </c>
    </row>
    <row r="1760" spans="1:19" x14ac:dyDescent="0.25">
      <c r="A1760" t="s">
        <v>7109</v>
      </c>
      <c r="B1760" s="1">
        <v>45813</v>
      </c>
      <c r="C1760" t="s">
        <v>12888</v>
      </c>
      <c r="D1760" s="5">
        <v>0.11077546296296296</v>
      </c>
      <c r="E1760">
        <v>76.88</v>
      </c>
      <c r="F1760" t="s">
        <v>44</v>
      </c>
      <c r="G1760" t="s">
        <v>2819</v>
      </c>
      <c r="H1760" t="s">
        <v>124</v>
      </c>
      <c r="I1760" t="s">
        <v>248</v>
      </c>
      <c r="J1760" t="s">
        <v>7110</v>
      </c>
      <c r="K1760">
        <v>23</v>
      </c>
      <c r="L1760" t="s">
        <v>25</v>
      </c>
      <c r="M1760" t="s">
        <v>248</v>
      </c>
      <c r="N1760" t="s">
        <v>39</v>
      </c>
      <c r="O1760" t="s">
        <v>113</v>
      </c>
      <c r="P1760" t="s">
        <v>31</v>
      </c>
      <c r="Q1760">
        <v>0</v>
      </c>
      <c r="R1760" t="s">
        <v>12883</v>
      </c>
      <c r="S1760" t="s">
        <v>12892</v>
      </c>
    </row>
    <row r="1761" spans="1:19" x14ac:dyDescent="0.25">
      <c r="A1761" t="s">
        <v>1460</v>
      </c>
      <c r="B1761" s="1">
        <v>45953</v>
      </c>
      <c r="C1761" t="s">
        <v>12890</v>
      </c>
      <c r="D1761" s="5">
        <v>0.25050925925925926</v>
      </c>
      <c r="E1761">
        <v>76.86</v>
      </c>
      <c r="F1761" t="s">
        <v>44</v>
      </c>
      <c r="G1761" t="s">
        <v>1017</v>
      </c>
      <c r="H1761" t="s">
        <v>124</v>
      </c>
      <c r="I1761" t="s">
        <v>47</v>
      </c>
      <c r="J1761" t="s">
        <v>1461</v>
      </c>
      <c r="K1761">
        <v>32</v>
      </c>
      <c r="L1761" t="s">
        <v>37</v>
      </c>
      <c r="M1761" t="s">
        <v>248</v>
      </c>
      <c r="N1761" t="s">
        <v>112</v>
      </c>
      <c r="O1761" t="s">
        <v>28</v>
      </c>
      <c r="P1761" t="s">
        <v>31</v>
      </c>
      <c r="Q1761">
        <v>0</v>
      </c>
      <c r="R1761" t="s">
        <v>12883</v>
      </c>
      <c r="S1761" t="s">
        <v>12889</v>
      </c>
    </row>
    <row r="1762" spans="1:19" x14ac:dyDescent="0.25">
      <c r="A1762" t="s">
        <v>9685</v>
      </c>
      <c r="B1762" s="1">
        <v>45899</v>
      </c>
      <c r="C1762" t="s">
        <v>12893</v>
      </c>
      <c r="D1762" s="5">
        <v>0.9135416666666667</v>
      </c>
      <c r="E1762">
        <v>76.86</v>
      </c>
      <c r="F1762" t="s">
        <v>44</v>
      </c>
      <c r="G1762" t="s">
        <v>1701</v>
      </c>
      <c r="H1762" t="s">
        <v>71</v>
      </c>
      <c r="I1762" t="s">
        <v>58</v>
      </c>
      <c r="J1762" t="s">
        <v>9686</v>
      </c>
      <c r="K1762">
        <v>34</v>
      </c>
      <c r="L1762" t="s">
        <v>25</v>
      </c>
      <c r="M1762" t="s">
        <v>146</v>
      </c>
      <c r="N1762" t="s">
        <v>112</v>
      </c>
      <c r="O1762" t="s">
        <v>28</v>
      </c>
      <c r="P1762" t="s">
        <v>31</v>
      </c>
      <c r="Q1762">
        <v>0</v>
      </c>
      <c r="R1762" t="s">
        <v>12883</v>
      </c>
      <c r="S1762" t="s">
        <v>12889</v>
      </c>
    </row>
    <row r="1763" spans="1:19" x14ac:dyDescent="0.25">
      <c r="A1763" t="s">
        <v>3955</v>
      </c>
      <c r="B1763" s="1">
        <v>45824</v>
      </c>
      <c r="C1763" t="s">
        <v>12888</v>
      </c>
      <c r="D1763" s="5">
        <v>0.89841435185185181</v>
      </c>
      <c r="E1763">
        <v>76.81</v>
      </c>
      <c r="F1763" t="s">
        <v>44</v>
      </c>
      <c r="G1763" t="s">
        <v>3763</v>
      </c>
      <c r="H1763" t="s">
        <v>64</v>
      </c>
      <c r="I1763" t="s">
        <v>66</v>
      </c>
      <c r="J1763" t="s">
        <v>3956</v>
      </c>
      <c r="K1763">
        <v>67</v>
      </c>
      <c r="L1763" t="s">
        <v>37</v>
      </c>
      <c r="M1763" t="s">
        <v>26</v>
      </c>
      <c r="N1763" t="s">
        <v>112</v>
      </c>
      <c r="O1763" t="s">
        <v>28</v>
      </c>
      <c r="P1763" t="s">
        <v>31</v>
      </c>
      <c r="Q1763">
        <v>0</v>
      </c>
      <c r="R1763" t="s">
        <v>12883</v>
      </c>
      <c r="S1763" t="s">
        <v>12884</v>
      </c>
    </row>
    <row r="1764" spans="1:19" x14ac:dyDescent="0.25">
      <c r="A1764" t="s">
        <v>12316</v>
      </c>
      <c r="B1764" s="1">
        <v>45869</v>
      </c>
      <c r="C1764" t="s">
        <v>12885</v>
      </c>
      <c r="D1764" s="5">
        <v>0.51958333333333329</v>
      </c>
      <c r="E1764">
        <v>76.8</v>
      </c>
      <c r="F1764" t="s">
        <v>44</v>
      </c>
      <c r="G1764" t="s">
        <v>1998</v>
      </c>
      <c r="H1764" t="s">
        <v>64</v>
      </c>
      <c r="I1764" t="s">
        <v>58</v>
      </c>
      <c r="J1764" t="s">
        <v>12317</v>
      </c>
      <c r="K1764">
        <v>30</v>
      </c>
      <c r="L1764" t="s">
        <v>49</v>
      </c>
      <c r="M1764" t="s">
        <v>97</v>
      </c>
      <c r="N1764" t="s">
        <v>39</v>
      </c>
      <c r="O1764" t="s">
        <v>28</v>
      </c>
      <c r="P1764" t="s">
        <v>31</v>
      </c>
      <c r="Q1764">
        <v>0</v>
      </c>
      <c r="R1764" t="s">
        <v>12883</v>
      </c>
      <c r="S1764" t="s">
        <v>12889</v>
      </c>
    </row>
    <row r="1765" spans="1:19" x14ac:dyDescent="0.25">
      <c r="A1765" t="s">
        <v>9272</v>
      </c>
      <c r="B1765" s="1">
        <v>45904</v>
      </c>
      <c r="C1765" t="s">
        <v>12882</v>
      </c>
      <c r="D1765" s="5">
        <v>0.32201388888888888</v>
      </c>
      <c r="E1765">
        <v>76.680000000000007</v>
      </c>
      <c r="F1765" t="s">
        <v>44</v>
      </c>
      <c r="G1765" t="s">
        <v>2630</v>
      </c>
      <c r="H1765" t="s">
        <v>64</v>
      </c>
      <c r="I1765" t="s">
        <v>35</v>
      </c>
      <c r="J1765" t="s">
        <v>9273</v>
      </c>
      <c r="K1765">
        <v>75</v>
      </c>
      <c r="L1765" t="s">
        <v>49</v>
      </c>
      <c r="M1765" t="s">
        <v>91</v>
      </c>
      <c r="N1765" t="s">
        <v>105</v>
      </c>
      <c r="O1765" t="s">
        <v>28</v>
      </c>
      <c r="P1765" t="s">
        <v>31</v>
      </c>
      <c r="Q1765">
        <v>0</v>
      </c>
      <c r="R1765" t="s">
        <v>12883</v>
      </c>
      <c r="S1765" t="s">
        <v>12884</v>
      </c>
    </row>
    <row r="1766" spans="1:19" x14ac:dyDescent="0.25">
      <c r="A1766" t="s">
        <v>8102</v>
      </c>
      <c r="B1766" s="1">
        <v>45924</v>
      </c>
      <c r="C1766" t="s">
        <v>12882</v>
      </c>
      <c r="D1766" s="5">
        <v>0.60177083333333337</v>
      </c>
      <c r="E1766">
        <v>76.67</v>
      </c>
      <c r="F1766" t="s">
        <v>44</v>
      </c>
      <c r="G1766" t="s">
        <v>82</v>
      </c>
      <c r="H1766" t="s">
        <v>77</v>
      </c>
      <c r="I1766" t="s">
        <v>97</v>
      </c>
      <c r="J1766" t="s">
        <v>8103</v>
      </c>
      <c r="K1766">
        <v>51</v>
      </c>
      <c r="L1766" t="s">
        <v>49</v>
      </c>
      <c r="M1766" t="s">
        <v>38</v>
      </c>
      <c r="N1766" t="s">
        <v>84</v>
      </c>
      <c r="O1766" t="s">
        <v>28</v>
      </c>
      <c r="P1766" t="s">
        <v>31</v>
      </c>
      <c r="Q1766">
        <v>0</v>
      </c>
      <c r="R1766" t="s">
        <v>12883</v>
      </c>
      <c r="S1766" t="s">
        <v>12886</v>
      </c>
    </row>
    <row r="1767" spans="1:19" x14ac:dyDescent="0.25">
      <c r="A1767" t="s">
        <v>12685</v>
      </c>
      <c r="B1767" s="1">
        <v>45817</v>
      </c>
      <c r="C1767" t="s">
        <v>12888</v>
      </c>
      <c r="D1767" s="5">
        <v>0.50329861111111107</v>
      </c>
      <c r="E1767">
        <v>76.61</v>
      </c>
      <c r="F1767" t="s">
        <v>44</v>
      </c>
      <c r="G1767" t="s">
        <v>1092</v>
      </c>
      <c r="H1767" t="s">
        <v>71</v>
      </c>
      <c r="I1767" t="s">
        <v>248</v>
      </c>
      <c r="J1767" t="s">
        <v>12686</v>
      </c>
      <c r="K1767">
        <v>58</v>
      </c>
      <c r="L1767" t="s">
        <v>25</v>
      </c>
      <c r="M1767" t="s">
        <v>23</v>
      </c>
      <c r="N1767" t="s">
        <v>39</v>
      </c>
      <c r="O1767" t="s">
        <v>28</v>
      </c>
      <c r="P1767" t="s">
        <v>31</v>
      </c>
      <c r="Q1767">
        <v>0</v>
      </c>
      <c r="R1767" t="s">
        <v>12883</v>
      </c>
      <c r="S1767" t="s">
        <v>12886</v>
      </c>
    </row>
    <row r="1768" spans="1:19" x14ac:dyDescent="0.25">
      <c r="A1768" t="s">
        <v>8110</v>
      </c>
      <c r="B1768" s="1">
        <v>45916</v>
      </c>
      <c r="C1768" t="s">
        <v>12882</v>
      </c>
      <c r="D1768" s="5">
        <v>0.16071759259259261</v>
      </c>
      <c r="E1768">
        <v>76.44</v>
      </c>
      <c r="F1768" t="s">
        <v>44</v>
      </c>
      <c r="G1768" t="s">
        <v>6201</v>
      </c>
      <c r="H1768" t="s">
        <v>46</v>
      </c>
      <c r="I1768" t="s">
        <v>130</v>
      </c>
      <c r="J1768" t="s">
        <v>8111</v>
      </c>
      <c r="K1768">
        <v>41</v>
      </c>
      <c r="L1768" t="s">
        <v>25</v>
      </c>
      <c r="M1768" t="s">
        <v>97</v>
      </c>
      <c r="N1768" t="s">
        <v>105</v>
      </c>
      <c r="O1768" t="s">
        <v>28</v>
      </c>
      <c r="P1768" t="s">
        <v>31</v>
      </c>
      <c r="Q1768">
        <v>0</v>
      </c>
      <c r="R1768" t="s">
        <v>12883</v>
      </c>
      <c r="S1768" t="s">
        <v>12886</v>
      </c>
    </row>
    <row r="1769" spans="1:19" x14ac:dyDescent="0.25">
      <c r="A1769" t="s">
        <v>8022</v>
      </c>
      <c r="B1769" s="1">
        <v>45825</v>
      </c>
      <c r="C1769" t="s">
        <v>12888</v>
      </c>
      <c r="D1769" s="5">
        <v>0.7732175925925926</v>
      </c>
      <c r="E1769">
        <v>76.400000000000006</v>
      </c>
      <c r="F1769" t="s">
        <v>44</v>
      </c>
      <c r="G1769" t="s">
        <v>8023</v>
      </c>
      <c r="H1769" t="s">
        <v>57</v>
      </c>
      <c r="I1769" t="s">
        <v>58</v>
      </c>
      <c r="J1769" t="s">
        <v>8024</v>
      </c>
      <c r="K1769">
        <v>47</v>
      </c>
      <c r="L1769" t="s">
        <v>49</v>
      </c>
      <c r="M1769" t="s">
        <v>91</v>
      </c>
      <c r="N1769" t="s">
        <v>27</v>
      </c>
      <c r="O1769" t="s">
        <v>28</v>
      </c>
      <c r="P1769" t="s">
        <v>31</v>
      </c>
      <c r="Q1769">
        <v>0</v>
      </c>
      <c r="R1769" t="s">
        <v>12883</v>
      </c>
      <c r="S1769" t="s">
        <v>12886</v>
      </c>
    </row>
    <row r="1770" spans="1:19" x14ac:dyDescent="0.25">
      <c r="A1770" t="s">
        <v>2837</v>
      </c>
      <c r="B1770" s="1">
        <v>45787</v>
      </c>
      <c r="C1770" t="s">
        <v>12887</v>
      </c>
      <c r="D1770" s="5">
        <v>0.85918981481481482</v>
      </c>
      <c r="E1770">
        <v>76.349999999999994</v>
      </c>
      <c r="F1770" t="s">
        <v>44</v>
      </c>
      <c r="G1770" t="s">
        <v>596</v>
      </c>
      <c r="H1770" t="s">
        <v>89</v>
      </c>
      <c r="I1770" t="s">
        <v>23</v>
      </c>
      <c r="J1770" t="s">
        <v>2838</v>
      </c>
      <c r="K1770">
        <v>49</v>
      </c>
      <c r="L1770" t="s">
        <v>37</v>
      </c>
      <c r="M1770" t="s">
        <v>38</v>
      </c>
      <c r="N1770" t="s">
        <v>51</v>
      </c>
      <c r="O1770" t="s">
        <v>28</v>
      </c>
      <c r="P1770" t="s">
        <v>31</v>
      </c>
      <c r="Q1770">
        <v>0</v>
      </c>
      <c r="R1770" t="s">
        <v>12883</v>
      </c>
      <c r="S1770" t="s">
        <v>12886</v>
      </c>
    </row>
    <row r="1771" spans="1:19" x14ac:dyDescent="0.25">
      <c r="A1771" t="s">
        <v>10485</v>
      </c>
      <c r="B1771" s="1">
        <v>45906</v>
      </c>
      <c r="C1771" t="s">
        <v>12882</v>
      </c>
      <c r="D1771" s="5">
        <v>0.73920138888888887</v>
      </c>
      <c r="E1771">
        <v>76.25</v>
      </c>
      <c r="F1771" t="s">
        <v>44</v>
      </c>
      <c r="G1771" t="s">
        <v>3366</v>
      </c>
      <c r="H1771" t="s">
        <v>96</v>
      </c>
      <c r="I1771" t="s">
        <v>97</v>
      </c>
      <c r="J1771" t="s">
        <v>10486</v>
      </c>
      <c r="K1771">
        <v>74</v>
      </c>
      <c r="L1771" t="s">
        <v>37</v>
      </c>
      <c r="M1771" t="s">
        <v>26</v>
      </c>
      <c r="N1771" t="s">
        <v>51</v>
      </c>
      <c r="O1771" t="s">
        <v>28</v>
      </c>
      <c r="P1771" t="s">
        <v>31</v>
      </c>
      <c r="Q1771">
        <v>0</v>
      </c>
      <c r="R1771" t="s">
        <v>12883</v>
      </c>
      <c r="S1771" t="s">
        <v>12884</v>
      </c>
    </row>
    <row r="1772" spans="1:19" x14ac:dyDescent="0.25">
      <c r="A1772" t="s">
        <v>8517</v>
      </c>
      <c r="B1772" s="1">
        <v>45806</v>
      </c>
      <c r="C1772" t="s">
        <v>12887</v>
      </c>
      <c r="D1772" s="5">
        <v>0.12300925925925926</v>
      </c>
      <c r="E1772">
        <v>76.150000000000006</v>
      </c>
      <c r="F1772" t="s">
        <v>44</v>
      </c>
      <c r="G1772" t="s">
        <v>2927</v>
      </c>
      <c r="H1772" t="s">
        <v>34</v>
      </c>
      <c r="I1772" t="s">
        <v>248</v>
      </c>
      <c r="J1772" t="s">
        <v>8518</v>
      </c>
      <c r="K1772">
        <v>28</v>
      </c>
      <c r="L1772" t="s">
        <v>49</v>
      </c>
      <c r="M1772" t="s">
        <v>35</v>
      </c>
      <c r="N1772" t="s">
        <v>105</v>
      </c>
      <c r="O1772" t="s">
        <v>28</v>
      </c>
      <c r="P1772" t="s">
        <v>31</v>
      </c>
      <c r="Q1772">
        <v>0</v>
      </c>
      <c r="R1772" t="s">
        <v>12883</v>
      </c>
      <c r="S1772" t="s">
        <v>12889</v>
      </c>
    </row>
    <row r="1773" spans="1:19" x14ac:dyDescent="0.25">
      <c r="A1773" t="s">
        <v>9356</v>
      </c>
      <c r="B1773" s="1">
        <v>45930</v>
      </c>
      <c r="C1773" t="s">
        <v>12882</v>
      </c>
      <c r="D1773" s="5">
        <v>0.94980324074074074</v>
      </c>
      <c r="E1773">
        <v>75.989999999999995</v>
      </c>
      <c r="F1773" t="s">
        <v>44</v>
      </c>
      <c r="G1773" t="s">
        <v>2942</v>
      </c>
      <c r="H1773" t="s">
        <v>77</v>
      </c>
      <c r="I1773" t="s">
        <v>119</v>
      </c>
      <c r="J1773" t="s">
        <v>9357</v>
      </c>
      <c r="K1773">
        <v>38</v>
      </c>
      <c r="L1773" t="s">
        <v>37</v>
      </c>
      <c r="M1773" t="s">
        <v>91</v>
      </c>
      <c r="N1773" t="s">
        <v>39</v>
      </c>
      <c r="O1773" t="s">
        <v>28</v>
      </c>
      <c r="P1773" t="s">
        <v>31</v>
      </c>
      <c r="Q1773">
        <v>0</v>
      </c>
      <c r="R1773" t="s">
        <v>12883</v>
      </c>
      <c r="S1773" t="s">
        <v>12889</v>
      </c>
    </row>
    <row r="1774" spans="1:19" x14ac:dyDescent="0.25">
      <c r="A1774" t="s">
        <v>7126</v>
      </c>
      <c r="B1774" s="1">
        <v>45883</v>
      </c>
      <c r="C1774" t="s">
        <v>12893</v>
      </c>
      <c r="D1774" s="5">
        <v>0.3402662037037037</v>
      </c>
      <c r="E1774">
        <v>75.760000000000005</v>
      </c>
      <c r="F1774" t="s">
        <v>44</v>
      </c>
      <c r="G1774" t="s">
        <v>649</v>
      </c>
      <c r="H1774" t="s">
        <v>64</v>
      </c>
      <c r="I1774" t="s">
        <v>146</v>
      </c>
      <c r="J1774" t="s">
        <v>7127</v>
      </c>
      <c r="K1774">
        <v>61</v>
      </c>
      <c r="L1774" t="s">
        <v>49</v>
      </c>
      <c r="M1774" t="s">
        <v>146</v>
      </c>
      <c r="N1774" t="s">
        <v>51</v>
      </c>
      <c r="O1774" t="s">
        <v>113</v>
      </c>
      <c r="P1774" t="s">
        <v>31</v>
      </c>
      <c r="Q1774">
        <v>0</v>
      </c>
      <c r="R1774" t="s">
        <v>12883</v>
      </c>
      <c r="S1774" t="s">
        <v>12884</v>
      </c>
    </row>
    <row r="1775" spans="1:19" x14ac:dyDescent="0.25">
      <c r="A1775" t="s">
        <v>1597</v>
      </c>
      <c r="B1775" s="1">
        <v>45917</v>
      </c>
      <c r="C1775" t="s">
        <v>12882</v>
      </c>
      <c r="D1775" s="5">
        <v>0.97843749999999996</v>
      </c>
      <c r="E1775">
        <v>75.709999999999994</v>
      </c>
      <c r="F1775" t="s">
        <v>44</v>
      </c>
      <c r="G1775" t="s">
        <v>1598</v>
      </c>
      <c r="H1775" t="s">
        <v>89</v>
      </c>
      <c r="I1775" t="s">
        <v>35</v>
      </c>
      <c r="J1775" t="s">
        <v>1599</v>
      </c>
      <c r="K1775">
        <v>36</v>
      </c>
      <c r="L1775" t="s">
        <v>37</v>
      </c>
      <c r="M1775" t="s">
        <v>58</v>
      </c>
      <c r="N1775" t="s">
        <v>39</v>
      </c>
      <c r="O1775" t="s">
        <v>28</v>
      </c>
      <c r="P1775" t="s">
        <v>31</v>
      </c>
      <c r="Q1775">
        <v>0</v>
      </c>
      <c r="R1775" t="s">
        <v>12883</v>
      </c>
      <c r="S1775" t="s">
        <v>12889</v>
      </c>
    </row>
    <row r="1776" spans="1:19" x14ac:dyDescent="0.25">
      <c r="A1776" t="s">
        <v>5773</v>
      </c>
      <c r="B1776" s="1">
        <v>45957</v>
      </c>
      <c r="C1776" t="s">
        <v>12890</v>
      </c>
      <c r="D1776" s="5">
        <v>0.31959490740740742</v>
      </c>
      <c r="E1776">
        <v>75.66</v>
      </c>
      <c r="F1776" t="s">
        <v>44</v>
      </c>
      <c r="G1776" t="s">
        <v>1607</v>
      </c>
      <c r="H1776" t="s">
        <v>22</v>
      </c>
      <c r="I1776" t="s">
        <v>66</v>
      </c>
      <c r="J1776" t="s">
        <v>5774</v>
      </c>
      <c r="K1776">
        <v>39</v>
      </c>
      <c r="L1776" t="s">
        <v>49</v>
      </c>
      <c r="M1776" t="s">
        <v>26</v>
      </c>
      <c r="N1776" t="s">
        <v>84</v>
      </c>
      <c r="O1776" t="s">
        <v>28</v>
      </c>
      <c r="P1776" t="s">
        <v>31</v>
      </c>
      <c r="Q1776">
        <v>0</v>
      </c>
      <c r="R1776" t="s">
        <v>12883</v>
      </c>
      <c r="S1776" t="s">
        <v>12889</v>
      </c>
    </row>
    <row r="1777" spans="1:19" x14ac:dyDescent="0.25">
      <c r="A1777" t="s">
        <v>7527</v>
      </c>
      <c r="B1777" s="1">
        <v>45788</v>
      </c>
      <c r="C1777" t="s">
        <v>12887</v>
      </c>
      <c r="D1777" s="5">
        <v>0.49517361111111113</v>
      </c>
      <c r="E1777">
        <v>75.62</v>
      </c>
      <c r="F1777" t="s">
        <v>44</v>
      </c>
      <c r="G1777" t="s">
        <v>7528</v>
      </c>
      <c r="H1777" t="s">
        <v>22</v>
      </c>
      <c r="I1777" t="s">
        <v>91</v>
      </c>
      <c r="J1777" t="s">
        <v>7529</v>
      </c>
      <c r="K1777">
        <v>28</v>
      </c>
      <c r="L1777" t="s">
        <v>37</v>
      </c>
      <c r="M1777" t="s">
        <v>110</v>
      </c>
      <c r="N1777" t="s">
        <v>51</v>
      </c>
      <c r="O1777" t="s">
        <v>28</v>
      </c>
      <c r="P1777" t="s">
        <v>31</v>
      </c>
      <c r="Q1777">
        <v>0</v>
      </c>
      <c r="R1777" t="s">
        <v>12883</v>
      </c>
      <c r="S1777" t="s">
        <v>12889</v>
      </c>
    </row>
    <row r="1778" spans="1:19" x14ac:dyDescent="0.25">
      <c r="A1778" t="s">
        <v>10266</v>
      </c>
      <c r="B1778" s="1">
        <v>45928</v>
      </c>
      <c r="C1778" t="s">
        <v>12882</v>
      </c>
      <c r="D1778" s="5">
        <v>0.57460648148148152</v>
      </c>
      <c r="E1778">
        <v>75.5</v>
      </c>
      <c r="F1778" t="s">
        <v>44</v>
      </c>
      <c r="G1778" t="s">
        <v>3789</v>
      </c>
      <c r="H1778" t="s">
        <v>46</v>
      </c>
      <c r="I1778" t="s">
        <v>97</v>
      </c>
      <c r="J1778" t="s">
        <v>10267</v>
      </c>
      <c r="K1778">
        <v>45</v>
      </c>
      <c r="L1778" t="s">
        <v>25</v>
      </c>
      <c r="M1778" t="s">
        <v>23</v>
      </c>
      <c r="N1778" t="s">
        <v>112</v>
      </c>
      <c r="O1778" t="s">
        <v>28</v>
      </c>
      <c r="P1778" t="s">
        <v>31</v>
      </c>
      <c r="Q1778">
        <v>0</v>
      </c>
      <c r="R1778" t="s">
        <v>12883</v>
      </c>
      <c r="S1778" t="s">
        <v>12886</v>
      </c>
    </row>
    <row r="1779" spans="1:19" x14ac:dyDescent="0.25">
      <c r="A1779" t="s">
        <v>6732</v>
      </c>
      <c r="B1779" s="1">
        <v>45859</v>
      </c>
      <c r="C1779" t="s">
        <v>12885</v>
      </c>
      <c r="D1779" s="5">
        <v>0.44714120370370369</v>
      </c>
      <c r="E1779">
        <v>75.489999999999995</v>
      </c>
      <c r="F1779" t="s">
        <v>44</v>
      </c>
      <c r="G1779" t="s">
        <v>1403</v>
      </c>
      <c r="H1779" t="s">
        <v>34</v>
      </c>
      <c r="I1779" t="s">
        <v>47</v>
      </c>
      <c r="J1779" t="s">
        <v>6733</v>
      </c>
      <c r="K1779">
        <v>26</v>
      </c>
      <c r="L1779" t="s">
        <v>25</v>
      </c>
      <c r="M1779" t="s">
        <v>35</v>
      </c>
      <c r="N1779" t="s">
        <v>84</v>
      </c>
      <c r="O1779" t="s">
        <v>28</v>
      </c>
      <c r="P1779" t="s">
        <v>31</v>
      </c>
      <c r="Q1779">
        <v>0</v>
      </c>
      <c r="R1779" t="s">
        <v>12883</v>
      </c>
      <c r="S1779" t="s">
        <v>12889</v>
      </c>
    </row>
    <row r="1780" spans="1:19" x14ac:dyDescent="0.25">
      <c r="A1780" t="s">
        <v>9051</v>
      </c>
      <c r="B1780" s="1">
        <v>45927</v>
      </c>
      <c r="C1780" t="s">
        <v>12882</v>
      </c>
      <c r="D1780" s="5">
        <v>0.99056712962962967</v>
      </c>
      <c r="E1780">
        <v>75.36</v>
      </c>
      <c r="F1780" t="s">
        <v>44</v>
      </c>
      <c r="G1780" t="s">
        <v>3216</v>
      </c>
      <c r="H1780" t="s">
        <v>124</v>
      </c>
      <c r="I1780" t="s">
        <v>119</v>
      </c>
      <c r="J1780" t="s">
        <v>9052</v>
      </c>
      <c r="K1780">
        <v>45</v>
      </c>
      <c r="L1780" t="s">
        <v>37</v>
      </c>
      <c r="M1780" t="s">
        <v>47</v>
      </c>
      <c r="N1780" t="s">
        <v>84</v>
      </c>
      <c r="O1780" t="s">
        <v>28</v>
      </c>
      <c r="P1780" t="s">
        <v>31</v>
      </c>
      <c r="Q1780">
        <v>1</v>
      </c>
      <c r="R1780" t="s">
        <v>12891</v>
      </c>
      <c r="S1780" t="s">
        <v>12886</v>
      </c>
    </row>
    <row r="1781" spans="1:19" x14ac:dyDescent="0.25">
      <c r="A1781" t="s">
        <v>296</v>
      </c>
      <c r="B1781" s="1">
        <v>45781</v>
      </c>
      <c r="C1781" t="s">
        <v>12887</v>
      </c>
      <c r="D1781" s="5">
        <v>0.71498842592592593</v>
      </c>
      <c r="E1781">
        <v>75.349999999999994</v>
      </c>
      <c r="F1781" t="s">
        <v>44</v>
      </c>
      <c r="G1781" t="s">
        <v>297</v>
      </c>
      <c r="H1781" t="s">
        <v>77</v>
      </c>
      <c r="I1781" t="s">
        <v>146</v>
      </c>
      <c r="J1781" t="s">
        <v>298</v>
      </c>
      <c r="K1781">
        <v>56</v>
      </c>
      <c r="L1781" t="s">
        <v>25</v>
      </c>
      <c r="M1781" t="s">
        <v>110</v>
      </c>
      <c r="N1781" t="s">
        <v>39</v>
      </c>
      <c r="O1781" t="s">
        <v>28</v>
      </c>
      <c r="P1781" t="s">
        <v>31</v>
      </c>
      <c r="Q1781">
        <v>0</v>
      </c>
      <c r="R1781" t="s">
        <v>12883</v>
      </c>
      <c r="S1781" t="s">
        <v>12886</v>
      </c>
    </row>
    <row r="1782" spans="1:19" x14ac:dyDescent="0.25">
      <c r="A1782" t="s">
        <v>6251</v>
      </c>
      <c r="B1782" s="1">
        <v>45959</v>
      </c>
      <c r="C1782" t="s">
        <v>12890</v>
      </c>
      <c r="D1782" s="5">
        <v>0.10140046296296296</v>
      </c>
      <c r="E1782">
        <v>75.28</v>
      </c>
      <c r="F1782" t="s">
        <v>44</v>
      </c>
      <c r="G1782" t="s">
        <v>6252</v>
      </c>
      <c r="H1782" t="s">
        <v>96</v>
      </c>
      <c r="I1782" t="s">
        <v>50</v>
      </c>
      <c r="J1782" t="s">
        <v>6253</v>
      </c>
      <c r="K1782">
        <v>24</v>
      </c>
      <c r="L1782" t="s">
        <v>49</v>
      </c>
      <c r="M1782" t="s">
        <v>23</v>
      </c>
      <c r="N1782" t="s">
        <v>51</v>
      </c>
      <c r="O1782" t="s">
        <v>28</v>
      </c>
      <c r="P1782" t="s">
        <v>31</v>
      </c>
      <c r="Q1782">
        <v>1</v>
      </c>
      <c r="R1782" t="s">
        <v>12891</v>
      </c>
      <c r="S1782" t="s">
        <v>12892</v>
      </c>
    </row>
    <row r="1783" spans="1:19" x14ac:dyDescent="0.25">
      <c r="A1783" t="s">
        <v>11615</v>
      </c>
      <c r="B1783" s="1">
        <v>45839</v>
      </c>
      <c r="C1783" t="s">
        <v>12885</v>
      </c>
      <c r="D1783" s="5">
        <v>0.19556712962962963</v>
      </c>
      <c r="E1783">
        <v>74.97</v>
      </c>
      <c r="F1783" t="s">
        <v>44</v>
      </c>
      <c r="G1783" t="s">
        <v>2423</v>
      </c>
      <c r="H1783" t="s">
        <v>64</v>
      </c>
      <c r="I1783" t="s">
        <v>50</v>
      </c>
      <c r="J1783" t="s">
        <v>11616</v>
      </c>
      <c r="K1783">
        <v>54</v>
      </c>
      <c r="L1783" t="s">
        <v>25</v>
      </c>
      <c r="M1783" t="s">
        <v>91</v>
      </c>
      <c r="N1783" t="s">
        <v>39</v>
      </c>
      <c r="O1783" t="s">
        <v>28</v>
      </c>
      <c r="P1783" t="s">
        <v>31</v>
      </c>
      <c r="Q1783">
        <v>0</v>
      </c>
      <c r="R1783" t="s">
        <v>12883</v>
      </c>
      <c r="S1783" t="s">
        <v>12886</v>
      </c>
    </row>
    <row r="1784" spans="1:19" x14ac:dyDescent="0.25">
      <c r="A1784" t="s">
        <v>2602</v>
      </c>
      <c r="B1784" s="1">
        <v>45922</v>
      </c>
      <c r="C1784" t="s">
        <v>12882</v>
      </c>
      <c r="D1784" s="5">
        <v>0.20605324074074075</v>
      </c>
      <c r="E1784">
        <v>74.760000000000005</v>
      </c>
      <c r="F1784" t="s">
        <v>44</v>
      </c>
      <c r="G1784" t="s">
        <v>2603</v>
      </c>
      <c r="H1784" t="s">
        <v>57</v>
      </c>
      <c r="I1784" t="s">
        <v>50</v>
      </c>
      <c r="J1784" t="s">
        <v>2604</v>
      </c>
      <c r="K1784">
        <v>64</v>
      </c>
      <c r="L1784" t="s">
        <v>25</v>
      </c>
      <c r="M1784" t="s">
        <v>58</v>
      </c>
      <c r="N1784" t="s">
        <v>112</v>
      </c>
      <c r="O1784" t="s">
        <v>28</v>
      </c>
      <c r="P1784" t="s">
        <v>31</v>
      </c>
      <c r="Q1784">
        <v>0</v>
      </c>
      <c r="R1784" t="s">
        <v>12883</v>
      </c>
      <c r="S1784" t="s">
        <v>12884</v>
      </c>
    </row>
    <row r="1785" spans="1:19" x14ac:dyDescent="0.25">
      <c r="A1785" t="s">
        <v>10136</v>
      </c>
      <c r="B1785" s="1">
        <v>45908</v>
      </c>
      <c r="C1785" t="s">
        <v>12882</v>
      </c>
      <c r="D1785" s="5">
        <v>0.77178240740740744</v>
      </c>
      <c r="E1785">
        <v>74.59</v>
      </c>
      <c r="F1785" t="s">
        <v>44</v>
      </c>
      <c r="G1785" t="s">
        <v>10137</v>
      </c>
      <c r="H1785" t="s">
        <v>64</v>
      </c>
      <c r="I1785" t="s">
        <v>50</v>
      </c>
      <c r="J1785" t="s">
        <v>10138</v>
      </c>
      <c r="K1785">
        <v>58</v>
      </c>
      <c r="L1785" t="s">
        <v>49</v>
      </c>
      <c r="M1785" t="s">
        <v>119</v>
      </c>
      <c r="N1785" t="s">
        <v>39</v>
      </c>
      <c r="O1785" t="s">
        <v>28</v>
      </c>
      <c r="P1785" t="s">
        <v>31</v>
      </c>
      <c r="Q1785">
        <v>1</v>
      </c>
      <c r="R1785" t="s">
        <v>12891</v>
      </c>
      <c r="S1785" t="s">
        <v>12886</v>
      </c>
    </row>
    <row r="1786" spans="1:19" x14ac:dyDescent="0.25">
      <c r="A1786" t="s">
        <v>1567</v>
      </c>
      <c r="B1786" s="1">
        <v>45800</v>
      </c>
      <c r="C1786" t="s">
        <v>12887</v>
      </c>
      <c r="D1786" s="5">
        <v>0.44990740740740742</v>
      </c>
      <c r="E1786">
        <v>74.27</v>
      </c>
      <c r="F1786" t="s">
        <v>44</v>
      </c>
      <c r="G1786" t="s">
        <v>1568</v>
      </c>
      <c r="H1786" t="s">
        <v>46</v>
      </c>
      <c r="I1786" t="s">
        <v>119</v>
      </c>
      <c r="J1786" t="s">
        <v>1569</v>
      </c>
      <c r="K1786">
        <v>58</v>
      </c>
      <c r="L1786" t="s">
        <v>37</v>
      </c>
      <c r="M1786" t="s">
        <v>38</v>
      </c>
      <c r="N1786" t="s">
        <v>51</v>
      </c>
      <c r="O1786" t="s">
        <v>28</v>
      </c>
      <c r="P1786" t="s">
        <v>31</v>
      </c>
      <c r="Q1786">
        <v>0</v>
      </c>
      <c r="R1786" t="s">
        <v>12883</v>
      </c>
      <c r="S1786" t="s">
        <v>12886</v>
      </c>
    </row>
    <row r="1787" spans="1:19" x14ac:dyDescent="0.25">
      <c r="A1787" t="s">
        <v>8583</v>
      </c>
      <c r="B1787" s="1">
        <v>45814</v>
      </c>
      <c r="C1787" t="s">
        <v>12888</v>
      </c>
      <c r="D1787" s="5">
        <v>0.41333333333333333</v>
      </c>
      <c r="E1787">
        <v>74.25</v>
      </c>
      <c r="F1787" t="s">
        <v>44</v>
      </c>
      <c r="G1787" t="s">
        <v>3008</v>
      </c>
      <c r="H1787" t="s">
        <v>22</v>
      </c>
      <c r="I1787" t="s">
        <v>97</v>
      </c>
      <c r="J1787" t="s">
        <v>8584</v>
      </c>
      <c r="K1787">
        <v>32</v>
      </c>
      <c r="L1787" t="s">
        <v>49</v>
      </c>
      <c r="M1787" t="s">
        <v>97</v>
      </c>
      <c r="N1787" t="s">
        <v>27</v>
      </c>
      <c r="O1787" t="s">
        <v>113</v>
      </c>
      <c r="P1787" t="s">
        <v>31</v>
      </c>
      <c r="Q1787">
        <v>0</v>
      </c>
      <c r="R1787" t="s">
        <v>12883</v>
      </c>
      <c r="S1787" t="s">
        <v>12889</v>
      </c>
    </row>
    <row r="1788" spans="1:19" x14ac:dyDescent="0.25">
      <c r="A1788" t="s">
        <v>10154</v>
      </c>
      <c r="B1788" s="1">
        <v>45944</v>
      </c>
      <c r="C1788" t="s">
        <v>12890</v>
      </c>
      <c r="D1788" s="5">
        <v>0.61973379629629632</v>
      </c>
      <c r="E1788">
        <v>74.19</v>
      </c>
      <c r="F1788" t="s">
        <v>44</v>
      </c>
      <c r="G1788" t="s">
        <v>1301</v>
      </c>
      <c r="H1788" t="s">
        <v>77</v>
      </c>
      <c r="I1788" t="s">
        <v>248</v>
      </c>
      <c r="J1788" t="s">
        <v>10155</v>
      </c>
      <c r="K1788">
        <v>50</v>
      </c>
      <c r="L1788" t="s">
        <v>37</v>
      </c>
      <c r="M1788" t="s">
        <v>66</v>
      </c>
      <c r="N1788" t="s">
        <v>51</v>
      </c>
      <c r="O1788" t="s">
        <v>28</v>
      </c>
      <c r="P1788" t="s">
        <v>31</v>
      </c>
      <c r="Q1788">
        <v>1</v>
      </c>
      <c r="R1788" t="s">
        <v>12891</v>
      </c>
      <c r="S1788" t="s">
        <v>12886</v>
      </c>
    </row>
    <row r="1789" spans="1:19" x14ac:dyDescent="0.25">
      <c r="A1789" t="s">
        <v>10541</v>
      </c>
      <c r="B1789" s="1">
        <v>45835</v>
      </c>
      <c r="C1789" t="s">
        <v>12888</v>
      </c>
      <c r="D1789" s="5">
        <v>0.48225694444444445</v>
      </c>
      <c r="E1789">
        <v>73.98</v>
      </c>
      <c r="F1789" t="s">
        <v>44</v>
      </c>
      <c r="G1789" t="s">
        <v>4242</v>
      </c>
      <c r="H1789" t="s">
        <v>124</v>
      </c>
      <c r="I1789" t="s">
        <v>38</v>
      </c>
      <c r="J1789" t="s">
        <v>10542</v>
      </c>
      <c r="K1789">
        <v>49</v>
      </c>
      <c r="L1789" t="s">
        <v>37</v>
      </c>
      <c r="M1789" t="s">
        <v>97</v>
      </c>
      <c r="N1789" t="s">
        <v>112</v>
      </c>
      <c r="O1789" t="s">
        <v>28</v>
      </c>
      <c r="P1789" t="s">
        <v>31</v>
      </c>
      <c r="Q1789">
        <v>0</v>
      </c>
      <c r="R1789" t="s">
        <v>12883</v>
      </c>
      <c r="S1789" t="s">
        <v>12886</v>
      </c>
    </row>
    <row r="1790" spans="1:19" x14ac:dyDescent="0.25">
      <c r="A1790" t="s">
        <v>3003</v>
      </c>
      <c r="B1790" s="1">
        <v>45954</v>
      </c>
      <c r="C1790" t="s">
        <v>12890</v>
      </c>
      <c r="D1790" s="5">
        <v>0.74989583333333332</v>
      </c>
      <c r="E1790">
        <v>73.84</v>
      </c>
      <c r="F1790" t="s">
        <v>44</v>
      </c>
      <c r="G1790" t="s">
        <v>1195</v>
      </c>
      <c r="H1790" t="s">
        <v>96</v>
      </c>
      <c r="I1790" t="s">
        <v>58</v>
      </c>
      <c r="J1790" t="s">
        <v>3004</v>
      </c>
      <c r="K1790">
        <v>50</v>
      </c>
      <c r="L1790" t="s">
        <v>37</v>
      </c>
      <c r="M1790" t="s">
        <v>26</v>
      </c>
      <c r="N1790" t="s">
        <v>112</v>
      </c>
      <c r="O1790" t="s">
        <v>28</v>
      </c>
      <c r="P1790" t="s">
        <v>31</v>
      </c>
      <c r="Q1790">
        <v>1</v>
      </c>
      <c r="R1790" t="s">
        <v>12891</v>
      </c>
      <c r="S1790" t="s">
        <v>12886</v>
      </c>
    </row>
    <row r="1791" spans="1:19" x14ac:dyDescent="0.25">
      <c r="A1791" t="s">
        <v>9790</v>
      </c>
      <c r="B1791" s="1">
        <v>45936</v>
      </c>
      <c r="C1791" t="s">
        <v>12890</v>
      </c>
      <c r="D1791" s="5">
        <v>8.6770833333333339E-2</v>
      </c>
      <c r="E1791">
        <v>73.58</v>
      </c>
      <c r="F1791" t="s">
        <v>44</v>
      </c>
      <c r="G1791" t="s">
        <v>7275</v>
      </c>
      <c r="H1791" t="s">
        <v>71</v>
      </c>
      <c r="I1791" t="s">
        <v>35</v>
      </c>
      <c r="J1791" t="s">
        <v>9791</v>
      </c>
      <c r="K1791">
        <v>75</v>
      </c>
      <c r="L1791" t="s">
        <v>25</v>
      </c>
      <c r="M1791" t="s">
        <v>50</v>
      </c>
      <c r="N1791" t="s">
        <v>27</v>
      </c>
      <c r="O1791" t="s">
        <v>28</v>
      </c>
      <c r="P1791" t="s">
        <v>31</v>
      </c>
      <c r="Q1791">
        <v>0</v>
      </c>
      <c r="R1791" t="s">
        <v>12883</v>
      </c>
      <c r="S1791" t="s">
        <v>12884</v>
      </c>
    </row>
    <row r="1792" spans="1:19" x14ac:dyDescent="0.25">
      <c r="A1792" t="s">
        <v>2725</v>
      </c>
      <c r="B1792" s="1">
        <v>45870</v>
      </c>
      <c r="C1792" t="s">
        <v>12893</v>
      </c>
      <c r="D1792" s="5">
        <v>0.98519675925925931</v>
      </c>
      <c r="E1792">
        <v>73.540000000000006</v>
      </c>
      <c r="F1792" t="s">
        <v>44</v>
      </c>
      <c r="G1792" t="s">
        <v>2726</v>
      </c>
      <c r="H1792" t="s">
        <v>96</v>
      </c>
      <c r="I1792" t="s">
        <v>58</v>
      </c>
      <c r="J1792" t="s">
        <v>2727</v>
      </c>
      <c r="K1792">
        <v>29</v>
      </c>
      <c r="L1792" t="s">
        <v>25</v>
      </c>
      <c r="M1792" t="s">
        <v>50</v>
      </c>
      <c r="N1792" t="s">
        <v>105</v>
      </c>
      <c r="O1792" t="s">
        <v>28</v>
      </c>
      <c r="P1792" t="s">
        <v>31</v>
      </c>
      <c r="Q1792">
        <v>0</v>
      </c>
      <c r="R1792" t="s">
        <v>12883</v>
      </c>
      <c r="S1792" t="s">
        <v>12889</v>
      </c>
    </row>
    <row r="1793" spans="1:19" x14ac:dyDescent="0.25">
      <c r="A1793" t="s">
        <v>823</v>
      </c>
      <c r="B1793" s="1">
        <v>45802</v>
      </c>
      <c r="C1793" t="s">
        <v>12887</v>
      </c>
      <c r="D1793" s="5">
        <v>0.19063657407407408</v>
      </c>
      <c r="E1793">
        <v>73.53</v>
      </c>
      <c r="F1793" t="s">
        <v>44</v>
      </c>
      <c r="G1793" t="s">
        <v>824</v>
      </c>
      <c r="H1793" t="s">
        <v>124</v>
      </c>
      <c r="I1793" t="s">
        <v>23</v>
      </c>
      <c r="J1793" t="s">
        <v>825</v>
      </c>
      <c r="K1793">
        <v>45</v>
      </c>
      <c r="L1793" t="s">
        <v>25</v>
      </c>
      <c r="M1793" t="s">
        <v>26</v>
      </c>
      <c r="N1793" t="s">
        <v>27</v>
      </c>
      <c r="O1793" t="s">
        <v>28</v>
      </c>
      <c r="P1793" t="s">
        <v>31</v>
      </c>
      <c r="Q1793">
        <v>0</v>
      </c>
      <c r="R1793" t="s">
        <v>12883</v>
      </c>
      <c r="S1793" t="s">
        <v>12886</v>
      </c>
    </row>
    <row r="1794" spans="1:19" x14ac:dyDescent="0.25">
      <c r="A1794" t="s">
        <v>823</v>
      </c>
      <c r="B1794" s="1">
        <v>45802</v>
      </c>
      <c r="C1794" t="s">
        <v>12887</v>
      </c>
      <c r="D1794" s="5">
        <v>0.19063657407407408</v>
      </c>
      <c r="E1794">
        <v>73.53</v>
      </c>
      <c r="F1794" t="s">
        <v>44</v>
      </c>
      <c r="G1794" t="s">
        <v>824</v>
      </c>
      <c r="H1794" t="s">
        <v>124</v>
      </c>
      <c r="I1794" t="s">
        <v>23</v>
      </c>
      <c r="J1794" t="s">
        <v>825</v>
      </c>
      <c r="K1794">
        <v>45</v>
      </c>
      <c r="L1794" t="s">
        <v>25</v>
      </c>
      <c r="M1794" t="s">
        <v>26</v>
      </c>
      <c r="N1794" t="s">
        <v>27</v>
      </c>
      <c r="O1794" t="s">
        <v>28</v>
      </c>
      <c r="P1794" t="s">
        <v>31</v>
      </c>
      <c r="Q1794">
        <v>0</v>
      </c>
      <c r="R1794" t="s">
        <v>12883</v>
      </c>
      <c r="S1794" t="s">
        <v>12886</v>
      </c>
    </row>
    <row r="1795" spans="1:19" x14ac:dyDescent="0.25">
      <c r="A1795" t="s">
        <v>6080</v>
      </c>
      <c r="B1795" s="1">
        <v>45903</v>
      </c>
      <c r="C1795" t="s">
        <v>12882</v>
      </c>
      <c r="D1795" s="5">
        <v>0.47916666666666669</v>
      </c>
      <c r="E1795">
        <v>73.52</v>
      </c>
      <c r="F1795" t="s">
        <v>44</v>
      </c>
      <c r="G1795" t="s">
        <v>1153</v>
      </c>
      <c r="H1795" t="s">
        <v>77</v>
      </c>
      <c r="I1795" t="s">
        <v>50</v>
      </c>
      <c r="J1795" t="s">
        <v>6081</v>
      </c>
      <c r="K1795">
        <v>61</v>
      </c>
      <c r="L1795" t="s">
        <v>37</v>
      </c>
      <c r="M1795" t="s">
        <v>23</v>
      </c>
      <c r="N1795" t="s">
        <v>27</v>
      </c>
      <c r="O1795" t="s">
        <v>28</v>
      </c>
      <c r="P1795" t="s">
        <v>31</v>
      </c>
      <c r="Q1795">
        <v>0</v>
      </c>
      <c r="R1795" t="s">
        <v>12883</v>
      </c>
      <c r="S1795" t="s">
        <v>12884</v>
      </c>
    </row>
    <row r="1796" spans="1:19" x14ac:dyDescent="0.25">
      <c r="A1796" t="s">
        <v>8612</v>
      </c>
      <c r="B1796" s="1">
        <v>45790</v>
      </c>
      <c r="C1796" t="s">
        <v>12887</v>
      </c>
      <c r="D1796" s="5">
        <v>0.70423611111111106</v>
      </c>
      <c r="E1796">
        <v>73.45</v>
      </c>
      <c r="F1796" t="s">
        <v>44</v>
      </c>
      <c r="G1796" t="s">
        <v>8613</v>
      </c>
      <c r="H1796" t="s">
        <v>77</v>
      </c>
      <c r="I1796" t="s">
        <v>35</v>
      </c>
      <c r="J1796" t="s">
        <v>8614</v>
      </c>
      <c r="K1796">
        <v>27</v>
      </c>
      <c r="L1796" t="s">
        <v>37</v>
      </c>
      <c r="M1796" t="s">
        <v>248</v>
      </c>
      <c r="N1796" t="s">
        <v>112</v>
      </c>
      <c r="O1796" t="s">
        <v>28</v>
      </c>
      <c r="P1796" t="s">
        <v>31</v>
      </c>
      <c r="Q1796">
        <v>1</v>
      </c>
      <c r="R1796" t="s">
        <v>12891</v>
      </c>
      <c r="S1796" t="s">
        <v>12889</v>
      </c>
    </row>
    <row r="1797" spans="1:19" x14ac:dyDescent="0.25">
      <c r="A1797" t="s">
        <v>11778</v>
      </c>
      <c r="B1797" s="1">
        <v>45880</v>
      </c>
      <c r="C1797" t="s">
        <v>12893</v>
      </c>
      <c r="D1797" s="5">
        <v>1.7141203703703704E-2</v>
      </c>
      <c r="E1797">
        <v>73.400000000000006</v>
      </c>
      <c r="F1797" t="s">
        <v>44</v>
      </c>
      <c r="G1797" t="s">
        <v>33</v>
      </c>
      <c r="H1797" t="s">
        <v>34</v>
      </c>
      <c r="I1797" t="s">
        <v>47</v>
      </c>
      <c r="J1797" t="s">
        <v>11779</v>
      </c>
      <c r="K1797">
        <v>36</v>
      </c>
      <c r="L1797" t="s">
        <v>25</v>
      </c>
      <c r="M1797" t="s">
        <v>58</v>
      </c>
      <c r="N1797" t="s">
        <v>105</v>
      </c>
      <c r="O1797" t="s">
        <v>28</v>
      </c>
      <c r="P1797" t="s">
        <v>31</v>
      </c>
      <c r="Q1797">
        <v>0</v>
      </c>
      <c r="R1797" t="s">
        <v>12883</v>
      </c>
      <c r="S1797" t="s">
        <v>12889</v>
      </c>
    </row>
    <row r="1798" spans="1:19" x14ac:dyDescent="0.25">
      <c r="A1798" t="s">
        <v>10326</v>
      </c>
      <c r="B1798" s="1">
        <v>45878</v>
      </c>
      <c r="C1798" t="s">
        <v>12893</v>
      </c>
      <c r="D1798" s="5">
        <v>0.17582175925925925</v>
      </c>
      <c r="E1798">
        <v>73.31</v>
      </c>
      <c r="F1798" t="s">
        <v>44</v>
      </c>
      <c r="G1798" t="s">
        <v>4775</v>
      </c>
      <c r="H1798" t="s">
        <v>71</v>
      </c>
      <c r="I1798" t="s">
        <v>38</v>
      </c>
      <c r="J1798" t="s">
        <v>10327</v>
      </c>
      <c r="K1798">
        <v>15</v>
      </c>
      <c r="L1798" t="s">
        <v>49</v>
      </c>
      <c r="M1798" t="s">
        <v>110</v>
      </c>
      <c r="N1798" t="s">
        <v>105</v>
      </c>
      <c r="O1798" t="s">
        <v>28</v>
      </c>
      <c r="P1798" t="s">
        <v>31</v>
      </c>
      <c r="Q1798">
        <v>0</v>
      </c>
      <c r="R1798" t="s">
        <v>12883</v>
      </c>
      <c r="S1798" t="s">
        <v>12892</v>
      </c>
    </row>
    <row r="1799" spans="1:19" x14ac:dyDescent="0.25">
      <c r="A1799" t="s">
        <v>1137</v>
      </c>
      <c r="B1799" s="1">
        <v>45834</v>
      </c>
      <c r="C1799" t="s">
        <v>12888</v>
      </c>
      <c r="D1799" s="5">
        <v>0.61746527777777782</v>
      </c>
      <c r="E1799">
        <v>73.290000000000006</v>
      </c>
      <c r="F1799" t="s">
        <v>44</v>
      </c>
      <c r="G1799" t="s">
        <v>1138</v>
      </c>
      <c r="H1799" t="s">
        <v>22</v>
      </c>
      <c r="I1799" t="s">
        <v>248</v>
      </c>
      <c r="J1799" t="s">
        <v>1139</v>
      </c>
      <c r="K1799">
        <v>67</v>
      </c>
      <c r="L1799" t="s">
        <v>25</v>
      </c>
      <c r="M1799" t="s">
        <v>248</v>
      </c>
      <c r="N1799" t="s">
        <v>39</v>
      </c>
      <c r="O1799" t="s">
        <v>113</v>
      </c>
      <c r="P1799" t="s">
        <v>31</v>
      </c>
      <c r="Q1799">
        <v>0</v>
      </c>
      <c r="R1799" t="s">
        <v>12883</v>
      </c>
      <c r="S1799" t="s">
        <v>12884</v>
      </c>
    </row>
    <row r="1800" spans="1:19" x14ac:dyDescent="0.25">
      <c r="A1800" t="s">
        <v>862</v>
      </c>
      <c r="B1800" s="1">
        <v>45796</v>
      </c>
      <c r="C1800" t="s">
        <v>12887</v>
      </c>
      <c r="D1800" s="5">
        <v>7.7199074074074073E-2</v>
      </c>
      <c r="E1800">
        <v>73.239999999999995</v>
      </c>
      <c r="F1800" t="s">
        <v>44</v>
      </c>
      <c r="G1800" t="s">
        <v>863</v>
      </c>
      <c r="H1800" t="s">
        <v>89</v>
      </c>
      <c r="I1800" t="s">
        <v>66</v>
      </c>
      <c r="J1800" t="s">
        <v>864</v>
      </c>
      <c r="K1800">
        <v>68</v>
      </c>
      <c r="L1800" t="s">
        <v>37</v>
      </c>
      <c r="M1800" t="s">
        <v>47</v>
      </c>
      <c r="N1800" t="s">
        <v>112</v>
      </c>
      <c r="O1800" t="s">
        <v>28</v>
      </c>
      <c r="P1800" t="s">
        <v>31</v>
      </c>
      <c r="Q1800">
        <v>0</v>
      </c>
      <c r="R1800" t="s">
        <v>12883</v>
      </c>
      <c r="S1800" t="s">
        <v>12884</v>
      </c>
    </row>
    <row r="1801" spans="1:19" x14ac:dyDescent="0.25">
      <c r="A1801" t="s">
        <v>8849</v>
      </c>
      <c r="B1801" s="1">
        <v>45814</v>
      </c>
      <c r="C1801" t="s">
        <v>12888</v>
      </c>
      <c r="D1801" s="5">
        <v>0.68315972222222221</v>
      </c>
      <c r="E1801">
        <v>73.11</v>
      </c>
      <c r="F1801" t="s">
        <v>44</v>
      </c>
      <c r="G1801" t="s">
        <v>227</v>
      </c>
      <c r="H1801" t="s">
        <v>64</v>
      </c>
      <c r="I1801" t="s">
        <v>23</v>
      </c>
      <c r="J1801" t="s">
        <v>8850</v>
      </c>
      <c r="K1801">
        <v>74</v>
      </c>
      <c r="L1801" t="s">
        <v>49</v>
      </c>
      <c r="M1801" t="s">
        <v>130</v>
      </c>
      <c r="N1801" t="s">
        <v>84</v>
      </c>
      <c r="O1801" t="s">
        <v>28</v>
      </c>
      <c r="P1801" t="s">
        <v>31</v>
      </c>
      <c r="Q1801">
        <v>0</v>
      </c>
      <c r="R1801" t="s">
        <v>12883</v>
      </c>
      <c r="S1801" t="s">
        <v>12884</v>
      </c>
    </row>
    <row r="1802" spans="1:19" x14ac:dyDescent="0.25">
      <c r="A1802" t="s">
        <v>12848</v>
      </c>
      <c r="B1802" s="1">
        <v>45855</v>
      </c>
      <c r="C1802" t="s">
        <v>12885</v>
      </c>
      <c r="D1802" s="5">
        <v>0.65425925925925921</v>
      </c>
      <c r="E1802">
        <v>72.97</v>
      </c>
      <c r="F1802" t="s">
        <v>44</v>
      </c>
      <c r="G1802" t="s">
        <v>688</v>
      </c>
      <c r="H1802" t="s">
        <v>22</v>
      </c>
      <c r="I1802" t="s">
        <v>38</v>
      </c>
      <c r="J1802" t="s">
        <v>2517</v>
      </c>
      <c r="K1802">
        <v>67</v>
      </c>
      <c r="L1802" t="s">
        <v>49</v>
      </c>
      <c r="M1802" t="s">
        <v>110</v>
      </c>
      <c r="N1802" t="s">
        <v>39</v>
      </c>
      <c r="O1802" t="s">
        <v>28</v>
      </c>
      <c r="P1802" t="s">
        <v>31</v>
      </c>
      <c r="Q1802">
        <v>0</v>
      </c>
      <c r="R1802" t="s">
        <v>12883</v>
      </c>
      <c r="S1802" t="s">
        <v>12884</v>
      </c>
    </row>
    <row r="1803" spans="1:19" x14ac:dyDescent="0.25">
      <c r="A1803" t="s">
        <v>6837</v>
      </c>
      <c r="B1803" s="1">
        <v>45903</v>
      </c>
      <c r="C1803" t="s">
        <v>12882</v>
      </c>
      <c r="D1803" s="5">
        <v>0.84520833333333334</v>
      </c>
      <c r="E1803">
        <v>72.89</v>
      </c>
      <c r="F1803" t="s">
        <v>44</v>
      </c>
      <c r="G1803" t="s">
        <v>511</v>
      </c>
      <c r="H1803" t="s">
        <v>57</v>
      </c>
      <c r="I1803" t="s">
        <v>119</v>
      </c>
      <c r="J1803" t="s">
        <v>6838</v>
      </c>
      <c r="K1803">
        <v>47</v>
      </c>
      <c r="L1803" t="s">
        <v>25</v>
      </c>
      <c r="M1803" t="s">
        <v>58</v>
      </c>
      <c r="N1803" t="s">
        <v>39</v>
      </c>
      <c r="O1803" t="s">
        <v>28</v>
      </c>
      <c r="P1803" t="s">
        <v>31</v>
      </c>
      <c r="Q1803">
        <v>0</v>
      </c>
      <c r="R1803" t="s">
        <v>12883</v>
      </c>
      <c r="S1803" t="s">
        <v>12886</v>
      </c>
    </row>
    <row r="1804" spans="1:19" x14ac:dyDescent="0.25">
      <c r="A1804" t="s">
        <v>2362</v>
      </c>
      <c r="B1804" s="1">
        <v>45790</v>
      </c>
      <c r="C1804" t="s">
        <v>12887</v>
      </c>
      <c r="D1804" s="5">
        <v>0.87082175925925931</v>
      </c>
      <c r="E1804">
        <v>72.819999999999993</v>
      </c>
      <c r="F1804" t="s">
        <v>44</v>
      </c>
      <c r="G1804" t="s">
        <v>2363</v>
      </c>
      <c r="H1804" t="s">
        <v>96</v>
      </c>
      <c r="I1804" t="s">
        <v>146</v>
      </c>
      <c r="J1804" t="s">
        <v>2364</v>
      </c>
      <c r="K1804">
        <v>64</v>
      </c>
      <c r="L1804" t="s">
        <v>25</v>
      </c>
      <c r="M1804" t="s">
        <v>35</v>
      </c>
      <c r="N1804" t="s">
        <v>112</v>
      </c>
      <c r="O1804" t="s">
        <v>28</v>
      </c>
      <c r="P1804" t="s">
        <v>31</v>
      </c>
      <c r="Q1804">
        <v>0</v>
      </c>
      <c r="R1804" t="s">
        <v>12883</v>
      </c>
      <c r="S1804" t="s">
        <v>12884</v>
      </c>
    </row>
    <row r="1805" spans="1:19" x14ac:dyDescent="0.25">
      <c r="A1805" t="s">
        <v>8846</v>
      </c>
      <c r="B1805" s="1">
        <v>45802</v>
      </c>
      <c r="C1805" t="s">
        <v>12887</v>
      </c>
      <c r="D1805" s="5">
        <v>0.89380787037037035</v>
      </c>
      <c r="E1805">
        <v>72.739999999999995</v>
      </c>
      <c r="F1805" t="s">
        <v>44</v>
      </c>
      <c r="G1805" t="s">
        <v>7528</v>
      </c>
      <c r="H1805" t="s">
        <v>89</v>
      </c>
      <c r="I1805" t="s">
        <v>97</v>
      </c>
      <c r="J1805" t="s">
        <v>8847</v>
      </c>
      <c r="K1805">
        <v>45</v>
      </c>
      <c r="L1805" t="s">
        <v>25</v>
      </c>
      <c r="M1805" t="s">
        <v>91</v>
      </c>
      <c r="N1805" t="s">
        <v>27</v>
      </c>
      <c r="O1805" t="s">
        <v>28</v>
      </c>
      <c r="P1805" t="s">
        <v>31</v>
      </c>
      <c r="Q1805">
        <v>0</v>
      </c>
      <c r="R1805" t="s">
        <v>12883</v>
      </c>
      <c r="S1805" t="s">
        <v>12886</v>
      </c>
    </row>
    <row r="1806" spans="1:19" x14ac:dyDescent="0.25">
      <c r="A1806" t="s">
        <v>9729</v>
      </c>
      <c r="B1806" s="1">
        <v>45879</v>
      </c>
      <c r="C1806" t="s">
        <v>12893</v>
      </c>
      <c r="D1806" s="5">
        <v>0.78950231481481481</v>
      </c>
      <c r="E1806">
        <v>72.69</v>
      </c>
      <c r="F1806" t="s">
        <v>44</v>
      </c>
      <c r="G1806" t="s">
        <v>2556</v>
      </c>
      <c r="H1806" t="s">
        <v>96</v>
      </c>
      <c r="I1806" t="s">
        <v>50</v>
      </c>
      <c r="J1806" t="s">
        <v>9730</v>
      </c>
      <c r="K1806">
        <v>53</v>
      </c>
      <c r="L1806" t="s">
        <v>37</v>
      </c>
      <c r="M1806" t="s">
        <v>47</v>
      </c>
      <c r="N1806" t="s">
        <v>27</v>
      </c>
      <c r="O1806" t="s">
        <v>28</v>
      </c>
      <c r="P1806" t="s">
        <v>31</v>
      </c>
      <c r="Q1806">
        <v>0</v>
      </c>
      <c r="R1806" t="s">
        <v>12883</v>
      </c>
      <c r="S1806" t="s">
        <v>12886</v>
      </c>
    </row>
    <row r="1807" spans="1:19" x14ac:dyDescent="0.25">
      <c r="A1807" t="s">
        <v>9897</v>
      </c>
      <c r="B1807" s="1">
        <v>45787</v>
      </c>
      <c r="C1807" t="s">
        <v>12887</v>
      </c>
      <c r="D1807" s="5">
        <v>0.71090277777777777</v>
      </c>
      <c r="E1807">
        <v>72.680000000000007</v>
      </c>
      <c r="F1807" t="s">
        <v>44</v>
      </c>
      <c r="G1807" t="s">
        <v>2200</v>
      </c>
      <c r="H1807" t="s">
        <v>124</v>
      </c>
      <c r="I1807" t="s">
        <v>35</v>
      </c>
      <c r="J1807" t="s">
        <v>9898</v>
      </c>
      <c r="K1807">
        <v>12</v>
      </c>
      <c r="L1807" t="s">
        <v>37</v>
      </c>
      <c r="M1807" t="s">
        <v>38</v>
      </c>
      <c r="N1807" t="s">
        <v>84</v>
      </c>
      <c r="O1807" t="s">
        <v>28</v>
      </c>
      <c r="P1807" t="s">
        <v>31</v>
      </c>
      <c r="Q1807">
        <v>0</v>
      </c>
      <c r="R1807" t="s">
        <v>12883</v>
      </c>
      <c r="S1807" t="s">
        <v>12892</v>
      </c>
    </row>
    <row r="1808" spans="1:19" x14ac:dyDescent="0.25">
      <c r="A1808" t="s">
        <v>9194</v>
      </c>
      <c r="B1808" s="1">
        <v>45881</v>
      </c>
      <c r="C1808" t="s">
        <v>12893</v>
      </c>
      <c r="D1808" s="5">
        <v>0.75574074074074071</v>
      </c>
      <c r="E1808">
        <v>72.67</v>
      </c>
      <c r="F1808" t="s">
        <v>44</v>
      </c>
      <c r="G1808" t="s">
        <v>3427</v>
      </c>
      <c r="H1808" t="s">
        <v>124</v>
      </c>
      <c r="I1808" t="s">
        <v>248</v>
      </c>
      <c r="J1808" t="s">
        <v>9195</v>
      </c>
      <c r="K1808">
        <v>32</v>
      </c>
      <c r="L1808" t="s">
        <v>49</v>
      </c>
      <c r="M1808" t="s">
        <v>23</v>
      </c>
      <c r="N1808" t="s">
        <v>105</v>
      </c>
      <c r="O1808" t="s">
        <v>28</v>
      </c>
      <c r="P1808" t="s">
        <v>31</v>
      </c>
      <c r="Q1808">
        <v>0</v>
      </c>
      <c r="R1808" t="s">
        <v>12883</v>
      </c>
      <c r="S1808" t="s">
        <v>12889</v>
      </c>
    </row>
    <row r="1809" spans="1:19" x14ac:dyDescent="0.25">
      <c r="A1809" t="s">
        <v>8051</v>
      </c>
      <c r="B1809" s="1">
        <v>45949</v>
      </c>
      <c r="C1809" t="s">
        <v>12890</v>
      </c>
      <c r="D1809" s="5">
        <v>0.11934027777777778</v>
      </c>
      <c r="E1809">
        <v>72.52</v>
      </c>
      <c r="F1809" t="s">
        <v>44</v>
      </c>
      <c r="G1809" t="s">
        <v>849</v>
      </c>
      <c r="H1809" t="s">
        <v>57</v>
      </c>
      <c r="I1809" t="s">
        <v>110</v>
      </c>
      <c r="J1809" t="s">
        <v>8052</v>
      </c>
      <c r="K1809">
        <v>45</v>
      </c>
      <c r="L1809" t="s">
        <v>25</v>
      </c>
      <c r="M1809" t="s">
        <v>248</v>
      </c>
      <c r="N1809" t="s">
        <v>39</v>
      </c>
      <c r="O1809" t="s">
        <v>28</v>
      </c>
      <c r="P1809" t="s">
        <v>31</v>
      </c>
      <c r="Q1809">
        <v>0</v>
      </c>
      <c r="R1809" t="s">
        <v>12883</v>
      </c>
      <c r="S1809" t="s">
        <v>12886</v>
      </c>
    </row>
    <row r="1810" spans="1:19" x14ac:dyDescent="0.25">
      <c r="A1810" t="s">
        <v>6125</v>
      </c>
      <c r="B1810" s="1">
        <v>45796</v>
      </c>
      <c r="C1810" t="s">
        <v>12887</v>
      </c>
      <c r="D1810" s="5">
        <v>0.8162962962962963</v>
      </c>
      <c r="E1810">
        <v>72.45</v>
      </c>
      <c r="F1810" t="s">
        <v>44</v>
      </c>
      <c r="G1810" t="s">
        <v>56</v>
      </c>
      <c r="H1810" t="s">
        <v>77</v>
      </c>
      <c r="I1810" t="s">
        <v>47</v>
      </c>
      <c r="J1810" t="s">
        <v>3713</v>
      </c>
      <c r="K1810">
        <v>56</v>
      </c>
      <c r="L1810" t="s">
        <v>49</v>
      </c>
      <c r="M1810" t="s">
        <v>130</v>
      </c>
      <c r="N1810" t="s">
        <v>39</v>
      </c>
      <c r="O1810" t="s">
        <v>28</v>
      </c>
      <c r="P1810" t="s">
        <v>31</v>
      </c>
      <c r="Q1810">
        <v>1</v>
      </c>
      <c r="R1810" t="s">
        <v>12891</v>
      </c>
      <c r="S1810" t="s">
        <v>12886</v>
      </c>
    </row>
    <row r="1811" spans="1:19" x14ac:dyDescent="0.25">
      <c r="A1811" t="s">
        <v>6125</v>
      </c>
      <c r="B1811" s="1">
        <v>45796</v>
      </c>
      <c r="C1811" t="s">
        <v>12887</v>
      </c>
      <c r="D1811" s="5">
        <v>0.8162962962962963</v>
      </c>
      <c r="E1811">
        <v>72.45</v>
      </c>
      <c r="F1811" t="s">
        <v>44</v>
      </c>
      <c r="G1811" t="s">
        <v>56</v>
      </c>
      <c r="H1811" t="s">
        <v>77</v>
      </c>
      <c r="I1811" t="s">
        <v>47</v>
      </c>
      <c r="J1811" t="s">
        <v>3713</v>
      </c>
      <c r="K1811">
        <v>56</v>
      </c>
      <c r="L1811" t="s">
        <v>49</v>
      </c>
      <c r="M1811" t="s">
        <v>130</v>
      </c>
      <c r="N1811" t="s">
        <v>39</v>
      </c>
      <c r="O1811" t="s">
        <v>28</v>
      </c>
      <c r="P1811" t="s">
        <v>31</v>
      </c>
      <c r="Q1811">
        <v>1</v>
      </c>
      <c r="R1811" t="s">
        <v>12891</v>
      </c>
      <c r="S1811" t="s">
        <v>12886</v>
      </c>
    </row>
    <row r="1812" spans="1:19" x14ac:dyDescent="0.25">
      <c r="A1812" t="s">
        <v>987</v>
      </c>
      <c r="B1812" s="1">
        <v>45952</v>
      </c>
      <c r="C1812" t="s">
        <v>12890</v>
      </c>
      <c r="D1812" s="5">
        <v>0.12341435185185186</v>
      </c>
      <c r="E1812">
        <v>72.27</v>
      </c>
      <c r="F1812" t="s">
        <v>44</v>
      </c>
      <c r="G1812" t="s">
        <v>988</v>
      </c>
      <c r="H1812" t="s">
        <v>46</v>
      </c>
      <c r="I1812" t="s">
        <v>110</v>
      </c>
      <c r="J1812" t="s">
        <v>989</v>
      </c>
      <c r="K1812">
        <v>35</v>
      </c>
      <c r="L1812" t="s">
        <v>37</v>
      </c>
      <c r="M1812" t="s">
        <v>110</v>
      </c>
      <c r="N1812" t="s">
        <v>27</v>
      </c>
      <c r="O1812" t="s">
        <v>113</v>
      </c>
      <c r="P1812" t="s">
        <v>31</v>
      </c>
      <c r="Q1812">
        <v>0</v>
      </c>
      <c r="R1812" t="s">
        <v>12883</v>
      </c>
      <c r="S1812" t="s">
        <v>12889</v>
      </c>
    </row>
    <row r="1813" spans="1:19" x14ac:dyDescent="0.25">
      <c r="A1813" t="s">
        <v>11806</v>
      </c>
      <c r="B1813" s="1">
        <v>45850</v>
      </c>
      <c r="C1813" t="s">
        <v>12885</v>
      </c>
      <c r="D1813" s="5">
        <v>0.85929398148148151</v>
      </c>
      <c r="E1813">
        <v>72.239999999999995</v>
      </c>
      <c r="F1813" t="s">
        <v>44</v>
      </c>
      <c r="G1813" t="s">
        <v>4737</v>
      </c>
      <c r="H1813" t="s">
        <v>77</v>
      </c>
      <c r="I1813" t="s">
        <v>50</v>
      </c>
      <c r="J1813" t="s">
        <v>11807</v>
      </c>
      <c r="K1813">
        <v>25</v>
      </c>
      <c r="L1813" t="s">
        <v>37</v>
      </c>
      <c r="M1813" t="s">
        <v>66</v>
      </c>
      <c r="N1813" t="s">
        <v>105</v>
      </c>
      <c r="O1813" t="s">
        <v>28</v>
      </c>
      <c r="P1813" t="s">
        <v>31</v>
      </c>
      <c r="Q1813">
        <v>0</v>
      </c>
      <c r="R1813" t="s">
        <v>12883</v>
      </c>
      <c r="S1813" t="s">
        <v>12889</v>
      </c>
    </row>
    <row r="1814" spans="1:19" x14ac:dyDescent="0.25">
      <c r="A1814" t="s">
        <v>2480</v>
      </c>
      <c r="B1814" s="1">
        <v>45854</v>
      </c>
      <c r="C1814" t="s">
        <v>12885</v>
      </c>
      <c r="D1814" s="5">
        <v>3.3449074074074076E-2</v>
      </c>
      <c r="E1814">
        <v>72.06</v>
      </c>
      <c r="F1814" t="s">
        <v>44</v>
      </c>
      <c r="G1814" t="s">
        <v>2481</v>
      </c>
      <c r="H1814" t="s">
        <v>22</v>
      </c>
      <c r="I1814" t="s">
        <v>26</v>
      </c>
      <c r="J1814" t="s">
        <v>2482</v>
      </c>
      <c r="K1814">
        <v>60</v>
      </c>
      <c r="L1814" t="s">
        <v>49</v>
      </c>
      <c r="M1814" t="s">
        <v>26</v>
      </c>
      <c r="N1814" t="s">
        <v>84</v>
      </c>
      <c r="O1814" t="s">
        <v>113</v>
      </c>
      <c r="P1814" t="s">
        <v>31</v>
      </c>
      <c r="Q1814">
        <v>0</v>
      </c>
      <c r="R1814" t="s">
        <v>12883</v>
      </c>
      <c r="S1814" t="s">
        <v>12884</v>
      </c>
    </row>
    <row r="1815" spans="1:19" x14ac:dyDescent="0.25">
      <c r="A1815" t="s">
        <v>2917</v>
      </c>
      <c r="B1815" s="1">
        <v>45795</v>
      </c>
      <c r="C1815" t="s">
        <v>12887</v>
      </c>
      <c r="D1815" s="5">
        <v>0.10550925925925926</v>
      </c>
      <c r="E1815">
        <v>71.84</v>
      </c>
      <c r="F1815" t="s">
        <v>44</v>
      </c>
      <c r="G1815" t="s">
        <v>2918</v>
      </c>
      <c r="H1815" t="s">
        <v>124</v>
      </c>
      <c r="I1815" t="s">
        <v>110</v>
      </c>
      <c r="J1815" t="s">
        <v>2919</v>
      </c>
      <c r="K1815">
        <v>66</v>
      </c>
      <c r="L1815" t="s">
        <v>25</v>
      </c>
      <c r="M1815" t="s">
        <v>110</v>
      </c>
      <c r="N1815" t="s">
        <v>112</v>
      </c>
      <c r="O1815" t="s">
        <v>113</v>
      </c>
      <c r="P1815" t="s">
        <v>31</v>
      </c>
      <c r="Q1815">
        <v>0</v>
      </c>
      <c r="R1815" t="s">
        <v>12883</v>
      </c>
      <c r="S1815" t="s">
        <v>12884</v>
      </c>
    </row>
    <row r="1816" spans="1:19" x14ac:dyDescent="0.25">
      <c r="A1816" t="s">
        <v>7870</v>
      </c>
      <c r="B1816" s="1">
        <v>45878</v>
      </c>
      <c r="C1816" t="s">
        <v>12893</v>
      </c>
      <c r="D1816" s="5">
        <v>0.65961805555555553</v>
      </c>
      <c r="E1816">
        <v>71.739999999999995</v>
      </c>
      <c r="F1816" t="s">
        <v>44</v>
      </c>
      <c r="G1816" t="s">
        <v>7871</v>
      </c>
      <c r="H1816" t="s">
        <v>22</v>
      </c>
      <c r="I1816" t="s">
        <v>47</v>
      </c>
      <c r="J1816" t="s">
        <v>7872</v>
      </c>
      <c r="K1816">
        <v>63</v>
      </c>
      <c r="L1816" t="s">
        <v>37</v>
      </c>
      <c r="M1816" t="s">
        <v>47</v>
      </c>
      <c r="N1816" t="s">
        <v>112</v>
      </c>
      <c r="O1816" t="s">
        <v>113</v>
      </c>
      <c r="P1816" t="s">
        <v>31</v>
      </c>
      <c r="Q1816">
        <v>0</v>
      </c>
      <c r="R1816" t="s">
        <v>12883</v>
      </c>
      <c r="S1816" t="s">
        <v>12884</v>
      </c>
    </row>
    <row r="1817" spans="1:19" x14ac:dyDescent="0.25">
      <c r="A1817" t="s">
        <v>2022</v>
      </c>
      <c r="B1817" s="1">
        <v>45954</v>
      </c>
      <c r="C1817" t="s">
        <v>12890</v>
      </c>
      <c r="D1817" s="5">
        <v>0.86702546296296301</v>
      </c>
      <c r="E1817">
        <v>71.67</v>
      </c>
      <c r="F1817" t="s">
        <v>44</v>
      </c>
      <c r="G1817" t="s">
        <v>2023</v>
      </c>
      <c r="H1817" t="s">
        <v>22</v>
      </c>
      <c r="I1817" t="s">
        <v>97</v>
      </c>
      <c r="J1817" t="s">
        <v>2024</v>
      </c>
      <c r="K1817">
        <v>50</v>
      </c>
      <c r="L1817" t="s">
        <v>37</v>
      </c>
      <c r="M1817" t="s">
        <v>91</v>
      </c>
      <c r="N1817" t="s">
        <v>39</v>
      </c>
      <c r="O1817" t="s">
        <v>28</v>
      </c>
      <c r="P1817" t="s">
        <v>31</v>
      </c>
      <c r="Q1817">
        <v>0</v>
      </c>
      <c r="R1817" t="s">
        <v>12883</v>
      </c>
      <c r="S1817" t="s">
        <v>12886</v>
      </c>
    </row>
    <row r="1818" spans="1:19" x14ac:dyDescent="0.25">
      <c r="A1818" t="s">
        <v>3344</v>
      </c>
      <c r="B1818" s="1">
        <v>45845</v>
      </c>
      <c r="C1818" t="s">
        <v>12885</v>
      </c>
      <c r="D1818" s="5">
        <v>0.92251157407407403</v>
      </c>
      <c r="E1818">
        <v>71.540000000000006</v>
      </c>
      <c r="F1818" t="s">
        <v>44</v>
      </c>
      <c r="G1818" t="s">
        <v>1734</v>
      </c>
      <c r="H1818" t="s">
        <v>77</v>
      </c>
      <c r="I1818" t="s">
        <v>130</v>
      </c>
      <c r="J1818" t="s">
        <v>3345</v>
      </c>
      <c r="K1818">
        <v>62</v>
      </c>
      <c r="L1818" t="s">
        <v>49</v>
      </c>
      <c r="M1818" t="s">
        <v>130</v>
      </c>
      <c r="N1818" t="s">
        <v>51</v>
      </c>
      <c r="O1818" t="s">
        <v>113</v>
      </c>
      <c r="P1818" t="s">
        <v>31</v>
      </c>
      <c r="Q1818">
        <v>0</v>
      </c>
      <c r="R1818" t="s">
        <v>12883</v>
      </c>
      <c r="S1818" t="s">
        <v>12884</v>
      </c>
    </row>
    <row r="1819" spans="1:19" x14ac:dyDescent="0.25">
      <c r="A1819" t="s">
        <v>6545</v>
      </c>
      <c r="B1819" s="1">
        <v>45851</v>
      </c>
      <c r="C1819" t="s">
        <v>12885</v>
      </c>
      <c r="D1819" s="5">
        <v>0.86105324074074074</v>
      </c>
      <c r="E1819">
        <v>71.52</v>
      </c>
      <c r="F1819" t="s">
        <v>44</v>
      </c>
      <c r="G1819" t="s">
        <v>6546</v>
      </c>
      <c r="H1819" t="s">
        <v>46</v>
      </c>
      <c r="I1819" t="s">
        <v>146</v>
      </c>
      <c r="J1819" t="s">
        <v>6547</v>
      </c>
      <c r="K1819">
        <v>19</v>
      </c>
      <c r="L1819" t="s">
        <v>49</v>
      </c>
      <c r="M1819" t="s">
        <v>26</v>
      </c>
      <c r="N1819" t="s">
        <v>39</v>
      </c>
      <c r="O1819" t="s">
        <v>28</v>
      </c>
      <c r="P1819" t="s">
        <v>31</v>
      </c>
      <c r="Q1819">
        <v>0</v>
      </c>
      <c r="R1819" t="s">
        <v>12883</v>
      </c>
      <c r="S1819" t="s">
        <v>12892</v>
      </c>
    </row>
    <row r="1820" spans="1:19" x14ac:dyDescent="0.25">
      <c r="A1820" t="s">
        <v>10456</v>
      </c>
      <c r="B1820" s="1">
        <v>45947</v>
      </c>
      <c r="C1820" t="s">
        <v>12890</v>
      </c>
      <c r="D1820" s="5">
        <v>8.4606481481481477E-2</v>
      </c>
      <c r="E1820">
        <v>71.45</v>
      </c>
      <c r="F1820" t="s">
        <v>44</v>
      </c>
      <c r="G1820" t="s">
        <v>2481</v>
      </c>
      <c r="H1820" t="s">
        <v>64</v>
      </c>
      <c r="I1820" t="s">
        <v>26</v>
      </c>
      <c r="J1820" t="s">
        <v>10457</v>
      </c>
      <c r="K1820">
        <v>65</v>
      </c>
      <c r="L1820" t="s">
        <v>25</v>
      </c>
      <c r="M1820" t="s">
        <v>119</v>
      </c>
      <c r="N1820" t="s">
        <v>39</v>
      </c>
      <c r="O1820" t="s">
        <v>28</v>
      </c>
      <c r="P1820" t="s">
        <v>31</v>
      </c>
      <c r="Q1820">
        <v>1</v>
      </c>
      <c r="R1820" t="s">
        <v>12891</v>
      </c>
      <c r="S1820" t="s">
        <v>12884</v>
      </c>
    </row>
    <row r="1821" spans="1:19" x14ac:dyDescent="0.25">
      <c r="A1821" t="s">
        <v>6608</v>
      </c>
      <c r="B1821" s="1">
        <v>45889</v>
      </c>
      <c r="C1821" t="s">
        <v>12893</v>
      </c>
      <c r="D1821" s="5">
        <v>6.1261574074074072E-2</v>
      </c>
      <c r="E1821">
        <v>71.290000000000006</v>
      </c>
      <c r="F1821" t="s">
        <v>44</v>
      </c>
      <c r="G1821" t="s">
        <v>2144</v>
      </c>
      <c r="H1821" t="s">
        <v>96</v>
      </c>
      <c r="I1821" t="s">
        <v>26</v>
      </c>
      <c r="J1821" t="s">
        <v>1688</v>
      </c>
      <c r="K1821">
        <v>41</v>
      </c>
      <c r="L1821" t="s">
        <v>25</v>
      </c>
      <c r="M1821" t="s">
        <v>119</v>
      </c>
      <c r="N1821" t="s">
        <v>105</v>
      </c>
      <c r="O1821" t="s">
        <v>28</v>
      </c>
      <c r="P1821" t="s">
        <v>31</v>
      </c>
      <c r="Q1821">
        <v>0</v>
      </c>
      <c r="R1821" t="s">
        <v>12883</v>
      </c>
      <c r="S1821" t="s">
        <v>12886</v>
      </c>
    </row>
    <row r="1822" spans="1:19" x14ac:dyDescent="0.25">
      <c r="A1822" t="s">
        <v>6283</v>
      </c>
      <c r="B1822" s="1">
        <v>45793</v>
      </c>
      <c r="C1822" t="s">
        <v>12887</v>
      </c>
      <c r="D1822" s="5">
        <v>0.61719907407407404</v>
      </c>
      <c r="E1822">
        <v>71.23</v>
      </c>
      <c r="F1822" t="s">
        <v>44</v>
      </c>
      <c r="G1822" t="s">
        <v>6165</v>
      </c>
      <c r="H1822" t="s">
        <v>64</v>
      </c>
      <c r="I1822" t="s">
        <v>119</v>
      </c>
      <c r="J1822" t="s">
        <v>6284</v>
      </c>
      <c r="K1822">
        <v>21</v>
      </c>
      <c r="L1822" t="s">
        <v>37</v>
      </c>
      <c r="M1822" t="s">
        <v>23</v>
      </c>
      <c r="N1822" t="s">
        <v>105</v>
      </c>
      <c r="O1822" t="s">
        <v>28</v>
      </c>
      <c r="P1822" t="s">
        <v>31</v>
      </c>
      <c r="Q1822">
        <v>0</v>
      </c>
      <c r="R1822" t="s">
        <v>12883</v>
      </c>
      <c r="S1822" t="s">
        <v>12892</v>
      </c>
    </row>
    <row r="1823" spans="1:19" x14ac:dyDescent="0.25">
      <c r="A1823" t="s">
        <v>1355</v>
      </c>
      <c r="B1823" s="1">
        <v>45931</v>
      </c>
      <c r="C1823" t="s">
        <v>12890</v>
      </c>
      <c r="D1823" s="5">
        <v>0.70204861111111116</v>
      </c>
      <c r="E1823">
        <v>71.09</v>
      </c>
      <c r="F1823" t="s">
        <v>44</v>
      </c>
      <c r="G1823" t="s">
        <v>1356</v>
      </c>
      <c r="H1823" t="s">
        <v>77</v>
      </c>
      <c r="I1823" t="s">
        <v>35</v>
      </c>
      <c r="J1823" t="s">
        <v>1357</v>
      </c>
      <c r="K1823">
        <v>62</v>
      </c>
      <c r="L1823" t="s">
        <v>37</v>
      </c>
      <c r="M1823" t="s">
        <v>66</v>
      </c>
      <c r="N1823" t="s">
        <v>112</v>
      </c>
      <c r="O1823" t="s">
        <v>28</v>
      </c>
      <c r="P1823" t="s">
        <v>31</v>
      </c>
      <c r="Q1823">
        <v>0</v>
      </c>
      <c r="R1823" t="s">
        <v>12883</v>
      </c>
      <c r="S1823" t="s">
        <v>12884</v>
      </c>
    </row>
    <row r="1824" spans="1:19" x14ac:dyDescent="0.25">
      <c r="A1824" t="s">
        <v>12241</v>
      </c>
      <c r="B1824" s="1">
        <v>45943</v>
      </c>
      <c r="C1824" t="s">
        <v>12890</v>
      </c>
      <c r="D1824" s="5">
        <v>0.31827546296296294</v>
      </c>
      <c r="E1824">
        <v>70.87</v>
      </c>
      <c r="F1824" t="s">
        <v>44</v>
      </c>
      <c r="G1824" t="s">
        <v>678</v>
      </c>
      <c r="H1824" t="s">
        <v>71</v>
      </c>
      <c r="I1824" t="s">
        <v>66</v>
      </c>
      <c r="J1824" t="s">
        <v>12242</v>
      </c>
      <c r="K1824">
        <v>70</v>
      </c>
      <c r="L1824" t="s">
        <v>37</v>
      </c>
      <c r="M1824" t="s">
        <v>50</v>
      </c>
      <c r="N1824" t="s">
        <v>84</v>
      </c>
      <c r="O1824" t="s">
        <v>28</v>
      </c>
      <c r="P1824" t="s">
        <v>31</v>
      </c>
      <c r="Q1824">
        <v>0</v>
      </c>
      <c r="R1824" t="s">
        <v>12883</v>
      </c>
      <c r="S1824" t="s">
        <v>12884</v>
      </c>
    </row>
    <row r="1825" spans="1:19" x14ac:dyDescent="0.25">
      <c r="A1825" t="s">
        <v>11194</v>
      </c>
      <c r="B1825" s="1">
        <v>45897</v>
      </c>
      <c r="C1825" t="s">
        <v>12893</v>
      </c>
      <c r="D1825" s="5">
        <v>0.11743055555555555</v>
      </c>
      <c r="E1825">
        <v>70.64</v>
      </c>
      <c r="F1825" t="s">
        <v>44</v>
      </c>
      <c r="G1825" t="s">
        <v>6063</v>
      </c>
      <c r="H1825" t="s">
        <v>96</v>
      </c>
      <c r="I1825" t="s">
        <v>119</v>
      </c>
      <c r="J1825" t="s">
        <v>11195</v>
      </c>
      <c r="K1825">
        <v>53</v>
      </c>
      <c r="L1825" t="s">
        <v>25</v>
      </c>
      <c r="M1825" t="s">
        <v>26</v>
      </c>
      <c r="N1825" t="s">
        <v>51</v>
      </c>
      <c r="O1825" t="s">
        <v>28</v>
      </c>
      <c r="P1825" t="s">
        <v>31</v>
      </c>
      <c r="Q1825">
        <v>0</v>
      </c>
      <c r="R1825" t="s">
        <v>12883</v>
      </c>
      <c r="S1825" t="s">
        <v>12886</v>
      </c>
    </row>
    <row r="1826" spans="1:19" x14ac:dyDescent="0.25">
      <c r="A1826" t="s">
        <v>9843</v>
      </c>
      <c r="B1826" s="1">
        <v>45891</v>
      </c>
      <c r="C1826" t="s">
        <v>12893</v>
      </c>
      <c r="D1826" s="5">
        <v>0.53407407407407403</v>
      </c>
      <c r="E1826">
        <v>69.97</v>
      </c>
      <c r="F1826" t="s">
        <v>44</v>
      </c>
      <c r="G1826" t="s">
        <v>3432</v>
      </c>
      <c r="H1826" t="s">
        <v>46</v>
      </c>
      <c r="I1826" t="s">
        <v>50</v>
      </c>
      <c r="J1826" t="s">
        <v>9844</v>
      </c>
      <c r="K1826">
        <v>18</v>
      </c>
      <c r="L1826" t="s">
        <v>37</v>
      </c>
      <c r="M1826" t="s">
        <v>26</v>
      </c>
      <c r="N1826" t="s">
        <v>84</v>
      </c>
      <c r="O1826" t="s">
        <v>28</v>
      </c>
      <c r="P1826" t="s">
        <v>31</v>
      </c>
      <c r="Q1826">
        <v>0</v>
      </c>
      <c r="R1826" t="s">
        <v>12883</v>
      </c>
      <c r="S1826" t="s">
        <v>12892</v>
      </c>
    </row>
    <row r="1827" spans="1:19" x14ac:dyDescent="0.25">
      <c r="A1827" t="s">
        <v>3950</v>
      </c>
      <c r="B1827" s="1">
        <v>45844</v>
      </c>
      <c r="C1827" t="s">
        <v>12885</v>
      </c>
      <c r="D1827" s="5">
        <v>0.76266203703703705</v>
      </c>
      <c r="E1827">
        <v>69.73</v>
      </c>
      <c r="F1827" t="s">
        <v>44</v>
      </c>
      <c r="G1827" t="s">
        <v>3951</v>
      </c>
      <c r="H1827" t="s">
        <v>124</v>
      </c>
      <c r="I1827" t="s">
        <v>91</v>
      </c>
      <c r="J1827" t="s">
        <v>3952</v>
      </c>
      <c r="K1827">
        <v>57</v>
      </c>
      <c r="L1827" t="s">
        <v>25</v>
      </c>
      <c r="M1827" t="s">
        <v>50</v>
      </c>
      <c r="N1827" t="s">
        <v>51</v>
      </c>
      <c r="O1827" t="s">
        <v>28</v>
      </c>
      <c r="P1827" t="s">
        <v>31</v>
      </c>
      <c r="Q1827">
        <v>0</v>
      </c>
      <c r="R1827" t="s">
        <v>12883</v>
      </c>
      <c r="S1827" t="s">
        <v>12886</v>
      </c>
    </row>
    <row r="1828" spans="1:19" x14ac:dyDescent="0.25">
      <c r="A1828" t="s">
        <v>7511</v>
      </c>
      <c r="B1828" s="1">
        <v>45788</v>
      </c>
      <c r="C1828" t="s">
        <v>12887</v>
      </c>
      <c r="D1828" s="5">
        <v>0.1844675925925926</v>
      </c>
      <c r="E1828">
        <v>69.709999999999994</v>
      </c>
      <c r="F1828" t="s">
        <v>44</v>
      </c>
      <c r="G1828" t="s">
        <v>1326</v>
      </c>
      <c r="H1828" t="s">
        <v>57</v>
      </c>
      <c r="I1828" t="s">
        <v>110</v>
      </c>
      <c r="J1828" t="s">
        <v>7512</v>
      </c>
      <c r="K1828">
        <v>40</v>
      </c>
      <c r="L1828" t="s">
        <v>37</v>
      </c>
      <c r="M1828" t="s">
        <v>23</v>
      </c>
      <c r="N1828" t="s">
        <v>105</v>
      </c>
      <c r="O1828" t="s">
        <v>28</v>
      </c>
      <c r="P1828" t="s">
        <v>31</v>
      </c>
      <c r="Q1828">
        <v>0</v>
      </c>
      <c r="R1828" t="s">
        <v>12883</v>
      </c>
      <c r="S1828" t="s">
        <v>12886</v>
      </c>
    </row>
    <row r="1829" spans="1:19" x14ac:dyDescent="0.25">
      <c r="A1829" t="s">
        <v>9351</v>
      </c>
      <c r="B1829" s="1">
        <v>45915</v>
      </c>
      <c r="C1829" t="s">
        <v>12882</v>
      </c>
      <c r="D1829" s="5">
        <v>0.22743055555555555</v>
      </c>
      <c r="E1829">
        <v>69.66</v>
      </c>
      <c r="F1829" t="s">
        <v>44</v>
      </c>
      <c r="G1829" t="s">
        <v>9352</v>
      </c>
      <c r="H1829" t="s">
        <v>64</v>
      </c>
      <c r="I1829" t="s">
        <v>58</v>
      </c>
      <c r="J1829" t="s">
        <v>9353</v>
      </c>
      <c r="K1829">
        <v>61</v>
      </c>
      <c r="L1829" t="s">
        <v>49</v>
      </c>
      <c r="M1829" t="s">
        <v>146</v>
      </c>
      <c r="N1829" t="s">
        <v>39</v>
      </c>
      <c r="O1829" t="s">
        <v>28</v>
      </c>
      <c r="P1829" t="s">
        <v>31</v>
      </c>
      <c r="Q1829">
        <v>0</v>
      </c>
      <c r="R1829" t="s">
        <v>12883</v>
      </c>
      <c r="S1829" t="s">
        <v>12884</v>
      </c>
    </row>
    <row r="1830" spans="1:19" x14ac:dyDescent="0.25">
      <c r="A1830" t="s">
        <v>4292</v>
      </c>
      <c r="B1830" s="1">
        <v>45914</v>
      </c>
      <c r="C1830" t="s">
        <v>12882</v>
      </c>
      <c r="D1830" s="5">
        <v>0.39195601851851852</v>
      </c>
      <c r="E1830">
        <v>69.56</v>
      </c>
      <c r="F1830" t="s">
        <v>44</v>
      </c>
      <c r="G1830" t="s">
        <v>4293</v>
      </c>
      <c r="H1830" t="s">
        <v>96</v>
      </c>
      <c r="I1830" t="s">
        <v>146</v>
      </c>
      <c r="J1830" t="s">
        <v>4294</v>
      </c>
      <c r="K1830">
        <v>36</v>
      </c>
      <c r="L1830" t="s">
        <v>37</v>
      </c>
      <c r="M1830" t="s">
        <v>47</v>
      </c>
      <c r="N1830" t="s">
        <v>105</v>
      </c>
      <c r="O1830" t="s">
        <v>28</v>
      </c>
      <c r="P1830" t="s">
        <v>31</v>
      </c>
      <c r="Q1830">
        <v>0</v>
      </c>
      <c r="R1830" t="s">
        <v>12883</v>
      </c>
      <c r="S1830" t="s">
        <v>12889</v>
      </c>
    </row>
    <row r="1831" spans="1:19" x14ac:dyDescent="0.25">
      <c r="A1831" t="s">
        <v>5680</v>
      </c>
      <c r="B1831" s="1">
        <v>45847</v>
      </c>
      <c r="C1831" t="s">
        <v>12885</v>
      </c>
      <c r="D1831" s="5">
        <v>0.11010416666666667</v>
      </c>
      <c r="E1831">
        <v>69.55</v>
      </c>
      <c r="F1831" t="s">
        <v>44</v>
      </c>
      <c r="G1831" t="s">
        <v>1087</v>
      </c>
      <c r="H1831" t="s">
        <v>22</v>
      </c>
      <c r="I1831" t="s">
        <v>119</v>
      </c>
      <c r="J1831" t="s">
        <v>5681</v>
      </c>
      <c r="K1831">
        <v>65</v>
      </c>
      <c r="L1831" t="s">
        <v>25</v>
      </c>
      <c r="M1831" t="s">
        <v>35</v>
      </c>
      <c r="N1831" t="s">
        <v>39</v>
      </c>
      <c r="O1831" t="s">
        <v>28</v>
      </c>
      <c r="P1831" t="s">
        <v>31</v>
      </c>
      <c r="Q1831">
        <v>0</v>
      </c>
      <c r="R1831" t="s">
        <v>12883</v>
      </c>
      <c r="S1831" t="s">
        <v>12884</v>
      </c>
    </row>
    <row r="1832" spans="1:19" x14ac:dyDescent="0.25">
      <c r="A1832" t="s">
        <v>3915</v>
      </c>
      <c r="B1832" s="1">
        <v>45885</v>
      </c>
      <c r="C1832" t="s">
        <v>12893</v>
      </c>
      <c r="D1832" s="5">
        <v>0.18836805555555555</v>
      </c>
      <c r="E1832">
        <v>69.52</v>
      </c>
      <c r="F1832" t="s">
        <v>44</v>
      </c>
      <c r="G1832" t="s">
        <v>723</v>
      </c>
      <c r="H1832" t="s">
        <v>22</v>
      </c>
      <c r="I1832" t="s">
        <v>119</v>
      </c>
      <c r="J1832" t="s">
        <v>3916</v>
      </c>
      <c r="K1832">
        <v>60</v>
      </c>
      <c r="L1832" t="s">
        <v>49</v>
      </c>
      <c r="M1832" t="s">
        <v>146</v>
      </c>
      <c r="N1832" t="s">
        <v>105</v>
      </c>
      <c r="O1832" t="s">
        <v>28</v>
      </c>
      <c r="P1832" t="s">
        <v>31</v>
      </c>
      <c r="Q1832">
        <v>0</v>
      </c>
      <c r="R1832" t="s">
        <v>12883</v>
      </c>
      <c r="S1832" t="s">
        <v>12884</v>
      </c>
    </row>
    <row r="1833" spans="1:19" x14ac:dyDescent="0.25">
      <c r="A1833" t="s">
        <v>9430</v>
      </c>
      <c r="B1833" s="1">
        <v>45821</v>
      </c>
      <c r="C1833" t="s">
        <v>12888</v>
      </c>
      <c r="D1833" s="5">
        <v>0.81733796296296302</v>
      </c>
      <c r="E1833">
        <v>69.510000000000005</v>
      </c>
      <c r="F1833" t="s">
        <v>44</v>
      </c>
      <c r="G1833" t="s">
        <v>7242</v>
      </c>
      <c r="H1833" t="s">
        <v>89</v>
      </c>
      <c r="I1833" t="s">
        <v>248</v>
      </c>
      <c r="J1833" t="s">
        <v>9431</v>
      </c>
      <c r="K1833">
        <v>44</v>
      </c>
      <c r="L1833" t="s">
        <v>49</v>
      </c>
      <c r="M1833" t="s">
        <v>38</v>
      </c>
      <c r="N1833" t="s">
        <v>105</v>
      </c>
      <c r="O1833" t="s">
        <v>28</v>
      </c>
      <c r="P1833" t="s">
        <v>31</v>
      </c>
      <c r="Q1833">
        <v>0</v>
      </c>
      <c r="R1833" t="s">
        <v>12883</v>
      </c>
      <c r="S1833" t="s">
        <v>12886</v>
      </c>
    </row>
    <row r="1834" spans="1:19" x14ac:dyDescent="0.25">
      <c r="A1834" t="s">
        <v>11735</v>
      </c>
      <c r="B1834" s="1">
        <v>45834</v>
      </c>
      <c r="C1834" t="s">
        <v>12888</v>
      </c>
      <c r="D1834" s="5">
        <v>0.54200231481481487</v>
      </c>
      <c r="E1834">
        <v>69.489999999999995</v>
      </c>
      <c r="F1834" t="s">
        <v>44</v>
      </c>
      <c r="G1834" t="s">
        <v>3726</v>
      </c>
      <c r="H1834" t="s">
        <v>96</v>
      </c>
      <c r="I1834" t="s">
        <v>91</v>
      </c>
      <c r="J1834" t="s">
        <v>11736</v>
      </c>
      <c r="K1834">
        <v>25</v>
      </c>
      <c r="L1834" t="s">
        <v>37</v>
      </c>
      <c r="M1834" t="s">
        <v>66</v>
      </c>
      <c r="N1834" t="s">
        <v>112</v>
      </c>
      <c r="O1834" t="s">
        <v>28</v>
      </c>
      <c r="P1834" t="s">
        <v>31</v>
      </c>
      <c r="Q1834">
        <v>0</v>
      </c>
      <c r="R1834" t="s">
        <v>12883</v>
      </c>
      <c r="S1834" t="s">
        <v>12889</v>
      </c>
    </row>
    <row r="1835" spans="1:19" x14ac:dyDescent="0.25">
      <c r="A1835" t="s">
        <v>12493</v>
      </c>
      <c r="B1835" s="1">
        <v>45933</v>
      </c>
      <c r="C1835" t="s">
        <v>12890</v>
      </c>
      <c r="D1835" s="5">
        <v>0.62758101851851855</v>
      </c>
      <c r="E1835">
        <v>69.319999999999993</v>
      </c>
      <c r="F1835" t="s">
        <v>44</v>
      </c>
      <c r="G1835" t="s">
        <v>12494</v>
      </c>
      <c r="H1835" t="s">
        <v>57</v>
      </c>
      <c r="I1835" t="s">
        <v>146</v>
      </c>
      <c r="J1835" t="s">
        <v>12495</v>
      </c>
      <c r="K1835">
        <v>26</v>
      </c>
      <c r="L1835" t="s">
        <v>49</v>
      </c>
      <c r="M1835" t="s">
        <v>91</v>
      </c>
      <c r="N1835" t="s">
        <v>51</v>
      </c>
      <c r="O1835" t="s">
        <v>28</v>
      </c>
      <c r="P1835" t="s">
        <v>31</v>
      </c>
      <c r="Q1835">
        <v>0</v>
      </c>
      <c r="R1835" t="s">
        <v>12883</v>
      </c>
      <c r="S1835" t="s">
        <v>12889</v>
      </c>
    </row>
    <row r="1836" spans="1:19" x14ac:dyDescent="0.25">
      <c r="A1836" t="s">
        <v>9491</v>
      </c>
      <c r="B1836" s="1">
        <v>45793</v>
      </c>
      <c r="C1836" t="s">
        <v>12887</v>
      </c>
      <c r="D1836" s="5">
        <v>0.67137731481481477</v>
      </c>
      <c r="E1836">
        <v>69.23</v>
      </c>
      <c r="F1836" t="s">
        <v>44</v>
      </c>
      <c r="G1836" t="s">
        <v>2404</v>
      </c>
      <c r="H1836" t="s">
        <v>89</v>
      </c>
      <c r="I1836" t="s">
        <v>91</v>
      </c>
      <c r="J1836" t="s">
        <v>9492</v>
      </c>
      <c r="K1836">
        <v>42</v>
      </c>
      <c r="L1836" t="s">
        <v>25</v>
      </c>
      <c r="M1836" t="s">
        <v>38</v>
      </c>
      <c r="N1836" t="s">
        <v>39</v>
      </c>
      <c r="O1836" t="s">
        <v>28</v>
      </c>
      <c r="P1836" t="s">
        <v>31</v>
      </c>
      <c r="Q1836">
        <v>0</v>
      </c>
      <c r="R1836" t="s">
        <v>12883</v>
      </c>
      <c r="S1836" t="s">
        <v>12886</v>
      </c>
    </row>
    <row r="1837" spans="1:19" x14ac:dyDescent="0.25">
      <c r="A1837" t="s">
        <v>555</v>
      </c>
      <c r="B1837" s="1">
        <v>45866</v>
      </c>
      <c r="C1837" t="s">
        <v>12885</v>
      </c>
      <c r="D1837" s="5">
        <v>0.78418981481481487</v>
      </c>
      <c r="E1837">
        <v>69.22</v>
      </c>
      <c r="F1837" t="s">
        <v>44</v>
      </c>
      <c r="G1837" t="s">
        <v>556</v>
      </c>
      <c r="H1837" t="s">
        <v>71</v>
      </c>
      <c r="I1837" t="s">
        <v>26</v>
      </c>
      <c r="J1837" t="s">
        <v>557</v>
      </c>
      <c r="K1837">
        <v>66</v>
      </c>
      <c r="L1837" t="s">
        <v>37</v>
      </c>
      <c r="M1837" t="s">
        <v>58</v>
      </c>
      <c r="N1837" t="s">
        <v>105</v>
      </c>
      <c r="O1837" t="s">
        <v>28</v>
      </c>
      <c r="P1837" t="s">
        <v>31</v>
      </c>
      <c r="Q1837">
        <v>0</v>
      </c>
      <c r="R1837" t="s">
        <v>12883</v>
      </c>
      <c r="S1837" t="s">
        <v>12884</v>
      </c>
    </row>
    <row r="1838" spans="1:19" x14ac:dyDescent="0.25">
      <c r="A1838" t="s">
        <v>12308</v>
      </c>
      <c r="B1838" s="1">
        <v>45947</v>
      </c>
      <c r="C1838" t="s">
        <v>12890</v>
      </c>
      <c r="D1838" s="5">
        <v>0.61034722222222226</v>
      </c>
      <c r="E1838">
        <v>69.12</v>
      </c>
      <c r="F1838" t="s">
        <v>44</v>
      </c>
      <c r="G1838" t="s">
        <v>1306</v>
      </c>
      <c r="H1838" t="s">
        <v>89</v>
      </c>
      <c r="I1838" t="s">
        <v>23</v>
      </c>
      <c r="J1838" t="s">
        <v>12309</v>
      </c>
      <c r="K1838">
        <v>23</v>
      </c>
      <c r="L1838" t="s">
        <v>25</v>
      </c>
      <c r="M1838" t="s">
        <v>38</v>
      </c>
      <c r="N1838" t="s">
        <v>51</v>
      </c>
      <c r="O1838" t="s">
        <v>28</v>
      </c>
      <c r="P1838" t="s">
        <v>31</v>
      </c>
      <c r="Q1838">
        <v>0</v>
      </c>
      <c r="R1838" t="s">
        <v>12883</v>
      </c>
      <c r="S1838" t="s">
        <v>12892</v>
      </c>
    </row>
    <row r="1839" spans="1:19" x14ac:dyDescent="0.25">
      <c r="A1839" t="s">
        <v>8861</v>
      </c>
      <c r="B1839" s="1">
        <v>45843</v>
      </c>
      <c r="C1839" t="s">
        <v>12885</v>
      </c>
      <c r="D1839" s="5">
        <v>7.7268518518518514E-2</v>
      </c>
      <c r="E1839">
        <v>69.08</v>
      </c>
      <c r="F1839" t="s">
        <v>44</v>
      </c>
      <c r="G1839" t="s">
        <v>4306</v>
      </c>
      <c r="H1839" t="s">
        <v>71</v>
      </c>
      <c r="I1839" t="s">
        <v>26</v>
      </c>
      <c r="J1839" t="s">
        <v>8862</v>
      </c>
      <c r="K1839">
        <v>53</v>
      </c>
      <c r="L1839" t="s">
        <v>25</v>
      </c>
      <c r="M1839" t="s">
        <v>130</v>
      </c>
      <c r="N1839" t="s">
        <v>51</v>
      </c>
      <c r="O1839" t="s">
        <v>28</v>
      </c>
      <c r="P1839" t="s">
        <v>31</v>
      </c>
      <c r="Q1839">
        <v>0</v>
      </c>
      <c r="R1839" t="s">
        <v>12883</v>
      </c>
      <c r="S1839" t="s">
        <v>12886</v>
      </c>
    </row>
    <row r="1840" spans="1:19" x14ac:dyDescent="0.25">
      <c r="A1840" t="s">
        <v>3356</v>
      </c>
      <c r="B1840" s="1">
        <v>45835</v>
      </c>
      <c r="C1840" t="s">
        <v>12888</v>
      </c>
      <c r="D1840" s="5">
        <v>0.24099537037037036</v>
      </c>
      <c r="E1840">
        <v>69</v>
      </c>
      <c r="F1840" t="s">
        <v>44</v>
      </c>
      <c r="G1840" t="s">
        <v>3357</v>
      </c>
      <c r="H1840" t="s">
        <v>124</v>
      </c>
      <c r="I1840" t="s">
        <v>58</v>
      </c>
      <c r="J1840" t="s">
        <v>3358</v>
      </c>
      <c r="K1840">
        <v>23</v>
      </c>
      <c r="L1840" t="s">
        <v>49</v>
      </c>
      <c r="M1840" t="s">
        <v>91</v>
      </c>
      <c r="N1840" t="s">
        <v>112</v>
      </c>
      <c r="O1840" t="s">
        <v>28</v>
      </c>
      <c r="P1840" t="s">
        <v>31</v>
      </c>
      <c r="Q1840">
        <v>0</v>
      </c>
      <c r="R1840" t="s">
        <v>12883</v>
      </c>
      <c r="S1840" t="s">
        <v>12892</v>
      </c>
    </row>
    <row r="1841" spans="1:19" x14ac:dyDescent="0.25">
      <c r="A1841" t="s">
        <v>3105</v>
      </c>
      <c r="B1841" s="1">
        <v>45866</v>
      </c>
      <c r="C1841" t="s">
        <v>12885</v>
      </c>
      <c r="D1841" s="5">
        <v>0.46858796296296296</v>
      </c>
      <c r="E1841">
        <v>68.989999999999995</v>
      </c>
      <c r="F1841" t="s">
        <v>44</v>
      </c>
      <c r="G1841" t="s">
        <v>3040</v>
      </c>
      <c r="H1841" t="s">
        <v>124</v>
      </c>
      <c r="I1841" t="s">
        <v>35</v>
      </c>
      <c r="J1841" t="s">
        <v>3106</v>
      </c>
      <c r="K1841">
        <v>61</v>
      </c>
      <c r="L1841" t="s">
        <v>37</v>
      </c>
      <c r="M1841" t="s">
        <v>146</v>
      </c>
      <c r="N1841" t="s">
        <v>105</v>
      </c>
      <c r="O1841" t="s">
        <v>28</v>
      </c>
      <c r="P1841" t="s">
        <v>31</v>
      </c>
      <c r="Q1841">
        <v>0</v>
      </c>
      <c r="R1841" t="s">
        <v>12883</v>
      </c>
      <c r="S1841" t="s">
        <v>12884</v>
      </c>
    </row>
    <row r="1842" spans="1:19" x14ac:dyDescent="0.25">
      <c r="A1842" t="s">
        <v>6893</v>
      </c>
      <c r="B1842" s="1">
        <v>45885</v>
      </c>
      <c r="C1842" t="s">
        <v>12893</v>
      </c>
      <c r="D1842" s="5">
        <v>8.6365740740740743E-2</v>
      </c>
      <c r="E1842">
        <v>68.98</v>
      </c>
      <c r="F1842" t="s">
        <v>44</v>
      </c>
      <c r="G1842" t="s">
        <v>5995</v>
      </c>
      <c r="H1842" t="s">
        <v>46</v>
      </c>
      <c r="I1842" t="s">
        <v>248</v>
      </c>
      <c r="J1842" t="s">
        <v>798</v>
      </c>
      <c r="K1842">
        <v>41</v>
      </c>
      <c r="L1842" t="s">
        <v>25</v>
      </c>
      <c r="M1842" t="s">
        <v>119</v>
      </c>
      <c r="N1842" t="s">
        <v>27</v>
      </c>
      <c r="O1842" t="s">
        <v>28</v>
      </c>
      <c r="P1842" t="s">
        <v>31</v>
      </c>
      <c r="Q1842">
        <v>0</v>
      </c>
      <c r="R1842" t="s">
        <v>12883</v>
      </c>
      <c r="S1842" t="s">
        <v>12886</v>
      </c>
    </row>
    <row r="1843" spans="1:19" x14ac:dyDescent="0.25">
      <c r="A1843" t="s">
        <v>833</v>
      </c>
      <c r="B1843" s="1">
        <v>45793</v>
      </c>
      <c r="C1843" t="s">
        <v>12887</v>
      </c>
      <c r="D1843" s="5">
        <v>0.21778935185185186</v>
      </c>
      <c r="E1843">
        <v>68.8</v>
      </c>
      <c r="F1843" t="s">
        <v>44</v>
      </c>
      <c r="G1843" t="s">
        <v>834</v>
      </c>
      <c r="H1843" t="s">
        <v>46</v>
      </c>
      <c r="I1843" t="s">
        <v>58</v>
      </c>
      <c r="J1843" t="s">
        <v>835</v>
      </c>
      <c r="K1843">
        <v>22</v>
      </c>
      <c r="L1843" t="s">
        <v>37</v>
      </c>
      <c r="M1843" t="s">
        <v>91</v>
      </c>
      <c r="N1843" t="s">
        <v>27</v>
      </c>
      <c r="O1843" t="s">
        <v>28</v>
      </c>
      <c r="P1843" t="s">
        <v>31</v>
      </c>
      <c r="Q1843">
        <v>0</v>
      </c>
      <c r="R1843" t="s">
        <v>12883</v>
      </c>
      <c r="S1843" t="s">
        <v>12892</v>
      </c>
    </row>
    <row r="1844" spans="1:19" x14ac:dyDescent="0.25">
      <c r="A1844" t="s">
        <v>2926</v>
      </c>
      <c r="B1844" s="1">
        <v>45929</v>
      </c>
      <c r="C1844" t="s">
        <v>12882</v>
      </c>
      <c r="D1844" s="5">
        <v>0.84710648148148149</v>
      </c>
      <c r="E1844">
        <v>68.709999999999994</v>
      </c>
      <c r="F1844" t="s">
        <v>44</v>
      </c>
      <c r="G1844" t="s">
        <v>2927</v>
      </c>
      <c r="H1844" t="s">
        <v>57</v>
      </c>
      <c r="I1844" t="s">
        <v>119</v>
      </c>
      <c r="J1844" t="s">
        <v>2928</v>
      </c>
      <c r="K1844">
        <v>62</v>
      </c>
      <c r="L1844" t="s">
        <v>37</v>
      </c>
      <c r="M1844" t="s">
        <v>26</v>
      </c>
      <c r="N1844" t="s">
        <v>84</v>
      </c>
      <c r="O1844" t="s">
        <v>28</v>
      </c>
      <c r="P1844" t="s">
        <v>31</v>
      </c>
      <c r="Q1844">
        <v>0</v>
      </c>
      <c r="R1844" t="s">
        <v>12883</v>
      </c>
      <c r="S1844" t="s">
        <v>12884</v>
      </c>
    </row>
    <row r="1845" spans="1:19" x14ac:dyDescent="0.25">
      <c r="A1845" t="s">
        <v>388</v>
      </c>
      <c r="B1845" s="1">
        <v>45926</v>
      </c>
      <c r="C1845" t="s">
        <v>12882</v>
      </c>
      <c r="D1845" s="5">
        <v>0.97105324074074073</v>
      </c>
      <c r="E1845">
        <v>68.61</v>
      </c>
      <c r="F1845" t="s">
        <v>44</v>
      </c>
      <c r="G1845" t="s">
        <v>389</v>
      </c>
      <c r="H1845" t="s">
        <v>57</v>
      </c>
      <c r="I1845" t="s">
        <v>23</v>
      </c>
      <c r="J1845" t="s">
        <v>390</v>
      </c>
      <c r="K1845">
        <v>74</v>
      </c>
      <c r="L1845" t="s">
        <v>37</v>
      </c>
      <c r="M1845" t="s">
        <v>66</v>
      </c>
      <c r="N1845" t="s">
        <v>84</v>
      </c>
      <c r="O1845" t="s">
        <v>28</v>
      </c>
      <c r="P1845" t="s">
        <v>31</v>
      </c>
      <c r="Q1845">
        <v>0</v>
      </c>
      <c r="R1845" t="s">
        <v>12883</v>
      </c>
      <c r="S1845" t="s">
        <v>12884</v>
      </c>
    </row>
    <row r="1846" spans="1:19" x14ac:dyDescent="0.25">
      <c r="A1846" t="s">
        <v>4097</v>
      </c>
      <c r="B1846" s="1">
        <v>45830</v>
      </c>
      <c r="C1846" t="s">
        <v>12888</v>
      </c>
      <c r="D1846" s="5">
        <v>2.4050925925925927E-2</v>
      </c>
      <c r="E1846">
        <v>68.59</v>
      </c>
      <c r="F1846" t="s">
        <v>44</v>
      </c>
      <c r="G1846" t="s">
        <v>4098</v>
      </c>
      <c r="H1846" t="s">
        <v>89</v>
      </c>
      <c r="I1846" t="s">
        <v>35</v>
      </c>
      <c r="J1846" t="s">
        <v>4099</v>
      </c>
      <c r="K1846">
        <v>27</v>
      </c>
      <c r="L1846" t="s">
        <v>37</v>
      </c>
      <c r="M1846" t="s">
        <v>91</v>
      </c>
      <c r="N1846" t="s">
        <v>105</v>
      </c>
      <c r="O1846" t="s">
        <v>28</v>
      </c>
      <c r="P1846" t="s">
        <v>31</v>
      </c>
      <c r="Q1846">
        <v>0</v>
      </c>
      <c r="R1846" t="s">
        <v>12883</v>
      </c>
      <c r="S1846" t="s">
        <v>12889</v>
      </c>
    </row>
    <row r="1847" spans="1:19" x14ac:dyDescent="0.25">
      <c r="A1847" t="s">
        <v>4258</v>
      </c>
      <c r="B1847" s="1">
        <v>45903</v>
      </c>
      <c r="C1847" t="s">
        <v>12882</v>
      </c>
      <c r="D1847" s="5">
        <v>0.20028935185185184</v>
      </c>
      <c r="E1847">
        <v>68.5</v>
      </c>
      <c r="F1847" t="s">
        <v>44</v>
      </c>
      <c r="G1847" t="s">
        <v>3748</v>
      </c>
      <c r="H1847" t="s">
        <v>77</v>
      </c>
      <c r="I1847" t="s">
        <v>38</v>
      </c>
      <c r="J1847" t="s">
        <v>4259</v>
      </c>
      <c r="K1847">
        <v>52</v>
      </c>
      <c r="L1847" t="s">
        <v>37</v>
      </c>
      <c r="M1847" t="s">
        <v>91</v>
      </c>
      <c r="N1847" t="s">
        <v>84</v>
      </c>
      <c r="O1847" t="s">
        <v>28</v>
      </c>
      <c r="P1847" t="s">
        <v>31</v>
      </c>
      <c r="Q1847">
        <v>0</v>
      </c>
      <c r="R1847" t="s">
        <v>12883</v>
      </c>
      <c r="S1847" t="s">
        <v>12886</v>
      </c>
    </row>
    <row r="1848" spans="1:19" x14ac:dyDescent="0.25">
      <c r="A1848" t="s">
        <v>9042</v>
      </c>
      <c r="B1848" s="1">
        <v>45879</v>
      </c>
      <c r="C1848" t="s">
        <v>12893</v>
      </c>
      <c r="D1848" s="5">
        <v>0.26803240740740741</v>
      </c>
      <c r="E1848">
        <v>68.36</v>
      </c>
      <c r="F1848" t="s">
        <v>44</v>
      </c>
      <c r="G1848" t="s">
        <v>8808</v>
      </c>
      <c r="H1848" t="s">
        <v>34</v>
      </c>
      <c r="I1848" t="s">
        <v>23</v>
      </c>
      <c r="J1848" t="s">
        <v>9043</v>
      </c>
      <c r="K1848">
        <v>35</v>
      </c>
      <c r="L1848" t="s">
        <v>25</v>
      </c>
      <c r="M1848" t="s">
        <v>248</v>
      </c>
      <c r="N1848" t="s">
        <v>84</v>
      </c>
      <c r="O1848" t="s">
        <v>28</v>
      </c>
      <c r="P1848" t="s">
        <v>31</v>
      </c>
      <c r="Q1848">
        <v>0</v>
      </c>
      <c r="R1848" t="s">
        <v>12883</v>
      </c>
      <c r="S1848" t="s">
        <v>12889</v>
      </c>
    </row>
    <row r="1849" spans="1:19" x14ac:dyDescent="0.25">
      <c r="A1849" t="s">
        <v>6084</v>
      </c>
      <c r="B1849" s="1">
        <v>45897</v>
      </c>
      <c r="C1849" t="s">
        <v>12893</v>
      </c>
      <c r="D1849" s="5">
        <v>0.94335648148148143</v>
      </c>
      <c r="E1849">
        <v>68.31</v>
      </c>
      <c r="F1849" t="s">
        <v>44</v>
      </c>
      <c r="G1849" t="s">
        <v>4053</v>
      </c>
      <c r="H1849" t="s">
        <v>89</v>
      </c>
      <c r="I1849" t="s">
        <v>248</v>
      </c>
      <c r="J1849" t="s">
        <v>2722</v>
      </c>
      <c r="K1849">
        <v>52</v>
      </c>
      <c r="L1849" t="s">
        <v>25</v>
      </c>
      <c r="M1849" t="s">
        <v>23</v>
      </c>
      <c r="N1849" t="s">
        <v>84</v>
      </c>
      <c r="O1849" t="s">
        <v>28</v>
      </c>
      <c r="P1849" t="s">
        <v>31</v>
      </c>
      <c r="Q1849">
        <v>0</v>
      </c>
      <c r="R1849" t="s">
        <v>12883</v>
      </c>
      <c r="S1849" t="s">
        <v>12886</v>
      </c>
    </row>
    <row r="1850" spans="1:19" x14ac:dyDescent="0.25">
      <c r="A1850" t="s">
        <v>5692</v>
      </c>
      <c r="B1850" s="1">
        <v>45956</v>
      </c>
      <c r="C1850" t="s">
        <v>12890</v>
      </c>
      <c r="D1850" s="5">
        <v>0.87635416666666666</v>
      </c>
      <c r="E1850">
        <v>68.16</v>
      </c>
      <c r="F1850" t="s">
        <v>44</v>
      </c>
      <c r="G1850" t="s">
        <v>4532</v>
      </c>
      <c r="H1850" t="s">
        <v>71</v>
      </c>
      <c r="I1850" t="s">
        <v>50</v>
      </c>
      <c r="J1850" t="s">
        <v>5693</v>
      </c>
      <c r="K1850">
        <v>33</v>
      </c>
      <c r="L1850" t="s">
        <v>25</v>
      </c>
      <c r="M1850" t="s">
        <v>91</v>
      </c>
      <c r="N1850" t="s">
        <v>105</v>
      </c>
      <c r="O1850" t="s">
        <v>28</v>
      </c>
      <c r="P1850" t="s">
        <v>31</v>
      </c>
      <c r="Q1850">
        <v>0</v>
      </c>
      <c r="R1850" t="s">
        <v>12883</v>
      </c>
      <c r="S1850" t="s">
        <v>12889</v>
      </c>
    </row>
    <row r="1851" spans="1:19" x14ac:dyDescent="0.25">
      <c r="A1851" t="s">
        <v>5182</v>
      </c>
      <c r="B1851" s="1">
        <v>45953</v>
      </c>
      <c r="C1851" t="s">
        <v>12890</v>
      </c>
      <c r="D1851" s="5">
        <v>0.66896990740740736</v>
      </c>
      <c r="E1851">
        <v>68.11</v>
      </c>
      <c r="F1851" t="s">
        <v>44</v>
      </c>
      <c r="G1851" t="s">
        <v>5183</v>
      </c>
      <c r="H1851" t="s">
        <v>89</v>
      </c>
      <c r="I1851" t="s">
        <v>146</v>
      </c>
      <c r="J1851" t="s">
        <v>5184</v>
      </c>
      <c r="K1851">
        <v>32</v>
      </c>
      <c r="L1851" t="s">
        <v>49</v>
      </c>
      <c r="M1851" t="s">
        <v>146</v>
      </c>
      <c r="N1851" t="s">
        <v>51</v>
      </c>
      <c r="O1851" t="s">
        <v>113</v>
      </c>
      <c r="P1851" t="s">
        <v>31</v>
      </c>
      <c r="Q1851">
        <v>0</v>
      </c>
      <c r="R1851" t="s">
        <v>12883</v>
      </c>
      <c r="S1851" t="s">
        <v>12889</v>
      </c>
    </row>
    <row r="1852" spans="1:19" x14ac:dyDescent="0.25">
      <c r="A1852" t="s">
        <v>8709</v>
      </c>
      <c r="B1852" s="1">
        <v>45905</v>
      </c>
      <c r="C1852" t="s">
        <v>12882</v>
      </c>
      <c r="D1852" s="5">
        <v>0.35880787037037037</v>
      </c>
      <c r="E1852">
        <v>67.8</v>
      </c>
      <c r="F1852" t="s">
        <v>44</v>
      </c>
      <c r="G1852" t="s">
        <v>5094</v>
      </c>
      <c r="H1852" t="s">
        <v>96</v>
      </c>
      <c r="I1852" t="s">
        <v>97</v>
      </c>
      <c r="J1852" t="s">
        <v>8710</v>
      </c>
      <c r="K1852">
        <v>71</v>
      </c>
      <c r="L1852" t="s">
        <v>37</v>
      </c>
      <c r="M1852" t="s">
        <v>38</v>
      </c>
      <c r="N1852" t="s">
        <v>27</v>
      </c>
      <c r="O1852" t="s">
        <v>28</v>
      </c>
      <c r="P1852" t="s">
        <v>31</v>
      </c>
      <c r="Q1852">
        <v>0</v>
      </c>
      <c r="R1852" t="s">
        <v>12883</v>
      </c>
      <c r="S1852" t="s">
        <v>12884</v>
      </c>
    </row>
    <row r="1853" spans="1:19" x14ac:dyDescent="0.25">
      <c r="A1853" t="s">
        <v>9627</v>
      </c>
      <c r="B1853" s="1">
        <v>45870</v>
      </c>
      <c r="C1853" t="s">
        <v>12893</v>
      </c>
      <c r="D1853" s="5">
        <v>0.13364583333333332</v>
      </c>
      <c r="E1853">
        <v>67.8</v>
      </c>
      <c r="F1853" t="s">
        <v>44</v>
      </c>
      <c r="G1853" t="s">
        <v>3256</v>
      </c>
      <c r="H1853" t="s">
        <v>89</v>
      </c>
      <c r="I1853" t="s">
        <v>248</v>
      </c>
      <c r="J1853" t="s">
        <v>9628</v>
      </c>
      <c r="K1853">
        <v>49</v>
      </c>
      <c r="L1853" t="s">
        <v>49</v>
      </c>
      <c r="M1853" t="s">
        <v>66</v>
      </c>
      <c r="N1853" t="s">
        <v>39</v>
      </c>
      <c r="O1853" t="s">
        <v>28</v>
      </c>
      <c r="P1853" t="s">
        <v>31</v>
      </c>
      <c r="Q1853">
        <v>0</v>
      </c>
      <c r="R1853" t="s">
        <v>12883</v>
      </c>
      <c r="S1853" t="s">
        <v>12886</v>
      </c>
    </row>
    <row r="1854" spans="1:19" x14ac:dyDescent="0.25">
      <c r="A1854" t="s">
        <v>10274</v>
      </c>
      <c r="B1854" s="1">
        <v>45794</v>
      </c>
      <c r="C1854" t="s">
        <v>12887</v>
      </c>
      <c r="D1854" s="5">
        <v>0.9357523148148148</v>
      </c>
      <c r="E1854">
        <v>67.75</v>
      </c>
      <c r="F1854" t="s">
        <v>44</v>
      </c>
      <c r="G1854" t="s">
        <v>4683</v>
      </c>
      <c r="H1854" t="s">
        <v>124</v>
      </c>
      <c r="I1854" t="s">
        <v>66</v>
      </c>
      <c r="J1854" t="s">
        <v>10275</v>
      </c>
      <c r="K1854">
        <v>47</v>
      </c>
      <c r="L1854" t="s">
        <v>37</v>
      </c>
      <c r="M1854" t="s">
        <v>58</v>
      </c>
      <c r="N1854" t="s">
        <v>84</v>
      </c>
      <c r="O1854" t="s">
        <v>28</v>
      </c>
      <c r="P1854" t="s">
        <v>31</v>
      </c>
      <c r="Q1854">
        <v>0</v>
      </c>
      <c r="R1854" t="s">
        <v>12883</v>
      </c>
      <c r="S1854" t="s">
        <v>12886</v>
      </c>
    </row>
    <row r="1855" spans="1:19" x14ac:dyDescent="0.25">
      <c r="A1855" t="s">
        <v>12157</v>
      </c>
      <c r="B1855" s="1">
        <v>45887</v>
      </c>
      <c r="C1855" t="s">
        <v>12893</v>
      </c>
      <c r="D1855" s="5">
        <v>0.58804398148148151</v>
      </c>
      <c r="E1855">
        <v>67.739999999999995</v>
      </c>
      <c r="F1855" t="s">
        <v>44</v>
      </c>
      <c r="G1855" t="s">
        <v>5295</v>
      </c>
      <c r="H1855" t="s">
        <v>57</v>
      </c>
      <c r="I1855" t="s">
        <v>35</v>
      </c>
      <c r="J1855" t="s">
        <v>12158</v>
      </c>
      <c r="K1855">
        <v>20</v>
      </c>
      <c r="L1855" t="s">
        <v>37</v>
      </c>
      <c r="M1855" t="s">
        <v>38</v>
      </c>
      <c r="N1855" t="s">
        <v>105</v>
      </c>
      <c r="O1855" t="s">
        <v>28</v>
      </c>
      <c r="P1855" t="s">
        <v>31</v>
      </c>
      <c r="Q1855">
        <v>0</v>
      </c>
      <c r="R1855" t="s">
        <v>12883</v>
      </c>
      <c r="S1855" t="s">
        <v>12892</v>
      </c>
    </row>
    <row r="1856" spans="1:19" x14ac:dyDescent="0.25">
      <c r="A1856" t="s">
        <v>6630</v>
      </c>
      <c r="B1856" s="1">
        <v>45807</v>
      </c>
      <c r="C1856" t="s">
        <v>12887</v>
      </c>
      <c r="D1856" s="5">
        <v>0.75005787037037042</v>
      </c>
      <c r="E1856">
        <v>67.73</v>
      </c>
      <c r="F1856" t="s">
        <v>44</v>
      </c>
      <c r="G1856" t="s">
        <v>5036</v>
      </c>
      <c r="H1856" t="s">
        <v>124</v>
      </c>
      <c r="I1856" t="s">
        <v>119</v>
      </c>
      <c r="J1856" t="s">
        <v>6631</v>
      </c>
      <c r="K1856">
        <v>63</v>
      </c>
      <c r="L1856" t="s">
        <v>37</v>
      </c>
      <c r="M1856" t="s">
        <v>26</v>
      </c>
      <c r="N1856" t="s">
        <v>84</v>
      </c>
      <c r="O1856" t="s">
        <v>28</v>
      </c>
      <c r="P1856" t="s">
        <v>31</v>
      </c>
      <c r="Q1856">
        <v>0</v>
      </c>
      <c r="R1856" t="s">
        <v>12883</v>
      </c>
      <c r="S1856" t="s">
        <v>12884</v>
      </c>
    </row>
    <row r="1857" spans="1:19" x14ac:dyDescent="0.25">
      <c r="A1857" t="s">
        <v>7553</v>
      </c>
      <c r="B1857" s="1">
        <v>45887</v>
      </c>
      <c r="C1857" t="s">
        <v>12893</v>
      </c>
      <c r="D1857" s="5">
        <v>0.57442129629629635</v>
      </c>
      <c r="E1857">
        <v>67.61</v>
      </c>
      <c r="F1857" t="s">
        <v>44</v>
      </c>
      <c r="G1857" t="s">
        <v>683</v>
      </c>
      <c r="H1857" t="s">
        <v>124</v>
      </c>
      <c r="I1857" t="s">
        <v>23</v>
      </c>
      <c r="J1857" t="s">
        <v>7554</v>
      </c>
      <c r="K1857">
        <v>41</v>
      </c>
      <c r="L1857" t="s">
        <v>25</v>
      </c>
      <c r="M1857" t="s">
        <v>35</v>
      </c>
      <c r="N1857" t="s">
        <v>105</v>
      </c>
      <c r="O1857" t="s">
        <v>28</v>
      </c>
      <c r="P1857" t="s">
        <v>31</v>
      </c>
      <c r="Q1857">
        <v>0</v>
      </c>
      <c r="R1857" t="s">
        <v>12883</v>
      </c>
      <c r="S1857" t="s">
        <v>12886</v>
      </c>
    </row>
    <row r="1858" spans="1:19" x14ac:dyDescent="0.25">
      <c r="A1858" t="s">
        <v>1365</v>
      </c>
      <c r="B1858" s="1">
        <v>45945</v>
      </c>
      <c r="C1858" t="s">
        <v>12890</v>
      </c>
      <c r="D1858" s="5">
        <v>0.76800925925925922</v>
      </c>
      <c r="E1858">
        <v>67.5</v>
      </c>
      <c r="F1858" t="s">
        <v>44</v>
      </c>
      <c r="G1858" t="s">
        <v>1366</v>
      </c>
      <c r="H1858" t="s">
        <v>96</v>
      </c>
      <c r="I1858" t="s">
        <v>58</v>
      </c>
      <c r="J1858" t="s">
        <v>1367</v>
      </c>
      <c r="K1858">
        <v>71</v>
      </c>
      <c r="L1858" t="s">
        <v>25</v>
      </c>
      <c r="M1858" t="s">
        <v>58</v>
      </c>
      <c r="N1858" t="s">
        <v>84</v>
      </c>
      <c r="O1858" t="s">
        <v>113</v>
      </c>
      <c r="P1858" t="s">
        <v>31</v>
      </c>
      <c r="Q1858">
        <v>0</v>
      </c>
      <c r="R1858" t="s">
        <v>12883</v>
      </c>
      <c r="S1858" t="s">
        <v>12884</v>
      </c>
    </row>
    <row r="1859" spans="1:19" x14ac:dyDescent="0.25">
      <c r="A1859" t="s">
        <v>9597</v>
      </c>
      <c r="B1859" s="1">
        <v>45920</v>
      </c>
      <c r="C1859" t="s">
        <v>12882</v>
      </c>
      <c r="D1859" s="5">
        <v>0.58888888888888891</v>
      </c>
      <c r="E1859">
        <v>67.42</v>
      </c>
      <c r="F1859" t="s">
        <v>44</v>
      </c>
      <c r="G1859" t="s">
        <v>3951</v>
      </c>
      <c r="H1859" t="s">
        <v>46</v>
      </c>
      <c r="I1859" t="s">
        <v>66</v>
      </c>
      <c r="J1859" t="s">
        <v>9598</v>
      </c>
      <c r="K1859">
        <v>58</v>
      </c>
      <c r="L1859" t="s">
        <v>37</v>
      </c>
      <c r="M1859" t="s">
        <v>23</v>
      </c>
      <c r="N1859" t="s">
        <v>112</v>
      </c>
      <c r="O1859" t="s">
        <v>28</v>
      </c>
      <c r="P1859" t="s">
        <v>31</v>
      </c>
      <c r="Q1859">
        <v>0</v>
      </c>
      <c r="R1859" t="s">
        <v>12883</v>
      </c>
      <c r="S1859" t="s">
        <v>12886</v>
      </c>
    </row>
    <row r="1860" spans="1:19" x14ac:dyDescent="0.25">
      <c r="A1860" t="s">
        <v>11947</v>
      </c>
      <c r="B1860" s="1">
        <v>45956</v>
      </c>
      <c r="C1860" t="s">
        <v>12890</v>
      </c>
      <c r="D1860" s="5">
        <v>0.44210648148148146</v>
      </c>
      <c r="E1860">
        <v>67.290000000000006</v>
      </c>
      <c r="F1860" t="s">
        <v>44</v>
      </c>
      <c r="G1860" t="s">
        <v>2654</v>
      </c>
      <c r="H1860" t="s">
        <v>34</v>
      </c>
      <c r="I1860" t="s">
        <v>66</v>
      </c>
      <c r="J1860" t="s">
        <v>11948</v>
      </c>
      <c r="K1860">
        <v>49</v>
      </c>
      <c r="L1860" t="s">
        <v>37</v>
      </c>
      <c r="M1860" t="s">
        <v>50</v>
      </c>
      <c r="N1860" t="s">
        <v>84</v>
      </c>
      <c r="O1860" t="s">
        <v>28</v>
      </c>
      <c r="P1860" t="s">
        <v>31</v>
      </c>
      <c r="Q1860">
        <v>1</v>
      </c>
      <c r="R1860" t="s">
        <v>12891</v>
      </c>
      <c r="S1860" t="s">
        <v>12886</v>
      </c>
    </row>
    <row r="1861" spans="1:19" x14ac:dyDescent="0.25">
      <c r="A1861" t="s">
        <v>11293</v>
      </c>
      <c r="B1861" s="1">
        <v>45780</v>
      </c>
      <c r="C1861" t="s">
        <v>12887</v>
      </c>
      <c r="D1861" s="5">
        <v>0.85776620370370371</v>
      </c>
      <c r="E1861">
        <v>67.28</v>
      </c>
      <c r="F1861" t="s">
        <v>44</v>
      </c>
      <c r="G1861" t="s">
        <v>2575</v>
      </c>
      <c r="H1861" t="s">
        <v>77</v>
      </c>
      <c r="I1861" t="s">
        <v>97</v>
      </c>
      <c r="J1861" t="s">
        <v>11294</v>
      </c>
      <c r="K1861">
        <v>57</v>
      </c>
      <c r="L1861" t="s">
        <v>37</v>
      </c>
      <c r="M1861" t="s">
        <v>35</v>
      </c>
      <c r="N1861" t="s">
        <v>112</v>
      </c>
      <c r="O1861" t="s">
        <v>28</v>
      </c>
      <c r="P1861" t="s">
        <v>31</v>
      </c>
      <c r="Q1861">
        <v>0</v>
      </c>
      <c r="R1861" t="s">
        <v>12883</v>
      </c>
      <c r="S1861" t="s">
        <v>12886</v>
      </c>
    </row>
    <row r="1862" spans="1:19" x14ac:dyDescent="0.25">
      <c r="A1862" t="s">
        <v>2386</v>
      </c>
      <c r="B1862" s="1">
        <v>45907</v>
      </c>
      <c r="C1862" t="s">
        <v>12882</v>
      </c>
      <c r="D1862" s="5">
        <v>0.16333333333333333</v>
      </c>
      <c r="E1862">
        <v>67.260000000000005</v>
      </c>
      <c r="F1862" t="s">
        <v>44</v>
      </c>
      <c r="G1862" t="s">
        <v>438</v>
      </c>
      <c r="H1862" t="s">
        <v>77</v>
      </c>
      <c r="I1862" t="s">
        <v>35</v>
      </c>
      <c r="J1862" t="s">
        <v>2387</v>
      </c>
      <c r="K1862">
        <v>31</v>
      </c>
      <c r="L1862" t="s">
        <v>25</v>
      </c>
      <c r="M1862" t="s">
        <v>23</v>
      </c>
      <c r="N1862" t="s">
        <v>112</v>
      </c>
      <c r="O1862" t="s">
        <v>28</v>
      </c>
      <c r="P1862" t="s">
        <v>31</v>
      </c>
      <c r="Q1862">
        <v>0</v>
      </c>
      <c r="R1862" t="s">
        <v>12883</v>
      </c>
      <c r="S1862" t="s">
        <v>12889</v>
      </c>
    </row>
    <row r="1863" spans="1:19" x14ac:dyDescent="0.25">
      <c r="A1863" t="s">
        <v>5013</v>
      </c>
      <c r="B1863" s="1">
        <v>45936</v>
      </c>
      <c r="C1863" t="s">
        <v>12890</v>
      </c>
      <c r="D1863" s="5">
        <v>0.14902777777777779</v>
      </c>
      <c r="E1863">
        <v>67.260000000000005</v>
      </c>
      <c r="F1863" t="s">
        <v>44</v>
      </c>
      <c r="G1863" t="s">
        <v>4811</v>
      </c>
      <c r="H1863" t="s">
        <v>71</v>
      </c>
      <c r="I1863" t="s">
        <v>47</v>
      </c>
      <c r="J1863" t="s">
        <v>5014</v>
      </c>
      <c r="K1863">
        <v>37</v>
      </c>
      <c r="L1863" t="s">
        <v>49</v>
      </c>
      <c r="M1863" t="s">
        <v>248</v>
      </c>
      <c r="N1863" t="s">
        <v>27</v>
      </c>
      <c r="O1863" t="s">
        <v>28</v>
      </c>
      <c r="P1863" t="s">
        <v>31</v>
      </c>
      <c r="Q1863">
        <v>0</v>
      </c>
      <c r="R1863" t="s">
        <v>12883</v>
      </c>
      <c r="S1863" t="s">
        <v>12889</v>
      </c>
    </row>
    <row r="1864" spans="1:19" x14ac:dyDescent="0.25">
      <c r="A1864" t="s">
        <v>8366</v>
      </c>
      <c r="B1864" s="1">
        <v>45924</v>
      </c>
      <c r="C1864" t="s">
        <v>12882</v>
      </c>
      <c r="D1864" s="5">
        <v>0.46212962962962961</v>
      </c>
      <c r="E1864">
        <v>67.17</v>
      </c>
      <c r="F1864" t="s">
        <v>44</v>
      </c>
      <c r="G1864" t="s">
        <v>888</v>
      </c>
      <c r="H1864" t="s">
        <v>34</v>
      </c>
      <c r="I1864" t="s">
        <v>23</v>
      </c>
      <c r="J1864" t="s">
        <v>8367</v>
      </c>
      <c r="K1864">
        <v>40</v>
      </c>
      <c r="L1864" t="s">
        <v>37</v>
      </c>
      <c r="M1864" t="s">
        <v>58</v>
      </c>
      <c r="N1864" t="s">
        <v>51</v>
      </c>
      <c r="O1864" t="s">
        <v>28</v>
      </c>
      <c r="P1864" t="s">
        <v>31</v>
      </c>
      <c r="Q1864">
        <v>0</v>
      </c>
      <c r="R1864" t="s">
        <v>12883</v>
      </c>
      <c r="S1864" t="s">
        <v>12886</v>
      </c>
    </row>
    <row r="1865" spans="1:19" x14ac:dyDescent="0.25">
      <c r="A1865" t="s">
        <v>6702</v>
      </c>
      <c r="B1865" s="1">
        <v>45826</v>
      </c>
      <c r="C1865" t="s">
        <v>12888</v>
      </c>
      <c r="D1865" s="5">
        <v>0.59013888888888888</v>
      </c>
      <c r="E1865">
        <v>67.099999999999994</v>
      </c>
      <c r="F1865" t="s">
        <v>44</v>
      </c>
      <c r="G1865" t="s">
        <v>6703</v>
      </c>
      <c r="H1865" t="s">
        <v>96</v>
      </c>
      <c r="I1865" t="s">
        <v>110</v>
      </c>
      <c r="J1865" t="s">
        <v>6704</v>
      </c>
      <c r="K1865">
        <v>25</v>
      </c>
      <c r="L1865" t="s">
        <v>37</v>
      </c>
      <c r="M1865" t="s">
        <v>47</v>
      </c>
      <c r="N1865" t="s">
        <v>51</v>
      </c>
      <c r="O1865" t="s">
        <v>28</v>
      </c>
      <c r="P1865" t="s">
        <v>31</v>
      </c>
      <c r="Q1865">
        <v>0</v>
      </c>
      <c r="R1865" t="s">
        <v>12883</v>
      </c>
      <c r="S1865" t="s">
        <v>12889</v>
      </c>
    </row>
    <row r="1866" spans="1:19" x14ac:dyDescent="0.25">
      <c r="A1866" t="s">
        <v>11924</v>
      </c>
      <c r="B1866" s="1">
        <v>45885</v>
      </c>
      <c r="C1866" t="s">
        <v>12893</v>
      </c>
      <c r="D1866" s="5">
        <v>0.50112268518518521</v>
      </c>
      <c r="E1866">
        <v>66.930000000000007</v>
      </c>
      <c r="F1866" t="s">
        <v>44</v>
      </c>
      <c r="G1866" t="s">
        <v>2580</v>
      </c>
      <c r="H1866" t="s">
        <v>46</v>
      </c>
      <c r="I1866" t="s">
        <v>97</v>
      </c>
      <c r="J1866" t="s">
        <v>11925</v>
      </c>
      <c r="K1866">
        <v>24</v>
      </c>
      <c r="L1866" t="s">
        <v>37</v>
      </c>
      <c r="M1866" t="s">
        <v>66</v>
      </c>
      <c r="N1866" t="s">
        <v>105</v>
      </c>
      <c r="O1866" t="s">
        <v>28</v>
      </c>
      <c r="P1866" t="s">
        <v>31</v>
      </c>
      <c r="Q1866">
        <v>0</v>
      </c>
      <c r="R1866" t="s">
        <v>12883</v>
      </c>
      <c r="S1866" t="s">
        <v>12892</v>
      </c>
    </row>
    <row r="1867" spans="1:19" x14ac:dyDescent="0.25">
      <c r="A1867" t="s">
        <v>7303</v>
      </c>
      <c r="B1867" s="1">
        <v>45896</v>
      </c>
      <c r="C1867" t="s">
        <v>12893</v>
      </c>
      <c r="D1867" s="5">
        <v>0.1547337962962963</v>
      </c>
      <c r="E1867">
        <v>66.73</v>
      </c>
      <c r="F1867" t="s">
        <v>44</v>
      </c>
      <c r="G1867" t="s">
        <v>323</v>
      </c>
      <c r="H1867" t="s">
        <v>46</v>
      </c>
      <c r="I1867" t="s">
        <v>23</v>
      </c>
      <c r="J1867" t="s">
        <v>7304</v>
      </c>
      <c r="K1867">
        <v>20</v>
      </c>
      <c r="L1867" t="s">
        <v>49</v>
      </c>
      <c r="M1867" t="s">
        <v>248</v>
      </c>
      <c r="N1867" t="s">
        <v>27</v>
      </c>
      <c r="O1867" t="s">
        <v>28</v>
      </c>
      <c r="P1867" t="s">
        <v>31</v>
      </c>
      <c r="Q1867">
        <v>0</v>
      </c>
      <c r="R1867" t="s">
        <v>12883</v>
      </c>
      <c r="S1867" t="s">
        <v>12892</v>
      </c>
    </row>
    <row r="1868" spans="1:19" x14ac:dyDescent="0.25">
      <c r="A1868" t="s">
        <v>11335</v>
      </c>
      <c r="B1868" s="1">
        <v>45850</v>
      </c>
      <c r="C1868" t="s">
        <v>12885</v>
      </c>
      <c r="D1868" s="5">
        <v>0.77994212962962961</v>
      </c>
      <c r="E1868">
        <v>66.73</v>
      </c>
      <c r="F1868" t="s">
        <v>44</v>
      </c>
      <c r="G1868" t="s">
        <v>5858</v>
      </c>
      <c r="H1868" t="s">
        <v>46</v>
      </c>
      <c r="I1868" t="s">
        <v>91</v>
      </c>
      <c r="J1868" t="s">
        <v>11336</v>
      </c>
      <c r="K1868">
        <v>73</v>
      </c>
      <c r="L1868" t="s">
        <v>37</v>
      </c>
      <c r="M1868" t="s">
        <v>47</v>
      </c>
      <c r="N1868" t="s">
        <v>27</v>
      </c>
      <c r="O1868" t="s">
        <v>28</v>
      </c>
      <c r="P1868" t="s">
        <v>31</v>
      </c>
      <c r="Q1868">
        <v>0</v>
      </c>
      <c r="R1868" t="s">
        <v>12883</v>
      </c>
      <c r="S1868" t="s">
        <v>12884</v>
      </c>
    </row>
    <row r="1869" spans="1:19" x14ac:dyDescent="0.25">
      <c r="A1869" t="s">
        <v>5119</v>
      </c>
      <c r="B1869" s="1">
        <v>45789</v>
      </c>
      <c r="C1869" t="s">
        <v>12887</v>
      </c>
      <c r="D1869" s="5">
        <v>1.3587962962962963E-2</v>
      </c>
      <c r="E1869">
        <v>66.709999999999994</v>
      </c>
      <c r="F1869" t="s">
        <v>44</v>
      </c>
      <c r="G1869" t="s">
        <v>3375</v>
      </c>
      <c r="H1869" t="s">
        <v>71</v>
      </c>
      <c r="I1869" t="s">
        <v>23</v>
      </c>
      <c r="J1869" t="s">
        <v>5120</v>
      </c>
      <c r="K1869">
        <v>33</v>
      </c>
      <c r="L1869" t="s">
        <v>25</v>
      </c>
      <c r="M1869" t="s">
        <v>97</v>
      </c>
      <c r="N1869" t="s">
        <v>105</v>
      </c>
      <c r="O1869" t="s">
        <v>28</v>
      </c>
      <c r="P1869" t="s">
        <v>31</v>
      </c>
      <c r="Q1869">
        <v>0</v>
      </c>
      <c r="R1869" t="s">
        <v>12883</v>
      </c>
      <c r="S1869" t="s">
        <v>12889</v>
      </c>
    </row>
    <row r="1870" spans="1:19" x14ac:dyDescent="0.25">
      <c r="A1870" t="s">
        <v>520</v>
      </c>
      <c r="B1870" s="1">
        <v>45831</v>
      </c>
      <c r="C1870" t="s">
        <v>12888</v>
      </c>
      <c r="D1870" s="5">
        <v>0.9982523148148148</v>
      </c>
      <c r="E1870">
        <v>66.66</v>
      </c>
      <c r="F1870" t="s">
        <v>44</v>
      </c>
      <c r="G1870" t="s">
        <v>521</v>
      </c>
      <c r="H1870" t="s">
        <v>124</v>
      </c>
      <c r="I1870" t="s">
        <v>58</v>
      </c>
      <c r="J1870" t="s">
        <v>522</v>
      </c>
      <c r="K1870">
        <v>46</v>
      </c>
      <c r="L1870" t="s">
        <v>37</v>
      </c>
      <c r="M1870" t="s">
        <v>23</v>
      </c>
      <c r="N1870" t="s">
        <v>112</v>
      </c>
      <c r="O1870" t="s">
        <v>28</v>
      </c>
      <c r="P1870" t="s">
        <v>31</v>
      </c>
      <c r="Q1870">
        <v>1</v>
      </c>
      <c r="R1870" t="s">
        <v>12891</v>
      </c>
      <c r="S1870" t="s">
        <v>12886</v>
      </c>
    </row>
    <row r="1871" spans="1:19" x14ac:dyDescent="0.25">
      <c r="A1871" t="s">
        <v>8177</v>
      </c>
      <c r="B1871" s="1">
        <v>45929</v>
      </c>
      <c r="C1871" t="s">
        <v>12882</v>
      </c>
      <c r="D1871" s="5">
        <v>0.45802083333333332</v>
      </c>
      <c r="E1871">
        <v>66.64</v>
      </c>
      <c r="F1871" t="s">
        <v>44</v>
      </c>
      <c r="G1871" t="s">
        <v>1229</v>
      </c>
      <c r="H1871" t="s">
        <v>71</v>
      </c>
      <c r="I1871" t="s">
        <v>91</v>
      </c>
      <c r="J1871" t="s">
        <v>8178</v>
      </c>
      <c r="K1871">
        <v>64</v>
      </c>
      <c r="L1871" t="s">
        <v>37</v>
      </c>
      <c r="M1871" t="s">
        <v>38</v>
      </c>
      <c r="N1871" t="s">
        <v>27</v>
      </c>
      <c r="O1871" t="s">
        <v>28</v>
      </c>
      <c r="P1871" t="s">
        <v>31</v>
      </c>
      <c r="Q1871">
        <v>0</v>
      </c>
      <c r="R1871" t="s">
        <v>12883</v>
      </c>
      <c r="S1871" t="s">
        <v>12884</v>
      </c>
    </row>
    <row r="1872" spans="1:19" x14ac:dyDescent="0.25">
      <c r="A1872" t="s">
        <v>9369</v>
      </c>
      <c r="B1872" s="1">
        <v>45878</v>
      </c>
      <c r="C1872" t="s">
        <v>12893</v>
      </c>
      <c r="D1872" s="5">
        <v>0.36512731481481481</v>
      </c>
      <c r="E1872">
        <v>66.58</v>
      </c>
      <c r="F1872" t="s">
        <v>44</v>
      </c>
      <c r="G1872" t="s">
        <v>4150</v>
      </c>
      <c r="H1872" t="s">
        <v>124</v>
      </c>
      <c r="I1872" t="s">
        <v>23</v>
      </c>
      <c r="J1872" t="s">
        <v>9370</v>
      </c>
      <c r="K1872">
        <v>49</v>
      </c>
      <c r="L1872" t="s">
        <v>37</v>
      </c>
      <c r="M1872" t="s">
        <v>97</v>
      </c>
      <c r="N1872" t="s">
        <v>105</v>
      </c>
      <c r="O1872" t="s">
        <v>28</v>
      </c>
      <c r="P1872" t="s">
        <v>31</v>
      </c>
      <c r="Q1872">
        <v>0</v>
      </c>
      <c r="R1872" t="s">
        <v>12883</v>
      </c>
      <c r="S1872" t="s">
        <v>12886</v>
      </c>
    </row>
    <row r="1873" spans="1:19" x14ac:dyDescent="0.25">
      <c r="A1873" t="s">
        <v>8981</v>
      </c>
      <c r="B1873" s="1">
        <v>45834</v>
      </c>
      <c r="C1873" t="s">
        <v>12888</v>
      </c>
      <c r="D1873" s="5">
        <v>0.83364583333333331</v>
      </c>
      <c r="E1873">
        <v>66.39</v>
      </c>
      <c r="F1873" t="s">
        <v>44</v>
      </c>
      <c r="G1873" t="s">
        <v>763</v>
      </c>
      <c r="H1873" t="s">
        <v>57</v>
      </c>
      <c r="I1873" t="s">
        <v>110</v>
      </c>
      <c r="J1873" t="s">
        <v>8982</v>
      </c>
      <c r="K1873">
        <v>22</v>
      </c>
      <c r="L1873" t="s">
        <v>49</v>
      </c>
      <c r="M1873" t="s">
        <v>119</v>
      </c>
      <c r="N1873" t="s">
        <v>105</v>
      </c>
      <c r="O1873" t="s">
        <v>28</v>
      </c>
      <c r="P1873" t="s">
        <v>31</v>
      </c>
      <c r="Q1873">
        <v>0</v>
      </c>
      <c r="R1873" t="s">
        <v>12883</v>
      </c>
      <c r="S1873" t="s">
        <v>12892</v>
      </c>
    </row>
    <row r="1874" spans="1:19" x14ac:dyDescent="0.25">
      <c r="A1874" t="s">
        <v>12417</v>
      </c>
      <c r="B1874" s="1">
        <v>45893</v>
      </c>
      <c r="C1874" t="s">
        <v>12893</v>
      </c>
      <c r="D1874" s="5">
        <v>5.0902777777777776E-2</v>
      </c>
      <c r="E1874">
        <v>66.17</v>
      </c>
      <c r="F1874" t="s">
        <v>44</v>
      </c>
      <c r="G1874" t="s">
        <v>227</v>
      </c>
      <c r="H1874" t="s">
        <v>22</v>
      </c>
      <c r="I1874" t="s">
        <v>38</v>
      </c>
      <c r="J1874" t="s">
        <v>12418</v>
      </c>
      <c r="K1874">
        <v>38</v>
      </c>
      <c r="L1874" t="s">
        <v>37</v>
      </c>
      <c r="M1874" t="s">
        <v>146</v>
      </c>
      <c r="N1874" t="s">
        <v>27</v>
      </c>
      <c r="O1874" t="s">
        <v>28</v>
      </c>
      <c r="P1874" t="s">
        <v>31</v>
      </c>
      <c r="Q1874">
        <v>0</v>
      </c>
      <c r="R1874" t="s">
        <v>12883</v>
      </c>
      <c r="S1874" t="s">
        <v>12889</v>
      </c>
    </row>
    <row r="1875" spans="1:19" x14ac:dyDescent="0.25">
      <c r="A1875" t="s">
        <v>12859</v>
      </c>
      <c r="B1875" s="1">
        <v>45879</v>
      </c>
      <c r="C1875" t="s">
        <v>12893</v>
      </c>
      <c r="D1875" s="5">
        <v>0.21995370370370371</v>
      </c>
      <c r="E1875">
        <v>66.11</v>
      </c>
      <c r="F1875" t="s">
        <v>44</v>
      </c>
      <c r="G1875" t="s">
        <v>33</v>
      </c>
      <c r="H1875" t="s">
        <v>34</v>
      </c>
      <c r="I1875" t="s">
        <v>119</v>
      </c>
      <c r="J1875" t="s">
        <v>12860</v>
      </c>
      <c r="K1875">
        <v>71</v>
      </c>
      <c r="L1875" t="s">
        <v>49</v>
      </c>
      <c r="M1875" t="s">
        <v>119</v>
      </c>
      <c r="N1875" t="s">
        <v>112</v>
      </c>
      <c r="O1875" t="s">
        <v>113</v>
      </c>
      <c r="P1875" t="s">
        <v>31</v>
      </c>
      <c r="Q1875">
        <v>0</v>
      </c>
      <c r="R1875" t="s">
        <v>12883</v>
      </c>
      <c r="S1875" t="s">
        <v>12884</v>
      </c>
    </row>
    <row r="1876" spans="1:19" x14ac:dyDescent="0.25">
      <c r="A1876" t="s">
        <v>3229</v>
      </c>
      <c r="B1876" s="1">
        <v>45918</v>
      </c>
      <c r="C1876" t="s">
        <v>12882</v>
      </c>
      <c r="D1876" s="5">
        <v>0.86396990740740742</v>
      </c>
      <c r="E1876">
        <v>66.03</v>
      </c>
      <c r="F1876" t="s">
        <v>44</v>
      </c>
      <c r="G1876" t="s">
        <v>3045</v>
      </c>
      <c r="H1876" t="s">
        <v>46</v>
      </c>
      <c r="I1876" t="s">
        <v>26</v>
      </c>
      <c r="J1876" t="s">
        <v>3230</v>
      </c>
      <c r="K1876">
        <v>65</v>
      </c>
      <c r="L1876" t="s">
        <v>25</v>
      </c>
      <c r="M1876" t="s">
        <v>91</v>
      </c>
      <c r="N1876" t="s">
        <v>27</v>
      </c>
      <c r="O1876" t="s">
        <v>28</v>
      </c>
      <c r="P1876" t="s">
        <v>31</v>
      </c>
      <c r="Q1876">
        <v>0</v>
      </c>
      <c r="R1876" t="s">
        <v>12883</v>
      </c>
      <c r="S1876" t="s">
        <v>12884</v>
      </c>
    </row>
    <row r="1877" spans="1:19" x14ac:dyDescent="0.25">
      <c r="A1877" t="s">
        <v>8462</v>
      </c>
      <c r="B1877" s="1">
        <v>45840</v>
      </c>
      <c r="C1877" t="s">
        <v>12885</v>
      </c>
      <c r="D1877" s="5">
        <v>0.77038194444444441</v>
      </c>
      <c r="E1877">
        <v>65.92</v>
      </c>
      <c r="F1877" t="s">
        <v>44</v>
      </c>
      <c r="G1877" t="s">
        <v>3474</v>
      </c>
      <c r="H1877" t="s">
        <v>71</v>
      </c>
      <c r="I1877" t="s">
        <v>97</v>
      </c>
      <c r="J1877" t="s">
        <v>8463</v>
      </c>
      <c r="K1877">
        <v>54</v>
      </c>
      <c r="L1877" t="s">
        <v>25</v>
      </c>
      <c r="M1877" t="s">
        <v>38</v>
      </c>
      <c r="N1877" t="s">
        <v>27</v>
      </c>
      <c r="O1877" t="s">
        <v>28</v>
      </c>
      <c r="P1877" t="s">
        <v>31</v>
      </c>
      <c r="Q1877">
        <v>0</v>
      </c>
      <c r="R1877" t="s">
        <v>12883</v>
      </c>
      <c r="S1877" t="s">
        <v>12886</v>
      </c>
    </row>
    <row r="1878" spans="1:19" x14ac:dyDescent="0.25">
      <c r="A1878" t="s">
        <v>3034</v>
      </c>
      <c r="B1878" s="1">
        <v>45906</v>
      </c>
      <c r="C1878" t="s">
        <v>12882</v>
      </c>
      <c r="D1878" s="5">
        <v>3.6261574074074071E-2</v>
      </c>
      <c r="E1878">
        <v>65.83</v>
      </c>
      <c r="F1878" t="s">
        <v>44</v>
      </c>
      <c r="G1878" t="s">
        <v>3035</v>
      </c>
      <c r="H1878" t="s">
        <v>89</v>
      </c>
      <c r="I1878" t="s">
        <v>47</v>
      </c>
      <c r="J1878" t="s">
        <v>3036</v>
      </c>
      <c r="K1878">
        <v>58</v>
      </c>
      <c r="L1878" t="s">
        <v>49</v>
      </c>
      <c r="M1878" t="s">
        <v>110</v>
      </c>
      <c r="N1878" t="s">
        <v>39</v>
      </c>
      <c r="O1878" t="s">
        <v>28</v>
      </c>
      <c r="P1878" t="s">
        <v>31</v>
      </c>
      <c r="Q1878">
        <v>0</v>
      </c>
      <c r="R1878" t="s">
        <v>12883</v>
      </c>
      <c r="S1878" t="s">
        <v>12886</v>
      </c>
    </row>
    <row r="1879" spans="1:19" x14ac:dyDescent="0.25">
      <c r="A1879" t="s">
        <v>3044</v>
      </c>
      <c r="B1879" s="1">
        <v>45811</v>
      </c>
      <c r="C1879" t="s">
        <v>12888</v>
      </c>
      <c r="D1879" s="5">
        <v>2.6817129629629628E-2</v>
      </c>
      <c r="E1879">
        <v>65.81</v>
      </c>
      <c r="F1879" t="s">
        <v>44</v>
      </c>
      <c r="G1879" t="s">
        <v>3045</v>
      </c>
      <c r="H1879" t="s">
        <v>46</v>
      </c>
      <c r="I1879" t="s">
        <v>146</v>
      </c>
      <c r="J1879" t="s">
        <v>3046</v>
      </c>
      <c r="K1879">
        <v>72</v>
      </c>
      <c r="L1879" t="s">
        <v>49</v>
      </c>
      <c r="M1879" t="s">
        <v>26</v>
      </c>
      <c r="N1879" t="s">
        <v>84</v>
      </c>
      <c r="O1879" t="s">
        <v>28</v>
      </c>
      <c r="P1879" t="s">
        <v>31</v>
      </c>
      <c r="Q1879">
        <v>0</v>
      </c>
      <c r="R1879" t="s">
        <v>12883</v>
      </c>
      <c r="S1879" t="s">
        <v>12884</v>
      </c>
    </row>
    <row r="1880" spans="1:19" x14ac:dyDescent="0.25">
      <c r="A1880" t="s">
        <v>11452</v>
      </c>
      <c r="B1880" s="1">
        <v>45865</v>
      </c>
      <c r="C1880" t="s">
        <v>12885</v>
      </c>
      <c r="D1880" s="5">
        <v>0.94414351851851852</v>
      </c>
      <c r="E1880">
        <v>65.680000000000007</v>
      </c>
      <c r="F1880" t="s">
        <v>44</v>
      </c>
      <c r="G1880" t="s">
        <v>5255</v>
      </c>
      <c r="H1880" t="s">
        <v>96</v>
      </c>
      <c r="I1880" t="s">
        <v>110</v>
      </c>
      <c r="J1880" t="s">
        <v>11453</v>
      </c>
      <c r="K1880">
        <v>25</v>
      </c>
      <c r="L1880" t="s">
        <v>25</v>
      </c>
      <c r="M1880" t="s">
        <v>58</v>
      </c>
      <c r="N1880" t="s">
        <v>51</v>
      </c>
      <c r="O1880" t="s">
        <v>28</v>
      </c>
      <c r="P1880" t="s">
        <v>31</v>
      </c>
      <c r="Q1880">
        <v>0</v>
      </c>
      <c r="R1880" t="s">
        <v>12883</v>
      </c>
      <c r="S1880" t="s">
        <v>12889</v>
      </c>
    </row>
    <row r="1881" spans="1:19" x14ac:dyDescent="0.25">
      <c r="A1881" t="s">
        <v>11167</v>
      </c>
      <c r="B1881" s="1">
        <v>45850</v>
      </c>
      <c r="C1881" t="s">
        <v>12885</v>
      </c>
      <c r="D1881" s="5">
        <v>0.23231481481481481</v>
      </c>
      <c r="E1881">
        <v>65.650000000000006</v>
      </c>
      <c r="F1881" t="s">
        <v>44</v>
      </c>
      <c r="G1881" t="s">
        <v>5913</v>
      </c>
      <c r="H1881" t="s">
        <v>89</v>
      </c>
      <c r="I1881" t="s">
        <v>38</v>
      </c>
      <c r="J1881" t="s">
        <v>11168</v>
      </c>
      <c r="K1881">
        <v>55</v>
      </c>
      <c r="L1881" t="s">
        <v>37</v>
      </c>
      <c r="M1881" t="s">
        <v>47</v>
      </c>
      <c r="N1881" t="s">
        <v>112</v>
      </c>
      <c r="O1881" t="s">
        <v>28</v>
      </c>
      <c r="P1881" t="s">
        <v>31</v>
      </c>
      <c r="Q1881">
        <v>0</v>
      </c>
      <c r="R1881" t="s">
        <v>12883</v>
      </c>
      <c r="S1881" t="s">
        <v>12886</v>
      </c>
    </row>
    <row r="1882" spans="1:19" x14ac:dyDescent="0.25">
      <c r="A1882" t="s">
        <v>3752</v>
      </c>
      <c r="B1882" s="1">
        <v>45859</v>
      </c>
      <c r="C1882" t="s">
        <v>12885</v>
      </c>
      <c r="D1882" s="5">
        <v>0.17883101851851851</v>
      </c>
      <c r="E1882">
        <v>65.569999999999993</v>
      </c>
      <c r="F1882" t="s">
        <v>44</v>
      </c>
      <c r="G1882" t="s">
        <v>3753</v>
      </c>
      <c r="H1882" t="s">
        <v>57</v>
      </c>
      <c r="I1882" t="s">
        <v>58</v>
      </c>
      <c r="J1882" t="s">
        <v>3754</v>
      </c>
      <c r="K1882">
        <v>45</v>
      </c>
      <c r="L1882" t="s">
        <v>25</v>
      </c>
      <c r="M1882" t="s">
        <v>119</v>
      </c>
      <c r="N1882" t="s">
        <v>27</v>
      </c>
      <c r="O1882" t="s">
        <v>28</v>
      </c>
      <c r="P1882" t="s">
        <v>31</v>
      </c>
      <c r="Q1882">
        <v>0</v>
      </c>
      <c r="R1882" t="s">
        <v>12883</v>
      </c>
      <c r="S1882" t="s">
        <v>12886</v>
      </c>
    </row>
    <row r="1883" spans="1:19" x14ac:dyDescent="0.25">
      <c r="A1883" t="s">
        <v>10440</v>
      </c>
      <c r="B1883" s="1">
        <v>45934</v>
      </c>
      <c r="C1883" t="s">
        <v>12890</v>
      </c>
      <c r="D1883" s="5">
        <v>0.64990740740740738</v>
      </c>
      <c r="E1883">
        <v>65.55</v>
      </c>
      <c r="F1883" t="s">
        <v>44</v>
      </c>
      <c r="G1883" t="s">
        <v>973</v>
      </c>
      <c r="H1883" t="s">
        <v>46</v>
      </c>
      <c r="I1883" t="s">
        <v>35</v>
      </c>
      <c r="J1883" t="s">
        <v>10441</v>
      </c>
      <c r="K1883">
        <v>51</v>
      </c>
      <c r="L1883" t="s">
        <v>25</v>
      </c>
      <c r="M1883" t="s">
        <v>119</v>
      </c>
      <c r="N1883" t="s">
        <v>39</v>
      </c>
      <c r="O1883" t="s">
        <v>28</v>
      </c>
      <c r="P1883" t="s">
        <v>31</v>
      </c>
      <c r="Q1883">
        <v>0</v>
      </c>
      <c r="R1883" t="s">
        <v>12883</v>
      </c>
      <c r="S1883" t="s">
        <v>12886</v>
      </c>
    </row>
    <row r="1884" spans="1:19" x14ac:dyDescent="0.25">
      <c r="A1884" t="s">
        <v>11489</v>
      </c>
      <c r="B1884" s="1">
        <v>45887</v>
      </c>
      <c r="C1884" t="s">
        <v>12893</v>
      </c>
      <c r="D1884" s="5">
        <v>0.17723379629629629</v>
      </c>
      <c r="E1884">
        <v>65.44</v>
      </c>
      <c r="F1884" t="s">
        <v>44</v>
      </c>
      <c r="G1884" t="s">
        <v>1351</v>
      </c>
      <c r="H1884" t="s">
        <v>124</v>
      </c>
      <c r="I1884" t="s">
        <v>23</v>
      </c>
      <c r="J1884" t="s">
        <v>11490</v>
      </c>
      <c r="K1884">
        <v>28</v>
      </c>
      <c r="L1884" t="s">
        <v>49</v>
      </c>
      <c r="M1884" t="s">
        <v>50</v>
      </c>
      <c r="N1884" t="s">
        <v>51</v>
      </c>
      <c r="O1884" t="s">
        <v>28</v>
      </c>
      <c r="P1884" t="s">
        <v>31</v>
      </c>
      <c r="Q1884">
        <v>0</v>
      </c>
      <c r="R1884" t="s">
        <v>12883</v>
      </c>
      <c r="S1884" t="s">
        <v>12889</v>
      </c>
    </row>
    <row r="1885" spans="1:19" x14ac:dyDescent="0.25">
      <c r="A1885" t="s">
        <v>996</v>
      </c>
      <c r="B1885" s="1">
        <v>45946</v>
      </c>
      <c r="C1885" t="s">
        <v>12890</v>
      </c>
      <c r="D1885" s="5">
        <v>0.74164351851851851</v>
      </c>
      <c r="E1885">
        <v>65.400000000000006</v>
      </c>
      <c r="F1885" t="s">
        <v>44</v>
      </c>
      <c r="G1885" t="s">
        <v>997</v>
      </c>
      <c r="H1885" t="s">
        <v>22</v>
      </c>
      <c r="I1885" t="s">
        <v>110</v>
      </c>
      <c r="J1885" t="s">
        <v>998</v>
      </c>
      <c r="K1885">
        <v>22</v>
      </c>
      <c r="L1885" t="s">
        <v>49</v>
      </c>
      <c r="M1885" t="s">
        <v>26</v>
      </c>
      <c r="N1885" t="s">
        <v>39</v>
      </c>
      <c r="O1885" t="s">
        <v>28</v>
      </c>
      <c r="P1885" t="s">
        <v>31</v>
      </c>
      <c r="Q1885">
        <v>0</v>
      </c>
      <c r="R1885" t="s">
        <v>12883</v>
      </c>
      <c r="S1885" t="s">
        <v>12892</v>
      </c>
    </row>
    <row r="1886" spans="1:19" x14ac:dyDescent="0.25">
      <c r="A1886" t="s">
        <v>4020</v>
      </c>
      <c r="B1886" s="1">
        <v>45843</v>
      </c>
      <c r="C1886" t="s">
        <v>12885</v>
      </c>
      <c r="D1886" s="5">
        <v>0.51666666666666672</v>
      </c>
      <c r="E1886">
        <v>65.17</v>
      </c>
      <c r="F1886" t="s">
        <v>44</v>
      </c>
      <c r="G1886" t="s">
        <v>649</v>
      </c>
      <c r="H1886" t="s">
        <v>96</v>
      </c>
      <c r="I1886" t="s">
        <v>130</v>
      </c>
      <c r="J1886" t="s">
        <v>4021</v>
      </c>
      <c r="K1886">
        <v>91</v>
      </c>
      <c r="L1886" t="s">
        <v>49</v>
      </c>
      <c r="M1886" t="s">
        <v>110</v>
      </c>
      <c r="N1886" t="s">
        <v>39</v>
      </c>
      <c r="O1886" t="s">
        <v>28</v>
      </c>
      <c r="P1886" t="s">
        <v>31</v>
      </c>
      <c r="Q1886">
        <v>0</v>
      </c>
      <c r="R1886" t="s">
        <v>12883</v>
      </c>
      <c r="S1886" t="s">
        <v>12884</v>
      </c>
    </row>
    <row r="1887" spans="1:19" x14ac:dyDescent="0.25">
      <c r="A1887" t="s">
        <v>1011</v>
      </c>
      <c r="B1887" s="1">
        <v>45809</v>
      </c>
      <c r="C1887" t="s">
        <v>12888</v>
      </c>
      <c r="D1887" s="5">
        <v>0.47282407407407406</v>
      </c>
      <c r="E1887">
        <v>65.150000000000006</v>
      </c>
      <c r="F1887" t="s">
        <v>44</v>
      </c>
      <c r="G1887" t="s">
        <v>1012</v>
      </c>
      <c r="H1887" t="s">
        <v>64</v>
      </c>
      <c r="I1887" t="s">
        <v>97</v>
      </c>
      <c r="J1887" t="s">
        <v>1013</v>
      </c>
      <c r="K1887">
        <v>29</v>
      </c>
      <c r="L1887" t="s">
        <v>49</v>
      </c>
      <c r="M1887" t="s">
        <v>248</v>
      </c>
      <c r="N1887" t="s">
        <v>84</v>
      </c>
      <c r="O1887" t="s">
        <v>28</v>
      </c>
      <c r="P1887" t="s">
        <v>31</v>
      </c>
      <c r="Q1887">
        <v>0</v>
      </c>
      <c r="R1887" t="s">
        <v>12883</v>
      </c>
      <c r="S1887" t="s">
        <v>12889</v>
      </c>
    </row>
    <row r="1888" spans="1:19" x14ac:dyDescent="0.25">
      <c r="A1888" t="s">
        <v>7925</v>
      </c>
      <c r="B1888" s="1">
        <v>45944</v>
      </c>
      <c r="C1888" t="s">
        <v>12890</v>
      </c>
      <c r="D1888" s="5">
        <v>0.71329861111111115</v>
      </c>
      <c r="E1888">
        <v>65.069999999999993</v>
      </c>
      <c r="F1888" t="s">
        <v>44</v>
      </c>
      <c r="G1888" t="s">
        <v>7581</v>
      </c>
      <c r="H1888" t="s">
        <v>57</v>
      </c>
      <c r="I1888" t="s">
        <v>50</v>
      </c>
      <c r="J1888" t="s">
        <v>7926</v>
      </c>
      <c r="K1888">
        <v>27</v>
      </c>
      <c r="L1888" t="s">
        <v>37</v>
      </c>
      <c r="M1888" t="s">
        <v>50</v>
      </c>
      <c r="N1888" t="s">
        <v>39</v>
      </c>
      <c r="O1888" t="s">
        <v>113</v>
      </c>
      <c r="P1888" t="s">
        <v>31</v>
      </c>
      <c r="Q1888">
        <v>0</v>
      </c>
      <c r="R1888" t="s">
        <v>12883</v>
      </c>
      <c r="S1888" t="s">
        <v>12889</v>
      </c>
    </row>
    <row r="1889" spans="1:19" x14ac:dyDescent="0.25">
      <c r="A1889" t="s">
        <v>7674</v>
      </c>
      <c r="B1889" s="1">
        <v>45945</v>
      </c>
      <c r="C1889" t="s">
        <v>12890</v>
      </c>
      <c r="D1889" s="5">
        <v>0.50057870370370372</v>
      </c>
      <c r="E1889">
        <v>65.06</v>
      </c>
      <c r="F1889" t="s">
        <v>44</v>
      </c>
      <c r="G1889" t="s">
        <v>161</v>
      </c>
      <c r="H1889" t="s">
        <v>46</v>
      </c>
      <c r="I1889" t="s">
        <v>66</v>
      </c>
      <c r="J1889" t="s">
        <v>7675</v>
      </c>
      <c r="K1889">
        <v>26</v>
      </c>
      <c r="L1889" t="s">
        <v>37</v>
      </c>
      <c r="M1889" t="s">
        <v>23</v>
      </c>
      <c r="N1889" t="s">
        <v>84</v>
      </c>
      <c r="O1889" t="s">
        <v>28</v>
      </c>
      <c r="P1889" t="s">
        <v>31</v>
      </c>
      <c r="Q1889">
        <v>0</v>
      </c>
      <c r="R1889" t="s">
        <v>12883</v>
      </c>
      <c r="S1889" t="s">
        <v>12889</v>
      </c>
    </row>
    <row r="1890" spans="1:19" x14ac:dyDescent="0.25">
      <c r="A1890" t="s">
        <v>9442</v>
      </c>
      <c r="B1890" s="1">
        <v>45814</v>
      </c>
      <c r="C1890" t="s">
        <v>12888</v>
      </c>
      <c r="D1890" s="5">
        <v>0.33447916666666666</v>
      </c>
      <c r="E1890">
        <v>65.010000000000005</v>
      </c>
      <c r="F1890" t="s">
        <v>44</v>
      </c>
      <c r="G1890" t="s">
        <v>2195</v>
      </c>
      <c r="H1890" t="s">
        <v>124</v>
      </c>
      <c r="I1890" t="s">
        <v>38</v>
      </c>
      <c r="J1890" t="s">
        <v>9443</v>
      </c>
      <c r="K1890">
        <v>45</v>
      </c>
      <c r="L1890" t="s">
        <v>25</v>
      </c>
      <c r="M1890" t="s">
        <v>58</v>
      </c>
      <c r="N1890" t="s">
        <v>51</v>
      </c>
      <c r="O1890" t="s">
        <v>28</v>
      </c>
      <c r="P1890" t="s">
        <v>31</v>
      </c>
      <c r="Q1890">
        <v>0</v>
      </c>
      <c r="R1890" t="s">
        <v>12883</v>
      </c>
      <c r="S1890" t="s">
        <v>12886</v>
      </c>
    </row>
    <row r="1891" spans="1:19" x14ac:dyDescent="0.25">
      <c r="A1891" t="s">
        <v>1431</v>
      </c>
      <c r="B1891" s="1">
        <v>45908</v>
      </c>
      <c r="C1891" t="s">
        <v>12882</v>
      </c>
      <c r="D1891" s="5">
        <v>5.4895833333333331E-2</v>
      </c>
      <c r="E1891">
        <v>64.930000000000007</v>
      </c>
      <c r="F1891" t="s">
        <v>44</v>
      </c>
      <c r="G1891" t="s">
        <v>541</v>
      </c>
      <c r="H1891" t="s">
        <v>71</v>
      </c>
      <c r="I1891" t="s">
        <v>35</v>
      </c>
      <c r="J1891" t="s">
        <v>1432</v>
      </c>
      <c r="K1891">
        <v>37</v>
      </c>
      <c r="L1891" t="s">
        <v>25</v>
      </c>
      <c r="M1891" t="s">
        <v>110</v>
      </c>
      <c r="N1891" t="s">
        <v>84</v>
      </c>
      <c r="O1891" t="s">
        <v>28</v>
      </c>
      <c r="P1891" t="s">
        <v>31</v>
      </c>
      <c r="Q1891">
        <v>0</v>
      </c>
      <c r="R1891" t="s">
        <v>12883</v>
      </c>
      <c r="S1891" t="s">
        <v>12889</v>
      </c>
    </row>
    <row r="1892" spans="1:19" x14ac:dyDescent="0.25">
      <c r="A1892" t="s">
        <v>7557</v>
      </c>
      <c r="B1892" s="1">
        <v>45921</v>
      </c>
      <c r="C1892" t="s">
        <v>12882</v>
      </c>
      <c r="D1892" s="5">
        <v>0.66271990740740738</v>
      </c>
      <c r="E1892">
        <v>64.849999999999994</v>
      </c>
      <c r="F1892" t="s">
        <v>44</v>
      </c>
      <c r="G1892" t="s">
        <v>2308</v>
      </c>
      <c r="H1892" t="s">
        <v>34</v>
      </c>
      <c r="I1892" t="s">
        <v>35</v>
      </c>
      <c r="J1892" t="s">
        <v>7558</v>
      </c>
      <c r="K1892">
        <v>50</v>
      </c>
      <c r="L1892" t="s">
        <v>37</v>
      </c>
      <c r="M1892" t="s">
        <v>47</v>
      </c>
      <c r="N1892" t="s">
        <v>27</v>
      </c>
      <c r="O1892" t="s">
        <v>28</v>
      </c>
      <c r="P1892" t="s">
        <v>31</v>
      </c>
      <c r="Q1892">
        <v>0</v>
      </c>
      <c r="R1892" t="s">
        <v>12883</v>
      </c>
      <c r="S1892" t="s">
        <v>12886</v>
      </c>
    </row>
    <row r="1893" spans="1:19" x14ac:dyDescent="0.25">
      <c r="A1893" t="s">
        <v>1251</v>
      </c>
      <c r="B1893" s="1">
        <v>45790</v>
      </c>
      <c r="C1893" t="s">
        <v>12887</v>
      </c>
      <c r="D1893" s="5">
        <v>0.50572916666666667</v>
      </c>
      <c r="E1893">
        <v>64.81</v>
      </c>
      <c r="F1893" t="s">
        <v>44</v>
      </c>
      <c r="G1893" t="s">
        <v>1252</v>
      </c>
      <c r="H1893" t="s">
        <v>77</v>
      </c>
      <c r="I1893" t="s">
        <v>66</v>
      </c>
      <c r="J1893" t="s">
        <v>1253</v>
      </c>
      <c r="K1893">
        <v>46</v>
      </c>
      <c r="L1893" t="s">
        <v>37</v>
      </c>
      <c r="M1893" t="s">
        <v>66</v>
      </c>
      <c r="N1893" t="s">
        <v>84</v>
      </c>
      <c r="O1893" t="s">
        <v>113</v>
      </c>
      <c r="P1893" t="s">
        <v>31</v>
      </c>
      <c r="Q1893">
        <v>0</v>
      </c>
      <c r="R1893" t="s">
        <v>12883</v>
      </c>
      <c r="S1893" t="s">
        <v>12886</v>
      </c>
    </row>
    <row r="1894" spans="1:19" x14ac:dyDescent="0.25">
      <c r="A1894" t="s">
        <v>3370</v>
      </c>
      <c r="B1894" s="1">
        <v>45795</v>
      </c>
      <c r="C1894" t="s">
        <v>12887</v>
      </c>
      <c r="D1894" s="5">
        <v>0.64877314814814813</v>
      </c>
      <c r="E1894">
        <v>64.78</v>
      </c>
      <c r="F1894" t="s">
        <v>44</v>
      </c>
      <c r="G1894" t="s">
        <v>3065</v>
      </c>
      <c r="H1894" t="s">
        <v>57</v>
      </c>
      <c r="I1894" t="s">
        <v>35</v>
      </c>
      <c r="J1894" t="s">
        <v>3371</v>
      </c>
      <c r="K1894">
        <v>75</v>
      </c>
      <c r="L1894" t="s">
        <v>37</v>
      </c>
      <c r="M1894" t="s">
        <v>26</v>
      </c>
      <c r="N1894" t="s">
        <v>39</v>
      </c>
      <c r="O1894" t="s">
        <v>28</v>
      </c>
      <c r="P1894" t="s">
        <v>31</v>
      </c>
      <c r="Q1894">
        <v>0</v>
      </c>
      <c r="R1894" t="s">
        <v>12883</v>
      </c>
      <c r="S1894" t="s">
        <v>12884</v>
      </c>
    </row>
    <row r="1895" spans="1:19" x14ac:dyDescent="0.25">
      <c r="A1895" t="s">
        <v>5670</v>
      </c>
      <c r="B1895" s="1">
        <v>45813</v>
      </c>
      <c r="C1895" t="s">
        <v>12888</v>
      </c>
      <c r="D1895" s="5">
        <v>0.9038194444444444</v>
      </c>
      <c r="E1895">
        <v>64.739999999999995</v>
      </c>
      <c r="F1895" t="s">
        <v>44</v>
      </c>
      <c r="G1895" t="s">
        <v>5671</v>
      </c>
      <c r="H1895" t="s">
        <v>89</v>
      </c>
      <c r="I1895" t="s">
        <v>66</v>
      </c>
      <c r="J1895" t="s">
        <v>5672</v>
      </c>
      <c r="K1895">
        <v>36</v>
      </c>
      <c r="L1895" t="s">
        <v>25</v>
      </c>
      <c r="M1895" t="s">
        <v>91</v>
      </c>
      <c r="N1895" t="s">
        <v>84</v>
      </c>
      <c r="O1895" t="s">
        <v>28</v>
      </c>
      <c r="P1895" t="s">
        <v>31</v>
      </c>
      <c r="Q1895">
        <v>0</v>
      </c>
      <c r="R1895" t="s">
        <v>12883</v>
      </c>
      <c r="S1895" t="s">
        <v>12889</v>
      </c>
    </row>
    <row r="1896" spans="1:19" x14ac:dyDescent="0.25">
      <c r="A1896" t="s">
        <v>2854</v>
      </c>
      <c r="B1896" s="1">
        <v>45864</v>
      </c>
      <c r="C1896" t="s">
        <v>12885</v>
      </c>
      <c r="D1896" s="5">
        <v>6.5787037037037033E-2</v>
      </c>
      <c r="E1896">
        <v>64.73</v>
      </c>
      <c r="F1896" t="s">
        <v>44</v>
      </c>
      <c r="G1896" t="s">
        <v>2855</v>
      </c>
      <c r="H1896" t="s">
        <v>71</v>
      </c>
      <c r="I1896" t="s">
        <v>248</v>
      </c>
      <c r="J1896" t="s">
        <v>2856</v>
      </c>
      <c r="K1896">
        <v>57</v>
      </c>
      <c r="L1896" t="s">
        <v>37</v>
      </c>
      <c r="M1896" t="s">
        <v>50</v>
      </c>
      <c r="N1896" t="s">
        <v>105</v>
      </c>
      <c r="O1896" t="s">
        <v>28</v>
      </c>
      <c r="P1896" t="s">
        <v>31</v>
      </c>
      <c r="Q1896">
        <v>0</v>
      </c>
      <c r="R1896" t="s">
        <v>12883</v>
      </c>
      <c r="S1896" t="s">
        <v>12886</v>
      </c>
    </row>
    <row r="1897" spans="1:19" x14ac:dyDescent="0.25">
      <c r="A1897" t="s">
        <v>5347</v>
      </c>
      <c r="B1897" s="1">
        <v>45905</v>
      </c>
      <c r="C1897" t="s">
        <v>12882</v>
      </c>
      <c r="D1897" s="5">
        <v>0.13600694444444444</v>
      </c>
      <c r="E1897">
        <v>64.72</v>
      </c>
      <c r="F1897" t="s">
        <v>44</v>
      </c>
      <c r="G1897" t="s">
        <v>1790</v>
      </c>
      <c r="H1897" t="s">
        <v>71</v>
      </c>
      <c r="I1897" t="s">
        <v>91</v>
      </c>
      <c r="J1897" t="s">
        <v>5348</v>
      </c>
      <c r="K1897">
        <v>55</v>
      </c>
      <c r="L1897" t="s">
        <v>37</v>
      </c>
      <c r="M1897" t="s">
        <v>119</v>
      </c>
      <c r="N1897" t="s">
        <v>105</v>
      </c>
      <c r="O1897" t="s">
        <v>28</v>
      </c>
      <c r="P1897" t="s">
        <v>31</v>
      </c>
      <c r="Q1897">
        <v>0</v>
      </c>
      <c r="R1897" t="s">
        <v>12883</v>
      </c>
      <c r="S1897" t="s">
        <v>12886</v>
      </c>
    </row>
    <row r="1898" spans="1:19" x14ac:dyDescent="0.25">
      <c r="A1898" t="s">
        <v>11782</v>
      </c>
      <c r="B1898" s="1">
        <v>45816</v>
      </c>
      <c r="C1898" t="s">
        <v>12888</v>
      </c>
      <c r="D1898" s="5">
        <v>0.32923611111111112</v>
      </c>
      <c r="E1898">
        <v>64.569999999999993</v>
      </c>
      <c r="F1898" t="s">
        <v>44</v>
      </c>
      <c r="G1898" t="s">
        <v>883</v>
      </c>
      <c r="H1898" t="s">
        <v>64</v>
      </c>
      <c r="I1898" t="s">
        <v>110</v>
      </c>
      <c r="J1898" t="s">
        <v>11783</v>
      </c>
      <c r="K1898">
        <v>53</v>
      </c>
      <c r="L1898" t="s">
        <v>25</v>
      </c>
      <c r="M1898" t="s">
        <v>66</v>
      </c>
      <c r="N1898" t="s">
        <v>84</v>
      </c>
      <c r="O1898" t="s">
        <v>28</v>
      </c>
      <c r="P1898" t="s">
        <v>31</v>
      </c>
      <c r="Q1898">
        <v>0</v>
      </c>
      <c r="R1898" t="s">
        <v>12883</v>
      </c>
      <c r="S1898" t="s">
        <v>12886</v>
      </c>
    </row>
    <row r="1899" spans="1:19" x14ac:dyDescent="0.25">
      <c r="A1899" t="s">
        <v>6376</v>
      </c>
      <c r="B1899" s="1">
        <v>45833</v>
      </c>
      <c r="C1899" t="s">
        <v>12888</v>
      </c>
      <c r="D1899" s="5">
        <v>0.52813657407407411</v>
      </c>
      <c r="E1899">
        <v>64.459999999999994</v>
      </c>
      <c r="F1899" t="s">
        <v>44</v>
      </c>
      <c r="G1899" t="s">
        <v>4950</v>
      </c>
      <c r="H1899" t="s">
        <v>96</v>
      </c>
      <c r="I1899" t="s">
        <v>58</v>
      </c>
      <c r="J1899" t="s">
        <v>6377</v>
      </c>
      <c r="K1899">
        <v>45</v>
      </c>
      <c r="L1899" t="s">
        <v>25</v>
      </c>
      <c r="M1899" t="s">
        <v>91</v>
      </c>
      <c r="N1899" t="s">
        <v>39</v>
      </c>
      <c r="O1899" t="s">
        <v>28</v>
      </c>
      <c r="P1899" t="s">
        <v>31</v>
      </c>
      <c r="Q1899">
        <v>0</v>
      </c>
      <c r="R1899" t="s">
        <v>12883</v>
      </c>
      <c r="S1899" t="s">
        <v>12886</v>
      </c>
    </row>
    <row r="1900" spans="1:19" x14ac:dyDescent="0.25">
      <c r="A1900" t="s">
        <v>271</v>
      </c>
      <c r="B1900" s="1">
        <v>45804</v>
      </c>
      <c r="C1900" t="s">
        <v>12887</v>
      </c>
      <c r="D1900" s="5">
        <v>0.52790509259259255</v>
      </c>
      <c r="E1900">
        <v>64.31</v>
      </c>
      <c r="F1900" t="s">
        <v>44</v>
      </c>
      <c r="G1900" t="s">
        <v>272</v>
      </c>
      <c r="H1900" t="s">
        <v>124</v>
      </c>
      <c r="I1900" t="s">
        <v>119</v>
      </c>
      <c r="J1900" t="s">
        <v>273</v>
      </c>
      <c r="K1900">
        <v>71</v>
      </c>
      <c r="L1900" t="s">
        <v>37</v>
      </c>
      <c r="M1900" t="s">
        <v>91</v>
      </c>
      <c r="N1900" t="s">
        <v>112</v>
      </c>
      <c r="O1900" t="s">
        <v>28</v>
      </c>
      <c r="P1900" t="s">
        <v>31</v>
      </c>
      <c r="Q1900">
        <v>0</v>
      </c>
      <c r="R1900" t="s">
        <v>12883</v>
      </c>
      <c r="S1900" t="s">
        <v>12884</v>
      </c>
    </row>
    <row r="1901" spans="1:19" x14ac:dyDescent="0.25">
      <c r="A1901" t="s">
        <v>11544</v>
      </c>
      <c r="B1901" s="1">
        <v>45799</v>
      </c>
      <c r="C1901" t="s">
        <v>12887</v>
      </c>
      <c r="D1901" s="5">
        <v>0.28031250000000002</v>
      </c>
      <c r="E1901">
        <v>64.27</v>
      </c>
      <c r="F1901" t="s">
        <v>44</v>
      </c>
      <c r="G1901" t="s">
        <v>5300</v>
      </c>
      <c r="H1901" t="s">
        <v>64</v>
      </c>
      <c r="I1901" t="s">
        <v>146</v>
      </c>
      <c r="J1901" t="s">
        <v>11545</v>
      </c>
      <c r="K1901">
        <v>27</v>
      </c>
      <c r="L1901" t="s">
        <v>49</v>
      </c>
      <c r="M1901" t="s">
        <v>47</v>
      </c>
      <c r="N1901" t="s">
        <v>51</v>
      </c>
      <c r="O1901" t="s">
        <v>28</v>
      </c>
      <c r="P1901" t="s">
        <v>31</v>
      </c>
      <c r="Q1901">
        <v>0</v>
      </c>
      <c r="R1901" t="s">
        <v>12883</v>
      </c>
      <c r="S1901" t="s">
        <v>12889</v>
      </c>
    </row>
    <row r="1902" spans="1:19" x14ac:dyDescent="0.25">
      <c r="A1902" t="s">
        <v>1271</v>
      </c>
      <c r="B1902" s="1">
        <v>45911</v>
      </c>
      <c r="C1902" t="s">
        <v>12882</v>
      </c>
      <c r="D1902" s="5">
        <v>0.72315972222222225</v>
      </c>
      <c r="E1902">
        <v>64.17</v>
      </c>
      <c r="F1902" t="s">
        <v>44</v>
      </c>
      <c r="G1902" t="s">
        <v>1272</v>
      </c>
      <c r="H1902" t="s">
        <v>34</v>
      </c>
      <c r="I1902" t="s">
        <v>97</v>
      </c>
      <c r="J1902" t="s">
        <v>1273</v>
      </c>
      <c r="K1902">
        <v>59</v>
      </c>
      <c r="L1902" t="s">
        <v>37</v>
      </c>
      <c r="M1902" t="s">
        <v>97</v>
      </c>
      <c r="N1902" t="s">
        <v>105</v>
      </c>
      <c r="O1902" t="s">
        <v>113</v>
      </c>
      <c r="P1902" t="s">
        <v>31</v>
      </c>
      <c r="Q1902">
        <v>0</v>
      </c>
      <c r="R1902" t="s">
        <v>12883</v>
      </c>
      <c r="S1902" t="s">
        <v>12886</v>
      </c>
    </row>
    <row r="1903" spans="1:19" x14ac:dyDescent="0.25">
      <c r="A1903" t="s">
        <v>5644</v>
      </c>
      <c r="B1903" s="1">
        <v>45876</v>
      </c>
      <c r="C1903" t="s">
        <v>12893</v>
      </c>
      <c r="D1903" s="5">
        <v>1.3032407407407407E-2</v>
      </c>
      <c r="E1903">
        <v>63.73</v>
      </c>
      <c r="F1903" t="s">
        <v>44</v>
      </c>
      <c r="G1903" t="s">
        <v>4355</v>
      </c>
      <c r="H1903" t="s">
        <v>124</v>
      </c>
      <c r="I1903" t="s">
        <v>130</v>
      </c>
      <c r="J1903" t="s">
        <v>884</v>
      </c>
      <c r="K1903">
        <v>71</v>
      </c>
      <c r="L1903" t="s">
        <v>25</v>
      </c>
      <c r="M1903" t="s">
        <v>38</v>
      </c>
      <c r="N1903" t="s">
        <v>84</v>
      </c>
      <c r="O1903" t="s">
        <v>28</v>
      </c>
      <c r="P1903" t="s">
        <v>31</v>
      </c>
      <c r="Q1903">
        <v>0</v>
      </c>
      <c r="R1903" t="s">
        <v>12883</v>
      </c>
      <c r="S1903" t="s">
        <v>12884</v>
      </c>
    </row>
    <row r="1904" spans="1:19" x14ac:dyDescent="0.25">
      <c r="A1904" t="s">
        <v>11484</v>
      </c>
      <c r="B1904" s="1">
        <v>45956</v>
      </c>
      <c r="C1904" t="s">
        <v>12890</v>
      </c>
      <c r="D1904" s="5">
        <v>0.32826388888888891</v>
      </c>
      <c r="E1904">
        <v>63.71</v>
      </c>
      <c r="F1904" t="s">
        <v>44</v>
      </c>
      <c r="G1904" t="s">
        <v>11485</v>
      </c>
      <c r="H1904" t="s">
        <v>46</v>
      </c>
      <c r="I1904" t="s">
        <v>66</v>
      </c>
      <c r="J1904" t="s">
        <v>11486</v>
      </c>
      <c r="K1904">
        <v>41</v>
      </c>
      <c r="L1904" t="s">
        <v>37</v>
      </c>
      <c r="M1904" t="s">
        <v>26</v>
      </c>
      <c r="N1904" t="s">
        <v>112</v>
      </c>
      <c r="O1904" t="s">
        <v>28</v>
      </c>
      <c r="P1904" t="s">
        <v>31</v>
      </c>
      <c r="Q1904">
        <v>0</v>
      </c>
      <c r="R1904" t="s">
        <v>12883</v>
      </c>
      <c r="S1904" t="s">
        <v>12886</v>
      </c>
    </row>
    <row r="1905" spans="1:19" x14ac:dyDescent="0.25">
      <c r="A1905" t="s">
        <v>3361</v>
      </c>
      <c r="B1905" s="1">
        <v>45806</v>
      </c>
      <c r="C1905" t="s">
        <v>12887</v>
      </c>
      <c r="D1905" s="5">
        <v>0.71512731481481484</v>
      </c>
      <c r="E1905">
        <v>63.51</v>
      </c>
      <c r="F1905" t="s">
        <v>44</v>
      </c>
      <c r="G1905" t="s">
        <v>1133</v>
      </c>
      <c r="H1905" t="s">
        <v>57</v>
      </c>
      <c r="I1905" t="s">
        <v>58</v>
      </c>
      <c r="J1905" t="s">
        <v>3362</v>
      </c>
      <c r="K1905">
        <v>34</v>
      </c>
      <c r="L1905" t="s">
        <v>37</v>
      </c>
      <c r="M1905" t="s">
        <v>47</v>
      </c>
      <c r="N1905" t="s">
        <v>39</v>
      </c>
      <c r="O1905" t="s">
        <v>28</v>
      </c>
      <c r="P1905" t="s">
        <v>31</v>
      </c>
      <c r="Q1905">
        <v>0</v>
      </c>
      <c r="R1905" t="s">
        <v>12883</v>
      </c>
      <c r="S1905" t="s">
        <v>12889</v>
      </c>
    </row>
    <row r="1906" spans="1:19" x14ac:dyDescent="0.25">
      <c r="A1906" t="s">
        <v>9889</v>
      </c>
      <c r="B1906" s="1">
        <v>45945</v>
      </c>
      <c r="C1906" t="s">
        <v>12890</v>
      </c>
      <c r="D1906" s="5">
        <v>5.8414351851851849E-2</v>
      </c>
      <c r="E1906">
        <v>63.51</v>
      </c>
      <c r="F1906" t="s">
        <v>44</v>
      </c>
      <c r="G1906" t="s">
        <v>9890</v>
      </c>
      <c r="H1906" t="s">
        <v>57</v>
      </c>
      <c r="I1906" t="s">
        <v>38</v>
      </c>
      <c r="J1906" t="s">
        <v>9891</v>
      </c>
      <c r="K1906">
        <v>39</v>
      </c>
      <c r="L1906" t="s">
        <v>25</v>
      </c>
      <c r="M1906" t="s">
        <v>38</v>
      </c>
      <c r="N1906" t="s">
        <v>105</v>
      </c>
      <c r="O1906" t="s">
        <v>113</v>
      </c>
      <c r="P1906" t="s">
        <v>31</v>
      </c>
      <c r="Q1906">
        <v>0</v>
      </c>
      <c r="R1906" t="s">
        <v>12883</v>
      </c>
      <c r="S1906" t="s">
        <v>12889</v>
      </c>
    </row>
    <row r="1907" spans="1:19" x14ac:dyDescent="0.25">
      <c r="A1907" t="s">
        <v>2485</v>
      </c>
      <c r="B1907" s="1">
        <v>45814</v>
      </c>
      <c r="C1907" t="s">
        <v>12888</v>
      </c>
      <c r="D1907" s="5">
        <v>0.63527777777777783</v>
      </c>
      <c r="E1907">
        <v>63.35</v>
      </c>
      <c r="F1907" t="s">
        <v>44</v>
      </c>
      <c r="G1907" t="s">
        <v>1683</v>
      </c>
      <c r="H1907" t="s">
        <v>34</v>
      </c>
      <c r="I1907" t="s">
        <v>248</v>
      </c>
      <c r="J1907" t="s">
        <v>2486</v>
      </c>
      <c r="K1907">
        <v>71</v>
      </c>
      <c r="L1907" t="s">
        <v>49</v>
      </c>
      <c r="M1907" t="s">
        <v>23</v>
      </c>
      <c r="N1907" t="s">
        <v>112</v>
      </c>
      <c r="O1907" t="s">
        <v>28</v>
      </c>
      <c r="P1907" t="s">
        <v>31</v>
      </c>
      <c r="Q1907">
        <v>0</v>
      </c>
      <c r="R1907" t="s">
        <v>12883</v>
      </c>
      <c r="S1907" t="s">
        <v>12884</v>
      </c>
    </row>
    <row r="1908" spans="1:19" x14ac:dyDescent="0.25">
      <c r="A1908" t="s">
        <v>7993</v>
      </c>
      <c r="B1908" s="1">
        <v>45860</v>
      </c>
      <c r="C1908" t="s">
        <v>12885</v>
      </c>
      <c r="D1908" s="5">
        <v>0.2978587962962963</v>
      </c>
      <c r="E1908">
        <v>63.26</v>
      </c>
      <c r="F1908" t="s">
        <v>44</v>
      </c>
      <c r="G1908" t="s">
        <v>4176</v>
      </c>
      <c r="H1908" t="s">
        <v>64</v>
      </c>
      <c r="I1908" t="s">
        <v>23</v>
      </c>
      <c r="J1908" t="s">
        <v>7994</v>
      </c>
      <c r="K1908">
        <v>54</v>
      </c>
      <c r="L1908" t="s">
        <v>37</v>
      </c>
      <c r="M1908" t="s">
        <v>38</v>
      </c>
      <c r="N1908" t="s">
        <v>39</v>
      </c>
      <c r="O1908" t="s">
        <v>28</v>
      </c>
      <c r="P1908" t="s">
        <v>31</v>
      </c>
      <c r="Q1908">
        <v>0</v>
      </c>
      <c r="R1908" t="s">
        <v>12883</v>
      </c>
      <c r="S1908" t="s">
        <v>12886</v>
      </c>
    </row>
    <row r="1909" spans="1:19" x14ac:dyDescent="0.25">
      <c r="A1909" t="s">
        <v>1794</v>
      </c>
      <c r="B1909" s="1">
        <v>45876</v>
      </c>
      <c r="C1909" t="s">
        <v>12893</v>
      </c>
      <c r="D1909" s="5">
        <v>0.18756944444444446</v>
      </c>
      <c r="E1909">
        <v>63.22</v>
      </c>
      <c r="F1909" t="s">
        <v>44</v>
      </c>
      <c r="G1909" t="s">
        <v>1692</v>
      </c>
      <c r="H1909" t="s">
        <v>22</v>
      </c>
      <c r="I1909" t="s">
        <v>248</v>
      </c>
      <c r="J1909" t="s">
        <v>1795</v>
      </c>
      <c r="K1909">
        <v>35</v>
      </c>
      <c r="L1909" t="s">
        <v>49</v>
      </c>
      <c r="M1909" t="s">
        <v>26</v>
      </c>
      <c r="N1909" t="s">
        <v>84</v>
      </c>
      <c r="O1909" t="s">
        <v>28</v>
      </c>
      <c r="P1909" t="s">
        <v>31</v>
      </c>
      <c r="Q1909">
        <v>0</v>
      </c>
      <c r="R1909" t="s">
        <v>12883</v>
      </c>
      <c r="S1909" t="s">
        <v>12889</v>
      </c>
    </row>
    <row r="1910" spans="1:19" x14ac:dyDescent="0.25">
      <c r="A1910" t="s">
        <v>9574</v>
      </c>
      <c r="B1910" s="1">
        <v>45871</v>
      </c>
      <c r="C1910" t="s">
        <v>12893</v>
      </c>
      <c r="D1910" s="5">
        <v>0.8205324074074074</v>
      </c>
      <c r="E1910">
        <v>63.11</v>
      </c>
      <c r="F1910" t="s">
        <v>44</v>
      </c>
      <c r="G1910" t="s">
        <v>171</v>
      </c>
      <c r="H1910" t="s">
        <v>96</v>
      </c>
      <c r="I1910" t="s">
        <v>130</v>
      </c>
      <c r="J1910" t="s">
        <v>9575</v>
      </c>
      <c r="K1910">
        <v>27</v>
      </c>
      <c r="L1910" t="s">
        <v>25</v>
      </c>
      <c r="M1910" t="s">
        <v>130</v>
      </c>
      <c r="N1910" t="s">
        <v>39</v>
      </c>
      <c r="O1910" t="s">
        <v>113</v>
      </c>
      <c r="P1910" t="s">
        <v>31</v>
      </c>
      <c r="Q1910">
        <v>0</v>
      </c>
      <c r="R1910" t="s">
        <v>12883</v>
      </c>
      <c r="S1910" t="s">
        <v>12889</v>
      </c>
    </row>
    <row r="1911" spans="1:19" x14ac:dyDescent="0.25">
      <c r="A1911" t="s">
        <v>4245</v>
      </c>
      <c r="B1911" s="1">
        <v>45812</v>
      </c>
      <c r="C1911" t="s">
        <v>12888</v>
      </c>
      <c r="D1911" s="5">
        <v>3.4641203703703702E-2</v>
      </c>
      <c r="E1911">
        <v>63.01</v>
      </c>
      <c r="F1911" t="s">
        <v>44</v>
      </c>
      <c r="G1911" t="s">
        <v>4246</v>
      </c>
      <c r="H1911" t="s">
        <v>124</v>
      </c>
      <c r="I1911" t="s">
        <v>66</v>
      </c>
      <c r="J1911" t="s">
        <v>4247</v>
      </c>
      <c r="K1911">
        <v>66</v>
      </c>
      <c r="L1911" t="s">
        <v>25</v>
      </c>
      <c r="M1911" t="s">
        <v>50</v>
      </c>
      <c r="N1911" t="s">
        <v>84</v>
      </c>
      <c r="O1911" t="s">
        <v>28</v>
      </c>
      <c r="P1911" t="s">
        <v>31</v>
      </c>
      <c r="Q1911">
        <v>0</v>
      </c>
      <c r="R1911" t="s">
        <v>12883</v>
      </c>
      <c r="S1911" t="s">
        <v>12884</v>
      </c>
    </row>
    <row r="1912" spans="1:19" x14ac:dyDescent="0.25">
      <c r="A1912" t="s">
        <v>3201</v>
      </c>
      <c r="B1912" s="1">
        <v>45808</v>
      </c>
      <c r="C1912" t="s">
        <v>12887</v>
      </c>
      <c r="D1912" s="5">
        <v>0.40921296296296295</v>
      </c>
      <c r="E1912">
        <v>62.81</v>
      </c>
      <c r="F1912" t="s">
        <v>44</v>
      </c>
      <c r="G1912" t="s">
        <v>379</v>
      </c>
      <c r="H1912" t="s">
        <v>124</v>
      </c>
      <c r="I1912" t="s">
        <v>130</v>
      </c>
      <c r="J1912" t="s">
        <v>3202</v>
      </c>
      <c r="K1912">
        <v>33</v>
      </c>
      <c r="L1912" t="s">
        <v>25</v>
      </c>
      <c r="M1912" t="s">
        <v>97</v>
      </c>
      <c r="N1912" t="s">
        <v>39</v>
      </c>
      <c r="O1912" t="s">
        <v>28</v>
      </c>
      <c r="P1912" t="s">
        <v>31</v>
      </c>
      <c r="Q1912">
        <v>0</v>
      </c>
      <c r="R1912" t="s">
        <v>12883</v>
      </c>
      <c r="S1912" t="s">
        <v>12889</v>
      </c>
    </row>
    <row r="1913" spans="1:19" x14ac:dyDescent="0.25">
      <c r="A1913" t="s">
        <v>11562</v>
      </c>
      <c r="B1913" s="1">
        <v>45952</v>
      </c>
      <c r="C1913" t="s">
        <v>12890</v>
      </c>
      <c r="D1913" s="5">
        <v>0.31778935185185186</v>
      </c>
      <c r="E1913">
        <v>62.43</v>
      </c>
      <c r="F1913" t="s">
        <v>44</v>
      </c>
      <c r="G1913" t="s">
        <v>11563</v>
      </c>
      <c r="H1913" t="s">
        <v>22</v>
      </c>
      <c r="I1913" t="s">
        <v>91</v>
      </c>
      <c r="J1913" t="s">
        <v>8307</v>
      </c>
      <c r="K1913">
        <v>22</v>
      </c>
      <c r="L1913" t="s">
        <v>37</v>
      </c>
      <c r="M1913" t="s">
        <v>50</v>
      </c>
      <c r="N1913" t="s">
        <v>27</v>
      </c>
      <c r="O1913" t="s">
        <v>28</v>
      </c>
      <c r="P1913" t="s">
        <v>31</v>
      </c>
      <c r="Q1913">
        <v>0</v>
      </c>
      <c r="R1913" t="s">
        <v>12883</v>
      </c>
      <c r="S1913" t="s">
        <v>12892</v>
      </c>
    </row>
    <row r="1914" spans="1:19" x14ac:dyDescent="0.25">
      <c r="A1914" t="s">
        <v>786</v>
      </c>
      <c r="B1914" s="1">
        <v>45910</v>
      </c>
      <c r="C1914" t="s">
        <v>12882</v>
      </c>
      <c r="D1914" s="5">
        <v>1.6979166666666667E-2</v>
      </c>
      <c r="E1914">
        <v>62.39</v>
      </c>
      <c r="F1914" t="s">
        <v>44</v>
      </c>
      <c r="G1914" t="s">
        <v>787</v>
      </c>
      <c r="H1914" t="s">
        <v>34</v>
      </c>
      <c r="I1914" t="s">
        <v>58</v>
      </c>
      <c r="J1914" t="s">
        <v>788</v>
      </c>
      <c r="K1914">
        <v>21</v>
      </c>
      <c r="L1914" t="s">
        <v>49</v>
      </c>
      <c r="M1914" t="s">
        <v>110</v>
      </c>
      <c r="N1914" t="s">
        <v>39</v>
      </c>
      <c r="O1914" t="s">
        <v>28</v>
      </c>
      <c r="P1914" t="s">
        <v>31</v>
      </c>
      <c r="Q1914">
        <v>0</v>
      </c>
      <c r="R1914" t="s">
        <v>12883</v>
      </c>
      <c r="S1914" t="s">
        <v>12892</v>
      </c>
    </row>
    <row r="1915" spans="1:19" x14ac:dyDescent="0.25">
      <c r="A1915" t="s">
        <v>3210</v>
      </c>
      <c r="B1915" s="1">
        <v>45942</v>
      </c>
      <c r="C1915" t="s">
        <v>12890</v>
      </c>
      <c r="D1915" s="5">
        <v>4.3437499999999997E-2</v>
      </c>
      <c r="E1915">
        <v>62.1</v>
      </c>
      <c r="F1915" t="s">
        <v>44</v>
      </c>
      <c r="G1915" t="s">
        <v>3211</v>
      </c>
      <c r="H1915" t="s">
        <v>34</v>
      </c>
      <c r="I1915" t="s">
        <v>23</v>
      </c>
      <c r="J1915" t="s">
        <v>3212</v>
      </c>
      <c r="K1915">
        <v>69</v>
      </c>
      <c r="L1915" t="s">
        <v>49</v>
      </c>
      <c r="M1915" t="s">
        <v>110</v>
      </c>
      <c r="N1915" t="s">
        <v>112</v>
      </c>
      <c r="O1915" t="s">
        <v>28</v>
      </c>
      <c r="P1915" t="s">
        <v>31</v>
      </c>
      <c r="Q1915">
        <v>0</v>
      </c>
      <c r="R1915" t="s">
        <v>12883</v>
      </c>
      <c r="S1915" t="s">
        <v>12884</v>
      </c>
    </row>
    <row r="1916" spans="1:19" x14ac:dyDescent="0.25">
      <c r="A1916" t="s">
        <v>2679</v>
      </c>
      <c r="B1916" s="1">
        <v>45830</v>
      </c>
      <c r="C1916" t="s">
        <v>12888</v>
      </c>
      <c r="D1916" s="5">
        <v>0.69642361111111106</v>
      </c>
      <c r="E1916">
        <v>61.93</v>
      </c>
      <c r="F1916" t="s">
        <v>44</v>
      </c>
      <c r="G1916" t="s">
        <v>2680</v>
      </c>
      <c r="H1916" t="s">
        <v>46</v>
      </c>
      <c r="I1916" t="s">
        <v>26</v>
      </c>
      <c r="J1916" t="s">
        <v>2681</v>
      </c>
      <c r="K1916">
        <v>30</v>
      </c>
      <c r="L1916" t="s">
        <v>25</v>
      </c>
      <c r="M1916" t="s">
        <v>35</v>
      </c>
      <c r="N1916" t="s">
        <v>84</v>
      </c>
      <c r="O1916" t="s">
        <v>28</v>
      </c>
      <c r="P1916" t="s">
        <v>31</v>
      </c>
      <c r="Q1916">
        <v>0</v>
      </c>
      <c r="R1916" t="s">
        <v>12883</v>
      </c>
      <c r="S1916" t="s">
        <v>12889</v>
      </c>
    </row>
    <row r="1917" spans="1:19" x14ac:dyDescent="0.25">
      <c r="A1917" t="s">
        <v>6868</v>
      </c>
      <c r="B1917" s="1">
        <v>45884</v>
      </c>
      <c r="C1917" t="s">
        <v>12893</v>
      </c>
      <c r="D1917" s="5">
        <v>0.65452546296296299</v>
      </c>
      <c r="E1917">
        <v>61.87</v>
      </c>
      <c r="F1917" t="s">
        <v>44</v>
      </c>
      <c r="G1917" t="s">
        <v>3960</v>
      </c>
      <c r="H1917" t="s">
        <v>124</v>
      </c>
      <c r="I1917" t="s">
        <v>35</v>
      </c>
      <c r="J1917" t="s">
        <v>6869</v>
      </c>
      <c r="K1917">
        <v>20</v>
      </c>
      <c r="L1917" t="s">
        <v>25</v>
      </c>
      <c r="M1917" t="s">
        <v>130</v>
      </c>
      <c r="N1917" t="s">
        <v>105</v>
      </c>
      <c r="O1917" t="s">
        <v>28</v>
      </c>
      <c r="P1917" t="s">
        <v>31</v>
      </c>
      <c r="Q1917">
        <v>0</v>
      </c>
      <c r="R1917" t="s">
        <v>12883</v>
      </c>
      <c r="S1917" t="s">
        <v>12892</v>
      </c>
    </row>
    <row r="1918" spans="1:19" x14ac:dyDescent="0.25">
      <c r="A1918" t="s">
        <v>545</v>
      </c>
      <c r="B1918" s="1">
        <v>45827</v>
      </c>
      <c r="C1918" t="s">
        <v>12888</v>
      </c>
      <c r="D1918" s="5">
        <v>0.88293981481481476</v>
      </c>
      <c r="E1918">
        <v>61.8</v>
      </c>
      <c r="F1918" t="s">
        <v>44</v>
      </c>
      <c r="G1918" t="s">
        <v>546</v>
      </c>
      <c r="H1918" t="s">
        <v>57</v>
      </c>
      <c r="I1918" t="s">
        <v>35</v>
      </c>
      <c r="J1918" t="s">
        <v>547</v>
      </c>
      <c r="K1918">
        <v>30</v>
      </c>
      <c r="L1918" t="s">
        <v>25</v>
      </c>
      <c r="M1918" t="s">
        <v>91</v>
      </c>
      <c r="N1918" t="s">
        <v>27</v>
      </c>
      <c r="O1918" t="s">
        <v>28</v>
      </c>
      <c r="P1918" t="s">
        <v>31</v>
      </c>
      <c r="Q1918">
        <v>0</v>
      </c>
      <c r="R1918" t="s">
        <v>12883</v>
      </c>
      <c r="S1918" t="s">
        <v>12889</v>
      </c>
    </row>
    <row r="1919" spans="1:19" x14ac:dyDescent="0.25">
      <c r="A1919" t="s">
        <v>10363</v>
      </c>
      <c r="B1919" s="1">
        <v>45784</v>
      </c>
      <c r="C1919" t="s">
        <v>12887</v>
      </c>
      <c r="D1919" s="5">
        <v>0.21954861111111112</v>
      </c>
      <c r="E1919">
        <v>61.77</v>
      </c>
      <c r="F1919" t="s">
        <v>44</v>
      </c>
      <c r="G1919" t="s">
        <v>182</v>
      </c>
      <c r="H1919" t="s">
        <v>57</v>
      </c>
      <c r="I1919" t="s">
        <v>110</v>
      </c>
      <c r="J1919" t="s">
        <v>10364</v>
      </c>
      <c r="K1919">
        <v>29</v>
      </c>
      <c r="L1919" t="s">
        <v>49</v>
      </c>
      <c r="M1919" t="s">
        <v>38</v>
      </c>
      <c r="N1919" t="s">
        <v>105</v>
      </c>
      <c r="O1919" t="s">
        <v>28</v>
      </c>
      <c r="P1919" t="s">
        <v>31</v>
      </c>
      <c r="Q1919">
        <v>0</v>
      </c>
      <c r="R1919" t="s">
        <v>12883</v>
      </c>
      <c r="S1919" t="s">
        <v>12889</v>
      </c>
    </row>
    <row r="1920" spans="1:19" x14ac:dyDescent="0.25">
      <c r="A1920" t="s">
        <v>6278</v>
      </c>
      <c r="B1920" s="1">
        <v>45881</v>
      </c>
      <c r="C1920" t="s">
        <v>12893</v>
      </c>
      <c r="D1920" s="5">
        <v>0.10678240740740741</v>
      </c>
      <c r="E1920">
        <v>61.76</v>
      </c>
      <c r="F1920" t="s">
        <v>44</v>
      </c>
      <c r="G1920" t="s">
        <v>6279</v>
      </c>
      <c r="H1920" t="s">
        <v>57</v>
      </c>
      <c r="I1920" t="s">
        <v>26</v>
      </c>
      <c r="J1920" t="s">
        <v>6280</v>
      </c>
      <c r="K1920">
        <v>58</v>
      </c>
      <c r="L1920" t="s">
        <v>37</v>
      </c>
      <c r="M1920" t="s">
        <v>38</v>
      </c>
      <c r="N1920" t="s">
        <v>27</v>
      </c>
      <c r="O1920" t="s">
        <v>28</v>
      </c>
      <c r="P1920" t="s">
        <v>31</v>
      </c>
      <c r="Q1920">
        <v>0</v>
      </c>
      <c r="R1920" t="s">
        <v>12883</v>
      </c>
      <c r="S1920" t="s">
        <v>12886</v>
      </c>
    </row>
    <row r="1921" spans="1:19" x14ac:dyDescent="0.25">
      <c r="A1921" t="s">
        <v>9503</v>
      </c>
      <c r="B1921" s="1">
        <v>45902</v>
      </c>
      <c r="C1921" t="s">
        <v>12882</v>
      </c>
      <c r="D1921" s="5">
        <v>0.36964120370370368</v>
      </c>
      <c r="E1921">
        <v>61.76</v>
      </c>
      <c r="F1921" t="s">
        <v>44</v>
      </c>
      <c r="G1921" t="s">
        <v>8421</v>
      </c>
      <c r="H1921" t="s">
        <v>124</v>
      </c>
      <c r="I1921" t="s">
        <v>146</v>
      </c>
      <c r="J1921" t="s">
        <v>9504</v>
      </c>
      <c r="K1921">
        <v>43</v>
      </c>
      <c r="L1921" t="s">
        <v>25</v>
      </c>
      <c r="M1921" t="s">
        <v>23</v>
      </c>
      <c r="N1921" t="s">
        <v>27</v>
      </c>
      <c r="O1921" t="s">
        <v>28</v>
      </c>
      <c r="P1921" t="s">
        <v>31</v>
      </c>
      <c r="Q1921">
        <v>0</v>
      </c>
      <c r="R1921" t="s">
        <v>12883</v>
      </c>
      <c r="S1921" t="s">
        <v>12886</v>
      </c>
    </row>
    <row r="1922" spans="1:19" x14ac:dyDescent="0.25">
      <c r="A1922" t="s">
        <v>1528</v>
      </c>
      <c r="B1922" s="1">
        <v>45917</v>
      </c>
      <c r="C1922" t="s">
        <v>12882</v>
      </c>
      <c r="D1922" s="5">
        <v>5.5787037037037038E-3</v>
      </c>
      <c r="E1922">
        <v>61.73</v>
      </c>
      <c r="F1922" t="s">
        <v>44</v>
      </c>
      <c r="G1922" t="s">
        <v>1529</v>
      </c>
      <c r="H1922" t="s">
        <v>77</v>
      </c>
      <c r="I1922" t="s">
        <v>130</v>
      </c>
      <c r="J1922" t="s">
        <v>1530</v>
      </c>
      <c r="K1922">
        <v>74</v>
      </c>
      <c r="L1922" t="s">
        <v>37</v>
      </c>
      <c r="M1922" t="s">
        <v>146</v>
      </c>
      <c r="N1922" t="s">
        <v>105</v>
      </c>
      <c r="O1922" t="s">
        <v>28</v>
      </c>
      <c r="P1922" t="s">
        <v>31</v>
      </c>
      <c r="Q1922">
        <v>0</v>
      </c>
      <c r="R1922" t="s">
        <v>12883</v>
      </c>
      <c r="S1922" t="s">
        <v>12884</v>
      </c>
    </row>
    <row r="1923" spans="1:19" x14ac:dyDescent="0.25">
      <c r="A1923" t="s">
        <v>12597</v>
      </c>
      <c r="B1923" s="1">
        <v>45926</v>
      </c>
      <c r="C1923" t="s">
        <v>12882</v>
      </c>
      <c r="D1923" s="5">
        <v>0.83971064814814811</v>
      </c>
      <c r="E1923">
        <v>61.61</v>
      </c>
      <c r="F1923" t="s">
        <v>44</v>
      </c>
      <c r="G1923" t="s">
        <v>12598</v>
      </c>
      <c r="H1923" t="s">
        <v>96</v>
      </c>
      <c r="I1923" t="s">
        <v>23</v>
      </c>
      <c r="J1923" t="s">
        <v>12599</v>
      </c>
      <c r="K1923">
        <v>19</v>
      </c>
      <c r="L1923" t="s">
        <v>49</v>
      </c>
      <c r="M1923" t="s">
        <v>110</v>
      </c>
      <c r="N1923" t="s">
        <v>51</v>
      </c>
      <c r="O1923" t="s">
        <v>28</v>
      </c>
      <c r="P1923" t="s">
        <v>31</v>
      </c>
      <c r="Q1923">
        <v>0</v>
      </c>
      <c r="R1923" t="s">
        <v>12883</v>
      </c>
      <c r="S1923" t="s">
        <v>12892</v>
      </c>
    </row>
    <row r="1924" spans="1:19" x14ac:dyDescent="0.25">
      <c r="A1924" t="s">
        <v>9855</v>
      </c>
      <c r="B1924" s="1">
        <v>45899</v>
      </c>
      <c r="C1924" t="s">
        <v>12893</v>
      </c>
      <c r="D1924" s="5">
        <v>9.5231481481481486E-2</v>
      </c>
      <c r="E1924">
        <v>61.52</v>
      </c>
      <c r="F1924" t="s">
        <v>44</v>
      </c>
      <c r="G1924" t="s">
        <v>7586</v>
      </c>
      <c r="H1924" t="s">
        <v>46</v>
      </c>
      <c r="I1924" t="s">
        <v>26</v>
      </c>
      <c r="J1924" t="s">
        <v>9856</v>
      </c>
      <c r="K1924">
        <v>59</v>
      </c>
      <c r="L1924" t="s">
        <v>49</v>
      </c>
      <c r="M1924" t="s">
        <v>23</v>
      </c>
      <c r="N1924" t="s">
        <v>112</v>
      </c>
      <c r="O1924" t="s">
        <v>28</v>
      </c>
      <c r="P1924" t="s">
        <v>31</v>
      </c>
      <c r="Q1924">
        <v>0</v>
      </c>
      <c r="R1924" t="s">
        <v>12883</v>
      </c>
      <c r="S1924" t="s">
        <v>12886</v>
      </c>
    </row>
    <row r="1925" spans="1:19" x14ac:dyDescent="0.25">
      <c r="A1925" t="s">
        <v>1350</v>
      </c>
      <c r="B1925" s="1">
        <v>45817</v>
      </c>
      <c r="C1925" t="s">
        <v>12888</v>
      </c>
      <c r="D1925" s="5">
        <v>0.46425925925925926</v>
      </c>
      <c r="E1925">
        <v>61.45</v>
      </c>
      <c r="F1925" t="s">
        <v>44</v>
      </c>
      <c r="G1925" t="s">
        <v>1351</v>
      </c>
      <c r="H1925" t="s">
        <v>89</v>
      </c>
      <c r="I1925" t="s">
        <v>58</v>
      </c>
      <c r="J1925" t="s">
        <v>1352</v>
      </c>
      <c r="K1925">
        <v>40</v>
      </c>
      <c r="L1925" t="s">
        <v>25</v>
      </c>
      <c r="M1925" t="s">
        <v>248</v>
      </c>
      <c r="N1925" t="s">
        <v>27</v>
      </c>
      <c r="O1925" t="s">
        <v>28</v>
      </c>
      <c r="P1925" t="s">
        <v>31</v>
      </c>
      <c r="Q1925">
        <v>0</v>
      </c>
      <c r="R1925" t="s">
        <v>12883</v>
      </c>
      <c r="S1925" t="s">
        <v>12886</v>
      </c>
    </row>
    <row r="1926" spans="1:19" x14ac:dyDescent="0.25">
      <c r="A1926" t="s">
        <v>8286</v>
      </c>
      <c r="B1926" s="1">
        <v>45900</v>
      </c>
      <c r="C1926" t="s">
        <v>12893</v>
      </c>
      <c r="D1926" s="5">
        <v>1.8136574074074076E-2</v>
      </c>
      <c r="E1926">
        <v>61.45</v>
      </c>
      <c r="F1926" t="s">
        <v>44</v>
      </c>
      <c r="G1926" t="s">
        <v>2349</v>
      </c>
      <c r="H1926" t="s">
        <v>124</v>
      </c>
      <c r="I1926" t="s">
        <v>58</v>
      </c>
      <c r="J1926" t="s">
        <v>8287</v>
      </c>
      <c r="K1926">
        <v>31</v>
      </c>
      <c r="L1926" t="s">
        <v>25</v>
      </c>
      <c r="M1926" t="s">
        <v>26</v>
      </c>
      <c r="N1926" t="s">
        <v>51</v>
      </c>
      <c r="O1926" t="s">
        <v>28</v>
      </c>
      <c r="P1926" t="s">
        <v>31</v>
      </c>
      <c r="Q1926">
        <v>0</v>
      </c>
      <c r="R1926" t="s">
        <v>12883</v>
      </c>
      <c r="S1926" t="s">
        <v>12889</v>
      </c>
    </row>
    <row r="1927" spans="1:19" x14ac:dyDescent="0.25">
      <c r="A1927" t="s">
        <v>2456</v>
      </c>
      <c r="B1927" s="1">
        <v>45908</v>
      </c>
      <c r="C1927" t="s">
        <v>12882</v>
      </c>
      <c r="D1927" s="5">
        <v>0.26751157407407405</v>
      </c>
      <c r="E1927">
        <v>61.4</v>
      </c>
      <c r="F1927" t="s">
        <v>44</v>
      </c>
      <c r="G1927" t="s">
        <v>2457</v>
      </c>
      <c r="H1927" t="s">
        <v>22</v>
      </c>
      <c r="I1927" t="s">
        <v>23</v>
      </c>
      <c r="J1927" t="s">
        <v>2458</v>
      </c>
      <c r="K1927">
        <v>24</v>
      </c>
      <c r="L1927" t="s">
        <v>49</v>
      </c>
      <c r="M1927" t="s">
        <v>110</v>
      </c>
      <c r="N1927" t="s">
        <v>84</v>
      </c>
      <c r="O1927" t="s">
        <v>28</v>
      </c>
      <c r="P1927" t="s">
        <v>31</v>
      </c>
      <c r="Q1927">
        <v>0</v>
      </c>
      <c r="R1927" t="s">
        <v>12883</v>
      </c>
      <c r="S1927" t="s">
        <v>12892</v>
      </c>
    </row>
    <row r="1928" spans="1:19" x14ac:dyDescent="0.25">
      <c r="A1928" t="s">
        <v>510</v>
      </c>
      <c r="B1928" s="1">
        <v>45800</v>
      </c>
      <c r="C1928" t="s">
        <v>12887</v>
      </c>
      <c r="D1928" s="5">
        <v>0.31663194444444442</v>
      </c>
      <c r="E1928">
        <v>61.32</v>
      </c>
      <c r="F1928" t="s">
        <v>44</v>
      </c>
      <c r="G1928" t="s">
        <v>511</v>
      </c>
      <c r="H1928" t="s">
        <v>22</v>
      </c>
      <c r="I1928" t="s">
        <v>35</v>
      </c>
      <c r="J1928" t="s">
        <v>512</v>
      </c>
      <c r="K1928">
        <v>28</v>
      </c>
      <c r="L1928" t="s">
        <v>49</v>
      </c>
      <c r="M1928" t="s">
        <v>23</v>
      </c>
      <c r="N1928" t="s">
        <v>39</v>
      </c>
      <c r="O1928" t="s">
        <v>28</v>
      </c>
      <c r="P1928" t="s">
        <v>31</v>
      </c>
      <c r="Q1928">
        <v>0</v>
      </c>
      <c r="R1928" t="s">
        <v>12883</v>
      </c>
      <c r="S1928" t="s">
        <v>12889</v>
      </c>
    </row>
    <row r="1929" spans="1:19" x14ac:dyDescent="0.25">
      <c r="A1929" t="s">
        <v>11770</v>
      </c>
      <c r="B1929" s="1">
        <v>45867</v>
      </c>
      <c r="C1929" t="s">
        <v>12885</v>
      </c>
      <c r="D1929" s="5">
        <v>0.75710648148148152</v>
      </c>
      <c r="E1929">
        <v>61.29</v>
      </c>
      <c r="F1929" t="s">
        <v>44</v>
      </c>
      <c r="G1929" t="s">
        <v>2176</v>
      </c>
      <c r="H1929" t="s">
        <v>77</v>
      </c>
      <c r="I1929" t="s">
        <v>110</v>
      </c>
      <c r="J1929" t="s">
        <v>11771</v>
      </c>
      <c r="K1929">
        <v>40</v>
      </c>
      <c r="L1929" t="s">
        <v>25</v>
      </c>
      <c r="M1929" t="s">
        <v>58</v>
      </c>
      <c r="N1929" t="s">
        <v>39</v>
      </c>
      <c r="O1929" t="s">
        <v>28</v>
      </c>
      <c r="P1929" t="s">
        <v>31</v>
      </c>
      <c r="Q1929">
        <v>0</v>
      </c>
      <c r="R1929" t="s">
        <v>12883</v>
      </c>
      <c r="S1929" t="s">
        <v>12886</v>
      </c>
    </row>
    <row r="1930" spans="1:19" x14ac:dyDescent="0.25">
      <c r="A1930" t="s">
        <v>2489</v>
      </c>
      <c r="B1930" s="1">
        <v>45952</v>
      </c>
      <c r="C1930" t="s">
        <v>12890</v>
      </c>
      <c r="D1930" s="5">
        <v>0.53278935185185183</v>
      </c>
      <c r="E1930">
        <v>61.05</v>
      </c>
      <c r="F1930" t="s">
        <v>44</v>
      </c>
      <c r="G1930" t="s">
        <v>338</v>
      </c>
      <c r="H1930" t="s">
        <v>46</v>
      </c>
      <c r="I1930" t="s">
        <v>119</v>
      </c>
      <c r="J1930" t="s">
        <v>2490</v>
      </c>
      <c r="K1930">
        <v>61</v>
      </c>
      <c r="L1930" t="s">
        <v>49</v>
      </c>
      <c r="M1930" t="s">
        <v>119</v>
      </c>
      <c r="N1930" t="s">
        <v>112</v>
      </c>
      <c r="O1930" t="s">
        <v>113</v>
      </c>
      <c r="P1930" t="s">
        <v>31</v>
      </c>
      <c r="Q1930">
        <v>1</v>
      </c>
      <c r="R1930" t="s">
        <v>12891</v>
      </c>
      <c r="S1930" t="s">
        <v>12884</v>
      </c>
    </row>
    <row r="1931" spans="1:19" x14ac:dyDescent="0.25">
      <c r="A1931" t="s">
        <v>1186</v>
      </c>
      <c r="B1931" s="1">
        <v>45867</v>
      </c>
      <c r="C1931" t="s">
        <v>12885</v>
      </c>
      <c r="D1931" s="5">
        <v>0.7025231481481482</v>
      </c>
      <c r="E1931">
        <v>60.73</v>
      </c>
      <c r="F1931" t="s">
        <v>44</v>
      </c>
      <c r="G1931" t="s">
        <v>797</v>
      </c>
      <c r="H1931" t="s">
        <v>34</v>
      </c>
      <c r="I1931" t="s">
        <v>110</v>
      </c>
      <c r="J1931" t="s">
        <v>1187</v>
      </c>
      <c r="K1931">
        <v>68</v>
      </c>
      <c r="L1931" t="s">
        <v>37</v>
      </c>
      <c r="M1931" t="s">
        <v>26</v>
      </c>
      <c r="N1931" t="s">
        <v>84</v>
      </c>
      <c r="O1931" t="s">
        <v>28</v>
      </c>
      <c r="P1931" t="s">
        <v>31</v>
      </c>
      <c r="Q1931">
        <v>0</v>
      </c>
      <c r="R1931" t="s">
        <v>12883</v>
      </c>
      <c r="S1931" t="s">
        <v>12884</v>
      </c>
    </row>
    <row r="1932" spans="1:19" x14ac:dyDescent="0.25">
      <c r="A1932" t="s">
        <v>6467</v>
      </c>
      <c r="B1932" s="1">
        <v>45929</v>
      </c>
      <c r="C1932" t="s">
        <v>12882</v>
      </c>
      <c r="D1932" s="5">
        <v>0.88629629629629625</v>
      </c>
      <c r="E1932">
        <v>60.66</v>
      </c>
      <c r="F1932" t="s">
        <v>44</v>
      </c>
      <c r="G1932" t="s">
        <v>2219</v>
      </c>
      <c r="H1932" t="s">
        <v>22</v>
      </c>
      <c r="I1932" t="s">
        <v>50</v>
      </c>
      <c r="J1932" t="s">
        <v>6468</v>
      </c>
      <c r="K1932">
        <v>50</v>
      </c>
      <c r="L1932" t="s">
        <v>49</v>
      </c>
      <c r="M1932" t="s">
        <v>66</v>
      </c>
      <c r="N1932" t="s">
        <v>51</v>
      </c>
      <c r="O1932" t="s">
        <v>28</v>
      </c>
      <c r="P1932" t="s">
        <v>31</v>
      </c>
      <c r="Q1932">
        <v>0</v>
      </c>
      <c r="R1932" t="s">
        <v>12883</v>
      </c>
      <c r="S1932" t="s">
        <v>12886</v>
      </c>
    </row>
    <row r="1933" spans="1:19" x14ac:dyDescent="0.25">
      <c r="A1933" t="s">
        <v>9802</v>
      </c>
      <c r="B1933" s="1">
        <v>45819</v>
      </c>
      <c r="C1933" t="s">
        <v>12888</v>
      </c>
      <c r="D1933" s="5">
        <v>0.24136574074074074</v>
      </c>
      <c r="E1933">
        <v>60.6</v>
      </c>
      <c r="F1933" t="s">
        <v>44</v>
      </c>
      <c r="G1933" t="s">
        <v>349</v>
      </c>
      <c r="H1933" t="s">
        <v>34</v>
      </c>
      <c r="I1933" t="s">
        <v>146</v>
      </c>
      <c r="J1933" t="s">
        <v>9803</v>
      </c>
      <c r="K1933">
        <v>46</v>
      </c>
      <c r="L1933" t="s">
        <v>37</v>
      </c>
      <c r="M1933" t="s">
        <v>146</v>
      </c>
      <c r="N1933" t="s">
        <v>27</v>
      </c>
      <c r="O1933" t="s">
        <v>113</v>
      </c>
      <c r="P1933" t="s">
        <v>31</v>
      </c>
      <c r="Q1933">
        <v>0</v>
      </c>
      <c r="R1933" t="s">
        <v>12883</v>
      </c>
      <c r="S1933" t="s">
        <v>12886</v>
      </c>
    </row>
    <row r="1934" spans="1:19" x14ac:dyDescent="0.25">
      <c r="A1934" t="s">
        <v>7953</v>
      </c>
      <c r="B1934" s="1">
        <v>45783</v>
      </c>
      <c r="C1934" t="s">
        <v>12887</v>
      </c>
      <c r="D1934" s="5">
        <v>0.18467592592592594</v>
      </c>
      <c r="E1934">
        <v>60.56</v>
      </c>
      <c r="F1934" t="s">
        <v>44</v>
      </c>
      <c r="G1934" t="s">
        <v>2472</v>
      </c>
      <c r="H1934" t="s">
        <v>46</v>
      </c>
      <c r="I1934" t="s">
        <v>38</v>
      </c>
      <c r="J1934" t="s">
        <v>7954</v>
      </c>
      <c r="K1934">
        <v>62</v>
      </c>
      <c r="L1934" t="s">
        <v>37</v>
      </c>
      <c r="M1934" t="s">
        <v>130</v>
      </c>
      <c r="N1934" t="s">
        <v>105</v>
      </c>
      <c r="O1934" t="s">
        <v>28</v>
      </c>
      <c r="P1934" t="s">
        <v>31</v>
      </c>
      <c r="Q1934">
        <v>0</v>
      </c>
      <c r="R1934" t="s">
        <v>12883</v>
      </c>
      <c r="S1934" t="s">
        <v>12884</v>
      </c>
    </row>
    <row r="1935" spans="1:19" x14ac:dyDescent="0.25">
      <c r="A1935" t="s">
        <v>2979</v>
      </c>
      <c r="B1935" s="1">
        <v>45857</v>
      </c>
      <c r="C1935" t="s">
        <v>12885</v>
      </c>
      <c r="D1935" s="5">
        <v>0.90377314814814813</v>
      </c>
      <c r="E1935">
        <v>60.48</v>
      </c>
      <c r="F1935" t="s">
        <v>44</v>
      </c>
      <c r="G1935" t="s">
        <v>2980</v>
      </c>
      <c r="H1935" t="s">
        <v>124</v>
      </c>
      <c r="I1935" t="s">
        <v>66</v>
      </c>
      <c r="J1935" t="s">
        <v>2981</v>
      </c>
      <c r="K1935">
        <v>74</v>
      </c>
      <c r="L1935" t="s">
        <v>49</v>
      </c>
      <c r="M1935" t="s">
        <v>26</v>
      </c>
      <c r="N1935" t="s">
        <v>112</v>
      </c>
      <c r="O1935" t="s">
        <v>28</v>
      </c>
      <c r="P1935" t="s">
        <v>31</v>
      </c>
      <c r="Q1935">
        <v>0</v>
      </c>
      <c r="R1935" t="s">
        <v>12883</v>
      </c>
      <c r="S1935" t="s">
        <v>12884</v>
      </c>
    </row>
    <row r="1936" spans="1:19" x14ac:dyDescent="0.25">
      <c r="A1936" t="s">
        <v>12392</v>
      </c>
      <c r="B1936" s="1">
        <v>45908</v>
      </c>
      <c r="C1936" t="s">
        <v>12882</v>
      </c>
      <c r="D1936" s="5">
        <v>0.93395833333333333</v>
      </c>
      <c r="E1936">
        <v>60.27</v>
      </c>
      <c r="F1936" t="s">
        <v>44</v>
      </c>
      <c r="G1936" t="s">
        <v>11084</v>
      </c>
      <c r="H1936" t="s">
        <v>57</v>
      </c>
      <c r="I1936" t="s">
        <v>50</v>
      </c>
      <c r="J1936" t="s">
        <v>12393</v>
      </c>
      <c r="K1936">
        <v>63</v>
      </c>
      <c r="L1936" t="s">
        <v>49</v>
      </c>
      <c r="M1936" t="s">
        <v>38</v>
      </c>
      <c r="N1936" t="s">
        <v>105</v>
      </c>
      <c r="O1936" t="s">
        <v>28</v>
      </c>
      <c r="P1936" t="s">
        <v>31</v>
      </c>
      <c r="Q1936">
        <v>0</v>
      </c>
      <c r="R1936" t="s">
        <v>12883</v>
      </c>
      <c r="S1936" t="s">
        <v>12884</v>
      </c>
    </row>
    <row r="1937" spans="1:19" x14ac:dyDescent="0.25">
      <c r="A1937" t="s">
        <v>6562</v>
      </c>
      <c r="B1937" s="1">
        <v>45933</v>
      </c>
      <c r="C1937" t="s">
        <v>12890</v>
      </c>
      <c r="D1937" s="5">
        <v>0.5103819444444444</v>
      </c>
      <c r="E1937">
        <v>60.2</v>
      </c>
      <c r="F1937" t="s">
        <v>44</v>
      </c>
      <c r="G1937" t="s">
        <v>5718</v>
      </c>
      <c r="H1937" t="s">
        <v>34</v>
      </c>
      <c r="I1937" t="s">
        <v>130</v>
      </c>
      <c r="J1937" t="s">
        <v>6563</v>
      </c>
      <c r="K1937">
        <v>119</v>
      </c>
      <c r="L1937" t="s">
        <v>49</v>
      </c>
      <c r="M1937" t="s">
        <v>146</v>
      </c>
      <c r="N1937" t="s">
        <v>105</v>
      </c>
      <c r="O1937" t="s">
        <v>28</v>
      </c>
      <c r="P1937" t="s">
        <v>31</v>
      </c>
      <c r="Q1937">
        <v>0</v>
      </c>
      <c r="R1937" t="s">
        <v>12883</v>
      </c>
      <c r="S1937" t="s">
        <v>12884</v>
      </c>
    </row>
    <row r="1938" spans="1:19" x14ac:dyDescent="0.25">
      <c r="A1938" t="s">
        <v>4195</v>
      </c>
      <c r="B1938" s="1">
        <v>45946</v>
      </c>
      <c r="C1938" t="s">
        <v>12890</v>
      </c>
      <c r="D1938" s="5">
        <v>0.43979166666666669</v>
      </c>
      <c r="E1938">
        <v>60.17</v>
      </c>
      <c r="F1938" t="s">
        <v>44</v>
      </c>
      <c r="G1938" t="s">
        <v>3835</v>
      </c>
      <c r="H1938" t="s">
        <v>57</v>
      </c>
      <c r="I1938" t="s">
        <v>119</v>
      </c>
      <c r="J1938" t="s">
        <v>4196</v>
      </c>
      <c r="K1938">
        <v>73</v>
      </c>
      <c r="L1938" t="s">
        <v>49</v>
      </c>
      <c r="M1938" t="s">
        <v>66</v>
      </c>
      <c r="N1938" t="s">
        <v>112</v>
      </c>
      <c r="O1938" t="s">
        <v>28</v>
      </c>
      <c r="P1938" t="s">
        <v>31</v>
      </c>
      <c r="Q1938">
        <v>0</v>
      </c>
      <c r="R1938" t="s">
        <v>12883</v>
      </c>
      <c r="S1938" t="s">
        <v>12884</v>
      </c>
    </row>
    <row r="1939" spans="1:19" x14ac:dyDescent="0.25">
      <c r="A1939" t="s">
        <v>6035</v>
      </c>
      <c r="B1939" s="1">
        <v>45852</v>
      </c>
      <c r="C1939" t="s">
        <v>12885</v>
      </c>
      <c r="D1939" s="5">
        <v>0.57265046296296296</v>
      </c>
      <c r="E1939">
        <v>60.01</v>
      </c>
      <c r="F1939" t="s">
        <v>44</v>
      </c>
      <c r="G1939" t="s">
        <v>447</v>
      </c>
      <c r="H1939" t="s">
        <v>57</v>
      </c>
      <c r="I1939" t="s">
        <v>38</v>
      </c>
      <c r="J1939" t="s">
        <v>6036</v>
      </c>
      <c r="K1939">
        <v>71</v>
      </c>
      <c r="L1939" t="s">
        <v>49</v>
      </c>
      <c r="M1939" t="s">
        <v>66</v>
      </c>
      <c r="N1939" t="s">
        <v>27</v>
      </c>
      <c r="O1939" t="s">
        <v>28</v>
      </c>
      <c r="P1939" t="s">
        <v>31</v>
      </c>
      <c r="Q1939">
        <v>0</v>
      </c>
      <c r="R1939" t="s">
        <v>12883</v>
      </c>
      <c r="S1939" t="s">
        <v>12884</v>
      </c>
    </row>
    <row r="1940" spans="1:19" x14ac:dyDescent="0.25">
      <c r="A1940" t="s">
        <v>5372</v>
      </c>
      <c r="B1940" s="1">
        <v>45861</v>
      </c>
      <c r="C1940" t="s">
        <v>12885</v>
      </c>
      <c r="D1940" s="5">
        <v>0.26471064814814815</v>
      </c>
      <c r="E1940">
        <v>59.9</v>
      </c>
      <c r="F1940" t="s">
        <v>44</v>
      </c>
      <c r="G1940" t="s">
        <v>810</v>
      </c>
      <c r="H1940" t="s">
        <v>71</v>
      </c>
      <c r="I1940" t="s">
        <v>66</v>
      </c>
      <c r="J1940" t="s">
        <v>5373</v>
      </c>
      <c r="K1940">
        <v>48</v>
      </c>
      <c r="L1940" t="s">
        <v>37</v>
      </c>
      <c r="M1940" t="s">
        <v>35</v>
      </c>
      <c r="N1940" t="s">
        <v>51</v>
      </c>
      <c r="O1940" t="s">
        <v>28</v>
      </c>
      <c r="P1940" t="s">
        <v>31</v>
      </c>
      <c r="Q1940">
        <v>0</v>
      </c>
      <c r="R1940" t="s">
        <v>12883</v>
      </c>
      <c r="S1940" t="s">
        <v>12886</v>
      </c>
    </row>
    <row r="1941" spans="1:19" x14ac:dyDescent="0.25">
      <c r="A1941" t="s">
        <v>12610</v>
      </c>
      <c r="B1941" s="1">
        <v>45849</v>
      </c>
      <c r="C1941" t="s">
        <v>12885</v>
      </c>
      <c r="D1941" s="5">
        <v>0.1912962962962963</v>
      </c>
      <c r="E1941">
        <v>59.9</v>
      </c>
      <c r="F1941" t="s">
        <v>44</v>
      </c>
      <c r="G1941" t="s">
        <v>4284</v>
      </c>
      <c r="H1941" t="s">
        <v>77</v>
      </c>
      <c r="I1941" t="s">
        <v>35</v>
      </c>
      <c r="J1941" t="s">
        <v>12611</v>
      </c>
      <c r="K1941">
        <v>57</v>
      </c>
      <c r="L1941" t="s">
        <v>37</v>
      </c>
      <c r="M1941" t="s">
        <v>26</v>
      </c>
      <c r="N1941" t="s">
        <v>84</v>
      </c>
      <c r="O1941" t="s">
        <v>28</v>
      </c>
      <c r="P1941" t="s">
        <v>31</v>
      </c>
      <c r="Q1941">
        <v>0</v>
      </c>
      <c r="R1941" t="s">
        <v>12883</v>
      </c>
      <c r="S1941" t="s">
        <v>12886</v>
      </c>
    </row>
    <row r="1942" spans="1:19" x14ac:dyDescent="0.25">
      <c r="A1942" t="s">
        <v>4043</v>
      </c>
      <c r="B1942" s="1">
        <v>45865</v>
      </c>
      <c r="C1942" t="s">
        <v>12885</v>
      </c>
      <c r="D1942" s="5">
        <v>0.47810185185185183</v>
      </c>
      <c r="E1942">
        <v>59.87</v>
      </c>
      <c r="F1942" t="s">
        <v>44</v>
      </c>
      <c r="G1942" t="s">
        <v>1888</v>
      </c>
      <c r="H1942" t="s">
        <v>34</v>
      </c>
      <c r="I1942" t="s">
        <v>66</v>
      </c>
      <c r="J1942" t="s">
        <v>4044</v>
      </c>
      <c r="K1942">
        <v>74</v>
      </c>
      <c r="L1942" t="s">
        <v>49</v>
      </c>
      <c r="M1942" t="s">
        <v>23</v>
      </c>
      <c r="N1942" t="s">
        <v>84</v>
      </c>
      <c r="O1942" t="s">
        <v>28</v>
      </c>
      <c r="P1942" t="s">
        <v>31</v>
      </c>
      <c r="Q1942">
        <v>0</v>
      </c>
      <c r="R1942" t="s">
        <v>12883</v>
      </c>
      <c r="S1942" t="s">
        <v>12884</v>
      </c>
    </row>
    <row r="1943" spans="1:19" x14ac:dyDescent="0.25">
      <c r="A1943" t="s">
        <v>4114</v>
      </c>
      <c r="B1943" s="1">
        <v>45807</v>
      </c>
      <c r="C1943" t="s">
        <v>12887</v>
      </c>
      <c r="D1943" s="5">
        <v>8.924768518518518E-2</v>
      </c>
      <c r="E1943">
        <v>59.87</v>
      </c>
      <c r="F1943" t="s">
        <v>44</v>
      </c>
      <c r="G1943" t="s">
        <v>1470</v>
      </c>
      <c r="H1943" t="s">
        <v>96</v>
      </c>
      <c r="I1943" t="s">
        <v>248</v>
      </c>
      <c r="J1943" t="s">
        <v>4115</v>
      </c>
      <c r="K1943">
        <v>18</v>
      </c>
      <c r="L1943" t="s">
        <v>25</v>
      </c>
      <c r="M1943" t="s">
        <v>248</v>
      </c>
      <c r="N1943" t="s">
        <v>105</v>
      </c>
      <c r="O1943" t="s">
        <v>113</v>
      </c>
      <c r="P1943" t="s">
        <v>31</v>
      </c>
      <c r="Q1943">
        <v>1</v>
      </c>
      <c r="R1943" t="s">
        <v>12891</v>
      </c>
      <c r="S1943" t="s">
        <v>12892</v>
      </c>
    </row>
    <row r="1944" spans="1:19" x14ac:dyDescent="0.25">
      <c r="A1944" t="s">
        <v>9018</v>
      </c>
      <c r="B1944" s="1">
        <v>45903</v>
      </c>
      <c r="C1944" t="s">
        <v>12882</v>
      </c>
      <c r="D1944" s="5">
        <v>0.79232638888888884</v>
      </c>
      <c r="E1944">
        <v>59.57</v>
      </c>
      <c r="F1944" t="s">
        <v>44</v>
      </c>
      <c r="G1944" t="s">
        <v>8119</v>
      </c>
      <c r="H1944" t="s">
        <v>124</v>
      </c>
      <c r="I1944" t="s">
        <v>146</v>
      </c>
      <c r="J1944" t="s">
        <v>9019</v>
      </c>
      <c r="K1944">
        <v>71</v>
      </c>
      <c r="L1944" t="s">
        <v>49</v>
      </c>
      <c r="M1944" t="s">
        <v>58</v>
      </c>
      <c r="N1944" t="s">
        <v>105</v>
      </c>
      <c r="O1944" t="s">
        <v>28</v>
      </c>
      <c r="P1944" t="s">
        <v>31</v>
      </c>
      <c r="Q1944">
        <v>0</v>
      </c>
      <c r="R1944" t="s">
        <v>12883</v>
      </c>
      <c r="S1944" t="s">
        <v>12884</v>
      </c>
    </row>
    <row r="1945" spans="1:19" x14ac:dyDescent="0.25">
      <c r="A1945" t="s">
        <v>2565</v>
      </c>
      <c r="B1945" s="1">
        <v>45927</v>
      </c>
      <c r="C1945" t="s">
        <v>12882</v>
      </c>
      <c r="D1945" s="5">
        <v>2.627314814814815E-2</v>
      </c>
      <c r="E1945">
        <v>59.56</v>
      </c>
      <c r="F1945" t="s">
        <v>44</v>
      </c>
      <c r="G1945" t="s">
        <v>903</v>
      </c>
      <c r="H1945" t="s">
        <v>46</v>
      </c>
      <c r="I1945" t="s">
        <v>91</v>
      </c>
      <c r="J1945" t="s">
        <v>2566</v>
      </c>
      <c r="K1945">
        <v>35</v>
      </c>
      <c r="L1945" t="s">
        <v>25</v>
      </c>
      <c r="M1945" t="s">
        <v>119</v>
      </c>
      <c r="N1945" t="s">
        <v>112</v>
      </c>
      <c r="O1945" t="s">
        <v>28</v>
      </c>
      <c r="P1945" t="s">
        <v>31</v>
      </c>
      <c r="Q1945">
        <v>0</v>
      </c>
      <c r="R1945" t="s">
        <v>12883</v>
      </c>
      <c r="S1945" t="s">
        <v>12889</v>
      </c>
    </row>
    <row r="1946" spans="1:19" x14ac:dyDescent="0.25">
      <c r="A1946" t="s">
        <v>10317</v>
      </c>
      <c r="B1946" s="1">
        <v>45824</v>
      </c>
      <c r="C1946" t="s">
        <v>12888</v>
      </c>
      <c r="D1946" s="5">
        <v>0.98207175925925927</v>
      </c>
      <c r="E1946">
        <v>59.54</v>
      </c>
      <c r="F1946" t="s">
        <v>44</v>
      </c>
      <c r="G1946" t="s">
        <v>3314</v>
      </c>
      <c r="H1946" t="s">
        <v>77</v>
      </c>
      <c r="I1946" t="s">
        <v>119</v>
      </c>
      <c r="J1946" t="s">
        <v>10318</v>
      </c>
      <c r="K1946">
        <v>32</v>
      </c>
      <c r="L1946" t="s">
        <v>25</v>
      </c>
      <c r="M1946" t="s">
        <v>110</v>
      </c>
      <c r="N1946" t="s">
        <v>105</v>
      </c>
      <c r="O1946" t="s">
        <v>28</v>
      </c>
      <c r="P1946" t="s">
        <v>31</v>
      </c>
      <c r="Q1946">
        <v>0</v>
      </c>
      <c r="R1946" t="s">
        <v>12883</v>
      </c>
      <c r="S1946" t="s">
        <v>12889</v>
      </c>
    </row>
    <row r="1947" spans="1:19" x14ac:dyDescent="0.25">
      <c r="A1947" t="s">
        <v>3119</v>
      </c>
      <c r="B1947" s="1">
        <v>45885</v>
      </c>
      <c r="C1947" t="s">
        <v>12893</v>
      </c>
      <c r="D1947" s="5">
        <v>0.42434027777777777</v>
      </c>
      <c r="E1947">
        <v>59.41</v>
      </c>
      <c r="F1947" t="s">
        <v>44</v>
      </c>
      <c r="G1947" t="s">
        <v>1776</v>
      </c>
      <c r="H1947" t="s">
        <v>57</v>
      </c>
      <c r="I1947" t="s">
        <v>119</v>
      </c>
      <c r="J1947" t="s">
        <v>3120</v>
      </c>
      <c r="K1947">
        <v>33</v>
      </c>
      <c r="L1947" t="s">
        <v>25</v>
      </c>
      <c r="M1947" t="s">
        <v>119</v>
      </c>
      <c r="N1947" t="s">
        <v>39</v>
      </c>
      <c r="O1947" t="s">
        <v>113</v>
      </c>
      <c r="P1947" t="s">
        <v>31</v>
      </c>
      <c r="Q1947">
        <v>0</v>
      </c>
      <c r="R1947" t="s">
        <v>12883</v>
      </c>
      <c r="S1947" t="s">
        <v>12889</v>
      </c>
    </row>
    <row r="1948" spans="1:19" x14ac:dyDescent="0.25">
      <c r="A1948" t="s">
        <v>4639</v>
      </c>
      <c r="B1948" s="1">
        <v>45949</v>
      </c>
      <c r="C1948" t="s">
        <v>12890</v>
      </c>
      <c r="D1948" s="5">
        <v>0.38925925925925925</v>
      </c>
      <c r="E1948">
        <v>59.36</v>
      </c>
      <c r="F1948" t="s">
        <v>44</v>
      </c>
      <c r="G1948" t="s">
        <v>212</v>
      </c>
      <c r="H1948" t="s">
        <v>96</v>
      </c>
      <c r="I1948" t="s">
        <v>26</v>
      </c>
      <c r="J1948" t="s">
        <v>4640</v>
      </c>
      <c r="K1948">
        <v>32</v>
      </c>
      <c r="L1948" t="s">
        <v>49</v>
      </c>
      <c r="M1948" t="s">
        <v>50</v>
      </c>
      <c r="N1948" t="s">
        <v>27</v>
      </c>
      <c r="O1948" t="s">
        <v>28</v>
      </c>
      <c r="P1948" t="s">
        <v>31</v>
      </c>
      <c r="Q1948">
        <v>0</v>
      </c>
      <c r="R1948" t="s">
        <v>12883</v>
      </c>
      <c r="S1948" t="s">
        <v>12889</v>
      </c>
    </row>
    <row r="1949" spans="1:19" x14ac:dyDescent="0.25">
      <c r="A1949" t="s">
        <v>160</v>
      </c>
      <c r="B1949" s="1">
        <v>45784</v>
      </c>
      <c r="C1949" t="s">
        <v>12887</v>
      </c>
      <c r="D1949" s="5">
        <v>0.47789351851851852</v>
      </c>
      <c r="E1949">
        <v>59.23</v>
      </c>
      <c r="F1949" t="s">
        <v>44</v>
      </c>
      <c r="G1949" t="s">
        <v>161</v>
      </c>
      <c r="H1949" t="s">
        <v>124</v>
      </c>
      <c r="I1949" t="s">
        <v>97</v>
      </c>
      <c r="J1949" t="s">
        <v>162</v>
      </c>
      <c r="K1949">
        <v>73</v>
      </c>
      <c r="L1949" t="s">
        <v>37</v>
      </c>
      <c r="M1949" t="s">
        <v>97</v>
      </c>
      <c r="N1949" t="s">
        <v>27</v>
      </c>
      <c r="O1949" t="s">
        <v>113</v>
      </c>
      <c r="P1949" t="s">
        <v>31</v>
      </c>
      <c r="Q1949">
        <v>0</v>
      </c>
      <c r="R1949" t="s">
        <v>12883</v>
      </c>
      <c r="S1949" t="s">
        <v>12884</v>
      </c>
    </row>
    <row r="1950" spans="1:19" x14ac:dyDescent="0.25">
      <c r="A1950" t="s">
        <v>2353</v>
      </c>
      <c r="B1950" s="1">
        <v>45822</v>
      </c>
      <c r="C1950" t="s">
        <v>12888</v>
      </c>
      <c r="D1950" s="5">
        <v>0.80267361111111113</v>
      </c>
      <c r="E1950">
        <v>59.14</v>
      </c>
      <c r="F1950" t="s">
        <v>44</v>
      </c>
      <c r="G1950" t="s">
        <v>2354</v>
      </c>
      <c r="H1950" t="s">
        <v>57</v>
      </c>
      <c r="I1950" t="s">
        <v>58</v>
      </c>
      <c r="J1950" t="s">
        <v>2355</v>
      </c>
      <c r="K1950">
        <v>67</v>
      </c>
      <c r="L1950" t="s">
        <v>25</v>
      </c>
      <c r="M1950" t="s">
        <v>97</v>
      </c>
      <c r="N1950" t="s">
        <v>84</v>
      </c>
      <c r="O1950" t="s">
        <v>28</v>
      </c>
      <c r="P1950" t="s">
        <v>31</v>
      </c>
      <c r="Q1950">
        <v>0</v>
      </c>
      <c r="R1950" t="s">
        <v>12883</v>
      </c>
      <c r="S1950" t="s">
        <v>12884</v>
      </c>
    </row>
    <row r="1951" spans="1:19" x14ac:dyDescent="0.25">
      <c r="A1951" t="s">
        <v>3972</v>
      </c>
      <c r="B1951" s="1">
        <v>45891</v>
      </c>
      <c r="C1951" t="s">
        <v>12893</v>
      </c>
      <c r="D1951" s="5">
        <v>0.41493055555555558</v>
      </c>
      <c r="E1951">
        <v>58.99</v>
      </c>
      <c r="F1951" t="s">
        <v>44</v>
      </c>
      <c r="G1951" t="s">
        <v>1110</v>
      </c>
      <c r="H1951" t="s">
        <v>77</v>
      </c>
      <c r="I1951" t="s">
        <v>35</v>
      </c>
      <c r="J1951" t="s">
        <v>3973</v>
      </c>
      <c r="K1951">
        <v>52</v>
      </c>
      <c r="L1951" t="s">
        <v>49</v>
      </c>
      <c r="M1951" t="s">
        <v>38</v>
      </c>
      <c r="N1951" t="s">
        <v>27</v>
      </c>
      <c r="O1951" t="s">
        <v>28</v>
      </c>
      <c r="P1951" t="s">
        <v>31</v>
      </c>
      <c r="Q1951">
        <v>0</v>
      </c>
      <c r="R1951" t="s">
        <v>12883</v>
      </c>
      <c r="S1951" t="s">
        <v>12886</v>
      </c>
    </row>
    <row r="1952" spans="1:19" x14ac:dyDescent="0.25">
      <c r="A1952" t="s">
        <v>5308</v>
      </c>
      <c r="B1952" s="1">
        <v>45855</v>
      </c>
      <c r="C1952" t="s">
        <v>12885</v>
      </c>
      <c r="D1952" s="5">
        <v>9.0578703703703703E-2</v>
      </c>
      <c r="E1952">
        <v>58.94</v>
      </c>
      <c r="F1952" t="s">
        <v>44</v>
      </c>
      <c r="G1952" t="s">
        <v>33</v>
      </c>
      <c r="H1952" t="s">
        <v>57</v>
      </c>
      <c r="I1952" t="s">
        <v>50</v>
      </c>
      <c r="J1952" t="s">
        <v>5309</v>
      </c>
      <c r="K1952">
        <v>25</v>
      </c>
      <c r="L1952" t="s">
        <v>37</v>
      </c>
      <c r="M1952" t="s">
        <v>58</v>
      </c>
      <c r="N1952" t="s">
        <v>39</v>
      </c>
      <c r="O1952" t="s">
        <v>28</v>
      </c>
      <c r="P1952" t="s">
        <v>31</v>
      </c>
      <c r="Q1952">
        <v>0</v>
      </c>
      <c r="R1952" t="s">
        <v>12883</v>
      </c>
      <c r="S1952" t="s">
        <v>12889</v>
      </c>
    </row>
    <row r="1953" spans="1:19" x14ac:dyDescent="0.25">
      <c r="A1953" t="s">
        <v>3721</v>
      </c>
      <c r="B1953" s="1">
        <v>45888</v>
      </c>
      <c r="C1953" t="s">
        <v>12893</v>
      </c>
      <c r="D1953" s="5">
        <v>0.21048611111111112</v>
      </c>
      <c r="E1953">
        <v>58.82</v>
      </c>
      <c r="F1953" t="s">
        <v>44</v>
      </c>
      <c r="G1953" t="s">
        <v>3380</v>
      </c>
      <c r="H1953" t="s">
        <v>57</v>
      </c>
      <c r="I1953" t="s">
        <v>119</v>
      </c>
      <c r="J1953" t="s">
        <v>3722</v>
      </c>
      <c r="K1953">
        <v>29</v>
      </c>
      <c r="L1953" t="s">
        <v>25</v>
      </c>
      <c r="M1953" t="s">
        <v>38</v>
      </c>
      <c r="N1953" t="s">
        <v>112</v>
      </c>
      <c r="O1953" t="s">
        <v>28</v>
      </c>
      <c r="P1953" t="s">
        <v>31</v>
      </c>
      <c r="Q1953">
        <v>0</v>
      </c>
      <c r="R1953" t="s">
        <v>12883</v>
      </c>
      <c r="S1953" t="s">
        <v>12889</v>
      </c>
    </row>
    <row r="1954" spans="1:19" x14ac:dyDescent="0.25">
      <c r="A1954" t="s">
        <v>10182</v>
      </c>
      <c r="B1954" s="1">
        <v>45895</v>
      </c>
      <c r="C1954" t="s">
        <v>12893</v>
      </c>
      <c r="D1954" s="5">
        <v>0.44716435185185183</v>
      </c>
      <c r="E1954">
        <v>58.73</v>
      </c>
      <c r="F1954" t="s">
        <v>44</v>
      </c>
      <c r="G1954" t="s">
        <v>3375</v>
      </c>
      <c r="H1954" t="s">
        <v>34</v>
      </c>
      <c r="I1954" t="s">
        <v>119</v>
      </c>
      <c r="J1954" t="s">
        <v>10183</v>
      </c>
      <c r="K1954">
        <v>36</v>
      </c>
      <c r="L1954" t="s">
        <v>25</v>
      </c>
      <c r="M1954" t="s">
        <v>110</v>
      </c>
      <c r="N1954" t="s">
        <v>105</v>
      </c>
      <c r="O1954" t="s">
        <v>28</v>
      </c>
      <c r="P1954" t="s">
        <v>31</v>
      </c>
      <c r="Q1954">
        <v>0</v>
      </c>
      <c r="R1954" t="s">
        <v>12883</v>
      </c>
      <c r="S1954" t="s">
        <v>12889</v>
      </c>
    </row>
    <row r="1955" spans="1:19" x14ac:dyDescent="0.25">
      <c r="A1955" t="s">
        <v>5615</v>
      </c>
      <c r="B1955" s="1">
        <v>45925</v>
      </c>
      <c r="C1955" t="s">
        <v>12882</v>
      </c>
      <c r="D1955" s="5">
        <v>0.19187499999999999</v>
      </c>
      <c r="E1955">
        <v>58.42</v>
      </c>
      <c r="F1955" t="s">
        <v>44</v>
      </c>
      <c r="G1955" t="s">
        <v>253</v>
      </c>
      <c r="H1955" t="s">
        <v>46</v>
      </c>
      <c r="I1955" t="s">
        <v>97</v>
      </c>
      <c r="J1955" t="s">
        <v>5616</v>
      </c>
      <c r="K1955">
        <v>30</v>
      </c>
      <c r="L1955" t="s">
        <v>37</v>
      </c>
      <c r="M1955" t="s">
        <v>248</v>
      </c>
      <c r="N1955" t="s">
        <v>84</v>
      </c>
      <c r="O1955" t="s">
        <v>28</v>
      </c>
      <c r="P1955" t="s">
        <v>31</v>
      </c>
      <c r="Q1955">
        <v>0</v>
      </c>
      <c r="R1955" t="s">
        <v>12883</v>
      </c>
      <c r="S1955" t="s">
        <v>12889</v>
      </c>
    </row>
    <row r="1956" spans="1:19" x14ac:dyDescent="0.25">
      <c r="A1956" t="s">
        <v>6152</v>
      </c>
      <c r="B1956" s="1">
        <v>45868</v>
      </c>
      <c r="C1956" t="s">
        <v>12885</v>
      </c>
      <c r="D1956" s="5">
        <v>0.9485069444444445</v>
      </c>
      <c r="E1956">
        <v>58.4</v>
      </c>
      <c r="F1956" t="s">
        <v>44</v>
      </c>
      <c r="G1956" t="s">
        <v>2190</v>
      </c>
      <c r="H1956" t="s">
        <v>34</v>
      </c>
      <c r="I1956" t="s">
        <v>130</v>
      </c>
      <c r="J1956" t="s">
        <v>6153</v>
      </c>
      <c r="K1956">
        <v>34</v>
      </c>
      <c r="L1956" t="s">
        <v>37</v>
      </c>
      <c r="M1956" t="s">
        <v>66</v>
      </c>
      <c r="N1956" t="s">
        <v>39</v>
      </c>
      <c r="O1956" t="s">
        <v>28</v>
      </c>
      <c r="P1956" t="s">
        <v>31</v>
      </c>
      <c r="Q1956">
        <v>0</v>
      </c>
      <c r="R1956" t="s">
        <v>12883</v>
      </c>
      <c r="S1956" t="s">
        <v>12889</v>
      </c>
    </row>
    <row r="1957" spans="1:19" x14ac:dyDescent="0.25">
      <c r="A1957" t="s">
        <v>10234</v>
      </c>
      <c r="B1957" s="1">
        <v>45909</v>
      </c>
      <c r="C1957" t="s">
        <v>12882</v>
      </c>
      <c r="D1957" s="5">
        <v>0.19032407407407406</v>
      </c>
      <c r="E1957">
        <v>58.3</v>
      </c>
      <c r="F1957" t="s">
        <v>44</v>
      </c>
      <c r="G1957" t="s">
        <v>10235</v>
      </c>
      <c r="H1957" t="s">
        <v>22</v>
      </c>
      <c r="I1957" t="s">
        <v>47</v>
      </c>
      <c r="J1957" t="s">
        <v>10236</v>
      </c>
      <c r="K1957">
        <v>29</v>
      </c>
      <c r="L1957" t="s">
        <v>37</v>
      </c>
      <c r="M1957" t="s">
        <v>38</v>
      </c>
      <c r="N1957" t="s">
        <v>105</v>
      </c>
      <c r="O1957" t="s">
        <v>28</v>
      </c>
      <c r="P1957" t="s">
        <v>31</v>
      </c>
      <c r="Q1957">
        <v>0</v>
      </c>
      <c r="R1957" t="s">
        <v>12883</v>
      </c>
      <c r="S1957" t="s">
        <v>12889</v>
      </c>
    </row>
    <row r="1958" spans="1:19" x14ac:dyDescent="0.25">
      <c r="A1958" t="s">
        <v>4481</v>
      </c>
      <c r="B1958" s="1">
        <v>45801</v>
      </c>
      <c r="C1958" t="s">
        <v>12887</v>
      </c>
      <c r="D1958" s="5">
        <v>0.87494212962962958</v>
      </c>
      <c r="E1958">
        <v>58.08</v>
      </c>
      <c r="F1958" t="s">
        <v>44</v>
      </c>
      <c r="G1958" t="s">
        <v>768</v>
      </c>
      <c r="H1958" t="s">
        <v>34</v>
      </c>
      <c r="I1958" t="s">
        <v>248</v>
      </c>
      <c r="J1958" t="s">
        <v>4482</v>
      </c>
      <c r="K1958">
        <v>38</v>
      </c>
      <c r="L1958" t="s">
        <v>25</v>
      </c>
      <c r="M1958" t="s">
        <v>38</v>
      </c>
      <c r="N1958" t="s">
        <v>51</v>
      </c>
      <c r="O1958" t="s">
        <v>28</v>
      </c>
      <c r="P1958" t="s">
        <v>31</v>
      </c>
      <c r="Q1958">
        <v>0</v>
      </c>
      <c r="R1958" t="s">
        <v>12883</v>
      </c>
      <c r="S1958" t="s">
        <v>12889</v>
      </c>
    </row>
    <row r="1959" spans="1:19" x14ac:dyDescent="0.25">
      <c r="A1959" t="s">
        <v>5438</v>
      </c>
      <c r="B1959" s="1">
        <v>45944</v>
      </c>
      <c r="C1959" t="s">
        <v>12890</v>
      </c>
      <c r="D1959" s="5">
        <v>0.82640046296296299</v>
      </c>
      <c r="E1959">
        <v>58.06</v>
      </c>
      <c r="F1959" t="s">
        <v>44</v>
      </c>
      <c r="G1959" t="s">
        <v>1380</v>
      </c>
      <c r="H1959" t="s">
        <v>46</v>
      </c>
      <c r="I1959" t="s">
        <v>130</v>
      </c>
      <c r="J1959" t="s">
        <v>5439</v>
      </c>
      <c r="K1959">
        <v>41</v>
      </c>
      <c r="L1959" t="s">
        <v>37</v>
      </c>
      <c r="M1959" t="s">
        <v>58</v>
      </c>
      <c r="N1959" t="s">
        <v>105</v>
      </c>
      <c r="O1959" t="s">
        <v>28</v>
      </c>
      <c r="P1959" t="s">
        <v>31</v>
      </c>
      <c r="Q1959">
        <v>0</v>
      </c>
      <c r="R1959" t="s">
        <v>12883</v>
      </c>
      <c r="S1959" t="s">
        <v>12886</v>
      </c>
    </row>
    <row r="1960" spans="1:19" x14ac:dyDescent="0.25">
      <c r="A1960" t="s">
        <v>4223</v>
      </c>
      <c r="B1960" s="1">
        <v>45833</v>
      </c>
      <c r="C1960" t="s">
        <v>12888</v>
      </c>
      <c r="D1960" s="5">
        <v>0.57310185185185181</v>
      </c>
      <c r="E1960">
        <v>57.88</v>
      </c>
      <c r="F1960" t="s">
        <v>44</v>
      </c>
      <c r="G1960" t="s">
        <v>4224</v>
      </c>
      <c r="H1960" t="s">
        <v>46</v>
      </c>
      <c r="I1960" t="s">
        <v>47</v>
      </c>
      <c r="J1960" t="s">
        <v>4225</v>
      </c>
      <c r="K1960">
        <v>62</v>
      </c>
      <c r="L1960" t="s">
        <v>37</v>
      </c>
      <c r="M1960" t="s">
        <v>50</v>
      </c>
      <c r="N1960" t="s">
        <v>84</v>
      </c>
      <c r="O1960" t="s">
        <v>28</v>
      </c>
      <c r="P1960" t="s">
        <v>31</v>
      </c>
      <c r="Q1960">
        <v>0</v>
      </c>
      <c r="R1960" t="s">
        <v>12883</v>
      </c>
      <c r="S1960" t="s">
        <v>12884</v>
      </c>
    </row>
    <row r="1961" spans="1:19" x14ac:dyDescent="0.25">
      <c r="A1961" t="s">
        <v>7895</v>
      </c>
      <c r="B1961" s="1">
        <v>45843</v>
      </c>
      <c r="C1961" t="s">
        <v>12885</v>
      </c>
      <c r="D1961" s="5">
        <v>0.97192129629629631</v>
      </c>
      <c r="E1961">
        <v>57.85</v>
      </c>
      <c r="F1961" t="s">
        <v>44</v>
      </c>
      <c r="G1961" t="s">
        <v>683</v>
      </c>
      <c r="H1961" t="s">
        <v>124</v>
      </c>
      <c r="I1961" t="s">
        <v>38</v>
      </c>
      <c r="J1961" t="s">
        <v>7896</v>
      </c>
      <c r="K1961">
        <v>61</v>
      </c>
      <c r="L1961" t="s">
        <v>37</v>
      </c>
      <c r="M1961" t="s">
        <v>119</v>
      </c>
      <c r="N1961" t="s">
        <v>84</v>
      </c>
      <c r="O1961" t="s">
        <v>28</v>
      </c>
      <c r="P1961" t="s">
        <v>31</v>
      </c>
      <c r="Q1961">
        <v>0</v>
      </c>
      <c r="R1961" t="s">
        <v>12883</v>
      </c>
      <c r="S1961" t="s">
        <v>12884</v>
      </c>
    </row>
    <row r="1962" spans="1:19" x14ac:dyDescent="0.25">
      <c r="A1962" t="s">
        <v>8744</v>
      </c>
      <c r="B1962" s="1">
        <v>45930</v>
      </c>
      <c r="C1962" t="s">
        <v>12882</v>
      </c>
      <c r="D1962" s="5">
        <v>5.7500000000000002E-2</v>
      </c>
      <c r="E1962">
        <v>57.75</v>
      </c>
      <c r="F1962" t="s">
        <v>44</v>
      </c>
      <c r="G1962" t="s">
        <v>8745</v>
      </c>
      <c r="H1962" t="s">
        <v>89</v>
      </c>
      <c r="I1962" t="s">
        <v>38</v>
      </c>
      <c r="J1962" t="s">
        <v>8746</v>
      </c>
      <c r="K1962">
        <v>38</v>
      </c>
      <c r="L1962" t="s">
        <v>37</v>
      </c>
      <c r="M1962" t="s">
        <v>26</v>
      </c>
      <c r="N1962" t="s">
        <v>27</v>
      </c>
      <c r="O1962" t="s">
        <v>28</v>
      </c>
      <c r="P1962" t="s">
        <v>31</v>
      </c>
      <c r="Q1962">
        <v>0</v>
      </c>
      <c r="R1962" t="s">
        <v>12883</v>
      </c>
      <c r="S1962" t="s">
        <v>12889</v>
      </c>
    </row>
    <row r="1963" spans="1:19" x14ac:dyDescent="0.25">
      <c r="A1963" t="s">
        <v>2941</v>
      </c>
      <c r="B1963" s="1">
        <v>45879</v>
      </c>
      <c r="C1963" t="s">
        <v>12893</v>
      </c>
      <c r="D1963" s="5">
        <v>0.1398726851851852</v>
      </c>
      <c r="E1963">
        <v>57.72</v>
      </c>
      <c r="F1963" t="s">
        <v>44</v>
      </c>
      <c r="G1963" t="s">
        <v>2942</v>
      </c>
      <c r="H1963" t="s">
        <v>46</v>
      </c>
      <c r="I1963" t="s">
        <v>119</v>
      </c>
      <c r="J1963" t="s">
        <v>2943</v>
      </c>
      <c r="K1963">
        <v>38</v>
      </c>
      <c r="L1963" t="s">
        <v>25</v>
      </c>
      <c r="M1963" t="s">
        <v>35</v>
      </c>
      <c r="N1963" t="s">
        <v>105</v>
      </c>
      <c r="O1963" t="s">
        <v>28</v>
      </c>
      <c r="P1963" t="s">
        <v>31</v>
      </c>
      <c r="Q1963">
        <v>0</v>
      </c>
      <c r="R1963" t="s">
        <v>12883</v>
      </c>
      <c r="S1963" t="s">
        <v>12889</v>
      </c>
    </row>
    <row r="1964" spans="1:19" x14ac:dyDescent="0.25">
      <c r="A1964" t="s">
        <v>12078</v>
      </c>
      <c r="B1964" s="1">
        <v>45824</v>
      </c>
      <c r="C1964" t="s">
        <v>12888</v>
      </c>
      <c r="D1964" s="5">
        <v>0.31134259259259262</v>
      </c>
      <c r="E1964">
        <v>57.67</v>
      </c>
      <c r="F1964" t="s">
        <v>44</v>
      </c>
      <c r="G1964" t="s">
        <v>1869</v>
      </c>
      <c r="H1964" t="s">
        <v>34</v>
      </c>
      <c r="I1964" t="s">
        <v>38</v>
      </c>
      <c r="J1964" t="s">
        <v>12079</v>
      </c>
      <c r="K1964">
        <v>27</v>
      </c>
      <c r="L1964" t="s">
        <v>49</v>
      </c>
      <c r="M1964" t="s">
        <v>119</v>
      </c>
      <c r="N1964" t="s">
        <v>39</v>
      </c>
      <c r="O1964" t="s">
        <v>28</v>
      </c>
      <c r="P1964" t="s">
        <v>31</v>
      </c>
      <c r="Q1964">
        <v>0</v>
      </c>
      <c r="R1964" t="s">
        <v>12883</v>
      </c>
      <c r="S1964" t="s">
        <v>12889</v>
      </c>
    </row>
    <row r="1965" spans="1:19" x14ac:dyDescent="0.25">
      <c r="A1965" t="s">
        <v>4760</v>
      </c>
      <c r="B1965" s="1">
        <v>45879</v>
      </c>
      <c r="C1965" t="s">
        <v>12893</v>
      </c>
      <c r="D1965" s="5">
        <v>2.7777777777777779E-3</v>
      </c>
      <c r="E1965">
        <v>57.48</v>
      </c>
      <c r="F1965" t="s">
        <v>44</v>
      </c>
      <c r="G1965" t="s">
        <v>4761</v>
      </c>
      <c r="H1965" t="s">
        <v>57</v>
      </c>
      <c r="I1965" t="s">
        <v>91</v>
      </c>
      <c r="J1965" t="s">
        <v>4762</v>
      </c>
      <c r="K1965">
        <v>21</v>
      </c>
      <c r="L1965" t="s">
        <v>49</v>
      </c>
      <c r="M1965" t="s">
        <v>248</v>
      </c>
      <c r="N1965" t="s">
        <v>112</v>
      </c>
      <c r="O1965" t="s">
        <v>28</v>
      </c>
      <c r="P1965" t="s">
        <v>31</v>
      </c>
      <c r="Q1965">
        <v>0</v>
      </c>
      <c r="R1965" t="s">
        <v>12883</v>
      </c>
      <c r="S1965" t="s">
        <v>12892</v>
      </c>
    </row>
    <row r="1966" spans="1:19" x14ac:dyDescent="0.25">
      <c r="A1966" t="s">
        <v>6587</v>
      </c>
      <c r="B1966" s="1">
        <v>45874</v>
      </c>
      <c r="C1966" t="s">
        <v>12893</v>
      </c>
      <c r="D1966" s="5">
        <v>0.57913194444444449</v>
      </c>
      <c r="E1966">
        <v>57.45</v>
      </c>
      <c r="F1966" t="s">
        <v>44</v>
      </c>
      <c r="G1966" t="s">
        <v>2593</v>
      </c>
      <c r="H1966" t="s">
        <v>22</v>
      </c>
      <c r="I1966" t="s">
        <v>97</v>
      </c>
      <c r="J1966" t="s">
        <v>6588</v>
      </c>
      <c r="K1966">
        <v>69</v>
      </c>
      <c r="L1966" t="s">
        <v>37</v>
      </c>
      <c r="M1966" t="s">
        <v>110</v>
      </c>
      <c r="N1966" t="s">
        <v>105</v>
      </c>
      <c r="O1966" t="s">
        <v>28</v>
      </c>
      <c r="P1966" t="s">
        <v>31</v>
      </c>
      <c r="Q1966">
        <v>0</v>
      </c>
      <c r="R1966" t="s">
        <v>12883</v>
      </c>
      <c r="S1966" t="s">
        <v>12884</v>
      </c>
    </row>
    <row r="1967" spans="1:19" x14ac:dyDescent="0.25">
      <c r="A1967" t="s">
        <v>2189</v>
      </c>
      <c r="B1967" s="1">
        <v>45914</v>
      </c>
      <c r="C1967" t="s">
        <v>12882</v>
      </c>
      <c r="D1967" s="5">
        <v>0.86109953703703701</v>
      </c>
      <c r="E1967">
        <v>57.43</v>
      </c>
      <c r="F1967" t="s">
        <v>44</v>
      </c>
      <c r="G1967" t="s">
        <v>2190</v>
      </c>
      <c r="H1967" t="s">
        <v>34</v>
      </c>
      <c r="I1967" t="s">
        <v>146</v>
      </c>
      <c r="J1967" t="s">
        <v>2191</v>
      </c>
      <c r="K1967">
        <v>73</v>
      </c>
      <c r="L1967" t="s">
        <v>49</v>
      </c>
      <c r="M1967" t="s">
        <v>26</v>
      </c>
      <c r="N1967" t="s">
        <v>51</v>
      </c>
      <c r="O1967" t="s">
        <v>28</v>
      </c>
      <c r="P1967" t="s">
        <v>31</v>
      </c>
      <c r="Q1967">
        <v>0</v>
      </c>
      <c r="R1967" t="s">
        <v>12883</v>
      </c>
      <c r="S1967" t="s">
        <v>12884</v>
      </c>
    </row>
    <row r="1968" spans="1:19" x14ac:dyDescent="0.25">
      <c r="A1968" t="s">
        <v>7443</v>
      </c>
      <c r="B1968" s="1">
        <v>45801</v>
      </c>
      <c r="C1968" t="s">
        <v>12887</v>
      </c>
      <c r="D1968" s="5">
        <v>0.23936342592592594</v>
      </c>
      <c r="E1968">
        <v>57.32</v>
      </c>
      <c r="F1968" t="s">
        <v>44</v>
      </c>
      <c r="G1968" t="s">
        <v>2999</v>
      </c>
      <c r="H1968" t="s">
        <v>77</v>
      </c>
      <c r="I1968" t="s">
        <v>50</v>
      </c>
      <c r="J1968" t="s">
        <v>7444</v>
      </c>
      <c r="K1968">
        <v>69</v>
      </c>
      <c r="L1968" t="s">
        <v>25</v>
      </c>
      <c r="M1968" t="s">
        <v>35</v>
      </c>
      <c r="N1968" t="s">
        <v>27</v>
      </c>
      <c r="O1968" t="s">
        <v>28</v>
      </c>
      <c r="P1968" t="s">
        <v>31</v>
      </c>
      <c r="Q1968">
        <v>0</v>
      </c>
      <c r="R1968" t="s">
        <v>12883</v>
      </c>
      <c r="S1968" t="s">
        <v>12884</v>
      </c>
    </row>
    <row r="1969" spans="1:19" x14ac:dyDescent="0.25">
      <c r="A1969" t="s">
        <v>4898</v>
      </c>
      <c r="B1969" s="1">
        <v>45854</v>
      </c>
      <c r="C1969" t="s">
        <v>12885</v>
      </c>
      <c r="D1969" s="5">
        <v>0.21229166666666666</v>
      </c>
      <c r="E1969">
        <v>57.12</v>
      </c>
      <c r="F1969" t="s">
        <v>44</v>
      </c>
      <c r="G1969" t="s">
        <v>4899</v>
      </c>
      <c r="H1969" t="s">
        <v>57</v>
      </c>
      <c r="I1969" t="s">
        <v>91</v>
      </c>
      <c r="J1969" t="s">
        <v>4900</v>
      </c>
      <c r="K1969">
        <v>71</v>
      </c>
      <c r="L1969" t="s">
        <v>49</v>
      </c>
      <c r="M1969" t="s">
        <v>130</v>
      </c>
      <c r="N1969" t="s">
        <v>105</v>
      </c>
      <c r="O1969" t="s">
        <v>28</v>
      </c>
      <c r="P1969" t="s">
        <v>31</v>
      </c>
      <c r="Q1969">
        <v>0</v>
      </c>
      <c r="R1969" t="s">
        <v>12883</v>
      </c>
      <c r="S1969" t="s">
        <v>12884</v>
      </c>
    </row>
    <row r="1970" spans="1:19" x14ac:dyDescent="0.25">
      <c r="A1970" t="s">
        <v>7101</v>
      </c>
      <c r="B1970" s="1">
        <v>45796</v>
      </c>
      <c r="C1970" t="s">
        <v>12887</v>
      </c>
      <c r="D1970" s="5">
        <v>0.17598379629629629</v>
      </c>
      <c r="E1970">
        <v>57.08</v>
      </c>
      <c r="F1970" t="s">
        <v>44</v>
      </c>
      <c r="G1970" t="s">
        <v>56</v>
      </c>
      <c r="H1970" t="s">
        <v>57</v>
      </c>
      <c r="I1970" t="s">
        <v>50</v>
      </c>
      <c r="J1970" t="s">
        <v>7102</v>
      </c>
      <c r="K1970">
        <v>19</v>
      </c>
      <c r="L1970" t="s">
        <v>37</v>
      </c>
      <c r="M1970" t="s">
        <v>38</v>
      </c>
      <c r="N1970" t="s">
        <v>105</v>
      </c>
      <c r="O1970" t="s">
        <v>28</v>
      </c>
      <c r="P1970" t="s">
        <v>31</v>
      </c>
      <c r="Q1970">
        <v>0</v>
      </c>
      <c r="R1970" t="s">
        <v>12883</v>
      </c>
      <c r="S1970" t="s">
        <v>12892</v>
      </c>
    </row>
    <row r="1971" spans="1:19" x14ac:dyDescent="0.25">
      <c r="A1971" t="s">
        <v>12875</v>
      </c>
      <c r="B1971" s="1">
        <v>45833</v>
      </c>
      <c r="C1971" t="s">
        <v>12888</v>
      </c>
      <c r="D1971" s="5">
        <v>0.79533564814814817</v>
      </c>
      <c r="E1971">
        <v>57.07</v>
      </c>
      <c r="F1971" t="s">
        <v>44</v>
      </c>
      <c r="G1971" t="s">
        <v>3357</v>
      </c>
      <c r="H1971" t="s">
        <v>124</v>
      </c>
      <c r="I1971" t="s">
        <v>58</v>
      </c>
      <c r="J1971" t="s">
        <v>12876</v>
      </c>
      <c r="K1971">
        <v>25</v>
      </c>
      <c r="L1971" t="s">
        <v>37</v>
      </c>
      <c r="M1971" t="s">
        <v>97</v>
      </c>
      <c r="N1971" t="s">
        <v>27</v>
      </c>
      <c r="O1971" t="s">
        <v>28</v>
      </c>
      <c r="P1971" t="s">
        <v>31</v>
      </c>
      <c r="Q1971">
        <v>1</v>
      </c>
      <c r="R1971" t="s">
        <v>12891</v>
      </c>
      <c r="S1971" t="s">
        <v>12889</v>
      </c>
    </row>
    <row r="1972" spans="1:19" x14ac:dyDescent="0.25">
      <c r="A1972" t="s">
        <v>7299</v>
      </c>
      <c r="B1972" s="1">
        <v>45817</v>
      </c>
      <c r="C1972" t="s">
        <v>12888</v>
      </c>
      <c r="D1972" s="5">
        <v>8.1840277777777776E-2</v>
      </c>
      <c r="E1972">
        <v>57.03</v>
      </c>
      <c r="F1972" t="s">
        <v>44</v>
      </c>
      <c r="G1972" t="s">
        <v>1282</v>
      </c>
      <c r="H1972" t="s">
        <v>22</v>
      </c>
      <c r="I1972" t="s">
        <v>35</v>
      </c>
      <c r="J1972" t="s">
        <v>7300</v>
      </c>
      <c r="K1972">
        <v>110</v>
      </c>
      <c r="L1972" t="s">
        <v>25</v>
      </c>
      <c r="M1972" t="s">
        <v>35</v>
      </c>
      <c r="N1972" t="s">
        <v>105</v>
      </c>
      <c r="O1972" t="s">
        <v>113</v>
      </c>
      <c r="P1972" t="s">
        <v>31</v>
      </c>
      <c r="Q1972">
        <v>0</v>
      </c>
      <c r="R1972" t="s">
        <v>12883</v>
      </c>
      <c r="S1972" t="s">
        <v>12884</v>
      </c>
    </row>
    <row r="1973" spans="1:19" x14ac:dyDescent="0.25">
      <c r="A1973" t="s">
        <v>6173</v>
      </c>
      <c r="B1973" s="1">
        <v>45955</v>
      </c>
      <c r="C1973" t="s">
        <v>12890</v>
      </c>
      <c r="D1973" s="5">
        <v>0.21708333333333332</v>
      </c>
      <c r="E1973">
        <v>56.81</v>
      </c>
      <c r="F1973" t="s">
        <v>44</v>
      </c>
      <c r="G1973" t="s">
        <v>511</v>
      </c>
      <c r="H1973" t="s">
        <v>77</v>
      </c>
      <c r="I1973" t="s">
        <v>58</v>
      </c>
      <c r="J1973" t="s">
        <v>6174</v>
      </c>
      <c r="K1973">
        <v>30</v>
      </c>
      <c r="L1973" t="s">
        <v>37</v>
      </c>
      <c r="M1973" t="s">
        <v>97</v>
      </c>
      <c r="N1973" t="s">
        <v>112</v>
      </c>
      <c r="O1973" t="s">
        <v>28</v>
      </c>
      <c r="P1973" t="s">
        <v>31</v>
      </c>
      <c r="Q1973">
        <v>0</v>
      </c>
      <c r="R1973" t="s">
        <v>12883</v>
      </c>
      <c r="S1973" t="s">
        <v>12889</v>
      </c>
    </row>
    <row r="1974" spans="1:19" x14ac:dyDescent="0.25">
      <c r="A1974" t="s">
        <v>2767</v>
      </c>
      <c r="B1974" s="1">
        <v>45924</v>
      </c>
      <c r="C1974" t="s">
        <v>12882</v>
      </c>
      <c r="D1974" s="5">
        <v>0.83285879629629633</v>
      </c>
      <c r="E1974">
        <v>56.68</v>
      </c>
      <c r="F1974" t="s">
        <v>44</v>
      </c>
      <c r="G1974" t="s">
        <v>1916</v>
      </c>
      <c r="H1974" t="s">
        <v>77</v>
      </c>
      <c r="I1974" t="s">
        <v>146</v>
      </c>
      <c r="J1974" t="s">
        <v>2768</v>
      </c>
      <c r="K1974">
        <v>20</v>
      </c>
      <c r="L1974" t="s">
        <v>49</v>
      </c>
      <c r="M1974" t="s">
        <v>97</v>
      </c>
      <c r="N1974" t="s">
        <v>105</v>
      </c>
      <c r="O1974" t="s">
        <v>28</v>
      </c>
      <c r="P1974" t="s">
        <v>31</v>
      </c>
      <c r="Q1974">
        <v>0</v>
      </c>
      <c r="R1974" t="s">
        <v>12883</v>
      </c>
      <c r="S1974" t="s">
        <v>12892</v>
      </c>
    </row>
    <row r="1975" spans="1:19" x14ac:dyDescent="0.25">
      <c r="A1975" t="s">
        <v>4175</v>
      </c>
      <c r="B1975" s="1">
        <v>45819</v>
      </c>
      <c r="C1975" t="s">
        <v>12888</v>
      </c>
      <c r="D1975" s="5">
        <v>0.55587962962962967</v>
      </c>
      <c r="E1975">
        <v>56.51</v>
      </c>
      <c r="F1975" t="s">
        <v>44</v>
      </c>
      <c r="G1975" t="s">
        <v>4176</v>
      </c>
      <c r="H1975" t="s">
        <v>64</v>
      </c>
      <c r="I1975" t="s">
        <v>50</v>
      </c>
      <c r="J1975" t="s">
        <v>4177</v>
      </c>
      <c r="K1975">
        <v>64</v>
      </c>
      <c r="L1975" t="s">
        <v>49</v>
      </c>
      <c r="M1975" t="s">
        <v>66</v>
      </c>
      <c r="N1975" t="s">
        <v>105</v>
      </c>
      <c r="O1975" t="s">
        <v>28</v>
      </c>
      <c r="P1975" t="s">
        <v>31</v>
      </c>
      <c r="Q1975">
        <v>0</v>
      </c>
      <c r="R1975" t="s">
        <v>12883</v>
      </c>
      <c r="S1975" t="s">
        <v>12884</v>
      </c>
    </row>
    <row r="1976" spans="1:19" x14ac:dyDescent="0.25">
      <c r="A1976" t="s">
        <v>2298</v>
      </c>
      <c r="B1976" s="1">
        <v>45885</v>
      </c>
      <c r="C1976" t="s">
        <v>12893</v>
      </c>
      <c r="D1976" s="5">
        <v>0.97546296296296298</v>
      </c>
      <c r="E1976">
        <v>56.43</v>
      </c>
      <c r="F1976" t="s">
        <v>44</v>
      </c>
      <c r="G1976" t="s">
        <v>2299</v>
      </c>
      <c r="H1976" t="s">
        <v>89</v>
      </c>
      <c r="I1976" t="s">
        <v>248</v>
      </c>
      <c r="J1976" t="s">
        <v>2300</v>
      </c>
      <c r="K1976">
        <v>28</v>
      </c>
      <c r="L1976" t="s">
        <v>49</v>
      </c>
      <c r="M1976" t="s">
        <v>66</v>
      </c>
      <c r="N1976" t="s">
        <v>27</v>
      </c>
      <c r="O1976" t="s">
        <v>28</v>
      </c>
      <c r="P1976" t="s">
        <v>31</v>
      </c>
      <c r="Q1976">
        <v>0</v>
      </c>
      <c r="R1976" t="s">
        <v>12883</v>
      </c>
      <c r="S1976" t="s">
        <v>12889</v>
      </c>
    </row>
    <row r="1977" spans="1:19" x14ac:dyDescent="0.25">
      <c r="A1977" t="s">
        <v>977</v>
      </c>
      <c r="B1977" s="1">
        <v>45793</v>
      </c>
      <c r="C1977" t="s">
        <v>12887</v>
      </c>
      <c r="D1977" s="5">
        <v>0.64812499999999995</v>
      </c>
      <c r="E1977">
        <v>56.29</v>
      </c>
      <c r="F1977" t="s">
        <v>44</v>
      </c>
      <c r="G1977" t="s">
        <v>978</v>
      </c>
      <c r="H1977" t="s">
        <v>22</v>
      </c>
      <c r="I1977" t="s">
        <v>35</v>
      </c>
      <c r="J1977" t="s">
        <v>979</v>
      </c>
      <c r="K1977">
        <v>45</v>
      </c>
      <c r="L1977" t="s">
        <v>25</v>
      </c>
      <c r="M1977" t="s">
        <v>58</v>
      </c>
      <c r="N1977" t="s">
        <v>84</v>
      </c>
      <c r="O1977" t="s">
        <v>28</v>
      </c>
      <c r="P1977" t="s">
        <v>31</v>
      </c>
      <c r="Q1977">
        <v>0</v>
      </c>
      <c r="R1977" t="s">
        <v>12883</v>
      </c>
      <c r="S1977" t="s">
        <v>12886</v>
      </c>
    </row>
    <row r="1978" spans="1:19" x14ac:dyDescent="0.25">
      <c r="A1978" t="s">
        <v>196</v>
      </c>
      <c r="B1978" s="1">
        <v>45835</v>
      </c>
      <c r="C1978" t="s">
        <v>12888</v>
      </c>
      <c r="D1978" s="5">
        <v>0.91925925925925922</v>
      </c>
      <c r="E1978">
        <v>56.13</v>
      </c>
      <c r="F1978" t="s">
        <v>44</v>
      </c>
      <c r="G1978" t="s">
        <v>197</v>
      </c>
      <c r="H1978" t="s">
        <v>77</v>
      </c>
      <c r="I1978" t="s">
        <v>23</v>
      </c>
      <c r="J1978" t="s">
        <v>198</v>
      </c>
      <c r="K1978">
        <v>54</v>
      </c>
      <c r="L1978" t="s">
        <v>49</v>
      </c>
      <c r="M1978" t="s">
        <v>47</v>
      </c>
      <c r="N1978" t="s">
        <v>84</v>
      </c>
      <c r="O1978" t="s">
        <v>28</v>
      </c>
      <c r="P1978" t="s">
        <v>31</v>
      </c>
      <c r="Q1978">
        <v>0</v>
      </c>
      <c r="R1978" t="s">
        <v>12883</v>
      </c>
      <c r="S1978" t="s">
        <v>12886</v>
      </c>
    </row>
    <row r="1979" spans="1:19" x14ac:dyDescent="0.25">
      <c r="A1979" t="s">
        <v>2290</v>
      </c>
      <c r="B1979" s="1">
        <v>45917</v>
      </c>
      <c r="C1979" t="s">
        <v>12882</v>
      </c>
      <c r="D1979" s="5">
        <v>0.34363425925925928</v>
      </c>
      <c r="E1979">
        <v>56.13</v>
      </c>
      <c r="F1979" t="s">
        <v>44</v>
      </c>
      <c r="G1979" t="s">
        <v>868</v>
      </c>
      <c r="H1979" t="s">
        <v>64</v>
      </c>
      <c r="I1979" t="s">
        <v>35</v>
      </c>
      <c r="J1979" t="s">
        <v>2291</v>
      </c>
      <c r="K1979">
        <v>66</v>
      </c>
      <c r="L1979" t="s">
        <v>49</v>
      </c>
      <c r="M1979" t="s">
        <v>47</v>
      </c>
      <c r="N1979" t="s">
        <v>51</v>
      </c>
      <c r="O1979" t="s">
        <v>28</v>
      </c>
      <c r="P1979" t="s">
        <v>31</v>
      </c>
      <c r="Q1979">
        <v>0</v>
      </c>
      <c r="R1979" t="s">
        <v>12883</v>
      </c>
      <c r="S1979" t="s">
        <v>12884</v>
      </c>
    </row>
    <row r="1980" spans="1:19" x14ac:dyDescent="0.25">
      <c r="A1980" t="s">
        <v>5209</v>
      </c>
      <c r="B1980" s="1">
        <v>45944</v>
      </c>
      <c r="C1980" t="s">
        <v>12890</v>
      </c>
      <c r="D1980" s="5">
        <v>0.13245370370370371</v>
      </c>
      <c r="E1980">
        <v>56.12</v>
      </c>
      <c r="F1980" t="s">
        <v>44</v>
      </c>
      <c r="G1980" t="s">
        <v>5210</v>
      </c>
      <c r="H1980" t="s">
        <v>71</v>
      </c>
      <c r="I1980" t="s">
        <v>23</v>
      </c>
      <c r="J1980" t="s">
        <v>5211</v>
      </c>
      <c r="K1980">
        <v>75</v>
      </c>
      <c r="L1980" t="s">
        <v>25</v>
      </c>
      <c r="M1980" t="s">
        <v>23</v>
      </c>
      <c r="N1980" t="s">
        <v>27</v>
      </c>
      <c r="O1980" t="s">
        <v>113</v>
      </c>
      <c r="P1980" t="s">
        <v>31</v>
      </c>
      <c r="Q1980">
        <v>0</v>
      </c>
      <c r="R1980" t="s">
        <v>12883</v>
      </c>
      <c r="S1980" t="s">
        <v>12884</v>
      </c>
    </row>
    <row r="1981" spans="1:19" x14ac:dyDescent="0.25">
      <c r="A1981" t="s">
        <v>8453</v>
      </c>
      <c r="B1981" s="1">
        <v>45788</v>
      </c>
      <c r="C1981" t="s">
        <v>12887</v>
      </c>
      <c r="D1981" s="5">
        <v>0.75391203703703702</v>
      </c>
      <c r="E1981">
        <v>56.06</v>
      </c>
      <c r="F1981" t="s">
        <v>44</v>
      </c>
      <c r="G1981" t="s">
        <v>2865</v>
      </c>
      <c r="H1981" t="s">
        <v>71</v>
      </c>
      <c r="I1981" t="s">
        <v>23</v>
      </c>
      <c r="J1981" t="s">
        <v>8454</v>
      </c>
      <c r="K1981">
        <v>29</v>
      </c>
      <c r="L1981" t="s">
        <v>37</v>
      </c>
      <c r="M1981" t="s">
        <v>58</v>
      </c>
      <c r="N1981" t="s">
        <v>51</v>
      </c>
      <c r="O1981" t="s">
        <v>28</v>
      </c>
      <c r="P1981" t="s">
        <v>31</v>
      </c>
      <c r="Q1981">
        <v>0</v>
      </c>
      <c r="R1981" t="s">
        <v>12883</v>
      </c>
      <c r="S1981" t="s">
        <v>12889</v>
      </c>
    </row>
    <row r="1982" spans="1:19" x14ac:dyDescent="0.25">
      <c r="A1982" t="s">
        <v>3539</v>
      </c>
      <c r="B1982" s="1">
        <v>45843</v>
      </c>
      <c r="C1982" t="s">
        <v>12885</v>
      </c>
      <c r="D1982" s="5">
        <v>0.99651620370370375</v>
      </c>
      <c r="E1982">
        <v>56.01</v>
      </c>
      <c r="F1982" t="s">
        <v>44</v>
      </c>
      <c r="G1982" t="s">
        <v>1115</v>
      </c>
      <c r="H1982" t="s">
        <v>34</v>
      </c>
      <c r="I1982" t="s">
        <v>97</v>
      </c>
      <c r="J1982" t="s">
        <v>3540</v>
      </c>
      <c r="K1982">
        <v>42</v>
      </c>
      <c r="L1982" t="s">
        <v>37</v>
      </c>
      <c r="M1982" t="s">
        <v>58</v>
      </c>
      <c r="N1982" t="s">
        <v>112</v>
      </c>
      <c r="O1982" t="s">
        <v>28</v>
      </c>
      <c r="P1982" t="s">
        <v>31</v>
      </c>
      <c r="Q1982">
        <v>0</v>
      </c>
      <c r="R1982" t="s">
        <v>12883</v>
      </c>
      <c r="S1982" t="s">
        <v>12886</v>
      </c>
    </row>
    <row r="1983" spans="1:19" x14ac:dyDescent="0.25">
      <c r="A1983" t="s">
        <v>1194</v>
      </c>
      <c r="B1983" s="1">
        <v>45854</v>
      </c>
      <c r="C1983" t="s">
        <v>12885</v>
      </c>
      <c r="D1983" s="5">
        <v>0.14836805555555554</v>
      </c>
      <c r="E1983">
        <v>55.97</v>
      </c>
      <c r="F1983" t="s">
        <v>44</v>
      </c>
      <c r="G1983" t="s">
        <v>1195</v>
      </c>
      <c r="H1983" t="s">
        <v>34</v>
      </c>
      <c r="I1983" t="s">
        <v>66</v>
      </c>
      <c r="J1983" t="s">
        <v>1196</v>
      </c>
      <c r="K1983">
        <v>36</v>
      </c>
      <c r="L1983" t="s">
        <v>25</v>
      </c>
      <c r="M1983" t="s">
        <v>26</v>
      </c>
      <c r="N1983" t="s">
        <v>112</v>
      </c>
      <c r="O1983" t="s">
        <v>28</v>
      </c>
      <c r="P1983" t="s">
        <v>31</v>
      </c>
      <c r="Q1983">
        <v>0</v>
      </c>
      <c r="R1983" t="s">
        <v>12883</v>
      </c>
      <c r="S1983" t="s">
        <v>12889</v>
      </c>
    </row>
    <row r="1984" spans="1:19" x14ac:dyDescent="0.25">
      <c r="A1984" t="s">
        <v>6850</v>
      </c>
      <c r="B1984" s="1">
        <v>45915</v>
      </c>
      <c r="C1984" t="s">
        <v>12882</v>
      </c>
      <c r="D1984" s="5">
        <v>0.91380787037037037</v>
      </c>
      <c r="E1984">
        <v>55.88</v>
      </c>
      <c r="F1984" t="s">
        <v>44</v>
      </c>
      <c r="G1984" t="s">
        <v>6851</v>
      </c>
      <c r="H1984" t="s">
        <v>77</v>
      </c>
      <c r="I1984" t="s">
        <v>26</v>
      </c>
      <c r="J1984" t="s">
        <v>6852</v>
      </c>
      <c r="K1984">
        <v>50</v>
      </c>
      <c r="L1984" t="s">
        <v>37</v>
      </c>
      <c r="M1984" t="s">
        <v>248</v>
      </c>
      <c r="N1984" t="s">
        <v>105</v>
      </c>
      <c r="O1984" t="s">
        <v>28</v>
      </c>
      <c r="P1984" t="s">
        <v>31</v>
      </c>
      <c r="Q1984">
        <v>0</v>
      </c>
      <c r="R1984" t="s">
        <v>12883</v>
      </c>
      <c r="S1984" t="s">
        <v>12886</v>
      </c>
    </row>
    <row r="1985" spans="1:19" x14ac:dyDescent="0.25">
      <c r="A1985" t="s">
        <v>4635</v>
      </c>
      <c r="B1985" s="1">
        <v>45789</v>
      </c>
      <c r="C1985" t="s">
        <v>12887</v>
      </c>
      <c r="D1985" s="5">
        <v>0.33483796296296298</v>
      </c>
      <c r="E1985">
        <v>55.84</v>
      </c>
      <c r="F1985" t="s">
        <v>44</v>
      </c>
      <c r="G1985" t="s">
        <v>3986</v>
      </c>
      <c r="H1985" t="s">
        <v>77</v>
      </c>
      <c r="I1985" t="s">
        <v>146</v>
      </c>
      <c r="J1985" t="s">
        <v>4636</v>
      </c>
      <c r="K1985">
        <v>34</v>
      </c>
      <c r="L1985" t="s">
        <v>49</v>
      </c>
      <c r="M1985" t="s">
        <v>58</v>
      </c>
      <c r="N1985" t="s">
        <v>112</v>
      </c>
      <c r="O1985" t="s">
        <v>28</v>
      </c>
      <c r="P1985" t="s">
        <v>31</v>
      </c>
      <c r="Q1985">
        <v>0</v>
      </c>
      <c r="R1985" t="s">
        <v>12883</v>
      </c>
      <c r="S1985" t="s">
        <v>12889</v>
      </c>
    </row>
    <row r="1986" spans="1:19" x14ac:dyDescent="0.25">
      <c r="A1986" t="s">
        <v>1714</v>
      </c>
      <c r="B1986" s="1">
        <v>45933</v>
      </c>
      <c r="C1986" t="s">
        <v>12890</v>
      </c>
      <c r="D1986" s="5">
        <v>0.64475694444444442</v>
      </c>
      <c r="E1986">
        <v>55.81</v>
      </c>
      <c r="F1986" t="s">
        <v>44</v>
      </c>
      <c r="G1986" t="s">
        <v>1715</v>
      </c>
      <c r="H1986" t="s">
        <v>22</v>
      </c>
      <c r="I1986" t="s">
        <v>66</v>
      </c>
      <c r="J1986" t="s">
        <v>1716</v>
      </c>
      <c r="K1986">
        <v>68</v>
      </c>
      <c r="L1986" t="s">
        <v>49</v>
      </c>
      <c r="M1986" t="s">
        <v>47</v>
      </c>
      <c r="N1986" t="s">
        <v>84</v>
      </c>
      <c r="O1986" t="s">
        <v>28</v>
      </c>
      <c r="P1986" t="s">
        <v>31</v>
      </c>
      <c r="Q1986">
        <v>0</v>
      </c>
      <c r="R1986" t="s">
        <v>12883</v>
      </c>
      <c r="S1986" t="s">
        <v>12884</v>
      </c>
    </row>
    <row r="1987" spans="1:19" x14ac:dyDescent="0.25">
      <c r="A1987" t="s">
        <v>8165</v>
      </c>
      <c r="B1987" s="1">
        <v>45786</v>
      </c>
      <c r="C1987" t="s">
        <v>12887</v>
      </c>
      <c r="D1987" s="5">
        <v>0.70093749999999999</v>
      </c>
      <c r="E1987">
        <v>55.8</v>
      </c>
      <c r="F1987" t="s">
        <v>44</v>
      </c>
      <c r="G1987" t="s">
        <v>819</v>
      </c>
      <c r="H1987" t="s">
        <v>22</v>
      </c>
      <c r="I1987" t="s">
        <v>47</v>
      </c>
      <c r="J1987" t="s">
        <v>8166</v>
      </c>
      <c r="K1987">
        <v>55</v>
      </c>
      <c r="L1987" t="s">
        <v>25</v>
      </c>
      <c r="M1987" t="s">
        <v>66</v>
      </c>
      <c r="N1987" t="s">
        <v>105</v>
      </c>
      <c r="O1987" t="s">
        <v>28</v>
      </c>
      <c r="P1987" t="s">
        <v>31</v>
      </c>
      <c r="Q1987">
        <v>0</v>
      </c>
      <c r="R1987" t="s">
        <v>12883</v>
      </c>
      <c r="S1987" t="s">
        <v>12886</v>
      </c>
    </row>
    <row r="1988" spans="1:19" x14ac:dyDescent="0.25">
      <c r="A1988" t="s">
        <v>4328</v>
      </c>
      <c r="B1988" s="1">
        <v>45889</v>
      </c>
      <c r="C1988" t="s">
        <v>12893</v>
      </c>
      <c r="D1988" s="5">
        <v>0.59538194444444448</v>
      </c>
      <c r="E1988">
        <v>55.56</v>
      </c>
      <c r="F1988" t="s">
        <v>44</v>
      </c>
      <c r="G1988" t="s">
        <v>4329</v>
      </c>
      <c r="H1988" t="s">
        <v>124</v>
      </c>
      <c r="I1988" t="s">
        <v>146</v>
      </c>
      <c r="J1988" t="s">
        <v>4330</v>
      </c>
      <c r="K1988">
        <v>51</v>
      </c>
      <c r="L1988" t="s">
        <v>49</v>
      </c>
      <c r="M1988" t="s">
        <v>26</v>
      </c>
      <c r="N1988" t="s">
        <v>112</v>
      </c>
      <c r="O1988" t="s">
        <v>28</v>
      </c>
      <c r="P1988" t="s">
        <v>31</v>
      </c>
      <c r="Q1988">
        <v>1</v>
      </c>
      <c r="R1988" t="s">
        <v>12891</v>
      </c>
      <c r="S1988" t="s">
        <v>12886</v>
      </c>
    </row>
    <row r="1989" spans="1:19" x14ac:dyDescent="0.25">
      <c r="A1989" t="s">
        <v>1286</v>
      </c>
      <c r="B1989" s="1">
        <v>45931</v>
      </c>
      <c r="C1989" t="s">
        <v>12890</v>
      </c>
      <c r="D1989" s="5">
        <v>0.56156249999999996</v>
      </c>
      <c r="E1989">
        <v>55.53</v>
      </c>
      <c r="F1989" t="s">
        <v>44</v>
      </c>
      <c r="G1989" t="s">
        <v>1082</v>
      </c>
      <c r="H1989" t="s">
        <v>22</v>
      </c>
      <c r="I1989" t="s">
        <v>146</v>
      </c>
      <c r="J1989" t="s">
        <v>1287</v>
      </c>
      <c r="K1989">
        <v>19</v>
      </c>
      <c r="L1989" t="s">
        <v>37</v>
      </c>
      <c r="M1989" t="s">
        <v>66</v>
      </c>
      <c r="N1989" t="s">
        <v>27</v>
      </c>
      <c r="O1989" t="s">
        <v>28</v>
      </c>
      <c r="P1989" t="s">
        <v>31</v>
      </c>
      <c r="Q1989">
        <v>0</v>
      </c>
      <c r="R1989" t="s">
        <v>12883</v>
      </c>
      <c r="S1989" t="s">
        <v>12892</v>
      </c>
    </row>
    <row r="1990" spans="1:19" x14ac:dyDescent="0.25">
      <c r="A1990" t="s">
        <v>10460</v>
      </c>
      <c r="B1990" s="1">
        <v>45786</v>
      </c>
      <c r="C1990" t="s">
        <v>12887</v>
      </c>
      <c r="D1990" s="5">
        <v>0.57821759259259264</v>
      </c>
      <c r="E1990">
        <v>55.52</v>
      </c>
      <c r="F1990" t="s">
        <v>44</v>
      </c>
      <c r="G1990" t="s">
        <v>1351</v>
      </c>
      <c r="H1990" t="s">
        <v>124</v>
      </c>
      <c r="I1990" t="s">
        <v>38</v>
      </c>
      <c r="J1990" t="s">
        <v>10461</v>
      </c>
      <c r="K1990">
        <v>73</v>
      </c>
      <c r="L1990" t="s">
        <v>49</v>
      </c>
      <c r="M1990" t="s">
        <v>58</v>
      </c>
      <c r="N1990" t="s">
        <v>105</v>
      </c>
      <c r="O1990" t="s">
        <v>28</v>
      </c>
      <c r="P1990" t="s">
        <v>31</v>
      </c>
      <c r="Q1990">
        <v>0</v>
      </c>
      <c r="R1990" t="s">
        <v>12883</v>
      </c>
      <c r="S1990" t="s">
        <v>12884</v>
      </c>
    </row>
    <row r="1991" spans="1:19" x14ac:dyDescent="0.25">
      <c r="A1991" t="s">
        <v>10082</v>
      </c>
      <c r="B1991" s="1">
        <v>45827</v>
      </c>
      <c r="C1991" t="s">
        <v>12888</v>
      </c>
      <c r="D1991" s="5">
        <v>0.82574074074074078</v>
      </c>
      <c r="E1991">
        <v>55.37</v>
      </c>
      <c r="F1991" t="s">
        <v>44</v>
      </c>
      <c r="G1991" t="s">
        <v>768</v>
      </c>
      <c r="H1991" t="s">
        <v>46</v>
      </c>
      <c r="I1991" t="s">
        <v>146</v>
      </c>
      <c r="J1991" t="s">
        <v>10083</v>
      </c>
      <c r="K1991">
        <v>27</v>
      </c>
      <c r="L1991" t="s">
        <v>37</v>
      </c>
      <c r="M1991" t="s">
        <v>130</v>
      </c>
      <c r="N1991" t="s">
        <v>84</v>
      </c>
      <c r="O1991" t="s">
        <v>28</v>
      </c>
      <c r="P1991" t="s">
        <v>31</v>
      </c>
      <c r="Q1991">
        <v>0</v>
      </c>
      <c r="R1991" t="s">
        <v>12883</v>
      </c>
      <c r="S1991" t="s">
        <v>12889</v>
      </c>
    </row>
    <row r="1992" spans="1:19" x14ac:dyDescent="0.25">
      <c r="A1992" t="s">
        <v>9479</v>
      </c>
      <c r="B1992" s="1">
        <v>45868</v>
      </c>
      <c r="C1992" t="s">
        <v>12885</v>
      </c>
      <c r="D1992" s="5">
        <v>0.28232638888888889</v>
      </c>
      <c r="E1992">
        <v>55.36</v>
      </c>
      <c r="F1992" t="s">
        <v>44</v>
      </c>
      <c r="G1992" t="s">
        <v>3558</v>
      </c>
      <c r="H1992" t="s">
        <v>96</v>
      </c>
      <c r="I1992" t="s">
        <v>66</v>
      </c>
      <c r="J1992" t="s">
        <v>9480</v>
      </c>
      <c r="K1992">
        <v>45</v>
      </c>
      <c r="L1992" t="s">
        <v>37</v>
      </c>
      <c r="M1992" t="s">
        <v>146</v>
      </c>
      <c r="N1992" t="s">
        <v>27</v>
      </c>
      <c r="O1992" t="s">
        <v>28</v>
      </c>
      <c r="P1992" t="s">
        <v>31</v>
      </c>
      <c r="Q1992">
        <v>0</v>
      </c>
      <c r="R1992" t="s">
        <v>12883</v>
      </c>
      <c r="S1992" t="s">
        <v>12886</v>
      </c>
    </row>
    <row r="1993" spans="1:19" x14ac:dyDescent="0.25">
      <c r="A1993" t="s">
        <v>8055</v>
      </c>
      <c r="B1993" s="1">
        <v>45816</v>
      </c>
      <c r="C1993" t="s">
        <v>12888</v>
      </c>
      <c r="D1993" s="5">
        <v>0.95427083333333329</v>
      </c>
      <c r="E1993">
        <v>55.35</v>
      </c>
      <c r="F1993" t="s">
        <v>44</v>
      </c>
      <c r="G1993" t="s">
        <v>1804</v>
      </c>
      <c r="H1993" t="s">
        <v>71</v>
      </c>
      <c r="I1993" t="s">
        <v>130</v>
      </c>
      <c r="J1993" t="s">
        <v>8056</v>
      </c>
      <c r="K1993">
        <v>42</v>
      </c>
      <c r="L1993" t="s">
        <v>25</v>
      </c>
      <c r="M1993" t="s">
        <v>66</v>
      </c>
      <c r="N1993" t="s">
        <v>39</v>
      </c>
      <c r="O1993" t="s">
        <v>28</v>
      </c>
      <c r="P1993" t="s">
        <v>31</v>
      </c>
      <c r="Q1993">
        <v>1</v>
      </c>
      <c r="R1993" t="s">
        <v>12891</v>
      </c>
      <c r="S1993" t="s">
        <v>12886</v>
      </c>
    </row>
    <row r="1994" spans="1:19" x14ac:dyDescent="0.25">
      <c r="A1994" t="s">
        <v>150</v>
      </c>
      <c r="B1994" s="1">
        <v>45815</v>
      </c>
      <c r="C1994" t="s">
        <v>12888</v>
      </c>
      <c r="D1994" s="5">
        <v>0.81763888888888892</v>
      </c>
      <c r="E1994">
        <v>55.28</v>
      </c>
      <c r="F1994" t="s">
        <v>44</v>
      </c>
      <c r="G1994" t="s">
        <v>151</v>
      </c>
      <c r="H1994" t="s">
        <v>89</v>
      </c>
      <c r="I1994" t="s">
        <v>91</v>
      </c>
      <c r="J1994" t="s">
        <v>152</v>
      </c>
      <c r="K1994">
        <v>56</v>
      </c>
      <c r="L1994" t="s">
        <v>37</v>
      </c>
      <c r="M1994" t="s">
        <v>130</v>
      </c>
      <c r="N1994" t="s">
        <v>112</v>
      </c>
      <c r="O1994" t="s">
        <v>28</v>
      </c>
      <c r="P1994" t="s">
        <v>31</v>
      </c>
      <c r="Q1994">
        <v>0</v>
      </c>
      <c r="R1994" t="s">
        <v>12883</v>
      </c>
      <c r="S1994" t="s">
        <v>12886</v>
      </c>
    </row>
    <row r="1995" spans="1:19" x14ac:dyDescent="0.25">
      <c r="A1995" t="s">
        <v>9034</v>
      </c>
      <c r="B1995" s="1">
        <v>45855</v>
      </c>
      <c r="C1995" t="s">
        <v>12885</v>
      </c>
      <c r="D1995" s="5">
        <v>0.32688657407407407</v>
      </c>
      <c r="E1995">
        <v>55.24</v>
      </c>
      <c r="F1995" t="s">
        <v>44</v>
      </c>
      <c r="G1995" t="s">
        <v>3380</v>
      </c>
      <c r="H1995" t="s">
        <v>57</v>
      </c>
      <c r="I1995" t="s">
        <v>91</v>
      </c>
      <c r="J1995" t="s">
        <v>9035</v>
      </c>
      <c r="K1995">
        <v>35</v>
      </c>
      <c r="L1995" t="s">
        <v>37</v>
      </c>
      <c r="M1995" t="s">
        <v>35</v>
      </c>
      <c r="N1995" t="s">
        <v>39</v>
      </c>
      <c r="O1995" t="s">
        <v>28</v>
      </c>
      <c r="P1995" t="s">
        <v>31</v>
      </c>
      <c r="Q1995">
        <v>0</v>
      </c>
      <c r="R1995" t="s">
        <v>12883</v>
      </c>
      <c r="S1995" t="s">
        <v>12889</v>
      </c>
    </row>
    <row r="1996" spans="1:19" x14ac:dyDescent="0.25">
      <c r="A1996" t="s">
        <v>5273</v>
      </c>
      <c r="B1996" s="1">
        <v>45887</v>
      </c>
      <c r="C1996" t="s">
        <v>12893</v>
      </c>
      <c r="D1996" s="5">
        <v>0.64856481481481476</v>
      </c>
      <c r="E1996">
        <v>55.22</v>
      </c>
      <c r="F1996" t="s">
        <v>44</v>
      </c>
      <c r="G1996" t="s">
        <v>4959</v>
      </c>
      <c r="H1996" t="s">
        <v>22</v>
      </c>
      <c r="I1996" t="s">
        <v>47</v>
      </c>
      <c r="J1996" t="s">
        <v>5274</v>
      </c>
      <c r="K1996">
        <v>66</v>
      </c>
      <c r="L1996" t="s">
        <v>37</v>
      </c>
      <c r="M1996" t="s">
        <v>119</v>
      </c>
      <c r="N1996" t="s">
        <v>27</v>
      </c>
      <c r="O1996" t="s">
        <v>28</v>
      </c>
      <c r="P1996" t="s">
        <v>31</v>
      </c>
      <c r="Q1996">
        <v>0</v>
      </c>
      <c r="R1996" t="s">
        <v>12883</v>
      </c>
      <c r="S1996" t="s">
        <v>12884</v>
      </c>
    </row>
    <row r="1997" spans="1:19" x14ac:dyDescent="0.25">
      <c r="A1997" t="s">
        <v>12009</v>
      </c>
      <c r="B1997" s="1">
        <v>45832</v>
      </c>
      <c r="C1997" t="s">
        <v>12888</v>
      </c>
      <c r="D1997" s="5">
        <v>0.11006944444444444</v>
      </c>
      <c r="E1997">
        <v>55.21</v>
      </c>
      <c r="F1997" t="s">
        <v>44</v>
      </c>
      <c r="G1997" t="s">
        <v>7808</v>
      </c>
      <c r="H1997" t="s">
        <v>71</v>
      </c>
      <c r="I1997" t="s">
        <v>130</v>
      </c>
      <c r="J1997" t="s">
        <v>12010</v>
      </c>
      <c r="K1997">
        <v>54</v>
      </c>
      <c r="L1997" t="s">
        <v>37</v>
      </c>
      <c r="M1997" t="s">
        <v>50</v>
      </c>
      <c r="N1997" t="s">
        <v>84</v>
      </c>
      <c r="O1997" t="s">
        <v>28</v>
      </c>
      <c r="P1997" t="s">
        <v>31</v>
      </c>
      <c r="Q1997">
        <v>0</v>
      </c>
      <c r="R1997" t="s">
        <v>12883</v>
      </c>
      <c r="S1997" t="s">
        <v>12886</v>
      </c>
    </row>
    <row r="1998" spans="1:19" x14ac:dyDescent="0.25">
      <c r="A1998" t="s">
        <v>3499</v>
      </c>
      <c r="B1998" s="1">
        <v>45926</v>
      </c>
      <c r="C1998" t="s">
        <v>12882</v>
      </c>
      <c r="D1998" s="5">
        <v>6.3472222222222222E-2</v>
      </c>
      <c r="E1998">
        <v>55.05</v>
      </c>
      <c r="F1998" t="s">
        <v>44</v>
      </c>
      <c r="G1998" t="s">
        <v>3243</v>
      </c>
      <c r="H1998" t="s">
        <v>34</v>
      </c>
      <c r="I1998" t="s">
        <v>91</v>
      </c>
      <c r="J1998" t="s">
        <v>3500</v>
      </c>
      <c r="K1998">
        <v>44</v>
      </c>
      <c r="L1998" t="s">
        <v>37</v>
      </c>
      <c r="M1998" t="s">
        <v>47</v>
      </c>
      <c r="N1998" t="s">
        <v>105</v>
      </c>
      <c r="O1998" t="s">
        <v>28</v>
      </c>
      <c r="P1998" t="s">
        <v>31</v>
      </c>
      <c r="Q1998">
        <v>0</v>
      </c>
      <c r="R1998" t="s">
        <v>12883</v>
      </c>
      <c r="S1998" t="s">
        <v>12886</v>
      </c>
    </row>
    <row r="1999" spans="1:19" x14ac:dyDescent="0.25">
      <c r="A1999" t="s">
        <v>2403</v>
      </c>
      <c r="B1999" s="1">
        <v>45913</v>
      </c>
      <c r="C1999" t="s">
        <v>12882</v>
      </c>
      <c r="D1999" s="5">
        <v>0.8249305555555555</v>
      </c>
      <c r="E1999">
        <v>55.04</v>
      </c>
      <c r="F1999" t="s">
        <v>44</v>
      </c>
      <c r="G1999" t="s">
        <v>2404</v>
      </c>
      <c r="H1999" t="s">
        <v>124</v>
      </c>
      <c r="I1999" t="s">
        <v>35</v>
      </c>
      <c r="J1999" t="s">
        <v>1253</v>
      </c>
      <c r="K1999">
        <v>69</v>
      </c>
      <c r="L1999" t="s">
        <v>37</v>
      </c>
      <c r="M1999" t="s">
        <v>146</v>
      </c>
      <c r="N1999" t="s">
        <v>105</v>
      </c>
      <c r="O1999" t="s">
        <v>28</v>
      </c>
      <c r="P1999" t="s">
        <v>31</v>
      </c>
      <c r="Q1999">
        <v>0</v>
      </c>
      <c r="R1999" t="s">
        <v>12883</v>
      </c>
      <c r="S1999" t="s">
        <v>12884</v>
      </c>
    </row>
    <row r="2000" spans="1:19" x14ac:dyDescent="0.25">
      <c r="A2000" t="s">
        <v>6132</v>
      </c>
      <c r="B2000" s="1">
        <v>45928</v>
      </c>
      <c r="C2000" t="s">
        <v>12882</v>
      </c>
      <c r="D2000" s="5">
        <v>0.61268518518518522</v>
      </c>
      <c r="E2000">
        <v>54.92</v>
      </c>
      <c r="F2000" t="s">
        <v>44</v>
      </c>
      <c r="G2000" t="s">
        <v>6133</v>
      </c>
      <c r="H2000" t="s">
        <v>34</v>
      </c>
      <c r="I2000" t="s">
        <v>35</v>
      </c>
      <c r="J2000" t="s">
        <v>6134</v>
      </c>
      <c r="K2000">
        <v>36</v>
      </c>
      <c r="L2000" t="s">
        <v>25</v>
      </c>
      <c r="M2000" t="s">
        <v>50</v>
      </c>
      <c r="N2000" t="s">
        <v>27</v>
      </c>
      <c r="O2000" t="s">
        <v>28</v>
      </c>
      <c r="P2000" t="s">
        <v>31</v>
      </c>
      <c r="Q2000">
        <v>0</v>
      </c>
      <c r="R2000" t="s">
        <v>12883</v>
      </c>
      <c r="S2000" t="s">
        <v>12889</v>
      </c>
    </row>
    <row r="2001" spans="1:19" x14ac:dyDescent="0.25">
      <c r="A2001" t="s">
        <v>5802</v>
      </c>
      <c r="B2001" s="1">
        <v>45891</v>
      </c>
      <c r="C2001" t="s">
        <v>12893</v>
      </c>
      <c r="D2001" s="5">
        <v>0.18318287037037037</v>
      </c>
      <c r="E2001">
        <v>54.78</v>
      </c>
      <c r="F2001" t="s">
        <v>44</v>
      </c>
      <c r="G2001" t="s">
        <v>5648</v>
      </c>
      <c r="H2001" t="s">
        <v>34</v>
      </c>
      <c r="I2001" t="s">
        <v>26</v>
      </c>
      <c r="J2001" t="s">
        <v>5803</v>
      </c>
      <c r="K2001">
        <v>23</v>
      </c>
      <c r="L2001" t="s">
        <v>37</v>
      </c>
      <c r="M2001" t="s">
        <v>47</v>
      </c>
      <c r="N2001" t="s">
        <v>84</v>
      </c>
      <c r="O2001" t="s">
        <v>28</v>
      </c>
      <c r="P2001" t="s">
        <v>31</v>
      </c>
      <c r="Q2001">
        <v>0</v>
      </c>
      <c r="R2001" t="s">
        <v>12883</v>
      </c>
      <c r="S2001" t="s">
        <v>12892</v>
      </c>
    </row>
    <row r="2002" spans="1:19" x14ac:dyDescent="0.25">
      <c r="A2002" t="s">
        <v>7565</v>
      </c>
      <c r="B2002" s="1">
        <v>45914</v>
      </c>
      <c r="C2002" t="s">
        <v>12882</v>
      </c>
      <c r="D2002" s="5">
        <v>0.54583333333333328</v>
      </c>
      <c r="E2002">
        <v>54.6</v>
      </c>
      <c r="F2002" t="s">
        <v>44</v>
      </c>
      <c r="G2002" t="s">
        <v>2913</v>
      </c>
      <c r="H2002" t="s">
        <v>89</v>
      </c>
      <c r="I2002" t="s">
        <v>110</v>
      </c>
      <c r="J2002" t="s">
        <v>7566</v>
      </c>
      <c r="K2002">
        <v>34</v>
      </c>
      <c r="L2002" t="s">
        <v>37</v>
      </c>
      <c r="M2002" t="s">
        <v>50</v>
      </c>
      <c r="N2002" t="s">
        <v>84</v>
      </c>
      <c r="O2002" t="s">
        <v>28</v>
      </c>
      <c r="P2002" t="s">
        <v>31</v>
      </c>
      <c r="Q2002">
        <v>0</v>
      </c>
      <c r="R2002" t="s">
        <v>12883</v>
      </c>
      <c r="S2002" t="s">
        <v>12889</v>
      </c>
    </row>
    <row r="2003" spans="1:19" x14ac:dyDescent="0.25">
      <c r="A2003" t="s">
        <v>580</v>
      </c>
      <c r="B2003" s="1">
        <v>45899</v>
      </c>
      <c r="C2003" t="s">
        <v>12893</v>
      </c>
      <c r="D2003" s="5">
        <v>0.34412037037037035</v>
      </c>
      <c r="E2003">
        <v>54.57</v>
      </c>
      <c r="F2003" t="s">
        <v>44</v>
      </c>
      <c r="G2003" t="s">
        <v>581</v>
      </c>
      <c r="H2003" t="s">
        <v>89</v>
      </c>
      <c r="I2003" t="s">
        <v>38</v>
      </c>
      <c r="J2003" t="s">
        <v>582</v>
      </c>
      <c r="K2003">
        <v>24</v>
      </c>
      <c r="L2003" t="s">
        <v>37</v>
      </c>
      <c r="M2003" t="s">
        <v>58</v>
      </c>
      <c r="N2003" t="s">
        <v>112</v>
      </c>
      <c r="O2003" t="s">
        <v>28</v>
      </c>
      <c r="P2003" t="s">
        <v>31</v>
      </c>
      <c r="Q2003">
        <v>1</v>
      </c>
      <c r="R2003" t="s">
        <v>12891</v>
      </c>
      <c r="S2003" t="s">
        <v>12892</v>
      </c>
    </row>
    <row r="2004" spans="1:19" x14ac:dyDescent="0.25">
      <c r="A2004" t="s">
        <v>9582</v>
      </c>
      <c r="B2004" s="1">
        <v>45947</v>
      </c>
      <c r="C2004" t="s">
        <v>12890</v>
      </c>
      <c r="D2004" s="5">
        <v>0.44842592592592595</v>
      </c>
      <c r="E2004">
        <v>54.38</v>
      </c>
      <c r="F2004" t="s">
        <v>44</v>
      </c>
      <c r="G2004" t="s">
        <v>883</v>
      </c>
      <c r="H2004" t="s">
        <v>46</v>
      </c>
      <c r="I2004" t="s">
        <v>119</v>
      </c>
      <c r="J2004" t="s">
        <v>9583</v>
      </c>
      <c r="K2004">
        <v>53</v>
      </c>
      <c r="L2004" t="s">
        <v>37</v>
      </c>
      <c r="M2004" t="s">
        <v>130</v>
      </c>
      <c r="N2004" t="s">
        <v>39</v>
      </c>
      <c r="O2004" t="s">
        <v>28</v>
      </c>
      <c r="P2004" t="s">
        <v>31</v>
      </c>
      <c r="Q2004">
        <v>0</v>
      </c>
      <c r="R2004" t="s">
        <v>12883</v>
      </c>
      <c r="S2004" t="s">
        <v>12886</v>
      </c>
    </row>
    <row r="2005" spans="1:19" x14ac:dyDescent="0.25">
      <c r="A2005" t="s">
        <v>11391</v>
      </c>
      <c r="B2005" s="1">
        <v>45921</v>
      </c>
      <c r="C2005" t="s">
        <v>12882</v>
      </c>
      <c r="D2005" s="5">
        <v>0.74593750000000003</v>
      </c>
      <c r="E2005">
        <v>54.25</v>
      </c>
      <c r="F2005" t="s">
        <v>44</v>
      </c>
      <c r="G2005" t="s">
        <v>2340</v>
      </c>
      <c r="H2005" t="s">
        <v>124</v>
      </c>
      <c r="I2005" t="s">
        <v>91</v>
      </c>
      <c r="J2005" t="s">
        <v>11392</v>
      </c>
      <c r="K2005">
        <v>49</v>
      </c>
      <c r="L2005" t="s">
        <v>37</v>
      </c>
      <c r="M2005" t="s">
        <v>58</v>
      </c>
      <c r="N2005" t="s">
        <v>39</v>
      </c>
      <c r="O2005" t="s">
        <v>28</v>
      </c>
      <c r="P2005" t="s">
        <v>31</v>
      </c>
      <c r="Q2005">
        <v>0</v>
      </c>
      <c r="R2005" t="s">
        <v>12883</v>
      </c>
      <c r="S2005" t="s">
        <v>12886</v>
      </c>
    </row>
    <row r="2006" spans="1:19" x14ac:dyDescent="0.25">
      <c r="A2006" t="s">
        <v>625</v>
      </c>
      <c r="B2006" s="1">
        <v>45942</v>
      </c>
      <c r="C2006" t="s">
        <v>12890</v>
      </c>
      <c r="D2006" s="5">
        <v>0.66311342592592593</v>
      </c>
      <c r="E2006">
        <v>54.21</v>
      </c>
      <c r="F2006" t="s">
        <v>44</v>
      </c>
      <c r="G2006" t="s">
        <v>413</v>
      </c>
      <c r="H2006" t="s">
        <v>96</v>
      </c>
      <c r="I2006" t="s">
        <v>38</v>
      </c>
      <c r="J2006" t="s">
        <v>626</v>
      </c>
      <c r="K2006">
        <v>26</v>
      </c>
      <c r="L2006" t="s">
        <v>25</v>
      </c>
      <c r="M2006" t="s">
        <v>26</v>
      </c>
      <c r="N2006" t="s">
        <v>51</v>
      </c>
      <c r="O2006" t="s">
        <v>28</v>
      </c>
      <c r="P2006" t="s">
        <v>31</v>
      </c>
      <c r="Q2006">
        <v>0</v>
      </c>
      <c r="R2006" t="s">
        <v>12883</v>
      </c>
      <c r="S2006" t="s">
        <v>12889</v>
      </c>
    </row>
    <row r="2007" spans="1:19" x14ac:dyDescent="0.25">
      <c r="A2007" t="s">
        <v>8945</v>
      </c>
      <c r="B2007" s="1">
        <v>45896</v>
      </c>
      <c r="C2007" t="s">
        <v>12893</v>
      </c>
      <c r="D2007" s="5">
        <v>0.83285879629629633</v>
      </c>
      <c r="E2007">
        <v>54.18</v>
      </c>
      <c r="F2007" t="s">
        <v>44</v>
      </c>
      <c r="G2007" t="s">
        <v>983</v>
      </c>
      <c r="H2007" t="s">
        <v>22</v>
      </c>
      <c r="I2007" t="s">
        <v>130</v>
      </c>
      <c r="J2007" t="s">
        <v>8946</v>
      </c>
      <c r="K2007">
        <v>45</v>
      </c>
      <c r="L2007" t="s">
        <v>37</v>
      </c>
      <c r="M2007" t="s">
        <v>91</v>
      </c>
      <c r="N2007" t="s">
        <v>51</v>
      </c>
      <c r="O2007" t="s">
        <v>28</v>
      </c>
      <c r="P2007" t="s">
        <v>31</v>
      </c>
      <c r="Q2007">
        <v>0</v>
      </c>
      <c r="R2007" t="s">
        <v>12883</v>
      </c>
      <c r="S2007" t="s">
        <v>12886</v>
      </c>
    </row>
    <row r="2008" spans="1:19" x14ac:dyDescent="0.25">
      <c r="A2008" t="s">
        <v>2268</v>
      </c>
      <c r="B2008" s="1">
        <v>45887</v>
      </c>
      <c r="C2008" t="s">
        <v>12893</v>
      </c>
      <c r="D2008" s="5">
        <v>0.49215277777777777</v>
      </c>
      <c r="E2008">
        <v>54.12</v>
      </c>
      <c r="F2008" t="s">
        <v>44</v>
      </c>
      <c r="G2008" t="s">
        <v>1480</v>
      </c>
      <c r="H2008" t="s">
        <v>34</v>
      </c>
      <c r="I2008" t="s">
        <v>26</v>
      </c>
      <c r="J2008" t="s">
        <v>2269</v>
      </c>
      <c r="K2008">
        <v>52</v>
      </c>
      <c r="L2008" t="s">
        <v>37</v>
      </c>
      <c r="M2008" t="s">
        <v>50</v>
      </c>
      <c r="N2008" t="s">
        <v>27</v>
      </c>
      <c r="O2008" t="s">
        <v>28</v>
      </c>
      <c r="P2008" t="s">
        <v>31</v>
      </c>
      <c r="Q2008">
        <v>0</v>
      </c>
      <c r="R2008" t="s">
        <v>12883</v>
      </c>
      <c r="S2008" t="s">
        <v>12886</v>
      </c>
    </row>
    <row r="2009" spans="1:19" x14ac:dyDescent="0.25">
      <c r="A2009" t="s">
        <v>1190</v>
      </c>
      <c r="B2009" s="1">
        <v>45904</v>
      </c>
      <c r="C2009" t="s">
        <v>12882</v>
      </c>
      <c r="D2009" s="5">
        <v>0.35842592592592593</v>
      </c>
      <c r="E2009">
        <v>54.11</v>
      </c>
      <c r="F2009" t="s">
        <v>44</v>
      </c>
      <c r="G2009" t="s">
        <v>1002</v>
      </c>
      <c r="H2009" t="s">
        <v>46</v>
      </c>
      <c r="I2009" t="s">
        <v>35</v>
      </c>
      <c r="J2009" t="s">
        <v>1191</v>
      </c>
      <c r="K2009">
        <v>64</v>
      </c>
      <c r="L2009" t="s">
        <v>37</v>
      </c>
      <c r="M2009" t="s">
        <v>119</v>
      </c>
      <c r="N2009" t="s">
        <v>84</v>
      </c>
      <c r="O2009" t="s">
        <v>28</v>
      </c>
      <c r="P2009" t="s">
        <v>31</v>
      </c>
      <c r="Q2009">
        <v>0</v>
      </c>
      <c r="R2009" t="s">
        <v>12883</v>
      </c>
      <c r="S2009" t="s">
        <v>12884</v>
      </c>
    </row>
    <row r="2010" spans="1:19" x14ac:dyDescent="0.25">
      <c r="A2010" t="s">
        <v>8654</v>
      </c>
      <c r="B2010" s="1">
        <v>45822</v>
      </c>
      <c r="C2010" t="s">
        <v>12888</v>
      </c>
      <c r="D2010" s="5">
        <v>0.38870370370370372</v>
      </c>
      <c r="E2010">
        <v>53.96</v>
      </c>
      <c r="F2010" t="s">
        <v>44</v>
      </c>
      <c r="G2010" t="s">
        <v>5223</v>
      </c>
      <c r="H2010" t="s">
        <v>77</v>
      </c>
      <c r="I2010" t="s">
        <v>91</v>
      </c>
      <c r="J2010" t="s">
        <v>8655</v>
      </c>
      <c r="K2010">
        <v>74</v>
      </c>
      <c r="L2010" t="s">
        <v>49</v>
      </c>
      <c r="M2010" t="s">
        <v>97</v>
      </c>
      <c r="N2010" t="s">
        <v>105</v>
      </c>
      <c r="O2010" t="s">
        <v>28</v>
      </c>
      <c r="P2010" t="s">
        <v>31</v>
      </c>
      <c r="Q2010">
        <v>0</v>
      </c>
      <c r="R2010" t="s">
        <v>12883</v>
      </c>
      <c r="S2010" t="s">
        <v>12884</v>
      </c>
    </row>
    <row r="2011" spans="1:19" x14ac:dyDescent="0.25">
      <c r="A2011" t="s">
        <v>11107</v>
      </c>
      <c r="B2011" s="1">
        <v>45908</v>
      </c>
      <c r="C2011" t="s">
        <v>12882</v>
      </c>
      <c r="D2011" s="5">
        <v>0.6950925925925926</v>
      </c>
      <c r="E2011">
        <v>53.9</v>
      </c>
      <c r="F2011" t="s">
        <v>44</v>
      </c>
      <c r="G2011" t="s">
        <v>8210</v>
      </c>
      <c r="H2011" t="s">
        <v>71</v>
      </c>
      <c r="I2011" t="s">
        <v>66</v>
      </c>
      <c r="J2011" t="s">
        <v>11108</v>
      </c>
      <c r="K2011">
        <v>42</v>
      </c>
      <c r="L2011" t="s">
        <v>25</v>
      </c>
      <c r="M2011" t="s">
        <v>130</v>
      </c>
      <c r="N2011" t="s">
        <v>112</v>
      </c>
      <c r="O2011" t="s">
        <v>28</v>
      </c>
      <c r="P2011" t="s">
        <v>31</v>
      </c>
      <c r="Q2011">
        <v>0</v>
      </c>
      <c r="R2011" t="s">
        <v>12883</v>
      </c>
      <c r="S2011" t="s">
        <v>12886</v>
      </c>
    </row>
    <row r="2012" spans="1:19" x14ac:dyDescent="0.25">
      <c r="A2012" t="s">
        <v>5768</v>
      </c>
      <c r="B2012" s="1">
        <v>45947</v>
      </c>
      <c r="C2012" t="s">
        <v>12890</v>
      </c>
      <c r="D2012" s="5">
        <v>0.85936342592592596</v>
      </c>
      <c r="E2012">
        <v>53.78</v>
      </c>
      <c r="F2012" t="s">
        <v>44</v>
      </c>
      <c r="G2012" t="s">
        <v>5769</v>
      </c>
      <c r="H2012" t="s">
        <v>46</v>
      </c>
      <c r="I2012" t="s">
        <v>146</v>
      </c>
      <c r="J2012" t="s">
        <v>5770</v>
      </c>
      <c r="K2012">
        <v>61</v>
      </c>
      <c r="L2012" t="s">
        <v>37</v>
      </c>
      <c r="M2012" t="s">
        <v>119</v>
      </c>
      <c r="N2012" t="s">
        <v>51</v>
      </c>
      <c r="O2012" t="s">
        <v>28</v>
      </c>
      <c r="P2012" t="s">
        <v>31</v>
      </c>
      <c r="Q2012">
        <v>0</v>
      </c>
      <c r="R2012" t="s">
        <v>12883</v>
      </c>
      <c r="S2012" t="s">
        <v>12884</v>
      </c>
    </row>
    <row r="2013" spans="1:19" x14ac:dyDescent="0.25">
      <c r="A2013" t="s">
        <v>8434</v>
      </c>
      <c r="B2013" s="1">
        <v>45881</v>
      </c>
      <c r="C2013" t="s">
        <v>12893</v>
      </c>
      <c r="D2013" s="5">
        <v>0.36273148148148149</v>
      </c>
      <c r="E2013">
        <v>53.73</v>
      </c>
      <c r="F2013" t="s">
        <v>44</v>
      </c>
      <c r="G2013" t="s">
        <v>1509</v>
      </c>
      <c r="H2013" t="s">
        <v>22</v>
      </c>
      <c r="I2013" t="s">
        <v>97</v>
      </c>
      <c r="J2013" t="s">
        <v>8435</v>
      </c>
      <c r="K2013">
        <v>72</v>
      </c>
      <c r="L2013" t="s">
        <v>37</v>
      </c>
      <c r="M2013" t="s">
        <v>146</v>
      </c>
      <c r="N2013" t="s">
        <v>112</v>
      </c>
      <c r="O2013" t="s">
        <v>28</v>
      </c>
      <c r="P2013" t="s">
        <v>31</v>
      </c>
      <c r="Q2013">
        <v>0</v>
      </c>
      <c r="R2013" t="s">
        <v>12883</v>
      </c>
      <c r="S2013" t="s">
        <v>12884</v>
      </c>
    </row>
    <row r="2014" spans="1:19" x14ac:dyDescent="0.25">
      <c r="A2014" t="s">
        <v>10078</v>
      </c>
      <c r="B2014" s="1">
        <v>45892</v>
      </c>
      <c r="C2014" t="s">
        <v>12893</v>
      </c>
      <c r="D2014" s="5">
        <v>0.22194444444444444</v>
      </c>
      <c r="E2014">
        <v>53.66</v>
      </c>
      <c r="F2014" t="s">
        <v>44</v>
      </c>
      <c r="G2014" t="s">
        <v>1598</v>
      </c>
      <c r="H2014" t="s">
        <v>22</v>
      </c>
      <c r="I2014" t="s">
        <v>50</v>
      </c>
      <c r="J2014" t="s">
        <v>10079</v>
      </c>
      <c r="K2014">
        <v>31</v>
      </c>
      <c r="L2014" t="s">
        <v>49</v>
      </c>
      <c r="M2014" t="s">
        <v>97</v>
      </c>
      <c r="N2014" t="s">
        <v>51</v>
      </c>
      <c r="O2014" t="s">
        <v>28</v>
      </c>
      <c r="P2014" t="s">
        <v>31</v>
      </c>
      <c r="Q2014">
        <v>0</v>
      </c>
      <c r="R2014" t="s">
        <v>12883</v>
      </c>
      <c r="S2014" t="s">
        <v>12889</v>
      </c>
    </row>
    <row r="2015" spans="1:19" x14ac:dyDescent="0.25">
      <c r="A2015" t="s">
        <v>12645</v>
      </c>
      <c r="B2015" s="1">
        <v>45869</v>
      </c>
      <c r="C2015" t="s">
        <v>12885</v>
      </c>
      <c r="D2015" s="5">
        <v>0.23807870370370371</v>
      </c>
      <c r="E2015">
        <v>53.66</v>
      </c>
      <c r="F2015" t="s">
        <v>44</v>
      </c>
      <c r="G2015" t="s">
        <v>247</v>
      </c>
      <c r="H2015" t="s">
        <v>22</v>
      </c>
      <c r="I2015" t="s">
        <v>58</v>
      </c>
      <c r="J2015" t="s">
        <v>951</v>
      </c>
      <c r="K2015">
        <v>73</v>
      </c>
      <c r="L2015" t="s">
        <v>49</v>
      </c>
      <c r="M2015" t="s">
        <v>26</v>
      </c>
      <c r="N2015" t="s">
        <v>51</v>
      </c>
      <c r="O2015" t="s">
        <v>28</v>
      </c>
      <c r="P2015" t="s">
        <v>31</v>
      </c>
      <c r="Q2015">
        <v>0</v>
      </c>
      <c r="R2015" t="s">
        <v>12883</v>
      </c>
      <c r="S2015" t="s">
        <v>12884</v>
      </c>
    </row>
    <row r="2016" spans="1:19" x14ac:dyDescent="0.25">
      <c r="A2016" t="s">
        <v>5490</v>
      </c>
      <c r="B2016" s="1">
        <v>45943</v>
      </c>
      <c r="C2016" t="s">
        <v>12890</v>
      </c>
      <c r="D2016" s="5">
        <v>0.739375</v>
      </c>
      <c r="E2016">
        <v>53.58</v>
      </c>
      <c r="F2016" t="s">
        <v>44</v>
      </c>
      <c r="G2016" t="s">
        <v>2927</v>
      </c>
      <c r="H2016" t="s">
        <v>46</v>
      </c>
      <c r="I2016" t="s">
        <v>50</v>
      </c>
      <c r="J2016" t="s">
        <v>5491</v>
      </c>
      <c r="K2016">
        <v>19</v>
      </c>
      <c r="L2016" t="s">
        <v>37</v>
      </c>
      <c r="M2016" t="s">
        <v>47</v>
      </c>
      <c r="N2016" t="s">
        <v>112</v>
      </c>
      <c r="O2016" t="s">
        <v>28</v>
      </c>
      <c r="P2016" t="s">
        <v>31</v>
      </c>
      <c r="Q2016">
        <v>0</v>
      </c>
      <c r="R2016" t="s">
        <v>12883</v>
      </c>
      <c r="S2016" t="s">
        <v>12892</v>
      </c>
    </row>
    <row r="2017" spans="1:19" x14ac:dyDescent="0.25">
      <c r="A2017" t="s">
        <v>672</v>
      </c>
      <c r="B2017" s="1">
        <v>45886</v>
      </c>
      <c r="C2017" t="s">
        <v>12893</v>
      </c>
      <c r="D2017" s="5">
        <v>0.57773148148148146</v>
      </c>
      <c r="E2017">
        <v>53.47</v>
      </c>
      <c r="F2017" t="s">
        <v>44</v>
      </c>
      <c r="G2017" t="s">
        <v>673</v>
      </c>
      <c r="H2017" t="s">
        <v>46</v>
      </c>
      <c r="I2017" t="s">
        <v>23</v>
      </c>
      <c r="J2017" t="s">
        <v>674</v>
      </c>
      <c r="K2017">
        <v>62</v>
      </c>
      <c r="L2017" t="s">
        <v>25</v>
      </c>
      <c r="M2017" t="s">
        <v>110</v>
      </c>
      <c r="N2017" t="s">
        <v>51</v>
      </c>
      <c r="O2017" t="s">
        <v>28</v>
      </c>
      <c r="P2017" t="s">
        <v>31</v>
      </c>
      <c r="Q2017">
        <v>0</v>
      </c>
      <c r="R2017" t="s">
        <v>12883</v>
      </c>
      <c r="S2017" t="s">
        <v>12884</v>
      </c>
    </row>
    <row r="2018" spans="1:19" x14ac:dyDescent="0.25">
      <c r="A2018" t="s">
        <v>8931</v>
      </c>
      <c r="B2018" s="1">
        <v>45844</v>
      </c>
      <c r="C2018" t="s">
        <v>12885</v>
      </c>
      <c r="D2018" s="5">
        <v>0.57087962962962968</v>
      </c>
      <c r="E2018">
        <v>53.42</v>
      </c>
      <c r="F2018" t="s">
        <v>44</v>
      </c>
      <c r="G2018" t="s">
        <v>8932</v>
      </c>
      <c r="H2018" t="s">
        <v>64</v>
      </c>
      <c r="I2018" t="s">
        <v>91</v>
      </c>
      <c r="J2018" t="s">
        <v>8933</v>
      </c>
      <c r="K2018">
        <v>72</v>
      </c>
      <c r="L2018" t="s">
        <v>49</v>
      </c>
      <c r="M2018" t="s">
        <v>248</v>
      </c>
      <c r="N2018" t="s">
        <v>51</v>
      </c>
      <c r="O2018" t="s">
        <v>28</v>
      </c>
      <c r="P2018" t="s">
        <v>31</v>
      </c>
      <c r="Q2018">
        <v>0</v>
      </c>
      <c r="R2018" t="s">
        <v>12883</v>
      </c>
      <c r="S2018" t="s">
        <v>12884</v>
      </c>
    </row>
    <row r="2019" spans="1:19" x14ac:dyDescent="0.25">
      <c r="A2019" t="s">
        <v>1533</v>
      </c>
      <c r="B2019" s="1">
        <v>45786</v>
      </c>
      <c r="C2019" t="s">
        <v>12887</v>
      </c>
      <c r="D2019" s="5">
        <v>0.16541666666666666</v>
      </c>
      <c r="E2019">
        <v>53.4</v>
      </c>
      <c r="F2019" t="s">
        <v>44</v>
      </c>
      <c r="G2019" t="s">
        <v>824</v>
      </c>
      <c r="H2019" t="s">
        <v>89</v>
      </c>
      <c r="I2019" t="s">
        <v>66</v>
      </c>
      <c r="J2019" t="s">
        <v>1534</v>
      </c>
      <c r="K2019">
        <v>40</v>
      </c>
      <c r="L2019" t="s">
        <v>37</v>
      </c>
      <c r="M2019" t="s">
        <v>50</v>
      </c>
      <c r="N2019" t="s">
        <v>105</v>
      </c>
      <c r="O2019" t="s">
        <v>28</v>
      </c>
      <c r="P2019" t="s">
        <v>31</v>
      </c>
      <c r="Q2019">
        <v>0</v>
      </c>
      <c r="R2019" t="s">
        <v>12883</v>
      </c>
      <c r="S2019" t="s">
        <v>12886</v>
      </c>
    </row>
    <row r="2020" spans="1:19" x14ac:dyDescent="0.25">
      <c r="A2020" t="s">
        <v>10040</v>
      </c>
      <c r="B2020" s="1">
        <v>45863</v>
      </c>
      <c r="C2020" t="s">
        <v>12885</v>
      </c>
      <c r="D2020" s="5">
        <v>0.30348379629629629</v>
      </c>
      <c r="E2020">
        <v>53.31</v>
      </c>
      <c r="F2020" t="s">
        <v>44</v>
      </c>
      <c r="G2020" t="s">
        <v>763</v>
      </c>
      <c r="H2020" t="s">
        <v>57</v>
      </c>
      <c r="I2020" t="s">
        <v>119</v>
      </c>
      <c r="J2020" t="s">
        <v>10041</v>
      </c>
      <c r="K2020">
        <v>60</v>
      </c>
      <c r="L2020" t="s">
        <v>25</v>
      </c>
      <c r="M2020" t="s">
        <v>50</v>
      </c>
      <c r="N2020" t="s">
        <v>105</v>
      </c>
      <c r="O2020" t="s">
        <v>28</v>
      </c>
      <c r="P2020" t="s">
        <v>31</v>
      </c>
      <c r="Q2020">
        <v>0</v>
      </c>
      <c r="R2020" t="s">
        <v>12883</v>
      </c>
      <c r="S2020" t="s">
        <v>12884</v>
      </c>
    </row>
    <row r="2021" spans="1:19" x14ac:dyDescent="0.25">
      <c r="A2021" t="s">
        <v>4522</v>
      </c>
      <c r="B2021" s="1">
        <v>45898</v>
      </c>
      <c r="C2021" t="s">
        <v>12893</v>
      </c>
      <c r="D2021" s="5">
        <v>0.64900462962962968</v>
      </c>
      <c r="E2021">
        <v>53.25</v>
      </c>
      <c r="F2021" t="s">
        <v>44</v>
      </c>
      <c r="G2021" t="s">
        <v>4523</v>
      </c>
      <c r="H2021" t="s">
        <v>34</v>
      </c>
      <c r="I2021" t="s">
        <v>146</v>
      </c>
      <c r="J2021" t="s">
        <v>4524</v>
      </c>
      <c r="K2021">
        <v>41</v>
      </c>
      <c r="L2021" t="s">
        <v>25</v>
      </c>
      <c r="M2021" t="s">
        <v>23</v>
      </c>
      <c r="N2021" t="s">
        <v>51</v>
      </c>
      <c r="O2021" t="s">
        <v>28</v>
      </c>
      <c r="P2021" t="s">
        <v>31</v>
      </c>
      <c r="Q2021">
        <v>0</v>
      </c>
      <c r="R2021" t="s">
        <v>12883</v>
      </c>
      <c r="S2021" t="s">
        <v>12886</v>
      </c>
    </row>
    <row r="2022" spans="1:19" x14ac:dyDescent="0.25">
      <c r="A2022" t="s">
        <v>5652</v>
      </c>
      <c r="B2022" s="1">
        <v>45875</v>
      </c>
      <c r="C2022" t="s">
        <v>12893</v>
      </c>
      <c r="D2022" s="5">
        <v>3.1574074074074074E-2</v>
      </c>
      <c r="E2022">
        <v>53.1</v>
      </c>
      <c r="F2022" t="s">
        <v>44</v>
      </c>
      <c r="G2022" t="s">
        <v>5653</v>
      </c>
      <c r="H2022" t="s">
        <v>71</v>
      </c>
      <c r="I2022" t="s">
        <v>110</v>
      </c>
      <c r="J2022" t="s">
        <v>5654</v>
      </c>
      <c r="K2022">
        <v>22</v>
      </c>
      <c r="L2022" t="s">
        <v>49</v>
      </c>
      <c r="M2022" t="s">
        <v>58</v>
      </c>
      <c r="N2022" t="s">
        <v>105</v>
      </c>
      <c r="O2022" t="s">
        <v>28</v>
      </c>
      <c r="P2022" t="s">
        <v>31</v>
      </c>
      <c r="Q2022">
        <v>1</v>
      </c>
      <c r="R2022" t="s">
        <v>12891</v>
      </c>
      <c r="S2022" t="s">
        <v>12892</v>
      </c>
    </row>
    <row r="2023" spans="1:19" x14ac:dyDescent="0.25">
      <c r="A2023" t="s">
        <v>4459</v>
      </c>
      <c r="B2023" s="1">
        <v>45926</v>
      </c>
      <c r="C2023" t="s">
        <v>12882</v>
      </c>
      <c r="D2023" s="5">
        <v>0.33537037037037037</v>
      </c>
      <c r="E2023">
        <v>53</v>
      </c>
      <c r="F2023" t="s">
        <v>44</v>
      </c>
      <c r="G2023" t="s">
        <v>4072</v>
      </c>
      <c r="H2023" t="s">
        <v>71</v>
      </c>
      <c r="I2023" t="s">
        <v>91</v>
      </c>
      <c r="J2023" t="s">
        <v>4460</v>
      </c>
      <c r="K2023">
        <v>45</v>
      </c>
      <c r="L2023" t="s">
        <v>49</v>
      </c>
      <c r="M2023" t="s">
        <v>47</v>
      </c>
      <c r="N2023" t="s">
        <v>84</v>
      </c>
      <c r="O2023" t="s">
        <v>28</v>
      </c>
      <c r="P2023" t="s">
        <v>31</v>
      </c>
      <c r="Q2023">
        <v>0</v>
      </c>
      <c r="R2023" t="s">
        <v>12883</v>
      </c>
      <c r="S2023" t="s">
        <v>12886</v>
      </c>
    </row>
    <row r="2024" spans="1:19" x14ac:dyDescent="0.25">
      <c r="A2024" t="s">
        <v>12625</v>
      </c>
      <c r="B2024" s="1">
        <v>45898</v>
      </c>
      <c r="C2024" t="s">
        <v>12893</v>
      </c>
      <c r="D2024" s="5">
        <v>0.44512731481481482</v>
      </c>
      <c r="E2024">
        <v>52.95</v>
      </c>
      <c r="F2024" t="s">
        <v>44</v>
      </c>
      <c r="G2024" t="s">
        <v>3050</v>
      </c>
      <c r="H2024" t="s">
        <v>46</v>
      </c>
      <c r="I2024" t="s">
        <v>26</v>
      </c>
      <c r="J2024" t="s">
        <v>12626</v>
      </c>
      <c r="K2024">
        <v>31</v>
      </c>
      <c r="L2024" t="s">
        <v>49</v>
      </c>
      <c r="M2024" t="s">
        <v>248</v>
      </c>
      <c r="N2024" t="s">
        <v>51</v>
      </c>
      <c r="O2024" t="s">
        <v>28</v>
      </c>
      <c r="P2024" t="s">
        <v>31</v>
      </c>
      <c r="Q2024">
        <v>0</v>
      </c>
      <c r="R2024" t="s">
        <v>12883</v>
      </c>
      <c r="S2024" t="s">
        <v>12889</v>
      </c>
    </row>
    <row r="2025" spans="1:19" x14ac:dyDescent="0.25">
      <c r="A2025" t="s">
        <v>11731</v>
      </c>
      <c r="B2025" s="1">
        <v>45955</v>
      </c>
      <c r="C2025" t="s">
        <v>12890</v>
      </c>
      <c r="D2025" s="5">
        <v>0.3011226851851852</v>
      </c>
      <c r="E2025">
        <v>52.84</v>
      </c>
      <c r="F2025" t="s">
        <v>44</v>
      </c>
      <c r="G2025" t="s">
        <v>4412</v>
      </c>
      <c r="H2025" t="s">
        <v>124</v>
      </c>
      <c r="I2025" t="s">
        <v>97</v>
      </c>
      <c r="J2025" t="s">
        <v>11732</v>
      </c>
      <c r="K2025">
        <v>42</v>
      </c>
      <c r="L2025" t="s">
        <v>49</v>
      </c>
      <c r="M2025" t="s">
        <v>110</v>
      </c>
      <c r="N2025" t="s">
        <v>27</v>
      </c>
      <c r="O2025" t="s">
        <v>28</v>
      </c>
      <c r="P2025" t="s">
        <v>31</v>
      </c>
      <c r="Q2025">
        <v>0</v>
      </c>
      <c r="R2025" t="s">
        <v>12883</v>
      </c>
      <c r="S2025" t="s">
        <v>12886</v>
      </c>
    </row>
    <row r="2026" spans="1:19" x14ac:dyDescent="0.25">
      <c r="A2026" t="s">
        <v>12855</v>
      </c>
      <c r="B2026" s="1">
        <v>45910</v>
      </c>
      <c r="C2026" t="s">
        <v>12882</v>
      </c>
      <c r="D2026" s="5">
        <v>7.3657407407407408E-2</v>
      </c>
      <c r="E2026">
        <v>52.83</v>
      </c>
      <c r="F2026" t="s">
        <v>44</v>
      </c>
      <c r="G2026" t="s">
        <v>5486</v>
      </c>
      <c r="H2026" t="s">
        <v>22</v>
      </c>
      <c r="I2026" t="s">
        <v>146</v>
      </c>
      <c r="J2026" t="s">
        <v>12856</v>
      </c>
      <c r="K2026">
        <v>21</v>
      </c>
      <c r="L2026" t="s">
        <v>25</v>
      </c>
      <c r="M2026" t="s">
        <v>35</v>
      </c>
      <c r="N2026" t="s">
        <v>27</v>
      </c>
      <c r="O2026" t="s">
        <v>28</v>
      </c>
      <c r="P2026" t="s">
        <v>31</v>
      </c>
      <c r="Q2026">
        <v>0</v>
      </c>
      <c r="R2026" t="s">
        <v>12883</v>
      </c>
      <c r="S2026" t="s">
        <v>12892</v>
      </c>
    </row>
    <row r="2027" spans="1:19" x14ac:dyDescent="0.25">
      <c r="A2027" t="s">
        <v>55</v>
      </c>
      <c r="B2027" s="1">
        <v>45796</v>
      </c>
      <c r="C2027" t="s">
        <v>12887</v>
      </c>
      <c r="D2027" s="5">
        <v>0.21731481481481482</v>
      </c>
      <c r="E2027">
        <v>52.77</v>
      </c>
      <c r="F2027" t="s">
        <v>44</v>
      </c>
      <c r="G2027" t="s">
        <v>56</v>
      </c>
      <c r="H2027" t="s">
        <v>57</v>
      </c>
      <c r="I2027" t="s">
        <v>58</v>
      </c>
      <c r="J2027" t="s">
        <v>59</v>
      </c>
      <c r="K2027">
        <v>45</v>
      </c>
      <c r="L2027" t="s">
        <v>37</v>
      </c>
      <c r="M2027" t="s">
        <v>50</v>
      </c>
      <c r="N2027" t="s">
        <v>39</v>
      </c>
      <c r="O2027" t="s">
        <v>28</v>
      </c>
      <c r="P2027" t="s">
        <v>31</v>
      </c>
      <c r="Q2027">
        <v>0</v>
      </c>
      <c r="R2027" t="s">
        <v>12883</v>
      </c>
      <c r="S2027" t="s">
        <v>12886</v>
      </c>
    </row>
    <row r="2028" spans="1:19" x14ac:dyDescent="0.25">
      <c r="A2028" t="s">
        <v>9741</v>
      </c>
      <c r="B2028" s="1">
        <v>45834</v>
      </c>
      <c r="C2028" t="s">
        <v>12888</v>
      </c>
      <c r="D2028" s="5">
        <v>0.62194444444444441</v>
      </c>
      <c r="E2028">
        <v>52.73</v>
      </c>
      <c r="F2028" t="s">
        <v>44</v>
      </c>
      <c r="G2028" t="s">
        <v>8887</v>
      </c>
      <c r="H2028" t="s">
        <v>96</v>
      </c>
      <c r="I2028" t="s">
        <v>47</v>
      </c>
      <c r="J2028" t="s">
        <v>9742</v>
      </c>
      <c r="K2028">
        <v>51</v>
      </c>
      <c r="L2028" t="s">
        <v>25</v>
      </c>
      <c r="M2028" t="s">
        <v>50</v>
      </c>
      <c r="N2028" t="s">
        <v>51</v>
      </c>
      <c r="O2028" t="s">
        <v>28</v>
      </c>
      <c r="P2028" t="s">
        <v>31</v>
      </c>
      <c r="Q2028">
        <v>0</v>
      </c>
      <c r="R2028" t="s">
        <v>12883</v>
      </c>
      <c r="S2028" t="s">
        <v>12886</v>
      </c>
    </row>
    <row r="2029" spans="1:19" x14ac:dyDescent="0.25">
      <c r="A2029" t="s">
        <v>1831</v>
      </c>
      <c r="B2029" s="1">
        <v>45938</v>
      </c>
      <c r="C2029" t="s">
        <v>12890</v>
      </c>
      <c r="D2029" s="5">
        <v>0.64004629629629628</v>
      </c>
      <c r="E2029">
        <v>52.7</v>
      </c>
      <c r="F2029" t="s">
        <v>44</v>
      </c>
      <c r="G2029" t="s">
        <v>1832</v>
      </c>
      <c r="H2029" t="s">
        <v>124</v>
      </c>
      <c r="I2029" t="s">
        <v>66</v>
      </c>
      <c r="J2029" t="s">
        <v>1833</v>
      </c>
      <c r="K2029">
        <v>60</v>
      </c>
      <c r="L2029" t="s">
        <v>49</v>
      </c>
      <c r="M2029" t="s">
        <v>66</v>
      </c>
      <c r="N2029" t="s">
        <v>27</v>
      </c>
      <c r="O2029" t="s">
        <v>113</v>
      </c>
      <c r="P2029" t="s">
        <v>31</v>
      </c>
      <c r="Q2029">
        <v>1</v>
      </c>
      <c r="R2029" t="s">
        <v>12891</v>
      </c>
      <c r="S2029" t="s">
        <v>12884</v>
      </c>
    </row>
    <row r="2030" spans="1:19" x14ac:dyDescent="0.25">
      <c r="A2030" t="s">
        <v>7503</v>
      </c>
      <c r="B2030" s="1">
        <v>45914</v>
      </c>
      <c r="C2030" t="s">
        <v>12882</v>
      </c>
      <c r="D2030" s="5">
        <v>0.15715277777777778</v>
      </c>
      <c r="E2030">
        <v>52.67</v>
      </c>
      <c r="F2030" t="s">
        <v>44</v>
      </c>
      <c r="G2030" t="s">
        <v>2575</v>
      </c>
      <c r="H2030" t="s">
        <v>96</v>
      </c>
      <c r="I2030" t="s">
        <v>47</v>
      </c>
      <c r="J2030" t="s">
        <v>7504</v>
      </c>
      <c r="K2030">
        <v>67</v>
      </c>
      <c r="L2030" t="s">
        <v>37</v>
      </c>
      <c r="M2030" t="s">
        <v>248</v>
      </c>
      <c r="N2030" t="s">
        <v>51</v>
      </c>
      <c r="O2030" t="s">
        <v>28</v>
      </c>
      <c r="P2030" t="s">
        <v>31</v>
      </c>
      <c r="Q2030">
        <v>0</v>
      </c>
      <c r="R2030" t="s">
        <v>12883</v>
      </c>
      <c r="S2030" t="s">
        <v>12884</v>
      </c>
    </row>
    <row r="2031" spans="1:19" x14ac:dyDescent="0.25">
      <c r="A2031" t="s">
        <v>10983</v>
      </c>
      <c r="B2031" s="1">
        <v>45934</v>
      </c>
      <c r="C2031" t="s">
        <v>12890</v>
      </c>
      <c r="D2031" s="5">
        <v>0.17443287037037036</v>
      </c>
      <c r="E2031">
        <v>52.57</v>
      </c>
      <c r="F2031" t="s">
        <v>44</v>
      </c>
      <c r="G2031" t="s">
        <v>1543</v>
      </c>
      <c r="H2031" t="s">
        <v>124</v>
      </c>
      <c r="I2031" t="s">
        <v>130</v>
      </c>
      <c r="J2031" t="s">
        <v>10984</v>
      </c>
      <c r="K2031">
        <v>47</v>
      </c>
      <c r="L2031" t="s">
        <v>37</v>
      </c>
      <c r="M2031" t="s">
        <v>38</v>
      </c>
      <c r="N2031" t="s">
        <v>51</v>
      </c>
      <c r="O2031" t="s">
        <v>28</v>
      </c>
      <c r="P2031" t="s">
        <v>31</v>
      </c>
      <c r="Q2031">
        <v>0</v>
      </c>
      <c r="R2031" t="s">
        <v>12883</v>
      </c>
      <c r="S2031" t="s">
        <v>12886</v>
      </c>
    </row>
    <row r="2032" spans="1:19" x14ac:dyDescent="0.25">
      <c r="A2032" t="s">
        <v>2233</v>
      </c>
      <c r="B2032" s="1">
        <v>45866</v>
      </c>
      <c r="C2032" t="s">
        <v>12885</v>
      </c>
      <c r="D2032" s="5">
        <v>0.49724537037037037</v>
      </c>
      <c r="E2032">
        <v>52.3</v>
      </c>
      <c r="F2032" t="s">
        <v>44</v>
      </c>
      <c r="G2032" t="s">
        <v>2234</v>
      </c>
      <c r="H2032" t="s">
        <v>124</v>
      </c>
      <c r="I2032" t="s">
        <v>58</v>
      </c>
      <c r="J2032" t="s">
        <v>2235</v>
      </c>
      <c r="K2032">
        <v>69</v>
      </c>
      <c r="L2032" t="s">
        <v>49</v>
      </c>
      <c r="M2032" t="s">
        <v>97</v>
      </c>
      <c r="N2032" t="s">
        <v>27</v>
      </c>
      <c r="O2032" t="s">
        <v>28</v>
      </c>
      <c r="P2032" t="s">
        <v>31</v>
      </c>
      <c r="Q2032">
        <v>0</v>
      </c>
      <c r="R2032" t="s">
        <v>12883</v>
      </c>
      <c r="S2032" t="s">
        <v>12884</v>
      </c>
    </row>
    <row r="2033" spans="1:19" x14ac:dyDescent="0.25">
      <c r="A2033" t="s">
        <v>4314</v>
      </c>
      <c r="B2033" s="1">
        <v>45913</v>
      </c>
      <c r="C2033" t="s">
        <v>12882</v>
      </c>
      <c r="D2033" s="5">
        <v>0.89677083333333329</v>
      </c>
      <c r="E2033">
        <v>52.22</v>
      </c>
      <c r="F2033" t="s">
        <v>44</v>
      </c>
      <c r="G2033" t="s">
        <v>3656</v>
      </c>
      <c r="H2033" t="s">
        <v>96</v>
      </c>
      <c r="I2033" t="s">
        <v>130</v>
      </c>
      <c r="J2033" t="s">
        <v>4315</v>
      </c>
      <c r="K2033">
        <v>33</v>
      </c>
      <c r="L2033" t="s">
        <v>37</v>
      </c>
      <c r="M2033" t="s">
        <v>110</v>
      </c>
      <c r="N2033" t="s">
        <v>112</v>
      </c>
      <c r="O2033" t="s">
        <v>28</v>
      </c>
      <c r="P2033" t="s">
        <v>31</v>
      </c>
      <c r="Q2033">
        <v>0</v>
      </c>
      <c r="R2033" t="s">
        <v>12883</v>
      </c>
      <c r="S2033" t="s">
        <v>12889</v>
      </c>
    </row>
    <row r="2034" spans="1:19" x14ac:dyDescent="0.25">
      <c r="A2034" t="s">
        <v>201</v>
      </c>
      <c r="B2034" s="1">
        <v>45798</v>
      </c>
      <c r="C2034" t="s">
        <v>12887</v>
      </c>
      <c r="D2034" s="5">
        <v>0.67612268518518515</v>
      </c>
      <c r="E2034">
        <v>52</v>
      </c>
      <c r="F2034" t="s">
        <v>44</v>
      </c>
      <c r="G2034" t="s">
        <v>202</v>
      </c>
      <c r="H2034" t="s">
        <v>57</v>
      </c>
      <c r="I2034" t="s">
        <v>47</v>
      </c>
      <c r="J2034" t="s">
        <v>203</v>
      </c>
      <c r="K2034">
        <v>45</v>
      </c>
      <c r="L2034" t="s">
        <v>37</v>
      </c>
      <c r="M2034" t="s">
        <v>38</v>
      </c>
      <c r="N2034" t="s">
        <v>112</v>
      </c>
      <c r="O2034" t="s">
        <v>28</v>
      </c>
      <c r="P2034" t="s">
        <v>31</v>
      </c>
      <c r="Q2034">
        <v>0</v>
      </c>
      <c r="R2034" t="s">
        <v>12883</v>
      </c>
      <c r="S2034" t="s">
        <v>12886</v>
      </c>
    </row>
    <row r="2035" spans="1:19" x14ac:dyDescent="0.25">
      <c r="A2035" t="s">
        <v>2157</v>
      </c>
      <c r="B2035" s="1">
        <v>45843</v>
      </c>
      <c r="C2035" t="s">
        <v>12885</v>
      </c>
      <c r="D2035" s="5">
        <v>0.47422453703703704</v>
      </c>
      <c r="E2035">
        <v>51.83</v>
      </c>
      <c r="F2035" t="s">
        <v>44</v>
      </c>
      <c r="G2035" t="s">
        <v>2158</v>
      </c>
      <c r="H2035" t="s">
        <v>89</v>
      </c>
      <c r="I2035" t="s">
        <v>58</v>
      </c>
      <c r="J2035" t="s">
        <v>2159</v>
      </c>
      <c r="K2035">
        <v>66</v>
      </c>
      <c r="L2035" t="s">
        <v>37</v>
      </c>
      <c r="M2035" t="s">
        <v>26</v>
      </c>
      <c r="N2035" t="s">
        <v>105</v>
      </c>
      <c r="O2035" t="s">
        <v>28</v>
      </c>
      <c r="P2035" t="s">
        <v>31</v>
      </c>
      <c r="Q2035">
        <v>0</v>
      </c>
      <c r="R2035" t="s">
        <v>12883</v>
      </c>
      <c r="S2035" t="s">
        <v>12884</v>
      </c>
    </row>
    <row r="2036" spans="1:19" x14ac:dyDescent="0.25">
      <c r="A2036" t="s">
        <v>11582</v>
      </c>
      <c r="B2036" s="1">
        <v>45856</v>
      </c>
      <c r="C2036" t="s">
        <v>12885</v>
      </c>
      <c r="D2036" s="5">
        <v>0.1582523148148148</v>
      </c>
      <c r="E2036">
        <v>51.64</v>
      </c>
      <c r="F2036" t="s">
        <v>44</v>
      </c>
      <c r="G2036" t="s">
        <v>658</v>
      </c>
      <c r="H2036" t="s">
        <v>34</v>
      </c>
      <c r="I2036" t="s">
        <v>248</v>
      </c>
      <c r="J2036" t="s">
        <v>11583</v>
      </c>
      <c r="K2036">
        <v>20</v>
      </c>
      <c r="L2036" t="s">
        <v>37</v>
      </c>
      <c r="M2036" t="s">
        <v>119</v>
      </c>
      <c r="N2036" t="s">
        <v>84</v>
      </c>
      <c r="O2036" t="s">
        <v>28</v>
      </c>
      <c r="P2036" t="s">
        <v>31</v>
      </c>
      <c r="Q2036">
        <v>0</v>
      </c>
      <c r="R2036" t="s">
        <v>12883</v>
      </c>
      <c r="S2036" t="s">
        <v>12892</v>
      </c>
    </row>
    <row r="2037" spans="1:19" x14ac:dyDescent="0.25">
      <c r="A2037" t="s">
        <v>12021</v>
      </c>
      <c r="B2037" s="1">
        <v>45885</v>
      </c>
      <c r="C2037" t="s">
        <v>12893</v>
      </c>
      <c r="D2037" s="5">
        <v>0.42879629629629629</v>
      </c>
      <c r="E2037">
        <v>51.57</v>
      </c>
      <c r="F2037" t="s">
        <v>44</v>
      </c>
      <c r="G2037" t="s">
        <v>4350</v>
      </c>
      <c r="H2037" t="s">
        <v>64</v>
      </c>
      <c r="I2037" t="s">
        <v>47</v>
      </c>
      <c r="J2037" t="s">
        <v>12022</v>
      </c>
      <c r="K2037">
        <v>44</v>
      </c>
      <c r="L2037" t="s">
        <v>25</v>
      </c>
      <c r="M2037" t="s">
        <v>146</v>
      </c>
      <c r="N2037" t="s">
        <v>39</v>
      </c>
      <c r="O2037" t="s">
        <v>28</v>
      </c>
      <c r="P2037" t="s">
        <v>31</v>
      </c>
      <c r="Q2037">
        <v>0</v>
      </c>
      <c r="R2037" t="s">
        <v>12883</v>
      </c>
      <c r="S2037" t="s">
        <v>12886</v>
      </c>
    </row>
    <row r="2038" spans="1:19" x14ac:dyDescent="0.25">
      <c r="A2038" t="s">
        <v>1756</v>
      </c>
      <c r="B2038" s="1">
        <v>45848</v>
      </c>
      <c r="C2038" t="s">
        <v>12885</v>
      </c>
      <c r="D2038" s="5">
        <v>0.69134259259259256</v>
      </c>
      <c r="E2038">
        <v>51.37</v>
      </c>
      <c r="F2038" t="s">
        <v>44</v>
      </c>
      <c r="G2038" t="s">
        <v>1757</v>
      </c>
      <c r="H2038" t="s">
        <v>34</v>
      </c>
      <c r="I2038" t="s">
        <v>50</v>
      </c>
      <c r="J2038" t="s">
        <v>1758</v>
      </c>
      <c r="K2038">
        <v>50</v>
      </c>
      <c r="L2038" t="s">
        <v>25</v>
      </c>
      <c r="M2038" t="s">
        <v>119</v>
      </c>
      <c r="N2038" t="s">
        <v>105</v>
      </c>
      <c r="O2038" t="s">
        <v>28</v>
      </c>
      <c r="P2038" t="s">
        <v>31</v>
      </c>
      <c r="Q2038">
        <v>0</v>
      </c>
      <c r="R2038" t="s">
        <v>12883</v>
      </c>
      <c r="S2038" t="s">
        <v>12886</v>
      </c>
    </row>
    <row r="2039" spans="1:19" x14ac:dyDescent="0.25">
      <c r="A2039" t="s">
        <v>5476</v>
      </c>
      <c r="B2039" s="1">
        <v>45833</v>
      </c>
      <c r="C2039" t="s">
        <v>12888</v>
      </c>
      <c r="D2039" s="5">
        <v>0.82246527777777778</v>
      </c>
      <c r="E2039">
        <v>51.33</v>
      </c>
      <c r="F2039" t="s">
        <v>44</v>
      </c>
      <c r="G2039" t="s">
        <v>703</v>
      </c>
      <c r="H2039" t="s">
        <v>124</v>
      </c>
      <c r="I2039" t="s">
        <v>248</v>
      </c>
      <c r="J2039" t="s">
        <v>5477</v>
      </c>
      <c r="K2039">
        <v>67</v>
      </c>
      <c r="L2039" t="s">
        <v>37</v>
      </c>
      <c r="M2039" t="s">
        <v>35</v>
      </c>
      <c r="N2039" t="s">
        <v>51</v>
      </c>
      <c r="O2039" t="s">
        <v>28</v>
      </c>
      <c r="P2039" t="s">
        <v>31</v>
      </c>
      <c r="Q2039">
        <v>0</v>
      </c>
      <c r="R2039" t="s">
        <v>12883</v>
      </c>
      <c r="S2039" t="s">
        <v>12884</v>
      </c>
    </row>
    <row r="2040" spans="1:19" x14ac:dyDescent="0.25">
      <c r="A2040" t="s">
        <v>12833</v>
      </c>
      <c r="B2040" s="1">
        <v>45955</v>
      </c>
      <c r="C2040" t="s">
        <v>12890</v>
      </c>
      <c r="D2040" s="5">
        <v>0.52131944444444445</v>
      </c>
      <c r="E2040">
        <v>51.33</v>
      </c>
      <c r="F2040" t="s">
        <v>44</v>
      </c>
      <c r="G2040" t="s">
        <v>1888</v>
      </c>
      <c r="H2040" t="s">
        <v>89</v>
      </c>
      <c r="I2040" t="s">
        <v>248</v>
      </c>
      <c r="J2040" t="s">
        <v>12834</v>
      </c>
      <c r="K2040">
        <v>37</v>
      </c>
      <c r="L2040" t="s">
        <v>49</v>
      </c>
      <c r="M2040" t="s">
        <v>23</v>
      </c>
      <c r="N2040" t="s">
        <v>105</v>
      </c>
      <c r="O2040" t="s">
        <v>28</v>
      </c>
      <c r="P2040" t="s">
        <v>31</v>
      </c>
      <c r="Q2040">
        <v>0</v>
      </c>
      <c r="R2040" t="s">
        <v>12883</v>
      </c>
      <c r="S2040" t="s">
        <v>12889</v>
      </c>
    </row>
    <row r="2041" spans="1:19" x14ac:dyDescent="0.25">
      <c r="A2041" t="s">
        <v>1375</v>
      </c>
      <c r="B2041" s="1">
        <v>45809</v>
      </c>
      <c r="C2041" t="s">
        <v>12888</v>
      </c>
      <c r="D2041" s="5">
        <v>0.50065972222222221</v>
      </c>
      <c r="E2041">
        <v>51.26</v>
      </c>
      <c r="F2041" t="s">
        <v>44</v>
      </c>
      <c r="G2041" t="s">
        <v>232</v>
      </c>
      <c r="H2041" t="s">
        <v>46</v>
      </c>
      <c r="I2041" t="s">
        <v>248</v>
      </c>
      <c r="J2041" t="s">
        <v>1376</v>
      </c>
      <c r="K2041">
        <v>75</v>
      </c>
      <c r="L2041" t="s">
        <v>37</v>
      </c>
      <c r="M2041" t="s">
        <v>130</v>
      </c>
      <c r="N2041" t="s">
        <v>39</v>
      </c>
      <c r="O2041" t="s">
        <v>28</v>
      </c>
      <c r="P2041" t="s">
        <v>31</v>
      </c>
      <c r="Q2041">
        <v>0</v>
      </c>
      <c r="R2041" t="s">
        <v>12883</v>
      </c>
      <c r="S2041" t="s">
        <v>12884</v>
      </c>
    </row>
    <row r="2042" spans="1:19" x14ac:dyDescent="0.25">
      <c r="A2042" t="s">
        <v>8722</v>
      </c>
      <c r="B2042" s="1">
        <v>45941</v>
      </c>
      <c r="C2042" t="s">
        <v>12890</v>
      </c>
      <c r="D2042" s="5">
        <v>0.81037037037037041</v>
      </c>
      <c r="E2042">
        <v>51.02</v>
      </c>
      <c r="F2042" t="s">
        <v>44</v>
      </c>
      <c r="G2042" t="s">
        <v>4284</v>
      </c>
      <c r="H2042" t="s">
        <v>96</v>
      </c>
      <c r="I2042" t="s">
        <v>50</v>
      </c>
      <c r="J2042" t="s">
        <v>8723</v>
      </c>
      <c r="K2042">
        <v>43</v>
      </c>
      <c r="L2042" t="s">
        <v>25</v>
      </c>
      <c r="M2042" t="s">
        <v>119</v>
      </c>
      <c r="N2042" t="s">
        <v>105</v>
      </c>
      <c r="O2042" t="s">
        <v>28</v>
      </c>
      <c r="P2042" t="s">
        <v>31</v>
      </c>
      <c r="Q2042">
        <v>0</v>
      </c>
      <c r="R2042" t="s">
        <v>12883</v>
      </c>
      <c r="S2042" t="s">
        <v>12886</v>
      </c>
    </row>
    <row r="2043" spans="1:19" x14ac:dyDescent="0.25">
      <c r="A2043" t="s">
        <v>11872</v>
      </c>
      <c r="B2043" s="1">
        <v>45879</v>
      </c>
      <c r="C2043" t="s">
        <v>12893</v>
      </c>
      <c r="D2043" s="5">
        <v>0.11136574074074074</v>
      </c>
      <c r="E2043">
        <v>50.95</v>
      </c>
      <c r="F2043" t="s">
        <v>44</v>
      </c>
      <c r="G2043" t="s">
        <v>1804</v>
      </c>
      <c r="H2043" t="s">
        <v>46</v>
      </c>
      <c r="I2043" t="s">
        <v>58</v>
      </c>
      <c r="J2043" t="s">
        <v>11873</v>
      </c>
      <c r="K2043">
        <v>63</v>
      </c>
      <c r="L2043" t="s">
        <v>25</v>
      </c>
      <c r="M2043" t="s">
        <v>38</v>
      </c>
      <c r="N2043" t="s">
        <v>51</v>
      </c>
      <c r="O2043" t="s">
        <v>28</v>
      </c>
      <c r="P2043" t="s">
        <v>31</v>
      </c>
      <c r="Q2043">
        <v>0</v>
      </c>
      <c r="R2043" t="s">
        <v>12883</v>
      </c>
      <c r="S2043" t="s">
        <v>12884</v>
      </c>
    </row>
    <row r="2044" spans="1:19" x14ac:dyDescent="0.25">
      <c r="A2044" t="s">
        <v>437</v>
      </c>
      <c r="B2044" s="1">
        <v>45874</v>
      </c>
      <c r="C2044" t="s">
        <v>12893</v>
      </c>
      <c r="D2044" s="5">
        <v>0.35906250000000001</v>
      </c>
      <c r="E2044">
        <v>50.89</v>
      </c>
      <c r="F2044" t="s">
        <v>44</v>
      </c>
      <c r="G2044" t="s">
        <v>438</v>
      </c>
      <c r="H2044" t="s">
        <v>57</v>
      </c>
      <c r="I2044" t="s">
        <v>91</v>
      </c>
      <c r="J2044" t="s">
        <v>439</v>
      </c>
      <c r="K2044">
        <v>43</v>
      </c>
      <c r="L2044" t="s">
        <v>49</v>
      </c>
      <c r="M2044" t="s">
        <v>35</v>
      </c>
      <c r="N2044" t="s">
        <v>51</v>
      </c>
      <c r="O2044" t="s">
        <v>28</v>
      </c>
      <c r="P2044" t="s">
        <v>31</v>
      </c>
      <c r="Q2044">
        <v>0</v>
      </c>
      <c r="R2044" t="s">
        <v>12883</v>
      </c>
      <c r="S2044" t="s">
        <v>12886</v>
      </c>
    </row>
    <row r="2045" spans="1:19" x14ac:dyDescent="0.25">
      <c r="A2045" t="s">
        <v>1029</v>
      </c>
      <c r="B2045" s="1">
        <v>45945</v>
      </c>
      <c r="C2045" t="s">
        <v>12890</v>
      </c>
      <c r="D2045" s="5">
        <v>0.25994212962962965</v>
      </c>
      <c r="E2045">
        <v>50.81</v>
      </c>
      <c r="F2045" t="s">
        <v>44</v>
      </c>
      <c r="G2045" t="s">
        <v>1030</v>
      </c>
      <c r="H2045" t="s">
        <v>124</v>
      </c>
      <c r="I2045" t="s">
        <v>23</v>
      </c>
      <c r="J2045" t="s">
        <v>1031</v>
      </c>
      <c r="K2045">
        <v>25</v>
      </c>
      <c r="L2045" t="s">
        <v>37</v>
      </c>
      <c r="M2045" t="s">
        <v>58</v>
      </c>
      <c r="N2045" t="s">
        <v>39</v>
      </c>
      <c r="O2045" t="s">
        <v>28</v>
      </c>
      <c r="P2045" t="s">
        <v>31</v>
      </c>
      <c r="Q2045">
        <v>0</v>
      </c>
      <c r="R2045" t="s">
        <v>12883</v>
      </c>
      <c r="S2045" t="s">
        <v>12889</v>
      </c>
    </row>
    <row r="2046" spans="1:19" x14ac:dyDescent="0.25">
      <c r="A2046" t="s">
        <v>5794</v>
      </c>
      <c r="B2046" s="1">
        <v>45892</v>
      </c>
      <c r="C2046" t="s">
        <v>12893</v>
      </c>
      <c r="D2046" s="5">
        <v>0.99501157407407403</v>
      </c>
      <c r="E2046">
        <v>50.47</v>
      </c>
      <c r="F2046" t="s">
        <v>44</v>
      </c>
      <c r="G2046" t="s">
        <v>1436</v>
      </c>
      <c r="H2046" t="s">
        <v>46</v>
      </c>
      <c r="I2046" t="s">
        <v>110</v>
      </c>
      <c r="J2046" t="s">
        <v>5795</v>
      </c>
      <c r="K2046">
        <v>22</v>
      </c>
      <c r="L2046" t="s">
        <v>37</v>
      </c>
      <c r="M2046" t="s">
        <v>146</v>
      </c>
      <c r="N2046" t="s">
        <v>27</v>
      </c>
      <c r="O2046" t="s">
        <v>28</v>
      </c>
      <c r="P2046" t="s">
        <v>31</v>
      </c>
      <c r="Q2046">
        <v>0</v>
      </c>
      <c r="R2046" t="s">
        <v>12883</v>
      </c>
      <c r="S2046" t="s">
        <v>12892</v>
      </c>
    </row>
    <row r="2047" spans="1:19" x14ac:dyDescent="0.25">
      <c r="A2047" t="s">
        <v>12070</v>
      </c>
      <c r="B2047" s="1">
        <v>45780</v>
      </c>
      <c r="C2047" t="s">
        <v>12887</v>
      </c>
      <c r="D2047" s="5">
        <v>0.6404050925925926</v>
      </c>
      <c r="E2047">
        <v>50.34</v>
      </c>
      <c r="F2047" t="s">
        <v>44</v>
      </c>
      <c r="G2047" t="s">
        <v>2481</v>
      </c>
      <c r="H2047" t="s">
        <v>46</v>
      </c>
      <c r="I2047" t="s">
        <v>35</v>
      </c>
      <c r="J2047" t="s">
        <v>12071</v>
      </c>
      <c r="K2047">
        <v>70</v>
      </c>
      <c r="L2047" t="s">
        <v>49</v>
      </c>
      <c r="M2047" t="s">
        <v>91</v>
      </c>
      <c r="N2047" t="s">
        <v>105</v>
      </c>
      <c r="O2047" t="s">
        <v>28</v>
      </c>
      <c r="P2047" t="s">
        <v>31</v>
      </c>
      <c r="Q2047">
        <v>0</v>
      </c>
      <c r="R2047" t="s">
        <v>12883</v>
      </c>
      <c r="S2047" t="s">
        <v>12884</v>
      </c>
    </row>
    <row r="2048" spans="1:19" x14ac:dyDescent="0.25">
      <c r="A2048" t="s">
        <v>4288</v>
      </c>
      <c r="B2048" s="1">
        <v>45889</v>
      </c>
      <c r="C2048" t="s">
        <v>12893</v>
      </c>
      <c r="D2048" s="5">
        <v>0.82196759259259256</v>
      </c>
      <c r="E2048">
        <v>50.15</v>
      </c>
      <c r="F2048" t="s">
        <v>44</v>
      </c>
      <c r="G2048" t="s">
        <v>644</v>
      </c>
      <c r="H2048" t="s">
        <v>46</v>
      </c>
      <c r="I2048" t="s">
        <v>26</v>
      </c>
      <c r="J2048" t="s">
        <v>4289</v>
      </c>
      <c r="K2048">
        <v>63</v>
      </c>
      <c r="L2048" t="s">
        <v>49</v>
      </c>
      <c r="M2048" t="s">
        <v>58</v>
      </c>
      <c r="N2048" t="s">
        <v>39</v>
      </c>
      <c r="O2048" t="s">
        <v>28</v>
      </c>
      <c r="P2048" t="s">
        <v>31</v>
      </c>
      <c r="Q2048">
        <v>0</v>
      </c>
      <c r="R2048" t="s">
        <v>12883</v>
      </c>
      <c r="S2048" t="s">
        <v>12884</v>
      </c>
    </row>
    <row r="2049" spans="1:19" x14ac:dyDescent="0.25">
      <c r="A2049" t="s">
        <v>4076</v>
      </c>
      <c r="B2049" s="1">
        <v>45814</v>
      </c>
      <c r="C2049" t="s">
        <v>12888</v>
      </c>
      <c r="D2049" s="5">
        <v>3.6979166666666667E-2</v>
      </c>
      <c r="E2049">
        <v>49.99</v>
      </c>
      <c r="F2049" t="s">
        <v>44</v>
      </c>
      <c r="G2049" t="s">
        <v>2163</v>
      </c>
      <c r="H2049" t="s">
        <v>89</v>
      </c>
      <c r="I2049" t="s">
        <v>119</v>
      </c>
      <c r="J2049" t="s">
        <v>4077</v>
      </c>
      <c r="K2049">
        <v>35</v>
      </c>
      <c r="L2049" t="s">
        <v>49</v>
      </c>
      <c r="M2049" t="s">
        <v>119</v>
      </c>
      <c r="N2049" t="s">
        <v>51</v>
      </c>
      <c r="O2049" t="s">
        <v>113</v>
      </c>
      <c r="P2049" t="s">
        <v>31</v>
      </c>
      <c r="Q2049">
        <v>1</v>
      </c>
      <c r="R2049" t="s">
        <v>12891</v>
      </c>
      <c r="S2049" t="s">
        <v>12889</v>
      </c>
    </row>
    <row r="2050" spans="1:19" x14ac:dyDescent="0.25">
      <c r="A2050" t="s">
        <v>11092</v>
      </c>
      <c r="B2050" s="1">
        <v>45854</v>
      </c>
      <c r="C2050" t="s">
        <v>12885</v>
      </c>
      <c r="D2050" s="5">
        <v>0.90743055555555552</v>
      </c>
      <c r="E2050">
        <v>49.85</v>
      </c>
      <c r="F2050" t="s">
        <v>44</v>
      </c>
      <c r="G2050" t="s">
        <v>2891</v>
      </c>
      <c r="H2050" t="s">
        <v>77</v>
      </c>
      <c r="I2050" t="s">
        <v>110</v>
      </c>
      <c r="J2050" t="s">
        <v>11093</v>
      </c>
      <c r="K2050">
        <v>71</v>
      </c>
      <c r="L2050" t="s">
        <v>49</v>
      </c>
      <c r="M2050" t="s">
        <v>23</v>
      </c>
      <c r="N2050" t="s">
        <v>39</v>
      </c>
      <c r="O2050" t="s">
        <v>28</v>
      </c>
      <c r="P2050" t="s">
        <v>31</v>
      </c>
      <c r="Q2050">
        <v>0</v>
      </c>
      <c r="R2050" t="s">
        <v>12883</v>
      </c>
      <c r="S2050" t="s">
        <v>12884</v>
      </c>
    </row>
    <row r="2051" spans="1:19" x14ac:dyDescent="0.25">
      <c r="A2051" t="s">
        <v>2955</v>
      </c>
      <c r="B2051" s="1">
        <v>45876</v>
      </c>
      <c r="C2051" t="s">
        <v>12893</v>
      </c>
      <c r="D2051" s="5">
        <v>0.45890046296296294</v>
      </c>
      <c r="E2051">
        <v>49.81</v>
      </c>
      <c r="F2051" t="s">
        <v>44</v>
      </c>
      <c r="G2051" t="s">
        <v>2956</v>
      </c>
      <c r="H2051" t="s">
        <v>64</v>
      </c>
      <c r="I2051" t="s">
        <v>66</v>
      </c>
      <c r="J2051" t="s">
        <v>2957</v>
      </c>
      <c r="K2051">
        <v>45</v>
      </c>
      <c r="L2051" t="s">
        <v>37</v>
      </c>
      <c r="M2051" t="s">
        <v>110</v>
      </c>
      <c r="N2051" t="s">
        <v>105</v>
      </c>
      <c r="O2051" t="s">
        <v>28</v>
      </c>
      <c r="P2051" t="s">
        <v>31</v>
      </c>
      <c r="Q2051">
        <v>0</v>
      </c>
      <c r="R2051" t="s">
        <v>12883</v>
      </c>
      <c r="S2051" t="s">
        <v>12886</v>
      </c>
    </row>
    <row r="2052" spans="1:19" x14ac:dyDescent="0.25">
      <c r="A2052" t="s">
        <v>6667</v>
      </c>
      <c r="B2052" s="1">
        <v>45889</v>
      </c>
      <c r="C2052" t="s">
        <v>12893</v>
      </c>
      <c r="D2052" s="5">
        <v>0.57862268518518523</v>
      </c>
      <c r="E2052">
        <v>49.7</v>
      </c>
      <c r="F2052" t="s">
        <v>44</v>
      </c>
      <c r="G2052" t="s">
        <v>6668</v>
      </c>
      <c r="H2052" t="s">
        <v>22</v>
      </c>
      <c r="I2052" t="s">
        <v>248</v>
      </c>
      <c r="J2052" t="s">
        <v>6669</v>
      </c>
      <c r="K2052">
        <v>33</v>
      </c>
      <c r="L2052" t="s">
        <v>37</v>
      </c>
      <c r="M2052" t="s">
        <v>26</v>
      </c>
      <c r="N2052" t="s">
        <v>84</v>
      </c>
      <c r="O2052" t="s">
        <v>28</v>
      </c>
      <c r="P2052" t="s">
        <v>31</v>
      </c>
      <c r="Q2052">
        <v>0</v>
      </c>
      <c r="R2052" t="s">
        <v>12883</v>
      </c>
      <c r="S2052" t="s">
        <v>12889</v>
      </c>
    </row>
    <row r="2053" spans="1:19" x14ac:dyDescent="0.25">
      <c r="A2053" t="s">
        <v>11884</v>
      </c>
      <c r="B2053" s="1">
        <v>45899</v>
      </c>
      <c r="C2053" t="s">
        <v>12893</v>
      </c>
      <c r="D2053" s="5">
        <v>0.22699074074074074</v>
      </c>
      <c r="E2053">
        <v>49.49</v>
      </c>
      <c r="F2053" t="s">
        <v>44</v>
      </c>
      <c r="G2053" t="s">
        <v>4145</v>
      </c>
      <c r="H2053" t="s">
        <v>46</v>
      </c>
      <c r="I2053" t="s">
        <v>146</v>
      </c>
      <c r="J2053" t="s">
        <v>11885</v>
      </c>
      <c r="K2053">
        <v>19</v>
      </c>
      <c r="L2053" t="s">
        <v>49</v>
      </c>
      <c r="M2053" t="s">
        <v>35</v>
      </c>
      <c r="N2053" t="s">
        <v>51</v>
      </c>
      <c r="O2053" t="s">
        <v>28</v>
      </c>
      <c r="P2053" t="s">
        <v>31</v>
      </c>
      <c r="Q2053">
        <v>0</v>
      </c>
      <c r="R2053" t="s">
        <v>12883</v>
      </c>
      <c r="S2053" t="s">
        <v>12892</v>
      </c>
    </row>
    <row r="2054" spans="1:19" x14ac:dyDescent="0.25">
      <c r="A2054" t="s">
        <v>62</v>
      </c>
      <c r="B2054" s="1">
        <v>45829</v>
      </c>
      <c r="C2054" t="s">
        <v>12888</v>
      </c>
      <c r="D2054" s="5">
        <v>0.46208333333333335</v>
      </c>
      <c r="E2054">
        <v>49.48</v>
      </c>
      <c r="F2054" t="s">
        <v>44</v>
      </c>
      <c r="G2054" t="s">
        <v>63</v>
      </c>
      <c r="H2054" t="s">
        <v>64</v>
      </c>
      <c r="I2054" t="s">
        <v>26</v>
      </c>
      <c r="J2054" t="s">
        <v>65</v>
      </c>
      <c r="K2054">
        <v>54</v>
      </c>
      <c r="L2054" t="s">
        <v>37</v>
      </c>
      <c r="M2054" t="s">
        <v>66</v>
      </c>
      <c r="N2054" t="s">
        <v>27</v>
      </c>
      <c r="O2054" t="s">
        <v>28</v>
      </c>
      <c r="P2054" t="s">
        <v>31</v>
      </c>
      <c r="Q2054">
        <v>0</v>
      </c>
      <c r="R2054" t="s">
        <v>12883</v>
      </c>
      <c r="S2054" t="s">
        <v>12886</v>
      </c>
    </row>
    <row r="2055" spans="1:19" x14ac:dyDescent="0.25">
      <c r="A2055" t="s">
        <v>2754</v>
      </c>
      <c r="B2055" s="1">
        <v>45911</v>
      </c>
      <c r="C2055" t="s">
        <v>12882</v>
      </c>
      <c r="D2055" s="5">
        <v>0.40109953703703705</v>
      </c>
      <c r="E2055">
        <v>49.31</v>
      </c>
      <c r="F2055" t="s">
        <v>44</v>
      </c>
      <c r="G2055" t="s">
        <v>2755</v>
      </c>
      <c r="H2055" t="s">
        <v>64</v>
      </c>
      <c r="I2055" t="s">
        <v>66</v>
      </c>
      <c r="J2055" t="s">
        <v>2756</v>
      </c>
      <c r="K2055">
        <v>64</v>
      </c>
      <c r="L2055" t="s">
        <v>37</v>
      </c>
      <c r="M2055" t="s">
        <v>130</v>
      </c>
      <c r="N2055" t="s">
        <v>27</v>
      </c>
      <c r="O2055" t="s">
        <v>28</v>
      </c>
      <c r="P2055" t="s">
        <v>31</v>
      </c>
      <c r="Q2055">
        <v>0</v>
      </c>
      <c r="R2055" t="s">
        <v>12883</v>
      </c>
      <c r="S2055" t="s">
        <v>12884</v>
      </c>
    </row>
    <row r="2056" spans="1:19" x14ac:dyDescent="0.25">
      <c r="A2056" t="s">
        <v>122</v>
      </c>
      <c r="B2056" s="1">
        <v>45864</v>
      </c>
      <c r="C2056" t="s">
        <v>12885</v>
      </c>
      <c r="D2056" s="5">
        <v>0.53549768518518515</v>
      </c>
      <c r="E2056">
        <v>49.24</v>
      </c>
      <c r="F2056" t="s">
        <v>44</v>
      </c>
      <c r="G2056" t="s">
        <v>123</v>
      </c>
      <c r="H2056" t="s">
        <v>124</v>
      </c>
      <c r="I2056" t="s">
        <v>91</v>
      </c>
      <c r="J2056" t="s">
        <v>125</v>
      </c>
      <c r="K2056">
        <v>26</v>
      </c>
      <c r="L2056" t="s">
        <v>37</v>
      </c>
      <c r="M2056" t="s">
        <v>97</v>
      </c>
      <c r="N2056" t="s">
        <v>27</v>
      </c>
      <c r="O2056" t="s">
        <v>28</v>
      </c>
      <c r="P2056" t="s">
        <v>31</v>
      </c>
      <c r="Q2056">
        <v>0</v>
      </c>
      <c r="R2056" t="s">
        <v>12883</v>
      </c>
      <c r="S2056" t="s">
        <v>12889</v>
      </c>
    </row>
    <row r="2057" spans="1:19" x14ac:dyDescent="0.25">
      <c r="A2057" t="s">
        <v>3695</v>
      </c>
      <c r="B2057" s="1">
        <v>45894</v>
      </c>
      <c r="C2057" t="s">
        <v>12893</v>
      </c>
      <c r="D2057" s="5">
        <v>0.87681712962962965</v>
      </c>
      <c r="E2057">
        <v>49.16</v>
      </c>
      <c r="F2057" t="s">
        <v>44</v>
      </c>
      <c r="G2057" t="s">
        <v>3696</v>
      </c>
      <c r="H2057" t="s">
        <v>57</v>
      </c>
      <c r="I2057" t="s">
        <v>66</v>
      </c>
      <c r="J2057" t="s">
        <v>3697</v>
      </c>
      <c r="K2057">
        <v>75</v>
      </c>
      <c r="L2057" t="s">
        <v>49</v>
      </c>
      <c r="M2057" t="s">
        <v>47</v>
      </c>
      <c r="N2057" t="s">
        <v>51</v>
      </c>
      <c r="O2057" t="s">
        <v>28</v>
      </c>
      <c r="P2057" t="s">
        <v>31</v>
      </c>
      <c r="Q2057">
        <v>0</v>
      </c>
      <c r="R2057" t="s">
        <v>12883</v>
      </c>
      <c r="S2057" t="s">
        <v>12884</v>
      </c>
    </row>
    <row r="2058" spans="1:19" x14ac:dyDescent="0.25">
      <c r="A2058" t="s">
        <v>7027</v>
      </c>
      <c r="B2058" s="1">
        <v>45797</v>
      </c>
      <c r="C2058" t="s">
        <v>12887</v>
      </c>
      <c r="D2058" s="5">
        <v>2.6377314814814815E-2</v>
      </c>
      <c r="E2058">
        <v>49.11</v>
      </c>
      <c r="F2058" t="s">
        <v>44</v>
      </c>
      <c r="G2058" t="s">
        <v>7028</v>
      </c>
      <c r="H2058" t="s">
        <v>34</v>
      </c>
      <c r="I2058" t="s">
        <v>130</v>
      </c>
      <c r="J2058" t="s">
        <v>7029</v>
      </c>
      <c r="K2058">
        <v>25</v>
      </c>
      <c r="L2058" t="s">
        <v>25</v>
      </c>
      <c r="M2058" t="s">
        <v>91</v>
      </c>
      <c r="N2058" t="s">
        <v>84</v>
      </c>
      <c r="O2058" t="s">
        <v>28</v>
      </c>
      <c r="P2058" t="s">
        <v>31</v>
      </c>
      <c r="Q2058">
        <v>0</v>
      </c>
      <c r="R2058" t="s">
        <v>12883</v>
      </c>
      <c r="S2058" t="s">
        <v>12889</v>
      </c>
    </row>
    <row r="2059" spans="1:19" x14ac:dyDescent="0.25">
      <c r="A2059" t="s">
        <v>3431</v>
      </c>
      <c r="B2059" s="1">
        <v>45865</v>
      </c>
      <c r="C2059" t="s">
        <v>12885</v>
      </c>
      <c r="D2059" s="5">
        <v>0.23480324074074074</v>
      </c>
      <c r="E2059">
        <v>49.02</v>
      </c>
      <c r="F2059" t="s">
        <v>44</v>
      </c>
      <c r="G2059" t="s">
        <v>3432</v>
      </c>
      <c r="H2059" t="s">
        <v>46</v>
      </c>
      <c r="I2059" t="s">
        <v>97</v>
      </c>
      <c r="J2059" t="s">
        <v>3433</v>
      </c>
      <c r="K2059">
        <v>21</v>
      </c>
      <c r="L2059" t="s">
        <v>49</v>
      </c>
      <c r="M2059" t="s">
        <v>91</v>
      </c>
      <c r="N2059" t="s">
        <v>105</v>
      </c>
      <c r="O2059" t="s">
        <v>28</v>
      </c>
      <c r="P2059" t="s">
        <v>31</v>
      </c>
      <c r="Q2059">
        <v>0</v>
      </c>
      <c r="R2059" t="s">
        <v>12883</v>
      </c>
      <c r="S2059" t="s">
        <v>12892</v>
      </c>
    </row>
    <row r="2060" spans="1:19" x14ac:dyDescent="0.25">
      <c r="A2060" t="s">
        <v>1450</v>
      </c>
      <c r="B2060" s="1">
        <v>45831</v>
      </c>
      <c r="C2060" t="s">
        <v>12888</v>
      </c>
      <c r="D2060" s="5">
        <v>7.2615740740740745E-2</v>
      </c>
      <c r="E2060">
        <v>48.94</v>
      </c>
      <c r="F2060" t="s">
        <v>44</v>
      </c>
      <c r="G2060" t="s">
        <v>1451</v>
      </c>
      <c r="H2060" t="s">
        <v>96</v>
      </c>
      <c r="I2060" t="s">
        <v>35</v>
      </c>
      <c r="J2060" t="s">
        <v>1452</v>
      </c>
      <c r="K2060">
        <v>64</v>
      </c>
      <c r="L2060" t="s">
        <v>49</v>
      </c>
      <c r="M2060" t="s">
        <v>26</v>
      </c>
      <c r="N2060" t="s">
        <v>39</v>
      </c>
      <c r="O2060" t="s">
        <v>28</v>
      </c>
      <c r="P2060" t="s">
        <v>31</v>
      </c>
      <c r="Q2060">
        <v>0</v>
      </c>
      <c r="R2060" t="s">
        <v>12883</v>
      </c>
      <c r="S2060" t="s">
        <v>12884</v>
      </c>
    </row>
    <row r="2061" spans="1:19" x14ac:dyDescent="0.25">
      <c r="A2061" t="s">
        <v>10305</v>
      </c>
      <c r="B2061" s="1">
        <v>45781</v>
      </c>
      <c r="C2061" t="s">
        <v>12887</v>
      </c>
      <c r="D2061" s="5">
        <v>0.15953703703703703</v>
      </c>
      <c r="E2061">
        <v>48.62</v>
      </c>
      <c r="F2061" t="s">
        <v>44</v>
      </c>
      <c r="G2061" t="s">
        <v>140</v>
      </c>
      <c r="H2061" t="s">
        <v>77</v>
      </c>
      <c r="I2061" t="s">
        <v>47</v>
      </c>
      <c r="J2061" t="s">
        <v>10306</v>
      </c>
      <c r="K2061">
        <v>48</v>
      </c>
      <c r="L2061" t="s">
        <v>25</v>
      </c>
      <c r="M2061" t="s">
        <v>38</v>
      </c>
      <c r="N2061" t="s">
        <v>84</v>
      </c>
      <c r="O2061" t="s">
        <v>28</v>
      </c>
      <c r="P2061" t="s">
        <v>31</v>
      </c>
      <c r="Q2061">
        <v>0</v>
      </c>
      <c r="R2061" t="s">
        <v>12883</v>
      </c>
      <c r="S2061" t="s">
        <v>12886</v>
      </c>
    </row>
    <row r="2062" spans="1:19" x14ac:dyDescent="0.25">
      <c r="A2062" t="s">
        <v>4949</v>
      </c>
      <c r="B2062" s="1">
        <v>45874</v>
      </c>
      <c r="C2062" t="s">
        <v>12893</v>
      </c>
      <c r="D2062" s="5">
        <v>0.83151620370370372</v>
      </c>
      <c r="E2062">
        <v>48.3</v>
      </c>
      <c r="F2062" t="s">
        <v>44</v>
      </c>
      <c r="G2062" t="s">
        <v>4950</v>
      </c>
      <c r="H2062" t="s">
        <v>89</v>
      </c>
      <c r="I2062" t="s">
        <v>26</v>
      </c>
      <c r="J2062" t="s">
        <v>4951</v>
      </c>
      <c r="K2062">
        <v>65</v>
      </c>
      <c r="L2062" t="s">
        <v>49</v>
      </c>
      <c r="M2062" t="s">
        <v>248</v>
      </c>
      <c r="N2062" t="s">
        <v>27</v>
      </c>
      <c r="O2062" t="s">
        <v>28</v>
      </c>
      <c r="P2062" t="s">
        <v>31</v>
      </c>
      <c r="Q2062">
        <v>0</v>
      </c>
      <c r="R2062" t="s">
        <v>12883</v>
      </c>
      <c r="S2062" t="s">
        <v>12884</v>
      </c>
    </row>
    <row r="2063" spans="1:19" x14ac:dyDescent="0.25">
      <c r="A2063" t="s">
        <v>10564</v>
      </c>
      <c r="B2063" s="1">
        <v>45930</v>
      </c>
      <c r="C2063" t="s">
        <v>12882</v>
      </c>
      <c r="D2063" s="5">
        <v>0.34006944444444442</v>
      </c>
      <c r="E2063">
        <v>48.25</v>
      </c>
      <c r="F2063" t="s">
        <v>44</v>
      </c>
      <c r="G2063" t="s">
        <v>2961</v>
      </c>
      <c r="H2063" t="s">
        <v>46</v>
      </c>
      <c r="I2063" t="s">
        <v>47</v>
      </c>
      <c r="J2063" t="s">
        <v>10565</v>
      </c>
      <c r="K2063">
        <v>26</v>
      </c>
      <c r="L2063" t="s">
        <v>37</v>
      </c>
      <c r="M2063" t="s">
        <v>38</v>
      </c>
      <c r="N2063" t="s">
        <v>105</v>
      </c>
      <c r="O2063" t="s">
        <v>28</v>
      </c>
      <c r="P2063" t="s">
        <v>31</v>
      </c>
      <c r="Q2063">
        <v>0</v>
      </c>
      <c r="R2063" t="s">
        <v>12883</v>
      </c>
      <c r="S2063" t="s">
        <v>12889</v>
      </c>
    </row>
    <row r="2064" spans="1:19" x14ac:dyDescent="0.25">
      <c r="A2064" t="s">
        <v>7307</v>
      </c>
      <c r="B2064" s="1">
        <v>45826</v>
      </c>
      <c r="C2064" t="s">
        <v>12888</v>
      </c>
      <c r="D2064" s="5">
        <v>0.11722222222222223</v>
      </c>
      <c r="E2064">
        <v>48.12</v>
      </c>
      <c r="F2064" t="s">
        <v>44</v>
      </c>
      <c r="G2064" t="s">
        <v>1612</v>
      </c>
      <c r="H2064" t="s">
        <v>64</v>
      </c>
      <c r="I2064" t="s">
        <v>47</v>
      </c>
      <c r="J2064" t="s">
        <v>7308</v>
      </c>
      <c r="K2064">
        <v>59</v>
      </c>
      <c r="L2064" t="s">
        <v>25</v>
      </c>
      <c r="M2064" t="s">
        <v>35</v>
      </c>
      <c r="N2064" t="s">
        <v>105</v>
      </c>
      <c r="O2064" t="s">
        <v>28</v>
      </c>
      <c r="P2064" t="s">
        <v>31</v>
      </c>
      <c r="Q2064">
        <v>0</v>
      </c>
      <c r="R2064" t="s">
        <v>12883</v>
      </c>
      <c r="S2064" t="s">
        <v>12886</v>
      </c>
    </row>
    <row r="2065" spans="1:19" x14ac:dyDescent="0.25">
      <c r="A2065" t="s">
        <v>11904</v>
      </c>
      <c r="B2065" s="1">
        <v>45935</v>
      </c>
      <c r="C2065" t="s">
        <v>12890</v>
      </c>
      <c r="D2065" s="5">
        <v>0.1413425925925926</v>
      </c>
      <c r="E2065">
        <v>48.07</v>
      </c>
      <c r="F2065" t="s">
        <v>44</v>
      </c>
      <c r="G2065" t="s">
        <v>4464</v>
      </c>
      <c r="H2065" t="s">
        <v>124</v>
      </c>
      <c r="I2065" t="s">
        <v>130</v>
      </c>
      <c r="J2065" t="s">
        <v>11905</v>
      </c>
      <c r="K2065">
        <v>74</v>
      </c>
      <c r="L2065" t="s">
        <v>25</v>
      </c>
      <c r="M2065" t="s">
        <v>248</v>
      </c>
      <c r="N2065" t="s">
        <v>51</v>
      </c>
      <c r="O2065" t="s">
        <v>28</v>
      </c>
      <c r="P2065" t="s">
        <v>31</v>
      </c>
      <c r="Q2065">
        <v>0</v>
      </c>
      <c r="R2065" t="s">
        <v>12883</v>
      </c>
      <c r="S2065" t="s">
        <v>12884</v>
      </c>
    </row>
    <row r="2066" spans="1:19" x14ac:dyDescent="0.25">
      <c r="A2066" t="s">
        <v>9130</v>
      </c>
      <c r="B2066" s="1">
        <v>45880</v>
      </c>
      <c r="C2066" t="s">
        <v>12893</v>
      </c>
      <c r="D2066" s="5">
        <v>0.84841435185185188</v>
      </c>
      <c r="E2066">
        <v>48.02</v>
      </c>
      <c r="F2066" t="s">
        <v>44</v>
      </c>
      <c r="G2066" t="s">
        <v>9131</v>
      </c>
      <c r="H2066" t="s">
        <v>124</v>
      </c>
      <c r="I2066" t="s">
        <v>146</v>
      </c>
      <c r="J2066" t="s">
        <v>9132</v>
      </c>
      <c r="K2066">
        <v>75</v>
      </c>
      <c r="L2066" t="s">
        <v>25</v>
      </c>
      <c r="M2066" t="s">
        <v>35</v>
      </c>
      <c r="N2066" t="s">
        <v>39</v>
      </c>
      <c r="O2066" t="s">
        <v>28</v>
      </c>
      <c r="P2066" t="s">
        <v>31</v>
      </c>
      <c r="Q2066">
        <v>0</v>
      </c>
      <c r="R2066" t="s">
        <v>12883</v>
      </c>
      <c r="S2066" t="s">
        <v>12884</v>
      </c>
    </row>
    <row r="2067" spans="1:19" x14ac:dyDescent="0.25">
      <c r="A2067" t="s">
        <v>9071</v>
      </c>
      <c r="B2067" s="1">
        <v>45825</v>
      </c>
      <c r="C2067" t="s">
        <v>12888</v>
      </c>
      <c r="D2067" s="5">
        <v>0.21243055555555557</v>
      </c>
      <c r="E2067">
        <v>47.97</v>
      </c>
      <c r="F2067" t="s">
        <v>44</v>
      </c>
      <c r="G2067" t="s">
        <v>9072</v>
      </c>
      <c r="H2067" t="s">
        <v>34</v>
      </c>
      <c r="I2067" t="s">
        <v>50</v>
      </c>
      <c r="J2067" t="s">
        <v>9073</v>
      </c>
      <c r="K2067">
        <v>70</v>
      </c>
      <c r="L2067" t="s">
        <v>49</v>
      </c>
      <c r="M2067" t="s">
        <v>47</v>
      </c>
      <c r="N2067" t="s">
        <v>51</v>
      </c>
      <c r="O2067" t="s">
        <v>28</v>
      </c>
      <c r="P2067" t="s">
        <v>31</v>
      </c>
      <c r="Q2067">
        <v>0</v>
      </c>
      <c r="R2067" t="s">
        <v>12883</v>
      </c>
      <c r="S2067" t="s">
        <v>12884</v>
      </c>
    </row>
    <row r="2068" spans="1:19" x14ac:dyDescent="0.25">
      <c r="A2068" t="s">
        <v>485</v>
      </c>
      <c r="B2068" s="1">
        <v>45790</v>
      </c>
      <c r="C2068" t="s">
        <v>12887</v>
      </c>
      <c r="D2068" s="5">
        <v>0.64337962962962958</v>
      </c>
      <c r="E2068">
        <v>47.96</v>
      </c>
      <c r="F2068" t="s">
        <v>44</v>
      </c>
      <c r="G2068" t="s">
        <v>486</v>
      </c>
      <c r="H2068" t="s">
        <v>22</v>
      </c>
      <c r="I2068" t="s">
        <v>58</v>
      </c>
      <c r="J2068" t="s">
        <v>487</v>
      </c>
      <c r="K2068">
        <v>55</v>
      </c>
      <c r="L2068" t="s">
        <v>37</v>
      </c>
      <c r="M2068" t="s">
        <v>23</v>
      </c>
      <c r="N2068" t="s">
        <v>27</v>
      </c>
      <c r="O2068" t="s">
        <v>28</v>
      </c>
      <c r="P2068" t="s">
        <v>31</v>
      </c>
      <c r="Q2068">
        <v>0</v>
      </c>
      <c r="R2068" t="s">
        <v>12883</v>
      </c>
      <c r="S2068" t="s">
        <v>12886</v>
      </c>
    </row>
    <row r="2069" spans="1:19" x14ac:dyDescent="0.25">
      <c r="A2069" t="s">
        <v>1850</v>
      </c>
      <c r="B2069" s="1">
        <v>45806</v>
      </c>
      <c r="C2069" t="s">
        <v>12887</v>
      </c>
      <c r="D2069" s="5">
        <v>0.42123842592592592</v>
      </c>
      <c r="E2069">
        <v>47.89</v>
      </c>
      <c r="F2069" t="s">
        <v>44</v>
      </c>
      <c r="G2069" t="s">
        <v>1627</v>
      </c>
      <c r="H2069" t="s">
        <v>89</v>
      </c>
      <c r="I2069" t="s">
        <v>91</v>
      </c>
      <c r="J2069" t="s">
        <v>1851</v>
      </c>
      <c r="K2069">
        <v>22</v>
      </c>
      <c r="L2069" t="s">
        <v>49</v>
      </c>
      <c r="M2069" t="s">
        <v>58</v>
      </c>
      <c r="N2069" t="s">
        <v>27</v>
      </c>
      <c r="O2069" t="s">
        <v>28</v>
      </c>
      <c r="P2069" t="s">
        <v>31</v>
      </c>
      <c r="Q2069">
        <v>1</v>
      </c>
      <c r="R2069" t="s">
        <v>12891</v>
      </c>
      <c r="S2069" t="s">
        <v>12892</v>
      </c>
    </row>
    <row r="2070" spans="1:19" x14ac:dyDescent="0.25">
      <c r="A2070" t="s">
        <v>5169</v>
      </c>
      <c r="B2070" s="1">
        <v>45799</v>
      </c>
      <c r="C2070" t="s">
        <v>12887</v>
      </c>
      <c r="D2070" s="5">
        <v>0.39672453703703703</v>
      </c>
      <c r="E2070">
        <v>47.52</v>
      </c>
      <c r="F2070" t="s">
        <v>44</v>
      </c>
      <c r="G2070" t="s">
        <v>2418</v>
      </c>
      <c r="H2070" t="s">
        <v>22</v>
      </c>
      <c r="I2070" t="s">
        <v>35</v>
      </c>
      <c r="J2070" t="s">
        <v>5170</v>
      </c>
      <c r="K2070">
        <v>32</v>
      </c>
      <c r="L2070" t="s">
        <v>25</v>
      </c>
      <c r="M2070" t="s">
        <v>130</v>
      </c>
      <c r="N2070" t="s">
        <v>51</v>
      </c>
      <c r="O2070" t="s">
        <v>28</v>
      </c>
      <c r="P2070" t="s">
        <v>31</v>
      </c>
      <c r="Q2070">
        <v>0</v>
      </c>
      <c r="R2070" t="s">
        <v>12883</v>
      </c>
      <c r="S2070" t="s">
        <v>12889</v>
      </c>
    </row>
    <row r="2071" spans="1:19" x14ac:dyDescent="0.25">
      <c r="A2071" t="s">
        <v>8395</v>
      </c>
      <c r="B2071" s="1">
        <v>45865</v>
      </c>
      <c r="C2071" t="s">
        <v>12885</v>
      </c>
      <c r="D2071" s="5">
        <v>0.61408564814814814</v>
      </c>
      <c r="E2071">
        <v>47.47</v>
      </c>
      <c r="F2071" t="s">
        <v>44</v>
      </c>
      <c r="G2071" t="s">
        <v>888</v>
      </c>
      <c r="H2071" t="s">
        <v>71</v>
      </c>
      <c r="I2071" t="s">
        <v>66</v>
      </c>
      <c r="J2071" t="s">
        <v>8396</v>
      </c>
      <c r="K2071">
        <v>22</v>
      </c>
      <c r="L2071" t="s">
        <v>49</v>
      </c>
      <c r="M2071" t="s">
        <v>130</v>
      </c>
      <c r="N2071" t="s">
        <v>51</v>
      </c>
      <c r="O2071" t="s">
        <v>28</v>
      </c>
      <c r="P2071" t="s">
        <v>31</v>
      </c>
      <c r="Q2071">
        <v>0</v>
      </c>
      <c r="R2071" t="s">
        <v>12883</v>
      </c>
      <c r="S2071" t="s">
        <v>12892</v>
      </c>
    </row>
    <row r="2072" spans="1:19" x14ac:dyDescent="0.25">
      <c r="A2072" t="s">
        <v>6740</v>
      </c>
      <c r="B2072" s="1">
        <v>45815</v>
      </c>
      <c r="C2072" t="s">
        <v>12888</v>
      </c>
      <c r="D2072" s="5">
        <v>0.75482638888888887</v>
      </c>
      <c r="E2072">
        <v>47.45</v>
      </c>
      <c r="F2072" t="s">
        <v>44</v>
      </c>
      <c r="G2072" t="s">
        <v>1617</v>
      </c>
      <c r="H2072" t="s">
        <v>71</v>
      </c>
      <c r="I2072" t="s">
        <v>146</v>
      </c>
      <c r="J2072" t="s">
        <v>6741</v>
      </c>
      <c r="K2072">
        <v>30</v>
      </c>
      <c r="L2072" t="s">
        <v>25</v>
      </c>
      <c r="M2072" t="s">
        <v>26</v>
      </c>
      <c r="N2072" t="s">
        <v>27</v>
      </c>
      <c r="O2072" t="s">
        <v>28</v>
      </c>
      <c r="P2072" t="s">
        <v>31</v>
      </c>
      <c r="Q2072">
        <v>0</v>
      </c>
      <c r="R2072" t="s">
        <v>12883</v>
      </c>
      <c r="S2072" t="s">
        <v>12889</v>
      </c>
    </row>
    <row r="2073" spans="1:19" x14ac:dyDescent="0.25">
      <c r="A2073" t="s">
        <v>8869</v>
      </c>
      <c r="B2073" s="1">
        <v>45840</v>
      </c>
      <c r="C2073" t="s">
        <v>12885</v>
      </c>
      <c r="D2073" s="5">
        <v>0.58648148148148149</v>
      </c>
      <c r="E2073">
        <v>47.44</v>
      </c>
      <c r="F2073" t="s">
        <v>44</v>
      </c>
      <c r="G2073" t="s">
        <v>8870</v>
      </c>
      <c r="H2073" t="s">
        <v>64</v>
      </c>
      <c r="I2073" t="s">
        <v>110</v>
      </c>
      <c r="J2073" t="s">
        <v>8871</v>
      </c>
      <c r="K2073">
        <v>43</v>
      </c>
      <c r="L2073" t="s">
        <v>37</v>
      </c>
      <c r="M2073" t="s">
        <v>248</v>
      </c>
      <c r="N2073" t="s">
        <v>84</v>
      </c>
      <c r="O2073" t="s">
        <v>28</v>
      </c>
      <c r="P2073" t="s">
        <v>31</v>
      </c>
      <c r="Q2073">
        <v>0</v>
      </c>
      <c r="R2073" t="s">
        <v>12883</v>
      </c>
      <c r="S2073" t="s">
        <v>12886</v>
      </c>
    </row>
    <row r="2074" spans="1:19" x14ac:dyDescent="0.25">
      <c r="A2074" t="s">
        <v>9472</v>
      </c>
      <c r="B2074" s="1">
        <v>45866</v>
      </c>
      <c r="C2074" t="s">
        <v>12885</v>
      </c>
      <c r="D2074" s="5">
        <v>0.96137731481481481</v>
      </c>
      <c r="E2074">
        <v>47.38</v>
      </c>
      <c r="F2074" t="s">
        <v>44</v>
      </c>
      <c r="G2074" t="s">
        <v>1715</v>
      </c>
      <c r="H2074" t="s">
        <v>64</v>
      </c>
      <c r="I2074" t="s">
        <v>66</v>
      </c>
      <c r="J2074" t="s">
        <v>9473</v>
      </c>
      <c r="K2074">
        <v>34</v>
      </c>
      <c r="L2074" t="s">
        <v>25</v>
      </c>
      <c r="M2074" t="s">
        <v>47</v>
      </c>
      <c r="N2074" t="s">
        <v>27</v>
      </c>
      <c r="O2074" t="s">
        <v>28</v>
      </c>
      <c r="P2074" t="s">
        <v>31</v>
      </c>
      <c r="Q2074">
        <v>0</v>
      </c>
      <c r="R2074" t="s">
        <v>12883</v>
      </c>
      <c r="S2074" t="s">
        <v>12889</v>
      </c>
    </row>
    <row r="2075" spans="1:19" x14ac:dyDescent="0.25">
      <c r="A2075" t="s">
        <v>3073</v>
      </c>
      <c r="B2075" s="1">
        <v>45811</v>
      </c>
      <c r="C2075" t="s">
        <v>12888</v>
      </c>
      <c r="D2075" s="5">
        <v>0.35481481481481481</v>
      </c>
      <c r="E2075">
        <v>47.36</v>
      </c>
      <c r="F2075" t="s">
        <v>44</v>
      </c>
      <c r="G2075" t="s">
        <v>3074</v>
      </c>
      <c r="H2075" t="s">
        <v>57</v>
      </c>
      <c r="I2075" t="s">
        <v>91</v>
      </c>
      <c r="J2075" t="s">
        <v>3075</v>
      </c>
      <c r="K2075">
        <v>73</v>
      </c>
      <c r="L2075" t="s">
        <v>37</v>
      </c>
      <c r="M2075" t="s">
        <v>35</v>
      </c>
      <c r="N2075" t="s">
        <v>27</v>
      </c>
      <c r="O2075" t="s">
        <v>28</v>
      </c>
      <c r="P2075" t="s">
        <v>31</v>
      </c>
      <c r="Q2075">
        <v>0</v>
      </c>
      <c r="R2075" t="s">
        <v>12883</v>
      </c>
      <c r="S2075" t="s">
        <v>12884</v>
      </c>
    </row>
    <row r="2076" spans="1:19" x14ac:dyDescent="0.25">
      <c r="A2076" t="s">
        <v>5161</v>
      </c>
      <c r="B2076" s="1">
        <v>45907</v>
      </c>
      <c r="C2076" t="s">
        <v>12882</v>
      </c>
      <c r="D2076" s="5">
        <v>0.41782407407407407</v>
      </c>
      <c r="E2076">
        <v>47.25</v>
      </c>
      <c r="F2076" t="s">
        <v>44</v>
      </c>
      <c r="G2076" t="s">
        <v>551</v>
      </c>
      <c r="H2076" t="s">
        <v>34</v>
      </c>
      <c r="I2076" t="s">
        <v>248</v>
      </c>
      <c r="J2076" t="s">
        <v>5162</v>
      </c>
      <c r="K2076">
        <v>74</v>
      </c>
      <c r="L2076" t="s">
        <v>37</v>
      </c>
      <c r="M2076" t="s">
        <v>50</v>
      </c>
      <c r="N2076" t="s">
        <v>84</v>
      </c>
      <c r="O2076" t="s">
        <v>28</v>
      </c>
      <c r="P2076" t="s">
        <v>31</v>
      </c>
      <c r="Q2076">
        <v>0</v>
      </c>
      <c r="R2076" t="s">
        <v>12883</v>
      </c>
      <c r="S2076" t="s">
        <v>12884</v>
      </c>
    </row>
    <row r="2077" spans="1:19" x14ac:dyDescent="0.25">
      <c r="A2077" t="s">
        <v>7973</v>
      </c>
      <c r="B2077" s="1">
        <v>45857</v>
      </c>
      <c r="C2077" t="s">
        <v>12885</v>
      </c>
      <c r="D2077" s="5">
        <v>0.69901620370370365</v>
      </c>
      <c r="E2077">
        <v>47.15</v>
      </c>
      <c r="F2077" t="s">
        <v>44</v>
      </c>
      <c r="G2077" t="s">
        <v>272</v>
      </c>
      <c r="H2077" t="s">
        <v>77</v>
      </c>
      <c r="I2077" t="s">
        <v>35</v>
      </c>
      <c r="J2077" t="s">
        <v>7974</v>
      </c>
      <c r="K2077">
        <v>18</v>
      </c>
      <c r="L2077" t="s">
        <v>49</v>
      </c>
      <c r="M2077" t="s">
        <v>26</v>
      </c>
      <c r="N2077" t="s">
        <v>39</v>
      </c>
      <c r="O2077" t="s">
        <v>28</v>
      </c>
      <c r="P2077" t="s">
        <v>31</v>
      </c>
      <c r="Q2077">
        <v>0</v>
      </c>
      <c r="R2077" t="s">
        <v>12883</v>
      </c>
      <c r="S2077" t="s">
        <v>12892</v>
      </c>
    </row>
    <row r="2078" spans="1:19" x14ac:dyDescent="0.25">
      <c r="A2078" t="s">
        <v>6205</v>
      </c>
      <c r="B2078" s="1">
        <v>45884</v>
      </c>
      <c r="C2078" t="s">
        <v>12893</v>
      </c>
      <c r="D2078" s="5">
        <v>0.66571759259259256</v>
      </c>
      <c r="E2078">
        <v>47.13</v>
      </c>
      <c r="F2078" t="s">
        <v>44</v>
      </c>
      <c r="G2078" t="s">
        <v>4518</v>
      </c>
      <c r="H2078" t="s">
        <v>22</v>
      </c>
      <c r="I2078" t="s">
        <v>47</v>
      </c>
      <c r="J2078" t="s">
        <v>6206</v>
      </c>
      <c r="K2078">
        <v>20</v>
      </c>
      <c r="L2078" t="s">
        <v>37</v>
      </c>
      <c r="M2078" t="s">
        <v>58</v>
      </c>
      <c r="N2078" t="s">
        <v>112</v>
      </c>
      <c r="O2078" t="s">
        <v>28</v>
      </c>
      <c r="P2078" t="s">
        <v>31</v>
      </c>
      <c r="Q2078">
        <v>0</v>
      </c>
      <c r="R2078" t="s">
        <v>12883</v>
      </c>
      <c r="S2078" t="s">
        <v>12892</v>
      </c>
    </row>
    <row r="2079" spans="1:19" x14ac:dyDescent="0.25">
      <c r="A2079" t="s">
        <v>7620</v>
      </c>
      <c r="B2079" s="1">
        <v>45872</v>
      </c>
      <c r="C2079" t="s">
        <v>12893</v>
      </c>
      <c r="D2079" s="5">
        <v>8.1087962962962959E-2</v>
      </c>
      <c r="E2079">
        <v>47.04</v>
      </c>
      <c r="F2079" t="s">
        <v>44</v>
      </c>
      <c r="G2079" t="s">
        <v>2918</v>
      </c>
      <c r="H2079" t="s">
        <v>22</v>
      </c>
      <c r="I2079" t="s">
        <v>119</v>
      </c>
      <c r="J2079" t="s">
        <v>7621</v>
      </c>
      <c r="K2079">
        <v>44</v>
      </c>
      <c r="L2079" t="s">
        <v>49</v>
      </c>
      <c r="M2079" t="s">
        <v>23</v>
      </c>
      <c r="N2079" t="s">
        <v>51</v>
      </c>
      <c r="O2079" t="s">
        <v>28</v>
      </c>
      <c r="P2079" t="s">
        <v>31</v>
      </c>
      <c r="Q2079">
        <v>0</v>
      </c>
      <c r="R2079" t="s">
        <v>12883</v>
      </c>
      <c r="S2079" t="s">
        <v>12886</v>
      </c>
    </row>
    <row r="2080" spans="1:19" x14ac:dyDescent="0.25">
      <c r="A2080" t="s">
        <v>8246</v>
      </c>
      <c r="B2080" s="1">
        <v>45791</v>
      </c>
      <c r="C2080" t="s">
        <v>12887</v>
      </c>
      <c r="D2080" s="5">
        <v>0.88568287037037041</v>
      </c>
      <c r="E2080">
        <v>46.95</v>
      </c>
      <c r="F2080" t="s">
        <v>44</v>
      </c>
      <c r="G2080" t="s">
        <v>8247</v>
      </c>
      <c r="H2080" t="s">
        <v>71</v>
      </c>
      <c r="I2080" t="s">
        <v>97</v>
      </c>
      <c r="J2080" t="s">
        <v>8248</v>
      </c>
      <c r="K2080">
        <v>29</v>
      </c>
      <c r="L2080" t="s">
        <v>49</v>
      </c>
      <c r="M2080" t="s">
        <v>23</v>
      </c>
      <c r="N2080" t="s">
        <v>39</v>
      </c>
      <c r="O2080" t="s">
        <v>28</v>
      </c>
      <c r="P2080" t="s">
        <v>31</v>
      </c>
      <c r="Q2080">
        <v>0</v>
      </c>
      <c r="R2080" t="s">
        <v>12883</v>
      </c>
      <c r="S2080" t="s">
        <v>12889</v>
      </c>
    </row>
    <row r="2081" spans="1:19" x14ac:dyDescent="0.25">
      <c r="A2081" t="s">
        <v>327</v>
      </c>
      <c r="B2081" s="1">
        <v>45873</v>
      </c>
      <c r="C2081" t="s">
        <v>12893</v>
      </c>
      <c r="D2081" s="5">
        <v>0.47689814814814813</v>
      </c>
      <c r="E2081">
        <v>46.87</v>
      </c>
      <c r="F2081" t="s">
        <v>44</v>
      </c>
      <c r="G2081" t="s">
        <v>328</v>
      </c>
      <c r="H2081" t="s">
        <v>57</v>
      </c>
      <c r="I2081" t="s">
        <v>97</v>
      </c>
      <c r="J2081" t="s">
        <v>329</v>
      </c>
      <c r="K2081">
        <v>73</v>
      </c>
      <c r="L2081" t="s">
        <v>25</v>
      </c>
      <c r="M2081" t="s">
        <v>146</v>
      </c>
      <c r="N2081" t="s">
        <v>39</v>
      </c>
      <c r="O2081" t="s">
        <v>28</v>
      </c>
      <c r="P2081" t="s">
        <v>31</v>
      </c>
      <c r="Q2081">
        <v>0</v>
      </c>
      <c r="R2081" t="s">
        <v>12883</v>
      </c>
      <c r="S2081" t="s">
        <v>12884</v>
      </c>
    </row>
    <row r="2082" spans="1:19" x14ac:dyDescent="0.25">
      <c r="A2082" t="s">
        <v>10603</v>
      </c>
      <c r="B2082" s="1">
        <v>45890</v>
      </c>
      <c r="C2082" t="s">
        <v>12893</v>
      </c>
      <c r="D2082" s="5">
        <v>0.74509259259259264</v>
      </c>
      <c r="E2082">
        <v>46.73</v>
      </c>
      <c r="F2082" t="s">
        <v>44</v>
      </c>
      <c r="G2082" t="s">
        <v>5201</v>
      </c>
      <c r="H2082" t="s">
        <v>124</v>
      </c>
      <c r="I2082" t="s">
        <v>38</v>
      </c>
      <c r="J2082" t="s">
        <v>10604</v>
      </c>
      <c r="K2082">
        <v>34</v>
      </c>
      <c r="L2082" t="s">
        <v>49</v>
      </c>
      <c r="M2082" t="s">
        <v>248</v>
      </c>
      <c r="N2082" t="s">
        <v>39</v>
      </c>
      <c r="O2082" t="s">
        <v>28</v>
      </c>
      <c r="P2082" t="s">
        <v>31</v>
      </c>
      <c r="Q2082">
        <v>0</v>
      </c>
      <c r="R2082" t="s">
        <v>12883</v>
      </c>
      <c r="S2082" t="s">
        <v>12889</v>
      </c>
    </row>
    <row r="2083" spans="1:19" x14ac:dyDescent="0.25">
      <c r="A2083" t="s">
        <v>858</v>
      </c>
      <c r="B2083" s="1">
        <v>45846</v>
      </c>
      <c r="C2083" t="s">
        <v>12885</v>
      </c>
      <c r="D2083" s="5">
        <v>0.61660879629629628</v>
      </c>
      <c r="E2083">
        <v>46.64</v>
      </c>
      <c r="F2083" t="s">
        <v>44</v>
      </c>
      <c r="G2083" t="s">
        <v>673</v>
      </c>
      <c r="H2083" t="s">
        <v>57</v>
      </c>
      <c r="I2083" t="s">
        <v>248</v>
      </c>
      <c r="J2083" t="s">
        <v>859</v>
      </c>
      <c r="K2083">
        <v>51</v>
      </c>
      <c r="L2083" t="s">
        <v>25</v>
      </c>
      <c r="M2083" t="s">
        <v>26</v>
      </c>
      <c r="N2083" t="s">
        <v>105</v>
      </c>
      <c r="O2083" t="s">
        <v>28</v>
      </c>
      <c r="P2083" t="s">
        <v>31</v>
      </c>
      <c r="Q2083">
        <v>0</v>
      </c>
      <c r="R2083" t="s">
        <v>12883</v>
      </c>
      <c r="S2083" t="s">
        <v>12886</v>
      </c>
    </row>
    <row r="2084" spans="1:19" x14ac:dyDescent="0.25">
      <c r="A2084" t="s">
        <v>11115</v>
      </c>
      <c r="B2084" s="1">
        <v>45846</v>
      </c>
      <c r="C2084" t="s">
        <v>12885</v>
      </c>
      <c r="D2084" s="5">
        <v>0.68789351851851854</v>
      </c>
      <c r="E2084">
        <v>46.41</v>
      </c>
      <c r="F2084" t="s">
        <v>44</v>
      </c>
      <c r="G2084" t="s">
        <v>2200</v>
      </c>
      <c r="H2084" t="s">
        <v>34</v>
      </c>
      <c r="I2084" t="s">
        <v>26</v>
      </c>
      <c r="J2084" t="s">
        <v>11116</v>
      </c>
      <c r="K2084">
        <v>45</v>
      </c>
      <c r="L2084" t="s">
        <v>49</v>
      </c>
      <c r="M2084" t="s">
        <v>47</v>
      </c>
      <c r="N2084" t="s">
        <v>112</v>
      </c>
      <c r="O2084" t="s">
        <v>28</v>
      </c>
      <c r="P2084" t="s">
        <v>31</v>
      </c>
      <c r="Q2084">
        <v>0</v>
      </c>
      <c r="R2084" t="s">
        <v>12883</v>
      </c>
      <c r="S2084" t="s">
        <v>12886</v>
      </c>
    </row>
    <row r="2085" spans="1:19" x14ac:dyDescent="0.25">
      <c r="A2085" t="s">
        <v>10693</v>
      </c>
      <c r="B2085" s="1">
        <v>45827</v>
      </c>
      <c r="C2085" t="s">
        <v>12888</v>
      </c>
      <c r="D2085" s="5">
        <v>0.10655092592592592</v>
      </c>
      <c r="E2085">
        <v>46.36</v>
      </c>
      <c r="F2085" t="s">
        <v>44</v>
      </c>
      <c r="G2085" t="s">
        <v>2144</v>
      </c>
      <c r="H2085" t="s">
        <v>57</v>
      </c>
      <c r="I2085" t="s">
        <v>248</v>
      </c>
      <c r="J2085" t="s">
        <v>10694</v>
      </c>
      <c r="K2085">
        <v>46</v>
      </c>
      <c r="L2085" t="s">
        <v>37</v>
      </c>
      <c r="M2085" t="s">
        <v>58</v>
      </c>
      <c r="N2085" t="s">
        <v>51</v>
      </c>
      <c r="O2085" t="s">
        <v>28</v>
      </c>
      <c r="P2085" t="s">
        <v>31</v>
      </c>
      <c r="Q2085">
        <v>0</v>
      </c>
      <c r="R2085" t="s">
        <v>12883</v>
      </c>
      <c r="S2085" t="s">
        <v>12886</v>
      </c>
    </row>
    <row r="2086" spans="1:19" x14ac:dyDescent="0.25">
      <c r="A2086" t="s">
        <v>667</v>
      </c>
      <c r="B2086" s="1">
        <v>45827</v>
      </c>
      <c r="C2086" t="s">
        <v>12888</v>
      </c>
      <c r="D2086" s="5">
        <v>0.39605324074074072</v>
      </c>
      <c r="E2086">
        <v>46.19</v>
      </c>
      <c r="F2086" t="s">
        <v>44</v>
      </c>
      <c r="G2086" t="s">
        <v>668</v>
      </c>
      <c r="H2086" t="s">
        <v>46</v>
      </c>
      <c r="I2086" t="s">
        <v>47</v>
      </c>
      <c r="J2086" t="s">
        <v>669</v>
      </c>
      <c r="K2086">
        <v>26</v>
      </c>
      <c r="L2086" t="s">
        <v>25</v>
      </c>
      <c r="M2086" t="s">
        <v>110</v>
      </c>
      <c r="N2086" t="s">
        <v>105</v>
      </c>
      <c r="O2086" t="s">
        <v>28</v>
      </c>
      <c r="P2086" t="s">
        <v>31</v>
      </c>
      <c r="Q2086">
        <v>1</v>
      </c>
      <c r="R2086" t="s">
        <v>12891</v>
      </c>
      <c r="S2086" t="s">
        <v>12889</v>
      </c>
    </row>
    <row r="2087" spans="1:19" x14ac:dyDescent="0.25">
      <c r="A2087" t="s">
        <v>6459</v>
      </c>
      <c r="B2087" s="1">
        <v>45844</v>
      </c>
      <c r="C2087" t="s">
        <v>12885</v>
      </c>
      <c r="D2087" s="5">
        <v>0.69221064814814814</v>
      </c>
      <c r="E2087">
        <v>46.1</v>
      </c>
      <c r="F2087" t="s">
        <v>44</v>
      </c>
      <c r="G2087" t="s">
        <v>4683</v>
      </c>
      <c r="H2087" t="s">
        <v>96</v>
      </c>
      <c r="I2087" t="s">
        <v>130</v>
      </c>
      <c r="J2087" t="s">
        <v>6460</v>
      </c>
      <c r="K2087">
        <v>55</v>
      </c>
      <c r="L2087" t="s">
        <v>49</v>
      </c>
      <c r="M2087" t="s">
        <v>146</v>
      </c>
      <c r="N2087" t="s">
        <v>39</v>
      </c>
      <c r="O2087" t="s">
        <v>28</v>
      </c>
      <c r="P2087" t="s">
        <v>31</v>
      </c>
      <c r="Q2087">
        <v>0</v>
      </c>
      <c r="R2087" t="s">
        <v>12883</v>
      </c>
      <c r="S2087" t="s">
        <v>12886</v>
      </c>
    </row>
    <row r="2088" spans="1:19" x14ac:dyDescent="0.25">
      <c r="A2088" t="s">
        <v>4359</v>
      </c>
      <c r="B2088" s="1">
        <v>45868</v>
      </c>
      <c r="C2088" t="s">
        <v>12885</v>
      </c>
      <c r="D2088" s="5">
        <v>0.63215277777777779</v>
      </c>
      <c r="E2088">
        <v>46.02</v>
      </c>
      <c r="F2088" t="s">
        <v>44</v>
      </c>
      <c r="G2088" t="s">
        <v>2707</v>
      </c>
      <c r="H2088" t="s">
        <v>22</v>
      </c>
      <c r="I2088" t="s">
        <v>91</v>
      </c>
      <c r="J2088" t="s">
        <v>4360</v>
      </c>
      <c r="K2088">
        <v>69</v>
      </c>
      <c r="L2088" t="s">
        <v>37</v>
      </c>
      <c r="M2088" t="s">
        <v>91</v>
      </c>
      <c r="N2088" t="s">
        <v>39</v>
      </c>
      <c r="O2088" t="s">
        <v>113</v>
      </c>
      <c r="P2088" t="s">
        <v>31</v>
      </c>
      <c r="Q2088">
        <v>0</v>
      </c>
      <c r="R2088" t="s">
        <v>12883</v>
      </c>
      <c r="S2088" t="s">
        <v>12884</v>
      </c>
    </row>
    <row r="2089" spans="1:19" x14ac:dyDescent="0.25">
      <c r="A2089" t="s">
        <v>3685</v>
      </c>
      <c r="B2089" s="1">
        <v>45841</v>
      </c>
      <c r="C2089" t="s">
        <v>12885</v>
      </c>
      <c r="D2089" s="5">
        <v>0.43945601851851851</v>
      </c>
      <c r="E2089">
        <v>45.93</v>
      </c>
      <c r="F2089" t="s">
        <v>44</v>
      </c>
      <c r="G2089" t="s">
        <v>3686</v>
      </c>
      <c r="H2089" t="s">
        <v>57</v>
      </c>
      <c r="I2089" t="s">
        <v>66</v>
      </c>
      <c r="J2089" t="s">
        <v>3687</v>
      </c>
      <c r="K2089">
        <v>55</v>
      </c>
      <c r="L2089" t="s">
        <v>37</v>
      </c>
      <c r="M2089" t="s">
        <v>119</v>
      </c>
      <c r="N2089" t="s">
        <v>51</v>
      </c>
      <c r="O2089" t="s">
        <v>28</v>
      </c>
      <c r="P2089" t="s">
        <v>31</v>
      </c>
      <c r="Q2089">
        <v>0</v>
      </c>
      <c r="R2089" t="s">
        <v>12883</v>
      </c>
      <c r="S2089" t="s">
        <v>12886</v>
      </c>
    </row>
    <row r="2090" spans="1:19" x14ac:dyDescent="0.25">
      <c r="A2090" t="s">
        <v>1494</v>
      </c>
      <c r="B2090" s="1">
        <v>45923</v>
      </c>
      <c r="C2090" t="s">
        <v>12882</v>
      </c>
      <c r="D2090" s="5">
        <v>0.18114583333333334</v>
      </c>
      <c r="E2090">
        <v>45.91</v>
      </c>
      <c r="F2090" t="s">
        <v>44</v>
      </c>
      <c r="G2090" t="s">
        <v>486</v>
      </c>
      <c r="H2090" t="s">
        <v>96</v>
      </c>
      <c r="I2090" t="s">
        <v>47</v>
      </c>
      <c r="J2090" t="s">
        <v>1495</v>
      </c>
      <c r="K2090">
        <v>63</v>
      </c>
      <c r="L2090" t="s">
        <v>25</v>
      </c>
      <c r="M2090" t="s">
        <v>23</v>
      </c>
      <c r="N2090" t="s">
        <v>39</v>
      </c>
      <c r="O2090" t="s">
        <v>28</v>
      </c>
      <c r="P2090" t="s">
        <v>31</v>
      </c>
      <c r="Q2090">
        <v>0</v>
      </c>
      <c r="R2090" t="s">
        <v>12883</v>
      </c>
      <c r="S2090" t="s">
        <v>12884</v>
      </c>
    </row>
    <row r="2091" spans="1:19" x14ac:dyDescent="0.25">
      <c r="A2091" t="s">
        <v>2307</v>
      </c>
      <c r="B2091" s="1">
        <v>45814</v>
      </c>
      <c r="C2091" t="s">
        <v>12888</v>
      </c>
      <c r="D2091" s="5">
        <v>0.32211805555555556</v>
      </c>
      <c r="E2091">
        <v>45.82</v>
      </c>
      <c r="F2091" t="s">
        <v>44</v>
      </c>
      <c r="G2091" t="s">
        <v>2308</v>
      </c>
      <c r="H2091" t="s">
        <v>71</v>
      </c>
      <c r="I2091" t="s">
        <v>66</v>
      </c>
      <c r="J2091" t="s">
        <v>2309</v>
      </c>
      <c r="K2091">
        <v>53</v>
      </c>
      <c r="L2091" t="s">
        <v>25</v>
      </c>
      <c r="M2091" t="s">
        <v>97</v>
      </c>
      <c r="N2091" t="s">
        <v>105</v>
      </c>
      <c r="O2091" t="s">
        <v>28</v>
      </c>
      <c r="P2091" t="s">
        <v>31</v>
      </c>
      <c r="Q2091">
        <v>0</v>
      </c>
      <c r="R2091" t="s">
        <v>12883</v>
      </c>
      <c r="S2091" t="s">
        <v>12886</v>
      </c>
    </row>
    <row r="2092" spans="1:19" x14ac:dyDescent="0.25">
      <c r="A2092" t="s">
        <v>12506</v>
      </c>
      <c r="B2092" s="1">
        <v>45852</v>
      </c>
      <c r="C2092" t="s">
        <v>12885</v>
      </c>
      <c r="D2092" s="5">
        <v>0.28439814814814812</v>
      </c>
      <c r="E2092">
        <v>45.76</v>
      </c>
      <c r="F2092" t="s">
        <v>44</v>
      </c>
      <c r="G2092" t="s">
        <v>787</v>
      </c>
      <c r="H2092" t="s">
        <v>34</v>
      </c>
      <c r="I2092" t="s">
        <v>38</v>
      </c>
      <c r="J2092" t="s">
        <v>12507</v>
      </c>
      <c r="K2092">
        <v>27</v>
      </c>
      <c r="L2092" t="s">
        <v>49</v>
      </c>
      <c r="M2092" t="s">
        <v>35</v>
      </c>
      <c r="N2092" t="s">
        <v>112</v>
      </c>
      <c r="O2092" t="s">
        <v>28</v>
      </c>
      <c r="P2092" t="s">
        <v>31</v>
      </c>
      <c r="Q2092">
        <v>0</v>
      </c>
      <c r="R2092" t="s">
        <v>12883</v>
      </c>
      <c r="S2092" t="s">
        <v>12889</v>
      </c>
    </row>
    <row r="2093" spans="1:19" x14ac:dyDescent="0.25">
      <c r="A2093" t="s">
        <v>5363</v>
      </c>
      <c r="B2093" s="1">
        <v>45833</v>
      </c>
      <c r="C2093" t="s">
        <v>12888</v>
      </c>
      <c r="D2093" s="5">
        <v>0.93216435185185187</v>
      </c>
      <c r="E2093">
        <v>45.54</v>
      </c>
      <c r="F2093" t="s">
        <v>44</v>
      </c>
      <c r="G2093" t="s">
        <v>5129</v>
      </c>
      <c r="H2093" t="s">
        <v>124</v>
      </c>
      <c r="I2093" t="s">
        <v>110</v>
      </c>
      <c r="J2093" t="s">
        <v>5364</v>
      </c>
      <c r="K2093">
        <v>62</v>
      </c>
      <c r="L2093" t="s">
        <v>25</v>
      </c>
      <c r="M2093" t="s">
        <v>50</v>
      </c>
      <c r="N2093" t="s">
        <v>39</v>
      </c>
      <c r="O2093" t="s">
        <v>28</v>
      </c>
      <c r="P2093" t="s">
        <v>31</v>
      </c>
      <c r="Q2093">
        <v>0</v>
      </c>
      <c r="R2093" t="s">
        <v>12883</v>
      </c>
      <c r="S2093" t="s">
        <v>12884</v>
      </c>
    </row>
    <row r="2094" spans="1:19" x14ac:dyDescent="0.25">
      <c r="A2094" t="s">
        <v>11257</v>
      </c>
      <c r="B2094" s="1">
        <v>45820</v>
      </c>
      <c r="C2094" t="s">
        <v>12888</v>
      </c>
      <c r="D2094" s="5">
        <v>0.19255787037037037</v>
      </c>
      <c r="E2094">
        <v>45.53</v>
      </c>
      <c r="F2094" t="s">
        <v>44</v>
      </c>
      <c r="G2094" t="s">
        <v>3238</v>
      </c>
      <c r="H2094" t="s">
        <v>96</v>
      </c>
      <c r="I2094" t="s">
        <v>38</v>
      </c>
      <c r="J2094" t="s">
        <v>11258</v>
      </c>
      <c r="K2094">
        <v>50</v>
      </c>
      <c r="L2094" t="s">
        <v>49</v>
      </c>
      <c r="M2094" t="s">
        <v>248</v>
      </c>
      <c r="N2094" t="s">
        <v>27</v>
      </c>
      <c r="O2094" t="s">
        <v>28</v>
      </c>
      <c r="P2094" t="s">
        <v>31</v>
      </c>
      <c r="Q2094">
        <v>0</v>
      </c>
      <c r="R2094" t="s">
        <v>12883</v>
      </c>
      <c r="S2094" t="s">
        <v>12886</v>
      </c>
    </row>
    <row r="2095" spans="1:19" x14ac:dyDescent="0.25">
      <c r="A2095" t="s">
        <v>10141</v>
      </c>
      <c r="B2095" s="1">
        <v>45905</v>
      </c>
      <c r="C2095" t="s">
        <v>12882</v>
      </c>
      <c r="D2095" s="5">
        <v>0.45372685185185185</v>
      </c>
      <c r="E2095">
        <v>45.5</v>
      </c>
      <c r="F2095" t="s">
        <v>44</v>
      </c>
      <c r="G2095" t="s">
        <v>10142</v>
      </c>
      <c r="H2095" t="s">
        <v>57</v>
      </c>
      <c r="I2095" t="s">
        <v>26</v>
      </c>
      <c r="J2095" t="s">
        <v>10143</v>
      </c>
      <c r="K2095">
        <v>58</v>
      </c>
      <c r="L2095" t="s">
        <v>37</v>
      </c>
      <c r="M2095" t="s">
        <v>58</v>
      </c>
      <c r="N2095" t="s">
        <v>27</v>
      </c>
      <c r="O2095" t="s">
        <v>28</v>
      </c>
      <c r="P2095" t="s">
        <v>31</v>
      </c>
      <c r="Q2095">
        <v>0</v>
      </c>
      <c r="R2095" t="s">
        <v>12883</v>
      </c>
      <c r="S2095" t="s">
        <v>12886</v>
      </c>
    </row>
    <row r="2096" spans="1:19" x14ac:dyDescent="0.25">
      <c r="A2096" t="s">
        <v>7645</v>
      </c>
      <c r="B2096" s="1">
        <v>45952</v>
      </c>
      <c r="C2096" t="s">
        <v>12890</v>
      </c>
      <c r="D2096" s="5">
        <v>0.46703703703703703</v>
      </c>
      <c r="E2096">
        <v>45.2</v>
      </c>
      <c r="F2096" t="s">
        <v>44</v>
      </c>
      <c r="G2096" t="s">
        <v>4509</v>
      </c>
      <c r="H2096" t="s">
        <v>96</v>
      </c>
      <c r="I2096" t="s">
        <v>50</v>
      </c>
      <c r="J2096" t="s">
        <v>7646</v>
      </c>
      <c r="K2096">
        <v>23</v>
      </c>
      <c r="L2096" t="s">
        <v>37</v>
      </c>
      <c r="M2096" t="s">
        <v>66</v>
      </c>
      <c r="N2096" t="s">
        <v>51</v>
      </c>
      <c r="O2096" t="s">
        <v>28</v>
      </c>
      <c r="P2096" t="s">
        <v>31</v>
      </c>
      <c r="Q2096">
        <v>0</v>
      </c>
      <c r="R2096" t="s">
        <v>12883</v>
      </c>
      <c r="S2096" t="s">
        <v>12892</v>
      </c>
    </row>
    <row r="2097" spans="1:19" x14ac:dyDescent="0.25">
      <c r="A2097" t="s">
        <v>2167</v>
      </c>
      <c r="B2097" s="1">
        <v>45872</v>
      </c>
      <c r="C2097" t="s">
        <v>12893</v>
      </c>
      <c r="D2097" s="5">
        <v>0.97746527777777781</v>
      </c>
      <c r="E2097">
        <v>44.98</v>
      </c>
      <c r="F2097" t="s">
        <v>44</v>
      </c>
      <c r="G2097" t="s">
        <v>302</v>
      </c>
      <c r="H2097" t="s">
        <v>96</v>
      </c>
      <c r="I2097" t="s">
        <v>91</v>
      </c>
      <c r="J2097" t="s">
        <v>2168</v>
      </c>
      <c r="K2097">
        <v>64</v>
      </c>
      <c r="L2097" t="s">
        <v>49</v>
      </c>
      <c r="M2097" t="s">
        <v>26</v>
      </c>
      <c r="N2097" t="s">
        <v>27</v>
      </c>
      <c r="O2097" t="s">
        <v>28</v>
      </c>
      <c r="P2097" t="s">
        <v>31</v>
      </c>
      <c r="Q2097">
        <v>0</v>
      </c>
      <c r="R2097" t="s">
        <v>12883</v>
      </c>
      <c r="S2097" t="s">
        <v>12884</v>
      </c>
    </row>
    <row r="2098" spans="1:19" x14ac:dyDescent="0.25">
      <c r="A2098" t="s">
        <v>10934</v>
      </c>
      <c r="B2098" s="1">
        <v>45879</v>
      </c>
      <c r="C2098" t="s">
        <v>12893</v>
      </c>
      <c r="D2098" s="5">
        <v>4.4409722222222225E-2</v>
      </c>
      <c r="E2098">
        <v>44.9</v>
      </c>
      <c r="F2098" t="s">
        <v>44</v>
      </c>
      <c r="G2098" t="s">
        <v>2635</v>
      </c>
      <c r="H2098" t="s">
        <v>46</v>
      </c>
      <c r="I2098" t="s">
        <v>130</v>
      </c>
      <c r="J2098" t="s">
        <v>10935</v>
      </c>
      <c r="K2098">
        <v>39</v>
      </c>
      <c r="L2098" t="s">
        <v>49</v>
      </c>
      <c r="M2098" t="s">
        <v>248</v>
      </c>
      <c r="N2098" t="s">
        <v>105</v>
      </c>
      <c r="O2098" t="s">
        <v>28</v>
      </c>
      <c r="P2098" t="s">
        <v>31</v>
      </c>
      <c r="Q2098">
        <v>0</v>
      </c>
      <c r="R2098" t="s">
        <v>12883</v>
      </c>
      <c r="S2098" t="s">
        <v>12889</v>
      </c>
    </row>
    <row r="2099" spans="1:19" x14ac:dyDescent="0.25">
      <c r="A2099" t="s">
        <v>1547</v>
      </c>
      <c r="B2099" s="1">
        <v>45884</v>
      </c>
      <c r="C2099" t="s">
        <v>12893</v>
      </c>
      <c r="D2099" s="5">
        <v>0.58381944444444445</v>
      </c>
      <c r="E2099">
        <v>44.75</v>
      </c>
      <c r="F2099" t="s">
        <v>44</v>
      </c>
      <c r="G2099" t="s">
        <v>1548</v>
      </c>
      <c r="H2099" t="s">
        <v>34</v>
      </c>
      <c r="I2099" t="s">
        <v>38</v>
      </c>
      <c r="J2099" t="s">
        <v>1549</v>
      </c>
      <c r="K2099">
        <v>75</v>
      </c>
      <c r="L2099" t="s">
        <v>49</v>
      </c>
      <c r="M2099" t="s">
        <v>26</v>
      </c>
      <c r="N2099" t="s">
        <v>39</v>
      </c>
      <c r="O2099" t="s">
        <v>28</v>
      </c>
      <c r="P2099" t="s">
        <v>31</v>
      </c>
      <c r="Q2099">
        <v>0</v>
      </c>
      <c r="R2099" t="s">
        <v>12883</v>
      </c>
      <c r="S2099" t="s">
        <v>12884</v>
      </c>
    </row>
    <row r="2100" spans="1:19" x14ac:dyDescent="0.25">
      <c r="A2100" t="s">
        <v>2074</v>
      </c>
      <c r="B2100" s="1">
        <v>45805</v>
      </c>
      <c r="C2100" t="s">
        <v>12887</v>
      </c>
      <c r="D2100" s="5">
        <v>0.14342592592592593</v>
      </c>
      <c r="E2100">
        <v>44.7</v>
      </c>
      <c r="F2100" t="s">
        <v>44</v>
      </c>
      <c r="G2100" t="s">
        <v>2075</v>
      </c>
      <c r="H2100" t="s">
        <v>89</v>
      </c>
      <c r="I2100" t="s">
        <v>248</v>
      </c>
      <c r="J2100" t="s">
        <v>2076</v>
      </c>
      <c r="K2100">
        <v>57</v>
      </c>
      <c r="L2100" t="s">
        <v>37</v>
      </c>
      <c r="M2100" t="s">
        <v>119</v>
      </c>
      <c r="N2100" t="s">
        <v>39</v>
      </c>
      <c r="O2100" t="s">
        <v>28</v>
      </c>
      <c r="P2100" t="s">
        <v>31</v>
      </c>
      <c r="Q2100">
        <v>0</v>
      </c>
      <c r="R2100" t="s">
        <v>12883</v>
      </c>
      <c r="S2100" t="s">
        <v>12886</v>
      </c>
    </row>
    <row r="2101" spans="1:19" x14ac:dyDescent="0.25">
      <c r="A2101" t="s">
        <v>818</v>
      </c>
      <c r="B2101" s="1">
        <v>45868</v>
      </c>
      <c r="C2101" t="s">
        <v>12885</v>
      </c>
      <c r="D2101" s="5">
        <v>0.96240740740740738</v>
      </c>
      <c r="E2101">
        <v>44.45</v>
      </c>
      <c r="F2101" t="s">
        <v>44</v>
      </c>
      <c r="G2101" t="s">
        <v>819</v>
      </c>
      <c r="H2101" t="s">
        <v>71</v>
      </c>
      <c r="I2101" t="s">
        <v>119</v>
      </c>
      <c r="J2101" t="s">
        <v>820</v>
      </c>
      <c r="K2101">
        <v>42</v>
      </c>
      <c r="L2101" t="s">
        <v>49</v>
      </c>
      <c r="M2101" t="s">
        <v>35</v>
      </c>
      <c r="N2101" t="s">
        <v>112</v>
      </c>
      <c r="O2101" t="s">
        <v>28</v>
      </c>
      <c r="P2101" t="s">
        <v>31</v>
      </c>
      <c r="Q2101">
        <v>0</v>
      </c>
      <c r="R2101" t="s">
        <v>12883</v>
      </c>
      <c r="S2101" t="s">
        <v>12886</v>
      </c>
    </row>
    <row r="2102" spans="1:19" x14ac:dyDescent="0.25">
      <c r="A2102" t="s">
        <v>3012</v>
      </c>
      <c r="B2102" s="1">
        <v>45830</v>
      </c>
      <c r="C2102" t="s">
        <v>12888</v>
      </c>
      <c r="D2102" s="5">
        <v>0.28694444444444445</v>
      </c>
      <c r="E2102">
        <v>44.42</v>
      </c>
      <c r="F2102" t="s">
        <v>44</v>
      </c>
      <c r="G2102" t="s">
        <v>678</v>
      </c>
      <c r="H2102" t="s">
        <v>77</v>
      </c>
      <c r="I2102" t="s">
        <v>35</v>
      </c>
      <c r="J2102" t="s">
        <v>3013</v>
      </c>
      <c r="K2102">
        <v>54</v>
      </c>
      <c r="L2102" t="s">
        <v>25</v>
      </c>
      <c r="M2102" t="s">
        <v>146</v>
      </c>
      <c r="N2102" t="s">
        <v>84</v>
      </c>
      <c r="O2102" t="s">
        <v>28</v>
      </c>
      <c r="P2102" t="s">
        <v>31</v>
      </c>
      <c r="Q2102">
        <v>0</v>
      </c>
      <c r="R2102" t="s">
        <v>12883</v>
      </c>
      <c r="S2102" t="s">
        <v>12886</v>
      </c>
    </row>
    <row r="2103" spans="1:19" x14ac:dyDescent="0.25">
      <c r="A2103" t="s">
        <v>5049</v>
      </c>
      <c r="B2103" s="1">
        <v>45810</v>
      </c>
      <c r="C2103" t="s">
        <v>12888</v>
      </c>
      <c r="D2103" s="5">
        <v>0.24201388888888889</v>
      </c>
      <c r="E2103">
        <v>44.33</v>
      </c>
      <c r="F2103" t="s">
        <v>44</v>
      </c>
      <c r="G2103" t="s">
        <v>5050</v>
      </c>
      <c r="H2103" t="s">
        <v>96</v>
      </c>
      <c r="I2103" t="s">
        <v>38</v>
      </c>
      <c r="J2103" t="s">
        <v>48</v>
      </c>
      <c r="K2103">
        <v>58</v>
      </c>
      <c r="L2103" t="s">
        <v>49</v>
      </c>
      <c r="M2103" t="s">
        <v>110</v>
      </c>
      <c r="N2103" t="s">
        <v>105</v>
      </c>
      <c r="O2103" t="s">
        <v>28</v>
      </c>
      <c r="P2103" t="s">
        <v>31</v>
      </c>
      <c r="Q2103">
        <v>0</v>
      </c>
      <c r="R2103" t="s">
        <v>12883</v>
      </c>
      <c r="S2103" t="s">
        <v>12886</v>
      </c>
    </row>
    <row r="2104" spans="1:19" x14ac:dyDescent="0.25">
      <c r="A2104" t="s">
        <v>7883</v>
      </c>
      <c r="B2104" s="1">
        <v>45841</v>
      </c>
      <c r="C2104" t="s">
        <v>12885</v>
      </c>
      <c r="D2104" s="5">
        <v>0.21541666666666667</v>
      </c>
      <c r="E2104">
        <v>44.33</v>
      </c>
      <c r="F2104" t="s">
        <v>44</v>
      </c>
      <c r="G2104" t="s">
        <v>1757</v>
      </c>
      <c r="H2104" t="s">
        <v>77</v>
      </c>
      <c r="I2104" t="s">
        <v>146</v>
      </c>
      <c r="J2104" t="s">
        <v>7884</v>
      </c>
      <c r="K2104">
        <v>52</v>
      </c>
      <c r="L2104" t="s">
        <v>49</v>
      </c>
      <c r="M2104" t="s">
        <v>97</v>
      </c>
      <c r="N2104" t="s">
        <v>51</v>
      </c>
      <c r="O2104" t="s">
        <v>28</v>
      </c>
      <c r="P2104" t="s">
        <v>31</v>
      </c>
      <c r="Q2104">
        <v>0</v>
      </c>
      <c r="R2104" t="s">
        <v>12883</v>
      </c>
      <c r="S2104" t="s">
        <v>12886</v>
      </c>
    </row>
    <row r="2105" spans="1:19" x14ac:dyDescent="0.25">
      <c r="A2105" t="s">
        <v>5852</v>
      </c>
      <c r="B2105" s="1">
        <v>45939</v>
      </c>
      <c r="C2105" t="s">
        <v>12890</v>
      </c>
      <c r="D2105" s="5">
        <v>0.5534027777777778</v>
      </c>
      <c r="E2105">
        <v>44.32</v>
      </c>
      <c r="F2105" t="s">
        <v>44</v>
      </c>
      <c r="G2105" t="s">
        <v>5853</v>
      </c>
      <c r="H2105" t="s">
        <v>96</v>
      </c>
      <c r="I2105" t="s">
        <v>110</v>
      </c>
      <c r="J2105" t="s">
        <v>5854</v>
      </c>
      <c r="K2105">
        <v>40</v>
      </c>
      <c r="L2105" t="s">
        <v>49</v>
      </c>
      <c r="M2105" t="s">
        <v>91</v>
      </c>
      <c r="N2105" t="s">
        <v>27</v>
      </c>
      <c r="O2105" t="s">
        <v>28</v>
      </c>
      <c r="P2105" t="s">
        <v>31</v>
      </c>
      <c r="Q2105">
        <v>0</v>
      </c>
      <c r="R2105" t="s">
        <v>12883</v>
      </c>
      <c r="S2105" t="s">
        <v>12886</v>
      </c>
    </row>
    <row r="2106" spans="1:19" x14ac:dyDescent="0.25">
      <c r="A2106" t="s">
        <v>1587</v>
      </c>
      <c r="B2106" s="1">
        <v>45913</v>
      </c>
      <c r="C2106" t="s">
        <v>12882</v>
      </c>
      <c r="D2106" s="5">
        <v>0.69841435185185186</v>
      </c>
      <c r="E2106">
        <v>44.25</v>
      </c>
      <c r="F2106" t="s">
        <v>44</v>
      </c>
      <c r="G2106" t="s">
        <v>1588</v>
      </c>
      <c r="H2106" t="s">
        <v>96</v>
      </c>
      <c r="I2106" t="s">
        <v>91</v>
      </c>
      <c r="J2106" t="s">
        <v>1589</v>
      </c>
      <c r="K2106">
        <v>44</v>
      </c>
      <c r="L2106" t="s">
        <v>37</v>
      </c>
      <c r="M2106" t="s">
        <v>35</v>
      </c>
      <c r="N2106" t="s">
        <v>112</v>
      </c>
      <c r="O2106" t="s">
        <v>28</v>
      </c>
      <c r="P2106" t="s">
        <v>31</v>
      </c>
      <c r="Q2106">
        <v>0</v>
      </c>
      <c r="R2106" t="s">
        <v>12883</v>
      </c>
      <c r="S2106" t="s">
        <v>12886</v>
      </c>
    </row>
    <row r="2107" spans="1:19" x14ac:dyDescent="0.25">
      <c r="A2107" t="s">
        <v>5938</v>
      </c>
      <c r="B2107" s="1">
        <v>45871</v>
      </c>
      <c r="C2107" t="s">
        <v>12893</v>
      </c>
      <c r="D2107" s="5">
        <v>0.54148148148148145</v>
      </c>
      <c r="E2107">
        <v>44.23</v>
      </c>
      <c r="F2107" t="s">
        <v>44</v>
      </c>
      <c r="G2107" t="s">
        <v>4293</v>
      </c>
      <c r="H2107" t="s">
        <v>34</v>
      </c>
      <c r="I2107" t="s">
        <v>130</v>
      </c>
      <c r="J2107" t="s">
        <v>5939</v>
      </c>
      <c r="K2107">
        <v>27</v>
      </c>
      <c r="L2107" t="s">
        <v>25</v>
      </c>
      <c r="M2107" t="s">
        <v>58</v>
      </c>
      <c r="N2107" t="s">
        <v>112</v>
      </c>
      <c r="O2107" t="s">
        <v>28</v>
      </c>
      <c r="P2107" t="s">
        <v>31</v>
      </c>
      <c r="Q2107">
        <v>0</v>
      </c>
      <c r="R2107" t="s">
        <v>12883</v>
      </c>
      <c r="S2107" t="s">
        <v>12889</v>
      </c>
    </row>
    <row r="2108" spans="1:19" x14ac:dyDescent="0.25">
      <c r="A2108" t="s">
        <v>4416</v>
      </c>
      <c r="B2108" s="1">
        <v>45937</v>
      </c>
      <c r="C2108" t="s">
        <v>12890</v>
      </c>
      <c r="D2108" s="5">
        <v>0.25262731481481482</v>
      </c>
      <c r="E2108">
        <v>43.99</v>
      </c>
      <c r="F2108" t="s">
        <v>44</v>
      </c>
      <c r="G2108" t="s">
        <v>3261</v>
      </c>
      <c r="H2108" t="s">
        <v>71</v>
      </c>
      <c r="I2108" t="s">
        <v>50</v>
      </c>
      <c r="J2108" t="s">
        <v>4417</v>
      </c>
      <c r="K2108">
        <v>37</v>
      </c>
      <c r="L2108" t="s">
        <v>37</v>
      </c>
      <c r="M2108" t="s">
        <v>38</v>
      </c>
      <c r="N2108" t="s">
        <v>51</v>
      </c>
      <c r="O2108" t="s">
        <v>28</v>
      </c>
      <c r="P2108" t="s">
        <v>31</v>
      </c>
      <c r="Q2108">
        <v>0</v>
      </c>
      <c r="R2108" t="s">
        <v>12883</v>
      </c>
      <c r="S2108" t="s">
        <v>12889</v>
      </c>
    </row>
    <row r="2109" spans="1:19" x14ac:dyDescent="0.25">
      <c r="A2109" t="s">
        <v>1233</v>
      </c>
      <c r="B2109" s="1">
        <v>45928</v>
      </c>
      <c r="C2109" t="s">
        <v>12882</v>
      </c>
      <c r="D2109" s="5">
        <v>0.22364583333333332</v>
      </c>
      <c r="E2109">
        <v>43.92</v>
      </c>
      <c r="F2109" t="s">
        <v>44</v>
      </c>
      <c r="G2109" t="s">
        <v>1234</v>
      </c>
      <c r="H2109" t="s">
        <v>34</v>
      </c>
      <c r="I2109" t="s">
        <v>66</v>
      </c>
      <c r="J2109" t="s">
        <v>1235</v>
      </c>
      <c r="K2109">
        <v>67</v>
      </c>
      <c r="L2109" t="s">
        <v>49</v>
      </c>
      <c r="M2109" t="s">
        <v>248</v>
      </c>
      <c r="N2109" t="s">
        <v>39</v>
      </c>
      <c r="O2109" t="s">
        <v>28</v>
      </c>
      <c r="P2109" t="s">
        <v>31</v>
      </c>
      <c r="Q2109">
        <v>0</v>
      </c>
      <c r="R2109" t="s">
        <v>12883</v>
      </c>
      <c r="S2109" t="s">
        <v>12884</v>
      </c>
    </row>
    <row r="2110" spans="1:19" x14ac:dyDescent="0.25">
      <c r="A2110" t="s">
        <v>1747</v>
      </c>
      <c r="B2110" s="1">
        <v>45942</v>
      </c>
      <c r="C2110" t="s">
        <v>12890</v>
      </c>
      <c r="D2110" s="5">
        <v>0.85642361111111109</v>
      </c>
      <c r="E2110">
        <v>43.78</v>
      </c>
      <c r="F2110" t="s">
        <v>44</v>
      </c>
      <c r="G2110" t="s">
        <v>839</v>
      </c>
      <c r="H2110" t="s">
        <v>22</v>
      </c>
      <c r="I2110" t="s">
        <v>47</v>
      </c>
      <c r="J2110" t="s">
        <v>1748</v>
      </c>
      <c r="K2110">
        <v>66</v>
      </c>
      <c r="L2110" t="s">
        <v>37</v>
      </c>
      <c r="M2110" t="s">
        <v>91</v>
      </c>
      <c r="N2110" t="s">
        <v>39</v>
      </c>
      <c r="O2110" t="s">
        <v>28</v>
      </c>
      <c r="P2110" t="s">
        <v>31</v>
      </c>
      <c r="Q2110">
        <v>0</v>
      </c>
      <c r="R2110" t="s">
        <v>12883</v>
      </c>
      <c r="S2110" t="s">
        <v>12884</v>
      </c>
    </row>
    <row r="2111" spans="1:19" x14ac:dyDescent="0.25">
      <c r="A2111" t="s">
        <v>5971</v>
      </c>
      <c r="B2111" s="1">
        <v>45804</v>
      </c>
      <c r="C2111" t="s">
        <v>12887</v>
      </c>
      <c r="D2111" s="5">
        <v>9.4861111111111104E-2</v>
      </c>
      <c r="E2111">
        <v>43.61</v>
      </c>
      <c r="F2111" t="s">
        <v>44</v>
      </c>
      <c r="G2111" t="s">
        <v>4732</v>
      </c>
      <c r="H2111" t="s">
        <v>124</v>
      </c>
      <c r="I2111" t="s">
        <v>91</v>
      </c>
      <c r="J2111" t="s">
        <v>5972</v>
      </c>
      <c r="K2111">
        <v>40</v>
      </c>
      <c r="L2111" t="s">
        <v>49</v>
      </c>
      <c r="M2111" t="s">
        <v>23</v>
      </c>
      <c r="N2111" t="s">
        <v>39</v>
      </c>
      <c r="O2111" t="s">
        <v>28</v>
      </c>
      <c r="P2111" t="s">
        <v>31</v>
      </c>
      <c r="Q2111">
        <v>0</v>
      </c>
      <c r="R2111" t="s">
        <v>12883</v>
      </c>
      <c r="S2111" t="s">
        <v>12886</v>
      </c>
    </row>
    <row r="2112" spans="1:19" x14ac:dyDescent="0.25">
      <c r="A2112" t="s">
        <v>11536</v>
      </c>
      <c r="B2112" s="1">
        <v>45817</v>
      </c>
      <c r="C2112" t="s">
        <v>12888</v>
      </c>
      <c r="D2112" s="5">
        <v>0.78100694444444441</v>
      </c>
      <c r="E2112">
        <v>43.61</v>
      </c>
      <c r="F2112" t="s">
        <v>44</v>
      </c>
      <c r="G2112" t="s">
        <v>1366</v>
      </c>
      <c r="H2112" t="s">
        <v>77</v>
      </c>
      <c r="I2112" t="s">
        <v>35</v>
      </c>
      <c r="J2112" t="s">
        <v>11537</v>
      </c>
      <c r="K2112">
        <v>73</v>
      </c>
      <c r="L2112" t="s">
        <v>25</v>
      </c>
      <c r="M2112" t="s">
        <v>23</v>
      </c>
      <c r="N2112" t="s">
        <v>105</v>
      </c>
      <c r="O2112" t="s">
        <v>28</v>
      </c>
      <c r="P2112" t="s">
        <v>31</v>
      </c>
      <c r="Q2112">
        <v>0</v>
      </c>
      <c r="R2112" t="s">
        <v>12883</v>
      </c>
      <c r="S2112" t="s">
        <v>12884</v>
      </c>
    </row>
    <row r="2113" spans="1:19" x14ac:dyDescent="0.25">
      <c r="A2113" t="s">
        <v>6384</v>
      </c>
      <c r="B2113" s="1">
        <v>45866</v>
      </c>
      <c r="C2113" t="s">
        <v>12885</v>
      </c>
      <c r="D2113" s="5">
        <v>0.40179398148148149</v>
      </c>
      <c r="E2113">
        <v>43.44</v>
      </c>
      <c r="F2113" t="s">
        <v>44</v>
      </c>
      <c r="G2113" t="s">
        <v>4098</v>
      </c>
      <c r="H2113" t="s">
        <v>71</v>
      </c>
      <c r="I2113" t="s">
        <v>119</v>
      </c>
      <c r="J2113" t="s">
        <v>6385</v>
      </c>
      <c r="K2113">
        <v>53</v>
      </c>
      <c r="L2113" t="s">
        <v>25</v>
      </c>
      <c r="M2113" t="s">
        <v>38</v>
      </c>
      <c r="N2113" t="s">
        <v>84</v>
      </c>
      <c r="O2113" t="s">
        <v>28</v>
      </c>
      <c r="P2113" t="s">
        <v>31</v>
      </c>
      <c r="Q2113">
        <v>0</v>
      </c>
      <c r="R2113" t="s">
        <v>12883</v>
      </c>
      <c r="S2113" t="s">
        <v>12886</v>
      </c>
    </row>
    <row r="2114" spans="1:19" x14ac:dyDescent="0.25">
      <c r="A2114" t="s">
        <v>9320</v>
      </c>
      <c r="B2114" s="1">
        <v>45895</v>
      </c>
      <c r="C2114" t="s">
        <v>12893</v>
      </c>
      <c r="D2114" s="5">
        <v>0.88821759259259259</v>
      </c>
      <c r="E2114">
        <v>43.4</v>
      </c>
      <c r="F2114" t="s">
        <v>44</v>
      </c>
      <c r="G2114" t="s">
        <v>3128</v>
      </c>
      <c r="H2114" t="s">
        <v>64</v>
      </c>
      <c r="I2114" t="s">
        <v>130</v>
      </c>
      <c r="J2114" t="s">
        <v>9321</v>
      </c>
      <c r="K2114">
        <v>28</v>
      </c>
      <c r="L2114" t="s">
        <v>49</v>
      </c>
      <c r="M2114" t="s">
        <v>97</v>
      </c>
      <c r="N2114" t="s">
        <v>51</v>
      </c>
      <c r="O2114" t="s">
        <v>28</v>
      </c>
      <c r="P2114" t="s">
        <v>31</v>
      </c>
      <c r="Q2114">
        <v>0</v>
      </c>
      <c r="R2114" t="s">
        <v>12883</v>
      </c>
      <c r="S2114" t="s">
        <v>12889</v>
      </c>
    </row>
    <row r="2115" spans="1:19" x14ac:dyDescent="0.25">
      <c r="A2115" t="s">
        <v>9422</v>
      </c>
      <c r="B2115" s="1">
        <v>45875</v>
      </c>
      <c r="C2115" t="s">
        <v>12893</v>
      </c>
      <c r="D2115" s="5">
        <v>0.20216435185185186</v>
      </c>
      <c r="E2115">
        <v>43.4</v>
      </c>
      <c r="F2115" t="s">
        <v>44</v>
      </c>
      <c r="G2115" t="s">
        <v>3115</v>
      </c>
      <c r="H2115" t="s">
        <v>57</v>
      </c>
      <c r="I2115" t="s">
        <v>130</v>
      </c>
      <c r="J2115" t="s">
        <v>9423</v>
      </c>
      <c r="K2115">
        <v>19</v>
      </c>
      <c r="L2115" t="s">
        <v>49</v>
      </c>
      <c r="M2115" t="s">
        <v>35</v>
      </c>
      <c r="N2115" t="s">
        <v>39</v>
      </c>
      <c r="O2115" t="s">
        <v>28</v>
      </c>
      <c r="P2115" t="s">
        <v>31</v>
      </c>
      <c r="Q2115">
        <v>0</v>
      </c>
      <c r="R2115" t="s">
        <v>12883</v>
      </c>
      <c r="S2115" t="s">
        <v>12892</v>
      </c>
    </row>
    <row r="2116" spans="1:19" x14ac:dyDescent="0.25">
      <c r="A2116" t="s">
        <v>3990</v>
      </c>
      <c r="B2116" s="1">
        <v>45934</v>
      </c>
      <c r="C2116" t="s">
        <v>12890</v>
      </c>
      <c r="D2116" s="5">
        <v>0.28512731481481479</v>
      </c>
      <c r="E2116">
        <v>43.21</v>
      </c>
      <c r="F2116" t="s">
        <v>44</v>
      </c>
      <c r="G2116" t="s">
        <v>849</v>
      </c>
      <c r="H2116" t="s">
        <v>124</v>
      </c>
      <c r="I2116" t="s">
        <v>146</v>
      </c>
      <c r="J2116" t="s">
        <v>3991</v>
      </c>
      <c r="K2116">
        <v>28</v>
      </c>
      <c r="L2116" t="s">
        <v>37</v>
      </c>
      <c r="M2116" t="s">
        <v>91</v>
      </c>
      <c r="N2116" t="s">
        <v>27</v>
      </c>
      <c r="O2116" t="s">
        <v>28</v>
      </c>
      <c r="P2116" t="s">
        <v>31</v>
      </c>
      <c r="Q2116">
        <v>0</v>
      </c>
      <c r="R2116" t="s">
        <v>12883</v>
      </c>
      <c r="S2116" t="s">
        <v>12889</v>
      </c>
    </row>
    <row r="2117" spans="1:19" x14ac:dyDescent="0.25">
      <c r="A2117" t="s">
        <v>5619</v>
      </c>
      <c r="B2117" s="1">
        <v>45805</v>
      </c>
      <c r="C2117" t="s">
        <v>12887</v>
      </c>
      <c r="D2117" s="5">
        <v>0.10932870370370371</v>
      </c>
      <c r="E2117">
        <v>43.2</v>
      </c>
      <c r="F2117" t="s">
        <v>44</v>
      </c>
      <c r="G2117" t="s">
        <v>481</v>
      </c>
      <c r="H2117" t="s">
        <v>64</v>
      </c>
      <c r="I2117" t="s">
        <v>23</v>
      </c>
      <c r="J2117" t="s">
        <v>5620</v>
      </c>
      <c r="K2117">
        <v>45</v>
      </c>
      <c r="L2117" t="s">
        <v>25</v>
      </c>
      <c r="M2117" t="s">
        <v>248</v>
      </c>
      <c r="N2117" t="s">
        <v>84</v>
      </c>
      <c r="O2117" t="s">
        <v>28</v>
      </c>
      <c r="P2117" t="s">
        <v>31</v>
      </c>
      <c r="Q2117">
        <v>0</v>
      </c>
      <c r="R2117" t="s">
        <v>12883</v>
      </c>
      <c r="S2117" t="s">
        <v>12886</v>
      </c>
    </row>
    <row r="2118" spans="1:19" x14ac:dyDescent="0.25">
      <c r="A2118" t="s">
        <v>2432</v>
      </c>
      <c r="B2118" s="1">
        <v>45900</v>
      </c>
      <c r="C2118" t="s">
        <v>12893</v>
      </c>
      <c r="D2118" s="5">
        <v>0.55410879629629628</v>
      </c>
      <c r="E2118">
        <v>43.1</v>
      </c>
      <c r="F2118" t="s">
        <v>44</v>
      </c>
      <c r="G2118" t="s">
        <v>2433</v>
      </c>
      <c r="H2118" t="s">
        <v>89</v>
      </c>
      <c r="I2118" t="s">
        <v>58</v>
      </c>
      <c r="J2118" t="s">
        <v>2434</v>
      </c>
      <c r="K2118">
        <v>62</v>
      </c>
      <c r="L2118" t="s">
        <v>49</v>
      </c>
      <c r="M2118" t="s">
        <v>47</v>
      </c>
      <c r="N2118" t="s">
        <v>105</v>
      </c>
      <c r="O2118" t="s">
        <v>28</v>
      </c>
      <c r="P2118" t="s">
        <v>31</v>
      </c>
      <c r="Q2118">
        <v>0</v>
      </c>
      <c r="R2118" t="s">
        <v>12883</v>
      </c>
      <c r="S2118" t="s">
        <v>12884</v>
      </c>
    </row>
    <row r="2119" spans="1:19" x14ac:dyDescent="0.25">
      <c r="A2119" t="s">
        <v>2407</v>
      </c>
      <c r="B2119" s="1">
        <v>45947</v>
      </c>
      <c r="C2119" t="s">
        <v>12890</v>
      </c>
      <c r="D2119" s="5">
        <v>0.78675925925925927</v>
      </c>
      <c r="E2119">
        <v>43.07</v>
      </c>
      <c r="F2119" t="s">
        <v>44</v>
      </c>
      <c r="G2119" t="s">
        <v>2408</v>
      </c>
      <c r="H2119" t="s">
        <v>22</v>
      </c>
      <c r="I2119" t="s">
        <v>38</v>
      </c>
      <c r="J2119" t="s">
        <v>2409</v>
      </c>
      <c r="K2119">
        <v>42</v>
      </c>
      <c r="L2119" t="s">
        <v>25</v>
      </c>
      <c r="M2119" t="s">
        <v>23</v>
      </c>
      <c r="N2119" t="s">
        <v>27</v>
      </c>
      <c r="O2119" t="s">
        <v>28</v>
      </c>
      <c r="P2119" t="s">
        <v>31</v>
      </c>
      <c r="Q2119">
        <v>0</v>
      </c>
      <c r="R2119" t="s">
        <v>12883</v>
      </c>
      <c r="S2119" t="s">
        <v>12886</v>
      </c>
    </row>
    <row r="2120" spans="1:19" x14ac:dyDescent="0.25">
      <c r="A2120" t="s">
        <v>4139</v>
      </c>
      <c r="B2120" s="1">
        <v>45914</v>
      </c>
      <c r="C2120" t="s">
        <v>12882</v>
      </c>
      <c r="D2120" s="5">
        <v>0.46840277777777778</v>
      </c>
      <c r="E2120">
        <v>42.81</v>
      </c>
      <c r="F2120" t="s">
        <v>44</v>
      </c>
      <c r="G2120" t="s">
        <v>4140</v>
      </c>
      <c r="H2120" t="s">
        <v>77</v>
      </c>
      <c r="I2120" t="s">
        <v>47</v>
      </c>
      <c r="J2120" t="s">
        <v>4141</v>
      </c>
      <c r="K2120">
        <v>60</v>
      </c>
      <c r="L2120" t="s">
        <v>49</v>
      </c>
      <c r="M2120" t="s">
        <v>58</v>
      </c>
      <c r="N2120" t="s">
        <v>105</v>
      </c>
      <c r="O2120" t="s">
        <v>28</v>
      </c>
      <c r="P2120" t="s">
        <v>31</v>
      </c>
      <c r="Q2120">
        <v>0</v>
      </c>
      <c r="R2120" t="s">
        <v>12883</v>
      </c>
      <c r="S2120" t="s">
        <v>12884</v>
      </c>
    </row>
    <row r="2121" spans="1:19" x14ac:dyDescent="0.25">
      <c r="A2121" t="s">
        <v>6295</v>
      </c>
      <c r="B2121" s="1">
        <v>45857</v>
      </c>
      <c r="C2121" t="s">
        <v>12885</v>
      </c>
      <c r="D2121" s="5">
        <v>0.95508101851851857</v>
      </c>
      <c r="E2121">
        <v>42.81</v>
      </c>
      <c r="F2121" t="s">
        <v>44</v>
      </c>
      <c r="G2121" t="s">
        <v>4350</v>
      </c>
      <c r="H2121" t="s">
        <v>64</v>
      </c>
      <c r="I2121" t="s">
        <v>146</v>
      </c>
      <c r="J2121" t="s">
        <v>6296</v>
      </c>
      <c r="K2121">
        <v>61</v>
      </c>
      <c r="L2121" t="s">
        <v>49</v>
      </c>
      <c r="M2121" t="s">
        <v>110</v>
      </c>
      <c r="N2121" t="s">
        <v>112</v>
      </c>
      <c r="O2121" t="s">
        <v>28</v>
      </c>
      <c r="P2121" t="s">
        <v>31</v>
      </c>
      <c r="Q2121">
        <v>0</v>
      </c>
      <c r="R2121" t="s">
        <v>12883</v>
      </c>
      <c r="S2121" t="s">
        <v>12884</v>
      </c>
    </row>
    <row r="2122" spans="1:19" x14ac:dyDescent="0.25">
      <c r="A2122" t="s">
        <v>7036</v>
      </c>
      <c r="B2122" s="1">
        <v>45893</v>
      </c>
      <c r="C2122" t="s">
        <v>12893</v>
      </c>
      <c r="D2122" s="5">
        <v>0.15122685185185186</v>
      </c>
      <c r="E2122">
        <v>42.72</v>
      </c>
      <c r="F2122" t="s">
        <v>44</v>
      </c>
      <c r="G2122" t="s">
        <v>4696</v>
      </c>
      <c r="H2122" t="s">
        <v>71</v>
      </c>
      <c r="I2122" t="s">
        <v>23</v>
      </c>
      <c r="J2122" t="s">
        <v>7037</v>
      </c>
      <c r="K2122">
        <v>31</v>
      </c>
      <c r="L2122" t="s">
        <v>37</v>
      </c>
      <c r="M2122" t="s">
        <v>35</v>
      </c>
      <c r="N2122" t="s">
        <v>112</v>
      </c>
      <c r="O2122" t="s">
        <v>28</v>
      </c>
      <c r="P2122" t="s">
        <v>31</v>
      </c>
      <c r="Q2122">
        <v>0</v>
      </c>
      <c r="R2122" t="s">
        <v>12883</v>
      </c>
      <c r="S2122" t="s">
        <v>12889</v>
      </c>
    </row>
    <row r="2123" spans="1:19" x14ac:dyDescent="0.25">
      <c r="A2123" t="s">
        <v>717</v>
      </c>
      <c r="B2123" s="1">
        <v>45817</v>
      </c>
      <c r="C2123" t="s">
        <v>12888</v>
      </c>
      <c r="D2123" s="5">
        <v>0.4493287037037037</v>
      </c>
      <c r="E2123">
        <v>42.64</v>
      </c>
      <c r="F2123" t="s">
        <v>44</v>
      </c>
      <c r="G2123" t="s">
        <v>718</v>
      </c>
      <c r="H2123" t="s">
        <v>64</v>
      </c>
      <c r="I2123" t="s">
        <v>66</v>
      </c>
      <c r="J2123" t="s">
        <v>719</v>
      </c>
      <c r="K2123">
        <v>61</v>
      </c>
      <c r="L2123" t="s">
        <v>25</v>
      </c>
      <c r="M2123" t="s">
        <v>130</v>
      </c>
      <c r="N2123" t="s">
        <v>112</v>
      </c>
      <c r="O2123" t="s">
        <v>28</v>
      </c>
      <c r="P2123" t="s">
        <v>31</v>
      </c>
      <c r="Q2123">
        <v>1</v>
      </c>
      <c r="R2123" t="s">
        <v>12891</v>
      </c>
      <c r="S2123" t="s">
        <v>12884</v>
      </c>
    </row>
    <row r="2124" spans="1:19" x14ac:dyDescent="0.25">
      <c r="A2124" t="s">
        <v>2116</v>
      </c>
      <c r="B2124" s="1">
        <v>45858</v>
      </c>
      <c r="C2124" t="s">
        <v>12885</v>
      </c>
      <c r="D2124" s="5">
        <v>0.28946759259259258</v>
      </c>
      <c r="E2124">
        <v>42.56</v>
      </c>
      <c r="F2124" t="s">
        <v>44</v>
      </c>
      <c r="G2124" t="s">
        <v>586</v>
      </c>
      <c r="H2124" t="s">
        <v>77</v>
      </c>
      <c r="I2124" t="s">
        <v>146</v>
      </c>
      <c r="J2124" t="s">
        <v>2117</v>
      </c>
      <c r="K2124">
        <v>74</v>
      </c>
      <c r="L2124" t="s">
        <v>37</v>
      </c>
      <c r="M2124" t="s">
        <v>23</v>
      </c>
      <c r="N2124" t="s">
        <v>84</v>
      </c>
      <c r="O2124" t="s">
        <v>28</v>
      </c>
      <c r="P2124" t="s">
        <v>31</v>
      </c>
      <c r="Q2124">
        <v>0</v>
      </c>
      <c r="R2124" t="s">
        <v>12883</v>
      </c>
      <c r="S2124" t="s">
        <v>12884</v>
      </c>
    </row>
    <row r="2125" spans="1:19" x14ac:dyDescent="0.25">
      <c r="A2125" t="s">
        <v>2199</v>
      </c>
      <c r="B2125" s="1">
        <v>45857</v>
      </c>
      <c r="C2125" t="s">
        <v>12885</v>
      </c>
      <c r="D2125" s="5">
        <v>0.84040509259259255</v>
      </c>
      <c r="E2125">
        <v>42.56</v>
      </c>
      <c r="F2125" t="s">
        <v>44</v>
      </c>
      <c r="G2125" t="s">
        <v>2200</v>
      </c>
      <c r="H2125" t="s">
        <v>77</v>
      </c>
      <c r="I2125" t="s">
        <v>23</v>
      </c>
      <c r="J2125" t="s">
        <v>2201</v>
      </c>
      <c r="K2125">
        <v>21</v>
      </c>
      <c r="L2125" t="s">
        <v>25</v>
      </c>
      <c r="M2125" t="s">
        <v>50</v>
      </c>
      <c r="N2125" t="s">
        <v>112</v>
      </c>
      <c r="O2125" t="s">
        <v>28</v>
      </c>
      <c r="P2125" t="s">
        <v>31</v>
      </c>
      <c r="Q2125">
        <v>0</v>
      </c>
      <c r="R2125" t="s">
        <v>12883</v>
      </c>
      <c r="S2125" t="s">
        <v>12892</v>
      </c>
    </row>
    <row r="2126" spans="1:19" x14ac:dyDescent="0.25">
      <c r="A2126" t="s">
        <v>5177</v>
      </c>
      <c r="B2126" s="1">
        <v>45916</v>
      </c>
      <c r="C2126" t="s">
        <v>12882</v>
      </c>
      <c r="D2126" s="5">
        <v>0.49844907407407407</v>
      </c>
      <c r="E2126">
        <v>42.48</v>
      </c>
      <c r="F2126" t="s">
        <v>44</v>
      </c>
      <c r="G2126" t="s">
        <v>5178</v>
      </c>
      <c r="H2126" t="s">
        <v>57</v>
      </c>
      <c r="I2126" t="s">
        <v>248</v>
      </c>
      <c r="J2126" t="s">
        <v>5179</v>
      </c>
      <c r="K2126">
        <v>74</v>
      </c>
      <c r="L2126" t="s">
        <v>25</v>
      </c>
      <c r="M2126" t="s">
        <v>97</v>
      </c>
      <c r="N2126" t="s">
        <v>39</v>
      </c>
      <c r="O2126" t="s">
        <v>28</v>
      </c>
      <c r="P2126" t="s">
        <v>31</v>
      </c>
      <c r="Q2126">
        <v>0</v>
      </c>
      <c r="R2126" t="s">
        <v>12883</v>
      </c>
      <c r="S2126" t="s">
        <v>12884</v>
      </c>
    </row>
    <row r="2127" spans="1:19" x14ac:dyDescent="0.25">
      <c r="A2127" t="s">
        <v>7845</v>
      </c>
      <c r="B2127" s="1">
        <v>45826</v>
      </c>
      <c r="C2127" t="s">
        <v>12888</v>
      </c>
      <c r="D2127" s="5">
        <v>0.31291666666666668</v>
      </c>
      <c r="E2127">
        <v>42.47</v>
      </c>
      <c r="F2127" t="s">
        <v>44</v>
      </c>
      <c r="G2127" t="s">
        <v>4838</v>
      </c>
      <c r="H2127" t="s">
        <v>71</v>
      </c>
      <c r="I2127" t="s">
        <v>38</v>
      </c>
      <c r="J2127" t="s">
        <v>7846</v>
      </c>
      <c r="K2127">
        <v>66</v>
      </c>
      <c r="L2127" t="s">
        <v>49</v>
      </c>
      <c r="M2127" t="s">
        <v>97</v>
      </c>
      <c r="N2127" t="s">
        <v>51</v>
      </c>
      <c r="O2127" t="s">
        <v>28</v>
      </c>
      <c r="P2127" t="s">
        <v>31</v>
      </c>
      <c r="Q2127">
        <v>0</v>
      </c>
      <c r="R2127" t="s">
        <v>12883</v>
      </c>
      <c r="S2127" t="s">
        <v>12884</v>
      </c>
    </row>
    <row r="2128" spans="1:19" x14ac:dyDescent="0.25">
      <c r="A2128" t="s">
        <v>902</v>
      </c>
      <c r="B2128" s="1">
        <v>45838</v>
      </c>
      <c r="C2128" t="s">
        <v>12888</v>
      </c>
      <c r="D2128" s="5">
        <v>0.48158564814814814</v>
      </c>
      <c r="E2128">
        <v>42.44</v>
      </c>
      <c r="F2128" t="s">
        <v>44</v>
      </c>
      <c r="G2128" t="s">
        <v>903</v>
      </c>
      <c r="H2128" t="s">
        <v>46</v>
      </c>
      <c r="I2128" t="s">
        <v>119</v>
      </c>
      <c r="J2128" t="s">
        <v>904</v>
      </c>
      <c r="K2128">
        <v>45</v>
      </c>
      <c r="L2128" t="s">
        <v>37</v>
      </c>
      <c r="M2128" t="s">
        <v>110</v>
      </c>
      <c r="N2128" t="s">
        <v>39</v>
      </c>
      <c r="O2128" t="s">
        <v>28</v>
      </c>
      <c r="P2128" t="s">
        <v>31</v>
      </c>
      <c r="Q2128">
        <v>0</v>
      </c>
      <c r="R2128" t="s">
        <v>12883</v>
      </c>
      <c r="S2128" t="s">
        <v>12886</v>
      </c>
    </row>
    <row r="2129" spans="1:19" x14ac:dyDescent="0.25">
      <c r="A2129" t="s">
        <v>8234</v>
      </c>
      <c r="B2129" s="1">
        <v>45836</v>
      </c>
      <c r="C2129" t="s">
        <v>12888</v>
      </c>
      <c r="D2129" s="5">
        <v>0.24247685185185186</v>
      </c>
      <c r="E2129">
        <v>42.44</v>
      </c>
      <c r="F2129" t="s">
        <v>44</v>
      </c>
      <c r="G2129" t="s">
        <v>1509</v>
      </c>
      <c r="H2129" t="s">
        <v>96</v>
      </c>
      <c r="I2129" t="s">
        <v>26</v>
      </c>
      <c r="J2129" t="s">
        <v>8235</v>
      </c>
      <c r="K2129">
        <v>59</v>
      </c>
      <c r="L2129" t="s">
        <v>49</v>
      </c>
      <c r="M2129" t="s">
        <v>58</v>
      </c>
      <c r="N2129" t="s">
        <v>112</v>
      </c>
      <c r="O2129" t="s">
        <v>28</v>
      </c>
      <c r="P2129" t="s">
        <v>31</v>
      </c>
      <c r="Q2129">
        <v>0</v>
      </c>
      <c r="R2129" t="s">
        <v>12883</v>
      </c>
      <c r="S2129" t="s">
        <v>12886</v>
      </c>
    </row>
    <row r="2130" spans="1:19" x14ac:dyDescent="0.25">
      <c r="A2130" t="s">
        <v>3175</v>
      </c>
      <c r="B2130" s="1">
        <v>45949</v>
      </c>
      <c r="C2130" t="s">
        <v>12890</v>
      </c>
      <c r="D2130" s="5">
        <v>0.72350694444444441</v>
      </c>
      <c r="E2130">
        <v>42.38</v>
      </c>
      <c r="F2130" t="s">
        <v>44</v>
      </c>
      <c r="G2130" t="s">
        <v>3176</v>
      </c>
      <c r="H2130" t="s">
        <v>71</v>
      </c>
      <c r="I2130" t="s">
        <v>130</v>
      </c>
      <c r="J2130" t="s">
        <v>3177</v>
      </c>
      <c r="K2130">
        <v>47</v>
      </c>
      <c r="L2130" t="s">
        <v>49</v>
      </c>
      <c r="M2130" t="s">
        <v>58</v>
      </c>
      <c r="N2130" t="s">
        <v>39</v>
      </c>
      <c r="O2130" t="s">
        <v>28</v>
      </c>
      <c r="P2130" t="s">
        <v>31</v>
      </c>
      <c r="Q2130">
        <v>0</v>
      </c>
      <c r="R2130" t="s">
        <v>12883</v>
      </c>
      <c r="S2130" t="s">
        <v>12886</v>
      </c>
    </row>
    <row r="2131" spans="1:19" x14ac:dyDescent="0.25">
      <c r="A2131" t="s">
        <v>7468</v>
      </c>
      <c r="B2131" s="1">
        <v>45876</v>
      </c>
      <c r="C2131" t="s">
        <v>12893</v>
      </c>
      <c r="D2131" s="5">
        <v>0.47737268518518516</v>
      </c>
      <c r="E2131">
        <v>42.37</v>
      </c>
      <c r="F2131" t="s">
        <v>44</v>
      </c>
      <c r="G2131" t="s">
        <v>5282</v>
      </c>
      <c r="H2131" t="s">
        <v>77</v>
      </c>
      <c r="I2131" t="s">
        <v>26</v>
      </c>
      <c r="J2131" t="s">
        <v>7469</v>
      </c>
      <c r="K2131">
        <v>55</v>
      </c>
      <c r="L2131" t="s">
        <v>25</v>
      </c>
      <c r="M2131" t="s">
        <v>97</v>
      </c>
      <c r="N2131" t="s">
        <v>51</v>
      </c>
      <c r="O2131" t="s">
        <v>28</v>
      </c>
      <c r="P2131" t="s">
        <v>31</v>
      </c>
      <c r="Q2131">
        <v>0</v>
      </c>
      <c r="R2131" t="s">
        <v>12883</v>
      </c>
      <c r="S2131" t="s">
        <v>12886</v>
      </c>
    </row>
    <row r="2132" spans="1:19" x14ac:dyDescent="0.25">
      <c r="A2132" t="s">
        <v>2143</v>
      </c>
      <c r="B2132" s="1">
        <v>45843</v>
      </c>
      <c r="C2132" t="s">
        <v>12885</v>
      </c>
      <c r="D2132" s="5">
        <v>0.29017361111111112</v>
      </c>
      <c r="E2132">
        <v>42.3</v>
      </c>
      <c r="F2132" t="s">
        <v>44</v>
      </c>
      <c r="G2132" t="s">
        <v>2144</v>
      </c>
      <c r="H2132" t="s">
        <v>22</v>
      </c>
      <c r="I2132" t="s">
        <v>47</v>
      </c>
      <c r="J2132" t="s">
        <v>2145</v>
      </c>
      <c r="K2132">
        <v>75</v>
      </c>
      <c r="L2132" t="s">
        <v>49</v>
      </c>
      <c r="M2132" t="s">
        <v>130</v>
      </c>
      <c r="N2132" t="s">
        <v>84</v>
      </c>
      <c r="O2132" t="s">
        <v>28</v>
      </c>
      <c r="P2132" t="s">
        <v>31</v>
      </c>
      <c r="Q2132">
        <v>0</v>
      </c>
      <c r="R2132" t="s">
        <v>12883</v>
      </c>
      <c r="S2132" t="s">
        <v>12884</v>
      </c>
    </row>
    <row r="2133" spans="1:19" x14ac:dyDescent="0.25">
      <c r="A2133" t="s">
        <v>10730</v>
      </c>
      <c r="B2133" s="1">
        <v>45909</v>
      </c>
      <c r="C2133" t="s">
        <v>12882</v>
      </c>
      <c r="D2133" s="5">
        <v>0.34666666666666668</v>
      </c>
      <c r="E2133">
        <v>42.29</v>
      </c>
      <c r="F2133" t="s">
        <v>44</v>
      </c>
      <c r="G2133" t="s">
        <v>2200</v>
      </c>
      <c r="H2133" t="s">
        <v>64</v>
      </c>
      <c r="I2133" t="s">
        <v>47</v>
      </c>
      <c r="J2133" t="s">
        <v>10731</v>
      </c>
      <c r="K2133">
        <v>72</v>
      </c>
      <c r="L2133" t="s">
        <v>25</v>
      </c>
      <c r="M2133" t="s">
        <v>248</v>
      </c>
      <c r="N2133" t="s">
        <v>51</v>
      </c>
      <c r="O2133" t="s">
        <v>28</v>
      </c>
      <c r="P2133" t="s">
        <v>31</v>
      </c>
      <c r="Q2133">
        <v>0</v>
      </c>
      <c r="R2133" t="s">
        <v>12883</v>
      </c>
      <c r="S2133" t="s">
        <v>12884</v>
      </c>
    </row>
    <row r="2134" spans="1:19" x14ac:dyDescent="0.25">
      <c r="A2134" t="s">
        <v>1422</v>
      </c>
      <c r="B2134" s="1">
        <v>45791</v>
      </c>
      <c r="C2134" t="s">
        <v>12887</v>
      </c>
      <c r="D2134" s="5">
        <v>0.66718750000000004</v>
      </c>
      <c r="E2134">
        <v>42.14</v>
      </c>
      <c r="F2134" t="s">
        <v>44</v>
      </c>
      <c r="G2134" t="s">
        <v>733</v>
      </c>
      <c r="H2134" t="s">
        <v>34</v>
      </c>
      <c r="I2134" t="s">
        <v>35</v>
      </c>
      <c r="J2134" t="s">
        <v>1423</v>
      </c>
      <c r="K2134">
        <v>26</v>
      </c>
      <c r="L2134" t="s">
        <v>49</v>
      </c>
      <c r="M2134" t="s">
        <v>91</v>
      </c>
      <c r="N2134" t="s">
        <v>84</v>
      </c>
      <c r="O2134" t="s">
        <v>28</v>
      </c>
      <c r="P2134" t="s">
        <v>31</v>
      </c>
      <c r="Q2134">
        <v>0</v>
      </c>
      <c r="R2134" t="s">
        <v>12883</v>
      </c>
      <c r="S2134" t="s">
        <v>12889</v>
      </c>
    </row>
    <row r="2135" spans="1:19" x14ac:dyDescent="0.25">
      <c r="A2135" t="s">
        <v>8185</v>
      </c>
      <c r="B2135" s="1">
        <v>45865</v>
      </c>
      <c r="C2135" t="s">
        <v>12885</v>
      </c>
      <c r="D2135" s="5">
        <v>0.61636574074074069</v>
      </c>
      <c r="E2135">
        <v>41.98</v>
      </c>
      <c r="F2135" t="s">
        <v>44</v>
      </c>
      <c r="G2135" t="s">
        <v>644</v>
      </c>
      <c r="H2135" t="s">
        <v>34</v>
      </c>
      <c r="I2135" t="s">
        <v>248</v>
      </c>
      <c r="J2135" t="s">
        <v>8186</v>
      </c>
      <c r="K2135">
        <v>22</v>
      </c>
      <c r="L2135" t="s">
        <v>49</v>
      </c>
      <c r="M2135" t="s">
        <v>91</v>
      </c>
      <c r="N2135" t="s">
        <v>105</v>
      </c>
      <c r="O2135" t="s">
        <v>28</v>
      </c>
      <c r="P2135" t="s">
        <v>31</v>
      </c>
      <c r="Q2135">
        <v>0</v>
      </c>
      <c r="R2135" t="s">
        <v>12883</v>
      </c>
      <c r="S2135" t="s">
        <v>12892</v>
      </c>
    </row>
    <row r="2136" spans="1:19" x14ac:dyDescent="0.25">
      <c r="A2136" t="s">
        <v>3251</v>
      </c>
      <c r="B2136" s="1">
        <v>45835</v>
      </c>
      <c r="C2136" t="s">
        <v>12888</v>
      </c>
      <c r="D2136" s="5">
        <v>0.85687500000000005</v>
      </c>
      <c r="E2136">
        <v>41.9</v>
      </c>
      <c r="F2136" t="s">
        <v>44</v>
      </c>
      <c r="G2136" t="s">
        <v>1012</v>
      </c>
      <c r="H2136" t="s">
        <v>77</v>
      </c>
      <c r="I2136" t="s">
        <v>47</v>
      </c>
      <c r="J2136" t="s">
        <v>3252</v>
      </c>
      <c r="K2136">
        <v>46</v>
      </c>
      <c r="L2136" t="s">
        <v>25</v>
      </c>
      <c r="M2136" t="s">
        <v>35</v>
      </c>
      <c r="N2136" t="s">
        <v>112</v>
      </c>
      <c r="O2136" t="s">
        <v>28</v>
      </c>
      <c r="P2136" t="s">
        <v>31</v>
      </c>
      <c r="Q2136">
        <v>0</v>
      </c>
      <c r="R2136" t="s">
        <v>12883</v>
      </c>
      <c r="S2136" t="s">
        <v>12886</v>
      </c>
    </row>
    <row r="2137" spans="1:19" x14ac:dyDescent="0.25">
      <c r="A2137" t="s">
        <v>3775</v>
      </c>
      <c r="B2137" s="1">
        <v>45818</v>
      </c>
      <c r="C2137" t="s">
        <v>12888</v>
      </c>
      <c r="D2137" s="5">
        <v>0.83574074074074078</v>
      </c>
      <c r="E2137">
        <v>41.89</v>
      </c>
      <c r="F2137" t="s">
        <v>44</v>
      </c>
      <c r="G2137" t="s">
        <v>2659</v>
      </c>
      <c r="H2137" t="s">
        <v>89</v>
      </c>
      <c r="I2137" t="s">
        <v>35</v>
      </c>
      <c r="J2137" t="s">
        <v>3776</v>
      </c>
      <c r="K2137">
        <v>31</v>
      </c>
      <c r="L2137" t="s">
        <v>49</v>
      </c>
      <c r="M2137" t="s">
        <v>26</v>
      </c>
      <c r="N2137" t="s">
        <v>39</v>
      </c>
      <c r="O2137" t="s">
        <v>28</v>
      </c>
      <c r="P2137" t="s">
        <v>31</v>
      </c>
      <c r="Q2137">
        <v>0</v>
      </c>
      <c r="R2137" t="s">
        <v>12883</v>
      </c>
      <c r="S2137" t="s">
        <v>12889</v>
      </c>
    </row>
    <row r="2138" spans="1:19" x14ac:dyDescent="0.25">
      <c r="A2138" t="s">
        <v>8290</v>
      </c>
      <c r="B2138" s="1">
        <v>45867</v>
      </c>
      <c r="C2138" t="s">
        <v>12885</v>
      </c>
      <c r="D2138" s="5">
        <v>0.63912037037037039</v>
      </c>
      <c r="E2138">
        <v>41.77</v>
      </c>
      <c r="F2138" t="s">
        <v>44</v>
      </c>
      <c r="G2138" t="s">
        <v>1734</v>
      </c>
      <c r="H2138" t="s">
        <v>34</v>
      </c>
      <c r="I2138" t="s">
        <v>248</v>
      </c>
      <c r="J2138" t="s">
        <v>8291</v>
      </c>
      <c r="K2138">
        <v>22</v>
      </c>
      <c r="L2138" t="s">
        <v>49</v>
      </c>
      <c r="M2138" t="s">
        <v>38</v>
      </c>
      <c r="N2138" t="s">
        <v>39</v>
      </c>
      <c r="O2138" t="s">
        <v>28</v>
      </c>
      <c r="P2138" t="s">
        <v>31</v>
      </c>
      <c r="Q2138">
        <v>0</v>
      </c>
      <c r="R2138" t="s">
        <v>12883</v>
      </c>
      <c r="S2138" t="s">
        <v>12892</v>
      </c>
    </row>
    <row r="2139" spans="1:19" x14ac:dyDescent="0.25">
      <c r="A2139" t="s">
        <v>11363</v>
      </c>
      <c r="B2139" s="1">
        <v>45848</v>
      </c>
      <c r="C2139" t="s">
        <v>12885</v>
      </c>
      <c r="D2139" s="5">
        <v>0.48491898148148149</v>
      </c>
      <c r="E2139">
        <v>41.52</v>
      </c>
      <c r="F2139" t="s">
        <v>44</v>
      </c>
      <c r="G2139" t="s">
        <v>3469</v>
      </c>
      <c r="H2139" t="s">
        <v>22</v>
      </c>
      <c r="I2139" t="s">
        <v>23</v>
      </c>
      <c r="J2139" t="s">
        <v>11364</v>
      </c>
      <c r="K2139">
        <v>27</v>
      </c>
      <c r="L2139" t="s">
        <v>25</v>
      </c>
      <c r="M2139" t="s">
        <v>47</v>
      </c>
      <c r="N2139" t="s">
        <v>39</v>
      </c>
      <c r="O2139" t="s">
        <v>28</v>
      </c>
      <c r="P2139" t="s">
        <v>31</v>
      </c>
      <c r="Q2139">
        <v>0</v>
      </c>
      <c r="R2139" t="s">
        <v>12883</v>
      </c>
      <c r="S2139" t="s">
        <v>12889</v>
      </c>
    </row>
    <row r="2140" spans="1:19" x14ac:dyDescent="0.25">
      <c r="A2140" t="s">
        <v>3426</v>
      </c>
      <c r="B2140" s="1">
        <v>45872</v>
      </c>
      <c r="C2140" t="s">
        <v>12893</v>
      </c>
      <c r="D2140" s="5">
        <v>0.27100694444444445</v>
      </c>
      <c r="E2140">
        <v>41.41</v>
      </c>
      <c r="F2140" t="s">
        <v>44</v>
      </c>
      <c r="G2140" t="s">
        <v>3427</v>
      </c>
      <c r="H2140" t="s">
        <v>71</v>
      </c>
      <c r="I2140" t="s">
        <v>119</v>
      </c>
      <c r="J2140" t="s">
        <v>3428</v>
      </c>
      <c r="K2140">
        <v>21</v>
      </c>
      <c r="L2140" t="s">
        <v>25</v>
      </c>
      <c r="M2140" t="s">
        <v>58</v>
      </c>
      <c r="N2140" t="s">
        <v>105</v>
      </c>
      <c r="O2140" t="s">
        <v>28</v>
      </c>
      <c r="P2140" t="s">
        <v>31</v>
      </c>
      <c r="Q2140">
        <v>0</v>
      </c>
      <c r="R2140" t="s">
        <v>12883</v>
      </c>
      <c r="S2140" t="s">
        <v>12892</v>
      </c>
    </row>
    <row r="2141" spans="1:19" x14ac:dyDescent="0.25">
      <c r="A2141" t="s">
        <v>11935</v>
      </c>
      <c r="B2141" s="1">
        <v>45900</v>
      </c>
      <c r="C2141" t="s">
        <v>12893</v>
      </c>
      <c r="D2141" s="5">
        <v>0.53916666666666668</v>
      </c>
      <c r="E2141">
        <v>41.37</v>
      </c>
      <c r="F2141" t="s">
        <v>44</v>
      </c>
      <c r="G2141" t="s">
        <v>1818</v>
      </c>
      <c r="H2141" t="s">
        <v>71</v>
      </c>
      <c r="I2141" t="s">
        <v>26</v>
      </c>
      <c r="J2141" t="s">
        <v>11936</v>
      </c>
      <c r="K2141">
        <v>58</v>
      </c>
      <c r="L2141" t="s">
        <v>49</v>
      </c>
      <c r="M2141" t="s">
        <v>119</v>
      </c>
      <c r="N2141" t="s">
        <v>51</v>
      </c>
      <c r="O2141" t="s">
        <v>28</v>
      </c>
      <c r="P2141" t="s">
        <v>31</v>
      </c>
      <c r="Q2141">
        <v>0</v>
      </c>
      <c r="R2141" t="s">
        <v>12883</v>
      </c>
      <c r="S2141" t="s">
        <v>12886</v>
      </c>
    </row>
    <row r="2142" spans="1:19" x14ac:dyDescent="0.25">
      <c r="A2142" t="s">
        <v>8838</v>
      </c>
      <c r="B2142" s="1">
        <v>45897</v>
      </c>
      <c r="C2142" t="s">
        <v>12893</v>
      </c>
      <c r="D2142" s="5">
        <v>0.50363425925925931</v>
      </c>
      <c r="E2142">
        <v>41.3</v>
      </c>
      <c r="F2142" t="s">
        <v>44</v>
      </c>
      <c r="G2142" t="s">
        <v>7670</v>
      </c>
      <c r="H2142" t="s">
        <v>71</v>
      </c>
      <c r="I2142" t="s">
        <v>47</v>
      </c>
      <c r="J2142" t="s">
        <v>8839</v>
      </c>
      <c r="K2142">
        <v>27</v>
      </c>
      <c r="L2142" t="s">
        <v>25</v>
      </c>
      <c r="M2142" t="s">
        <v>47</v>
      </c>
      <c r="N2142" t="s">
        <v>51</v>
      </c>
      <c r="O2142" t="s">
        <v>113</v>
      </c>
      <c r="P2142" t="s">
        <v>31</v>
      </c>
      <c r="Q2142">
        <v>0</v>
      </c>
      <c r="R2142" t="s">
        <v>12883</v>
      </c>
      <c r="S2142" t="s">
        <v>12889</v>
      </c>
    </row>
    <row r="2143" spans="1:19" x14ac:dyDescent="0.25">
      <c r="A2143" t="s">
        <v>5760</v>
      </c>
      <c r="B2143" s="1">
        <v>45858</v>
      </c>
      <c r="C2143" t="s">
        <v>12885</v>
      </c>
      <c r="D2143" s="5">
        <v>0.13424768518518518</v>
      </c>
      <c r="E2143">
        <v>41.14</v>
      </c>
      <c r="F2143" t="s">
        <v>44</v>
      </c>
      <c r="G2143" t="s">
        <v>2598</v>
      </c>
      <c r="H2143" t="s">
        <v>34</v>
      </c>
      <c r="I2143" t="s">
        <v>66</v>
      </c>
      <c r="J2143" t="s">
        <v>5761</v>
      </c>
      <c r="K2143">
        <v>35</v>
      </c>
      <c r="L2143" t="s">
        <v>49</v>
      </c>
      <c r="M2143" t="s">
        <v>66</v>
      </c>
      <c r="N2143" t="s">
        <v>39</v>
      </c>
      <c r="O2143" t="s">
        <v>113</v>
      </c>
      <c r="P2143" t="s">
        <v>31</v>
      </c>
      <c r="Q2143">
        <v>0</v>
      </c>
      <c r="R2143" t="s">
        <v>12883</v>
      </c>
      <c r="S2143" t="s">
        <v>12889</v>
      </c>
    </row>
    <row r="2144" spans="1:19" x14ac:dyDescent="0.25">
      <c r="A2144" t="s">
        <v>12441</v>
      </c>
      <c r="B2144" s="1">
        <v>45803</v>
      </c>
      <c r="C2144" t="s">
        <v>12887</v>
      </c>
      <c r="D2144" s="5">
        <v>0.39627314814814812</v>
      </c>
      <c r="E2144">
        <v>41.14</v>
      </c>
      <c r="F2144" t="s">
        <v>44</v>
      </c>
      <c r="G2144" t="s">
        <v>2089</v>
      </c>
      <c r="H2144" t="s">
        <v>89</v>
      </c>
      <c r="I2144" t="s">
        <v>58</v>
      </c>
      <c r="J2144" t="s">
        <v>12442</v>
      </c>
      <c r="K2144">
        <v>38</v>
      </c>
      <c r="L2144" t="s">
        <v>25</v>
      </c>
      <c r="M2144" t="s">
        <v>248</v>
      </c>
      <c r="N2144" t="s">
        <v>51</v>
      </c>
      <c r="O2144" t="s">
        <v>28</v>
      </c>
      <c r="P2144" t="s">
        <v>31</v>
      </c>
      <c r="Q2144">
        <v>0</v>
      </c>
      <c r="R2144" t="s">
        <v>12883</v>
      </c>
      <c r="S2144" t="s">
        <v>12889</v>
      </c>
    </row>
    <row r="2145" spans="1:19" x14ac:dyDescent="0.25">
      <c r="A2145" t="s">
        <v>11973</v>
      </c>
      <c r="B2145" s="1">
        <v>45911</v>
      </c>
      <c r="C2145" t="s">
        <v>12882</v>
      </c>
      <c r="D2145" s="5">
        <v>7.3495370370370364E-2</v>
      </c>
      <c r="E2145">
        <v>41.09</v>
      </c>
      <c r="F2145" t="s">
        <v>44</v>
      </c>
      <c r="G2145" t="s">
        <v>3079</v>
      </c>
      <c r="H2145" t="s">
        <v>96</v>
      </c>
      <c r="I2145" t="s">
        <v>47</v>
      </c>
      <c r="J2145" t="s">
        <v>11974</v>
      </c>
      <c r="K2145">
        <v>29</v>
      </c>
      <c r="L2145" t="s">
        <v>49</v>
      </c>
      <c r="M2145" t="s">
        <v>38</v>
      </c>
      <c r="N2145" t="s">
        <v>105</v>
      </c>
      <c r="O2145" t="s">
        <v>28</v>
      </c>
      <c r="P2145" t="s">
        <v>31</v>
      </c>
      <c r="Q2145">
        <v>0</v>
      </c>
      <c r="R2145" t="s">
        <v>12883</v>
      </c>
      <c r="S2145" t="s">
        <v>12889</v>
      </c>
    </row>
    <row r="2146" spans="1:19" x14ac:dyDescent="0.25">
      <c r="A2146" t="s">
        <v>11320</v>
      </c>
      <c r="B2146" s="1">
        <v>45884</v>
      </c>
      <c r="C2146" t="s">
        <v>12893</v>
      </c>
      <c r="D2146" s="5">
        <v>0.72136574074074078</v>
      </c>
      <c r="E2146">
        <v>41.02</v>
      </c>
      <c r="F2146" t="s">
        <v>44</v>
      </c>
      <c r="G2146" t="s">
        <v>8932</v>
      </c>
      <c r="H2146" t="s">
        <v>57</v>
      </c>
      <c r="I2146" t="s">
        <v>91</v>
      </c>
      <c r="J2146" t="s">
        <v>11321</v>
      </c>
      <c r="K2146">
        <v>29</v>
      </c>
      <c r="L2146" t="s">
        <v>49</v>
      </c>
      <c r="M2146" t="s">
        <v>38</v>
      </c>
      <c r="N2146" t="s">
        <v>51</v>
      </c>
      <c r="O2146" t="s">
        <v>28</v>
      </c>
      <c r="P2146" t="s">
        <v>31</v>
      </c>
      <c r="Q2146">
        <v>0</v>
      </c>
      <c r="R2146" t="s">
        <v>12883</v>
      </c>
      <c r="S2146" t="s">
        <v>12889</v>
      </c>
    </row>
    <row r="2147" spans="1:19" x14ac:dyDescent="0.25">
      <c r="A2147" t="s">
        <v>7829</v>
      </c>
      <c r="B2147" s="1">
        <v>45905</v>
      </c>
      <c r="C2147" t="s">
        <v>12882</v>
      </c>
      <c r="D2147" s="5">
        <v>0.71116898148148144</v>
      </c>
      <c r="E2147">
        <v>40.81</v>
      </c>
      <c r="F2147" t="s">
        <v>44</v>
      </c>
      <c r="G2147" t="s">
        <v>3934</v>
      </c>
      <c r="H2147" t="s">
        <v>96</v>
      </c>
      <c r="I2147" t="s">
        <v>50</v>
      </c>
      <c r="J2147" t="s">
        <v>7830</v>
      </c>
      <c r="K2147">
        <v>46</v>
      </c>
      <c r="L2147" t="s">
        <v>37</v>
      </c>
      <c r="M2147" t="s">
        <v>38</v>
      </c>
      <c r="N2147" t="s">
        <v>84</v>
      </c>
      <c r="O2147" t="s">
        <v>28</v>
      </c>
      <c r="P2147" t="s">
        <v>31</v>
      </c>
      <c r="Q2147">
        <v>0</v>
      </c>
      <c r="R2147" t="s">
        <v>12883</v>
      </c>
      <c r="S2147" t="s">
        <v>12886</v>
      </c>
    </row>
    <row r="2148" spans="1:19" x14ac:dyDescent="0.25">
      <c r="A2148" t="s">
        <v>432</v>
      </c>
      <c r="B2148" s="1">
        <v>45788</v>
      </c>
      <c r="C2148" t="s">
        <v>12887</v>
      </c>
      <c r="D2148" s="5">
        <v>0.24642361111111111</v>
      </c>
      <c r="E2148">
        <v>40.78</v>
      </c>
      <c r="F2148" t="s">
        <v>44</v>
      </c>
      <c r="G2148" t="s">
        <v>433</v>
      </c>
      <c r="H2148" t="s">
        <v>22</v>
      </c>
      <c r="I2148" t="s">
        <v>97</v>
      </c>
      <c r="J2148" t="s">
        <v>434</v>
      </c>
      <c r="K2148">
        <v>20</v>
      </c>
      <c r="L2148" t="s">
        <v>49</v>
      </c>
      <c r="M2148" t="s">
        <v>35</v>
      </c>
      <c r="N2148" t="s">
        <v>39</v>
      </c>
      <c r="O2148" t="s">
        <v>28</v>
      </c>
      <c r="P2148" t="s">
        <v>31</v>
      </c>
      <c r="Q2148">
        <v>0</v>
      </c>
      <c r="R2148" t="s">
        <v>12883</v>
      </c>
      <c r="S2148" t="s">
        <v>12892</v>
      </c>
    </row>
    <row r="2149" spans="1:19" x14ac:dyDescent="0.25">
      <c r="A2149" t="s">
        <v>3847</v>
      </c>
      <c r="B2149" s="1">
        <v>45794</v>
      </c>
      <c r="C2149" t="s">
        <v>12887</v>
      </c>
      <c r="D2149" s="5">
        <v>0.28849537037037037</v>
      </c>
      <c r="E2149">
        <v>40.549999999999997</v>
      </c>
      <c r="F2149" t="s">
        <v>44</v>
      </c>
      <c r="G2149" t="s">
        <v>1563</v>
      </c>
      <c r="H2149" t="s">
        <v>124</v>
      </c>
      <c r="I2149" t="s">
        <v>26</v>
      </c>
      <c r="J2149" t="s">
        <v>3848</v>
      </c>
      <c r="K2149">
        <v>42</v>
      </c>
      <c r="L2149" t="s">
        <v>25</v>
      </c>
      <c r="M2149" t="s">
        <v>130</v>
      </c>
      <c r="N2149" t="s">
        <v>39</v>
      </c>
      <c r="O2149" t="s">
        <v>28</v>
      </c>
      <c r="P2149" t="s">
        <v>31</v>
      </c>
      <c r="Q2149">
        <v>0</v>
      </c>
      <c r="R2149" t="s">
        <v>12883</v>
      </c>
      <c r="S2149" t="s">
        <v>12886</v>
      </c>
    </row>
    <row r="2150" spans="1:19" x14ac:dyDescent="0.25">
      <c r="A2150" t="s">
        <v>11977</v>
      </c>
      <c r="B2150" s="1">
        <v>45896</v>
      </c>
      <c r="C2150" t="s">
        <v>12893</v>
      </c>
      <c r="D2150" s="5">
        <v>0.91694444444444445</v>
      </c>
      <c r="E2150">
        <v>40.54</v>
      </c>
      <c r="F2150" t="s">
        <v>44</v>
      </c>
      <c r="G2150" t="s">
        <v>4737</v>
      </c>
      <c r="H2150" t="s">
        <v>22</v>
      </c>
      <c r="I2150" t="s">
        <v>35</v>
      </c>
      <c r="J2150" t="s">
        <v>11978</v>
      </c>
      <c r="K2150">
        <v>57</v>
      </c>
      <c r="L2150" t="s">
        <v>25</v>
      </c>
      <c r="M2150" t="s">
        <v>97</v>
      </c>
      <c r="N2150" t="s">
        <v>27</v>
      </c>
      <c r="O2150" t="s">
        <v>28</v>
      </c>
      <c r="P2150" t="s">
        <v>31</v>
      </c>
      <c r="Q2150">
        <v>0</v>
      </c>
      <c r="R2150" t="s">
        <v>12883</v>
      </c>
      <c r="S2150" t="s">
        <v>12886</v>
      </c>
    </row>
    <row r="2151" spans="1:19" x14ac:dyDescent="0.25">
      <c r="A2151" t="s">
        <v>12837</v>
      </c>
      <c r="B2151" s="1">
        <v>45908</v>
      </c>
      <c r="C2151" t="s">
        <v>12882</v>
      </c>
      <c r="D2151" s="5">
        <v>0.4654861111111111</v>
      </c>
      <c r="E2151">
        <v>40.520000000000003</v>
      </c>
      <c r="F2151" t="s">
        <v>44</v>
      </c>
      <c r="G2151" t="s">
        <v>7491</v>
      </c>
      <c r="H2151" t="s">
        <v>22</v>
      </c>
      <c r="I2151" t="s">
        <v>35</v>
      </c>
      <c r="J2151" t="s">
        <v>3046</v>
      </c>
      <c r="K2151">
        <v>22</v>
      </c>
      <c r="L2151" t="s">
        <v>49</v>
      </c>
      <c r="M2151" t="s">
        <v>47</v>
      </c>
      <c r="N2151" t="s">
        <v>112</v>
      </c>
      <c r="O2151" t="s">
        <v>28</v>
      </c>
      <c r="P2151" t="s">
        <v>31</v>
      </c>
      <c r="Q2151">
        <v>0</v>
      </c>
      <c r="R2151" t="s">
        <v>12883</v>
      </c>
      <c r="S2151" t="s">
        <v>12892</v>
      </c>
    </row>
    <row r="2152" spans="1:19" x14ac:dyDescent="0.25">
      <c r="A2152" t="s">
        <v>4669</v>
      </c>
      <c r="B2152" s="1">
        <v>45849</v>
      </c>
      <c r="C2152" t="s">
        <v>12885</v>
      </c>
      <c r="D2152" s="5">
        <v>0.84686342592592589</v>
      </c>
      <c r="E2152">
        <v>40.43</v>
      </c>
      <c r="F2152" t="s">
        <v>44</v>
      </c>
      <c r="G2152" t="s">
        <v>4670</v>
      </c>
      <c r="H2152" t="s">
        <v>46</v>
      </c>
      <c r="I2152" t="s">
        <v>35</v>
      </c>
      <c r="J2152" t="s">
        <v>4671</v>
      </c>
      <c r="K2152">
        <v>71</v>
      </c>
      <c r="L2152" t="s">
        <v>25</v>
      </c>
      <c r="M2152" t="s">
        <v>146</v>
      </c>
      <c r="N2152" t="s">
        <v>51</v>
      </c>
      <c r="O2152" t="s">
        <v>28</v>
      </c>
      <c r="P2152" t="s">
        <v>31</v>
      </c>
      <c r="Q2152">
        <v>0</v>
      </c>
      <c r="R2152" t="s">
        <v>12883</v>
      </c>
      <c r="S2152" t="s">
        <v>12884</v>
      </c>
    </row>
    <row r="2153" spans="1:19" x14ac:dyDescent="0.25">
      <c r="A2153" t="s">
        <v>8600</v>
      </c>
      <c r="B2153" s="1">
        <v>45919</v>
      </c>
      <c r="C2153" t="s">
        <v>12882</v>
      </c>
      <c r="D2153" s="5">
        <v>0.87582175925925931</v>
      </c>
      <c r="E2153">
        <v>40.340000000000003</v>
      </c>
      <c r="F2153" t="s">
        <v>44</v>
      </c>
      <c r="G2153" t="s">
        <v>2791</v>
      </c>
      <c r="H2153" t="s">
        <v>71</v>
      </c>
      <c r="I2153" t="s">
        <v>50</v>
      </c>
      <c r="J2153" t="s">
        <v>8601</v>
      </c>
      <c r="K2153">
        <v>33</v>
      </c>
      <c r="L2153" t="s">
        <v>25</v>
      </c>
      <c r="M2153" t="s">
        <v>119</v>
      </c>
      <c r="N2153" t="s">
        <v>51</v>
      </c>
      <c r="O2153" t="s">
        <v>28</v>
      </c>
      <c r="P2153" t="s">
        <v>31</v>
      </c>
      <c r="Q2153">
        <v>0</v>
      </c>
      <c r="R2153" t="s">
        <v>12883</v>
      </c>
      <c r="S2153" t="s">
        <v>12889</v>
      </c>
    </row>
    <row r="2154" spans="1:19" x14ac:dyDescent="0.25">
      <c r="A2154" t="s">
        <v>5416</v>
      </c>
      <c r="B2154" s="1">
        <v>45924</v>
      </c>
      <c r="C2154" t="s">
        <v>12882</v>
      </c>
      <c r="D2154" s="5">
        <v>0.55672453703703706</v>
      </c>
      <c r="E2154">
        <v>40.200000000000003</v>
      </c>
      <c r="F2154" t="s">
        <v>44</v>
      </c>
      <c r="G2154" t="s">
        <v>5417</v>
      </c>
      <c r="H2154" t="s">
        <v>71</v>
      </c>
      <c r="I2154" t="s">
        <v>91</v>
      </c>
      <c r="J2154" t="s">
        <v>5418</v>
      </c>
      <c r="K2154">
        <v>37</v>
      </c>
      <c r="L2154" t="s">
        <v>49</v>
      </c>
      <c r="M2154" t="s">
        <v>23</v>
      </c>
      <c r="N2154" t="s">
        <v>105</v>
      </c>
      <c r="O2154" t="s">
        <v>28</v>
      </c>
      <c r="P2154" t="s">
        <v>31</v>
      </c>
      <c r="Q2154">
        <v>0</v>
      </c>
      <c r="R2154" t="s">
        <v>12883</v>
      </c>
      <c r="S2154" t="s">
        <v>12889</v>
      </c>
    </row>
    <row r="2155" spans="1:19" x14ac:dyDescent="0.25">
      <c r="A2155" t="s">
        <v>5218</v>
      </c>
      <c r="B2155" s="1">
        <v>45859</v>
      </c>
      <c r="C2155" t="s">
        <v>12885</v>
      </c>
      <c r="D2155" s="5">
        <v>0.40755787037037039</v>
      </c>
      <c r="E2155">
        <v>40.090000000000003</v>
      </c>
      <c r="F2155" t="s">
        <v>44</v>
      </c>
      <c r="G2155" t="s">
        <v>556</v>
      </c>
      <c r="H2155" t="s">
        <v>89</v>
      </c>
      <c r="I2155" t="s">
        <v>66</v>
      </c>
      <c r="J2155" t="s">
        <v>5219</v>
      </c>
      <c r="K2155">
        <v>55</v>
      </c>
      <c r="L2155" t="s">
        <v>25</v>
      </c>
      <c r="M2155" t="s">
        <v>146</v>
      </c>
      <c r="N2155" t="s">
        <v>27</v>
      </c>
      <c r="O2155" t="s">
        <v>28</v>
      </c>
      <c r="P2155" t="s">
        <v>31</v>
      </c>
      <c r="Q2155">
        <v>0</v>
      </c>
      <c r="R2155" t="s">
        <v>12883</v>
      </c>
      <c r="S2155" t="s">
        <v>12886</v>
      </c>
    </row>
    <row r="2156" spans="1:19" x14ac:dyDescent="0.25">
      <c r="A2156" t="s">
        <v>2471</v>
      </c>
      <c r="B2156" s="1">
        <v>45794</v>
      </c>
      <c r="C2156" t="s">
        <v>12887</v>
      </c>
      <c r="D2156" s="5">
        <v>0.91468749999999999</v>
      </c>
      <c r="E2156">
        <v>39.950000000000003</v>
      </c>
      <c r="F2156" t="s">
        <v>44</v>
      </c>
      <c r="G2156" t="s">
        <v>2472</v>
      </c>
      <c r="H2156" t="s">
        <v>71</v>
      </c>
      <c r="I2156" t="s">
        <v>38</v>
      </c>
      <c r="J2156" t="s">
        <v>2473</v>
      </c>
      <c r="K2156">
        <v>49</v>
      </c>
      <c r="L2156" t="s">
        <v>49</v>
      </c>
      <c r="M2156" t="s">
        <v>58</v>
      </c>
      <c r="N2156" t="s">
        <v>105</v>
      </c>
      <c r="O2156" t="s">
        <v>28</v>
      </c>
      <c r="P2156" t="s">
        <v>31</v>
      </c>
      <c r="Q2156">
        <v>0</v>
      </c>
      <c r="R2156" t="s">
        <v>12883</v>
      </c>
      <c r="S2156" t="s">
        <v>12886</v>
      </c>
    </row>
    <row r="2157" spans="1:19" x14ac:dyDescent="0.25">
      <c r="A2157" t="s">
        <v>7011</v>
      </c>
      <c r="B2157" s="1">
        <v>45801</v>
      </c>
      <c r="C2157" t="s">
        <v>12887</v>
      </c>
      <c r="D2157" s="5">
        <v>0.31368055555555557</v>
      </c>
      <c r="E2157">
        <v>39.94</v>
      </c>
      <c r="F2157" t="s">
        <v>44</v>
      </c>
      <c r="G2157" t="s">
        <v>2999</v>
      </c>
      <c r="H2157" t="s">
        <v>89</v>
      </c>
      <c r="I2157" t="s">
        <v>130</v>
      </c>
      <c r="J2157" t="s">
        <v>7012</v>
      </c>
      <c r="K2157">
        <v>45</v>
      </c>
      <c r="L2157" t="s">
        <v>37</v>
      </c>
      <c r="M2157" t="s">
        <v>35</v>
      </c>
      <c r="N2157" t="s">
        <v>84</v>
      </c>
      <c r="O2157" t="s">
        <v>28</v>
      </c>
      <c r="P2157" t="s">
        <v>31</v>
      </c>
      <c r="Q2157">
        <v>1</v>
      </c>
      <c r="R2157" t="s">
        <v>12891</v>
      </c>
      <c r="S2157" t="s">
        <v>12886</v>
      </c>
    </row>
    <row r="2158" spans="1:19" x14ac:dyDescent="0.25">
      <c r="A2158" t="s">
        <v>2427</v>
      </c>
      <c r="B2158" s="1">
        <v>45888</v>
      </c>
      <c r="C2158" t="s">
        <v>12893</v>
      </c>
      <c r="D2158" s="5">
        <v>0.87506944444444446</v>
      </c>
      <c r="E2158">
        <v>39.89</v>
      </c>
      <c r="F2158" t="s">
        <v>44</v>
      </c>
      <c r="G2158" t="s">
        <v>2428</v>
      </c>
      <c r="H2158" t="s">
        <v>34</v>
      </c>
      <c r="I2158" t="s">
        <v>58</v>
      </c>
      <c r="J2158" t="s">
        <v>2429</v>
      </c>
      <c r="K2158">
        <v>74</v>
      </c>
      <c r="L2158" t="s">
        <v>25</v>
      </c>
      <c r="M2158" t="s">
        <v>146</v>
      </c>
      <c r="N2158" t="s">
        <v>105</v>
      </c>
      <c r="O2158" t="s">
        <v>28</v>
      </c>
      <c r="P2158" t="s">
        <v>31</v>
      </c>
      <c r="Q2158">
        <v>0</v>
      </c>
      <c r="R2158" t="s">
        <v>12883</v>
      </c>
      <c r="S2158" t="s">
        <v>12884</v>
      </c>
    </row>
    <row r="2159" spans="1:19" x14ac:dyDescent="0.25">
      <c r="A2159" t="s">
        <v>7495</v>
      </c>
      <c r="B2159" s="1">
        <v>45938</v>
      </c>
      <c r="C2159" t="s">
        <v>12890</v>
      </c>
      <c r="D2159" s="5">
        <v>0.9853587962962963</v>
      </c>
      <c r="E2159">
        <v>39.880000000000003</v>
      </c>
      <c r="F2159" t="s">
        <v>44</v>
      </c>
      <c r="G2159" t="s">
        <v>263</v>
      </c>
      <c r="H2159" t="s">
        <v>71</v>
      </c>
      <c r="I2159" t="s">
        <v>50</v>
      </c>
      <c r="J2159" t="s">
        <v>7496</v>
      </c>
      <c r="K2159">
        <v>39</v>
      </c>
      <c r="L2159" t="s">
        <v>25</v>
      </c>
      <c r="M2159" t="s">
        <v>110</v>
      </c>
      <c r="N2159" t="s">
        <v>84</v>
      </c>
      <c r="O2159" t="s">
        <v>28</v>
      </c>
      <c r="P2159" t="s">
        <v>31</v>
      </c>
      <c r="Q2159">
        <v>0</v>
      </c>
      <c r="R2159" t="s">
        <v>12883</v>
      </c>
      <c r="S2159" t="s">
        <v>12889</v>
      </c>
    </row>
    <row r="2160" spans="1:19" x14ac:dyDescent="0.25">
      <c r="A2160" t="s">
        <v>8891</v>
      </c>
      <c r="B2160" s="1">
        <v>45914</v>
      </c>
      <c r="C2160" t="s">
        <v>12882</v>
      </c>
      <c r="D2160" s="5">
        <v>0.2573611111111111</v>
      </c>
      <c r="E2160">
        <v>39.880000000000003</v>
      </c>
      <c r="F2160" t="s">
        <v>44</v>
      </c>
      <c r="G2160" t="s">
        <v>2349</v>
      </c>
      <c r="H2160" t="s">
        <v>46</v>
      </c>
      <c r="I2160" t="s">
        <v>91</v>
      </c>
      <c r="J2160" t="s">
        <v>1549</v>
      </c>
      <c r="K2160">
        <v>65</v>
      </c>
      <c r="L2160" t="s">
        <v>37</v>
      </c>
      <c r="M2160" t="s">
        <v>91</v>
      </c>
      <c r="N2160" t="s">
        <v>105</v>
      </c>
      <c r="O2160" t="s">
        <v>113</v>
      </c>
      <c r="P2160" t="s">
        <v>31</v>
      </c>
      <c r="Q2160">
        <v>0</v>
      </c>
      <c r="R2160" t="s">
        <v>12883</v>
      </c>
      <c r="S2160" t="s">
        <v>12884</v>
      </c>
    </row>
    <row r="2161" spans="1:19" x14ac:dyDescent="0.25">
      <c r="A2161" t="s">
        <v>3659</v>
      </c>
      <c r="B2161" s="1">
        <v>45947</v>
      </c>
      <c r="C2161" t="s">
        <v>12890</v>
      </c>
      <c r="D2161" s="5">
        <v>0.55715277777777783</v>
      </c>
      <c r="E2161">
        <v>39.869999999999997</v>
      </c>
      <c r="F2161" t="s">
        <v>44</v>
      </c>
      <c r="G2161" t="s">
        <v>3660</v>
      </c>
      <c r="H2161" t="s">
        <v>22</v>
      </c>
      <c r="I2161" t="s">
        <v>35</v>
      </c>
      <c r="J2161" t="s">
        <v>3661</v>
      </c>
      <c r="K2161">
        <v>51</v>
      </c>
      <c r="L2161" t="s">
        <v>49</v>
      </c>
      <c r="M2161" t="s">
        <v>130</v>
      </c>
      <c r="N2161" t="s">
        <v>112</v>
      </c>
      <c r="O2161" t="s">
        <v>28</v>
      </c>
      <c r="P2161" t="s">
        <v>31</v>
      </c>
      <c r="Q2161">
        <v>0</v>
      </c>
      <c r="R2161" t="s">
        <v>12883</v>
      </c>
      <c r="S2161" t="s">
        <v>12886</v>
      </c>
    </row>
    <row r="2162" spans="1:19" x14ac:dyDescent="0.25">
      <c r="A2162" t="s">
        <v>12793</v>
      </c>
      <c r="B2162" s="1">
        <v>45919</v>
      </c>
      <c r="C2162" t="s">
        <v>12882</v>
      </c>
      <c r="D2162" s="5">
        <v>8.6030092592592589E-2</v>
      </c>
      <c r="E2162">
        <v>39.869999999999997</v>
      </c>
      <c r="F2162" t="s">
        <v>44</v>
      </c>
      <c r="G2162" t="s">
        <v>5300</v>
      </c>
      <c r="H2162" t="s">
        <v>22</v>
      </c>
      <c r="I2162" t="s">
        <v>58</v>
      </c>
      <c r="J2162" t="s">
        <v>12794</v>
      </c>
      <c r="K2162">
        <v>44</v>
      </c>
      <c r="L2162" t="s">
        <v>49</v>
      </c>
      <c r="M2162" t="s">
        <v>35</v>
      </c>
      <c r="N2162" t="s">
        <v>39</v>
      </c>
      <c r="O2162" t="s">
        <v>28</v>
      </c>
      <c r="P2162" t="s">
        <v>31</v>
      </c>
      <c r="Q2162">
        <v>0</v>
      </c>
      <c r="R2162" t="s">
        <v>12883</v>
      </c>
      <c r="S2162" t="s">
        <v>12886</v>
      </c>
    </row>
    <row r="2163" spans="1:19" x14ac:dyDescent="0.25">
      <c r="A2163" t="s">
        <v>1621</v>
      </c>
      <c r="B2163" s="1">
        <v>45852</v>
      </c>
      <c r="C2163" t="s">
        <v>12885</v>
      </c>
      <c r="D2163" s="5">
        <v>0.22399305555555554</v>
      </c>
      <c r="E2163">
        <v>39.700000000000003</v>
      </c>
      <c r="F2163" t="s">
        <v>44</v>
      </c>
      <c r="G2163" t="s">
        <v>1622</v>
      </c>
      <c r="H2163" t="s">
        <v>124</v>
      </c>
      <c r="I2163" t="s">
        <v>23</v>
      </c>
      <c r="J2163" t="s">
        <v>1623</v>
      </c>
      <c r="K2163">
        <v>66</v>
      </c>
      <c r="L2163" t="s">
        <v>25</v>
      </c>
      <c r="M2163" t="s">
        <v>248</v>
      </c>
      <c r="N2163" t="s">
        <v>27</v>
      </c>
      <c r="O2163" t="s">
        <v>28</v>
      </c>
      <c r="P2163" t="s">
        <v>31</v>
      </c>
      <c r="Q2163">
        <v>0</v>
      </c>
      <c r="R2163" t="s">
        <v>12883</v>
      </c>
      <c r="S2163" t="s">
        <v>12884</v>
      </c>
    </row>
    <row r="2164" spans="1:19" x14ac:dyDescent="0.25">
      <c r="A2164" t="s">
        <v>11746</v>
      </c>
      <c r="B2164" s="1">
        <v>45911</v>
      </c>
      <c r="C2164" t="s">
        <v>12882</v>
      </c>
      <c r="D2164" s="5">
        <v>0.56961805555555556</v>
      </c>
      <c r="E2164">
        <v>39.24</v>
      </c>
      <c r="F2164" t="s">
        <v>44</v>
      </c>
      <c r="G2164" t="s">
        <v>6851</v>
      </c>
      <c r="H2164" t="s">
        <v>22</v>
      </c>
      <c r="I2164" t="s">
        <v>248</v>
      </c>
      <c r="J2164" t="s">
        <v>11747</v>
      </c>
      <c r="K2164">
        <v>65</v>
      </c>
      <c r="L2164" t="s">
        <v>49</v>
      </c>
      <c r="M2164" t="s">
        <v>248</v>
      </c>
      <c r="N2164" t="s">
        <v>27</v>
      </c>
      <c r="O2164" t="s">
        <v>113</v>
      </c>
      <c r="P2164" t="s">
        <v>31</v>
      </c>
      <c r="Q2164">
        <v>0</v>
      </c>
      <c r="R2164" t="s">
        <v>12883</v>
      </c>
      <c r="S2164" t="s">
        <v>12884</v>
      </c>
    </row>
    <row r="2165" spans="1:19" x14ac:dyDescent="0.25">
      <c r="A2165" t="s">
        <v>1949</v>
      </c>
      <c r="B2165" s="1">
        <v>45818</v>
      </c>
      <c r="C2165" t="s">
        <v>12888</v>
      </c>
      <c r="D2165" s="5">
        <v>3.1446759259259258E-2</v>
      </c>
      <c r="E2165">
        <v>39.18</v>
      </c>
      <c r="F2165" t="s">
        <v>44</v>
      </c>
      <c r="G2165" t="s">
        <v>1950</v>
      </c>
      <c r="H2165" t="s">
        <v>46</v>
      </c>
      <c r="I2165" t="s">
        <v>248</v>
      </c>
      <c r="J2165" t="s">
        <v>1951</v>
      </c>
      <c r="K2165">
        <v>57</v>
      </c>
      <c r="L2165" t="s">
        <v>25</v>
      </c>
      <c r="M2165" t="s">
        <v>146</v>
      </c>
      <c r="N2165" t="s">
        <v>27</v>
      </c>
      <c r="O2165" t="s">
        <v>28</v>
      </c>
      <c r="P2165" t="s">
        <v>31</v>
      </c>
      <c r="Q2165">
        <v>0</v>
      </c>
      <c r="R2165" t="s">
        <v>12883</v>
      </c>
      <c r="S2165" t="s">
        <v>12886</v>
      </c>
    </row>
    <row r="2166" spans="1:19" x14ac:dyDescent="0.25">
      <c r="A2166" t="s">
        <v>2882</v>
      </c>
      <c r="B2166" s="1">
        <v>45950</v>
      </c>
      <c r="C2166" t="s">
        <v>12890</v>
      </c>
      <c r="D2166" s="5">
        <v>0.60312500000000002</v>
      </c>
      <c r="E2166">
        <v>39.11</v>
      </c>
      <c r="F2166" t="s">
        <v>44</v>
      </c>
      <c r="G2166" t="s">
        <v>1366</v>
      </c>
      <c r="H2166" t="s">
        <v>89</v>
      </c>
      <c r="I2166" t="s">
        <v>130</v>
      </c>
      <c r="J2166" t="s">
        <v>2883</v>
      </c>
      <c r="K2166">
        <v>19</v>
      </c>
      <c r="L2166" t="s">
        <v>25</v>
      </c>
      <c r="M2166" t="s">
        <v>97</v>
      </c>
      <c r="N2166" t="s">
        <v>112</v>
      </c>
      <c r="O2166" t="s">
        <v>28</v>
      </c>
      <c r="P2166" t="s">
        <v>31</v>
      </c>
      <c r="Q2166">
        <v>0</v>
      </c>
      <c r="R2166" t="s">
        <v>12883</v>
      </c>
      <c r="S2166" t="s">
        <v>12892</v>
      </c>
    </row>
    <row r="2167" spans="1:19" x14ac:dyDescent="0.25">
      <c r="A2167" t="s">
        <v>276</v>
      </c>
      <c r="B2167" s="1">
        <v>45858</v>
      </c>
      <c r="C2167" t="s">
        <v>12885</v>
      </c>
      <c r="D2167" s="5">
        <v>0.13920138888888889</v>
      </c>
      <c r="E2167">
        <v>38.96</v>
      </c>
      <c r="F2167" t="s">
        <v>44</v>
      </c>
      <c r="G2167" t="s">
        <v>277</v>
      </c>
      <c r="H2167" t="s">
        <v>57</v>
      </c>
      <c r="I2167" t="s">
        <v>58</v>
      </c>
      <c r="J2167" t="s">
        <v>278</v>
      </c>
      <c r="K2167">
        <v>63</v>
      </c>
      <c r="L2167" t="s">
        <v>25</v>
      </c>
      <c r="M2167" t="s">
        <v>66</v>
      </c>
      <c r="N2167" t="s">
        <v>39</v>
      </c>
      <c r="O2167" t="s">
        <v>28</v>
      </c>
      <c r="P2167" t="s">
        <v>31</v>
      </c>
      <c r="Q2167">
        <v>0</v>
      </c>
      <c r="R2167" t="s">
        <v>12883</v>
      </c>
      <c r="S2167" t="s">
        <v>12884</v>
      </c>
    </row>
    <row r="2168" spans="1:19" x14ac:dyDescent="0.25">
      <c r="A2168" t="s">
        <v>1295</v>
      </c>
      <c r="B2168" s="1">
        <v>45848</v>
      </c>
      <c r="C2168" t="s">
        <v>12885</v>
      </c>
      <c r="D2168" s="5">
        <v>0.84418981481481481</v>
      </c>
      <c r="E2168">
        <v>38.729999999999997</v>
      </c>
      <c r="F2168" t="s">
        <v>44</v>
      </c>
      <c r="G2168" t="s">
        <v>1296</v>
      </c>
      <c r="H2168" t="s">
        <v>96</v>
      </c>
      <c r="I2168" t="s">
        <v>50</v>
      </c>
      <c r="J2168" t="s">
        <v>1297</v>
      </c>
      <c r="K2168">
        <v>41</v>
      </c>
      <c r="L2168" t="s">
        <v>25</v>
      </c>
      <c r="M2168" t="s">
        <v>47</v>
      </c>
      <c r="N2168" t="s">
        <v>105</v>
      </c>
      <c r="O2168" t="s">
        <v>28</v>
      </c>
      <c r="P2168" t="s">
        <v>31</v>
      </c>
      <c r="Q2168">
        <v>0</v>
      </c>
      <c r="R2168" t="s">
        <v>12883</v>
      </c>
      <c r="S2168" t="s">
        <v>12886</v>
      </c>
    </row>
    <row r="2169" spans="1:19" x14ac:dyDescent="0.25">
      <c r="A2169" t="s">
        <v>9088</v>
      </c>
      <c r="B2169" s="1">
        <v>45891</v>
      </c>
      <c r="C2169" t="s">
        <v>12893</v>
      </c>
      <c r="D2169" s="5">
        <v>0.34126157407407409</v>
      </c>
      <c r="E2169">
        <v>38.44</v>
      </c>
      <c r="F2169" t="s">
        <v>44</v>
      </c>
      <c r="G2169" t="s">
        <v>2612</v>
      </c>
      <c r="H2169" t="s">
        <v>57</v>
      </c>
      <c r="I2169" t="s">
        <v>38</v>
      </c>
      <c r="J2169" t="s">
        <v>9089</v>
      </c>
      <c r="K2169">
        <v>68</v>
      </c>
      <c r="L2169" t="s">
        <v>25</v>
      </c>
      <c r="M2169" t="s">
        <v>97</v>
      </c>
      <c r="N2169" t="s">
        <v>39</v>
      </c>
      <c r="O2169" t="s">
        <v>28</v>
      </c>
      <c r="P2169" t="s">
        <v>31</v>
      </c>
      <c r="Q2169">
        <v>0</v>
      </c>
      <c r="R2169" t="s">
        <v>12883</v>
      </c>
      <c r="S2169" t="s">
        <v>12884</v>
      </c>
    </row>
    <row r="2170" spans="1:19" x14ac:dyDescent="0.25">
      <c r="A2170" t="s">
        <v>1340</v>
      </c>
      <c r="B2170" s="1">
        <v>45792</v>
      </c>
      <c r="C2170" t="s">
        <v>12887</v>
      </c>
      <c r="D2170" s="5">
        <v>0.78226851851851853</v>
      </c>
      <c r="E2170">
        <v>38.29</v>
      </c>
      <c r="F2170" t="s">
        <v>44</v>
      </c>
      <c r="G2170" t="s">
        <v>1341</v>
      </c>
      <c r="H2170" t="s">
        <v>22</v>
      </c>
      <c r="I2170" t="s">
        <v>119</v>
      </c>
      <c r="J2170" t="s">
        <v>1342</v>
      </c>
      <c r="K2170">
        <v>74</v>
      </c>
      <c r="L2170" t="s">
        <v>25</v>
      </c>
      <c r="M2170" t="s">
        <v>26</v>
      </c>
      <c r="N2170" t="s">
        <v>39</v>
      </c>
      <c r="O2170" t="s">
        <v>28</v>
      </c>
      <c r="P2170" t="s">
        <v>31</v>
      </c>
      <c r="Q2170">
        <v>0</v>
      </c>
      <c r="R2170" t="s">
        <v>12883</v>
      </c>
      <c r="S2170" t="s">
        <v>12884</v>
      </c>
    </row>
    <row r="2171" spans="1:19" x14ac:dyDescent="0.25">
      <c r="A2171" t="s">
        <v>8334</v>
      </c>
      <c r="B2171" s="1">
        <v>45800</v>
      </c>
      <c r="C2171" t="s">
        <v>12887</v>
      </c>
      <c r="D2171" s="5">
        <v>0.48989583333333331</v>
      </c>
      <c r="E2171">
        <v>38.090000000000003</v>
      </c>
      <c r="F2171" t="s">
        <v>44</v>
      </c>
      <c r="G2171" t="s">
        <v>349</v>
      </c>
      <c r="H2171" t="s">
        <v>57</v>
      </c>
      <c r="I2171" t="s">
        <v>110</v>
      </c>
      <c r="J2171" t="s">
        <v>8335</v>
      </c>
      <c r="K2171">
        <v>21</v>
      </c>
      <c r="L2171" t="s">
        <v>37</v>
      </c>
      <c r="M2171" t="s">
        <v>97</v>
      </c>
      <c r="N2171" t="s">
        <v>84</v>
      </c>
      <c r="O2171" t="s">
        <v>28</v>
      </c>
      <c r="P2171" t="s">
        <v>31</v>
      </c>
      <c r="Q2171">
        <v>0</v>
      </c>
      <c r="R2171" t="s">
        <v>12883</v>
      </c>
      <c r="S2171" t="s">
        <v>12892</v>
      </c>
    </row>
    <row r="2172" spans="1:19" x14ac:dyDescent="0.25">
      <c r="A2172" t="s">
        <v>1242</v>
      </c>
      <c r="B2172" s="1">
        <v>45848</v>
      </c>
      <c r="C2172" t="s">
        <v>12885</v>
      </c>
      <c r="D2172" s="5">
        <v>0.45781250000000001</v>
      </c>
      <c r="E2172">
        <v>38.020000000000003</v>
      </c>
      <c r="F2172" t="s">
        <v>44</v>
      </c>
      <c r="G2172" t="s">
        <v>649</v>
      </c>
      <c r="H2172" t="s">
        <v>71</v>
      </c>
      <c r="I2172" t="s">
        <v>110</v>
      </c>
      <c r="J2172" t="s">
        <v>1243</v>
      </c>
      <c r="K2172">
        <v>18</v>
      </c>
      <c r="L2172" t="s">
        <v>49</v>
      </c>
      <c r="M2172" t="s">
        <v>91</v>
      </c>
      <c r="N2172" t="s">
        <v>112</v>
      </c>
      <c r="O2172" t="s">
        <v>28</v>
      </c>
      <c r="P2172" t="s">
        <v>31</v>
      </c>
      <c r="Q2172">
        <v>0</v>
      </c>
      <c r="R2172" t="s">
        <v>12883</v>
      </c>
      <c r="S2172" t="s">
        <v>12892</v>
      </c>
    </row>
    <row r="2173" spans="1:19" x14ac:dyDescent="0.25">
      <c r="A2173" t="s">
        <v>7382</v>
      </c>
      <c r="B2173" s="1">
        <v>45935</v>
      </c>
      <c r="C2173" t="s">
        <v>12890</v>
      </c>
      <c r="D2173" s="5">
        <v>0.12508101851851852</v>
      </c>
      <c r="E2173">
        <v>38.01</v>
      </c>
      <c r="F2173" t="s">
        <v>44</v>
      </c>
      <c r="G2173" t="s">
        <v>2603</v>
      </c>
      <c r="H2173" t="s">
        <v>71</v>
      </c>
      <c r="I2173" t="s">
        <v>91</v>
      </c>
      <c r="J2173" t="s">
        <v>7383</v>
      </c>
      <c r="K2173">
        <v>45</v>
      </c>
      <c r="L2173" t="s">
        <v>49</v>
      </c>
      <c r="M2173" t="s">
        <v>47</v>
      </c>
      <c r="N2173" t="s">
        <v>39</v>
      </c>
      <c r="O2173" t="s">
        <v>28</v>
      </c>
      <c r="P2173" t="s">
        <v>31</v>
      </c>
      <c r="Q2173">
        <v>0</v>
      </c>
      <c r="R2173" t="s">
        <v>12883</v>
      </c>
      <c r="S2173" t="s">
        <v>12886</v>
      </c>
    </row>
    <row r="2174" spans="1:19" x14ac:dyDescent="0.25">
      <c r="A2174" t="s">
        <v>1058</v>
      </c>
      <c r="B2174" s="1">
        <v>45817</v>
      </c>
      <c r="C2174" t="s">
        <v>12888</v>
      </c>
      <c r="D2174" s="5">
        <v>0.73246527777777781</v>
      </c>
      <c r="E2174">
        <v>37.92</v>
      </c>
      <c r="F2174" t="s">
        <v>44</v>
      </c>
      <c r="G2174" t="s">
        <v>777</v>
      </c>
      <c r="H2174" t="s">
        <v>34</v>
      </c>
      <c r="I2174" t="s">
        <v>97</v>
      </c>
      <c r="J2174" t="s">
        <v>1059</v>
      </c>
      <c r="K2174">
        <v>21</v>
      </c>
      <c r="L2174" t="s">
        <v>37</v>
      </c>
      <c r="M2174" t="s">
        <v>146</v>
      </c>
      <c r="N2174" t="s">
        <v>51</v>
      </c>
      <c r="O2174" t="s">
        <v>28</v>
      </c>
      <c r="P2174" t="s">
        <v>31</v>
      </c>
      <c r="Q2174">
        <v>0</v>
      </c>
      <c r="R2174" t="s">
        <v>12883</v>
      </c>
      <c r="S2174" t="s">
        <v>12892</v>
      </c>
    </row>
    <row r="2175" spans="1:19" x14ac:dyDescent="0.25">
      <c r="A2175" t="s">
        <v>3547</v>
      </c>
      <c r="B2175" s="1">
        <v>45834</v>
      </c>
      <c r="C2175" t="s">
        <v>12888</v>
      </c>
      <c r="D2175" s="5">
        <v>0.5614351851851852</v>
      </c>
      <c r="E2175">
        <v>37.78</v>
      </c>
      <c r="F2175" t="s">
        <v>44</v>
      </c>
      <c r="G2175" t="s">
        <v>3548</v>
      </c>
      <c r="H2175" t="s">
        <v>124</v>
      </c>
      <c r="I2175" t="s">
        <v>91</v>
      </c>
      <c r="J2175" t="s">
        <v>3549</v>
      </c>
      <c r="K2175">
        <v>27</v>
      </c>
      <c r="L2175" t="s">
        <v>37</v>
      </c>
      <c r="M2175" t="s">
        <v>23</v>
      </c>
      <c r="N2175" t="s">
        <v>39</v>
      </c>
      <c r="O2175" t="s">
        <v>28</v>
      </c>
      <c r="P2175" t="s">
        <v>31</v>
      </c>
      <c r="Q2175">
        <v>0</v>
      </c>
      <c r="R2175" t="s">
        <v>12883</v>
      </c>
      <c r="S2175" t="s">
        <v>12889</v>
      </c>
    </row>
    <row r="2176" spans="1:19" x14ac:dyDescent="0.25">
      <c r="A2176" t="s">
        <v>11981</v>
      </c>
      <c r="B2176" s="1">
        <v>45793</v>
      </c>
      <c r="C2176" t="s">
        <v>12887</v>
      </c>
      <c r="D2176" s="5">
        <v>0.83488425925925924</v>
      </c>
      <c r="E2176">
        <v>37.770000000000003</v>
      </c>
      <c r="F2176" t="s">
        <v>44</v>
      </c>
      <c r="G2176" t="s">
        <v>5624</v>
      </c>
      <c r="H2176" t="s">
        <v>22</v>
      </c>
      <c r="I2176" t="s">
        <v>248</v>
      </c>
      <c r="J2176" t="s">
        <v>11982</v>
      </c>
      <c r="K2176">
        <v>35</v>
      </c>
      <c r="L2176" t="s">
        <v>49</v>
      </c>
      <c r="M2176" t="s">
        <v>119</v>
      </c>
      <c r="N2176" t="s">
        <v>27</v>
      </c>
      <c r="O2176" t="s">
        <v>28</v>
      </c>
      <c r="P2176" t="s">
        <v>31</v>
      </c>
      <c r="Q2176">
        <v>0</v>
      </c>
      <c r="R2176" t="s">
        <v>12883</v>
      </c>
      <c r="S2176" t="s">
        <v>12889</v>
      </c>
    </row>
    <row r="2177" spans="1:19" x14ac:dyDescent="0.25">
      <c r="A2177" t="s">
        <v>3788</v>
      </c>
      <c r="B2177" s="1">
        <v>45845</v>
      </c>
      <c r="C2177" t="s">
        <v>12885</v>
      </c>
      <c r="D2177" s="5">
        <v>0.51181712962962966</v>
      </c>
      <c r="E2177">
        <v>37.65</v>
      </c>
      <c r="F2177" t="s">
        <v>44</v>
      </c>
      <c r="G2177" t="s">
        <v>3789</v>
      </c>
      <c r="H2177" t="s">
        <v>46</v>
      </c>
      <c r="I2177" t="s">
        <v>97</v>
      </c>
      <c r="J2177" t="s">
        <v>3790</v>
      </c>
      <c r="K2177">
        <v>45</v>
      </c>
      <c r="L2177" t="s">
        <v>37</v>
      </c>
      <c r="M2177" t="s">
        <v>119</v>
      </c>
      <c r="N2177" t="s">
        <v>105</v>
      </c>
      <c r="O2177" t="s">
        <v>28</v>
      </c>
      <c r="P2177" t="s">
        <v>31</v>
      </c>
      <c r="Q2177">
        <v>0</v>
      </c>
      <c r="R2177" t="s">
        <v>12883</v>
      </c>
      <c r="S2177" t="s">
        <v>12886</v>
      </c>
    </row>
    <row r="2178" spans="1:19" x14ac:dyDescent="0.25">
      <c r="A2178" t="s">
        <v>5570</v>
      </c>
      <c r="B2178" s="1">
        <v>45836</v>
      </c>
      <c r="C2178" t="s">
        <v>12888</v>
      </c>
      <c r="D2178" s="5">
        <v>0.23581018518518518</v>
      </c>
      <c r="E2178">
        <v>37.549999999999997</v>
      </c>
      <c r="F2178" t="s">
        <v>44</v>
      </c>
      <c r="G2178" t="s">
        <v>2810</v>
      </c>
      <c r="H2178" t="s">
        <v>46</v>
      </c>
      <c r="I2178" t="s">
        <v>66</v>
      </c>
      <c r="J2178" t="s">
        <v>5571</v>
      </c>
      <c r="K2178">
        <v>66</v>
      </c>
      <c r="L2178" t="s">
        <v>25</v>
      </c>
      <c r="M2178" t="s">
        <v>97</v>
      </c>
      <c r="N2178" t="s">
        <v>27</v>
      </c>
      <c r="O2178" t="s">
        <v>28</v>
      </c>
      <c r="P2178" t="s">
        <v>31</v>
      </c>
      <c r="Q2178">
        <v>0</v>
      </c>
      <c r="R2178" t="s">
        <v>12883</v>
      </c>
      <c r="S2178" t="s">
        <v>12884</v>
      </c>
    </row>
    <row r="2179" spans="1:19" x14ac:dyDescent="0.25">
      <c r="A2179" t="s">
        <v>12473</v>
      </c>
      <c r="B2179" s="1">
        <v>45870</v>
      </c>
      <c r="C2179" t="s">
        <v>12893</v>
      </c>
      <c r="D2179" s="5">
        <v>0.18230324074074075</v>
      </c>
      <c r="E2179">
        <v>37.5</v>
      </c>
      <c r="F2179" t="s">
        <v>44</v>
      </c>
      <c r="G2179" t="s">
        <v>814</v>
      </c>
      <c r="H2179" t="s">
        <v>71</v>
      </c>
      <c r="I2179" t="s">
        <v>66</v>
      </c>
      <c r="J2179" t="s">
        <v>12474</v>
      </c>
      <c r="K2179">
        <v>66</v>
      </c>
      <c r="L2179" t="s">
        <v>49</v>
      </c>
      <c r="M2179" t="s">
        <v>66</v>
      </c>
      <c r="N2179" t="s">
        <v>39</v>
      </c>
      <c r="O2179" t="s">
        <v>113</v>
      </c>
      <c r="P2179" t="s">
        <v>31</v>
      </c>
      <c r="Q2179">
        <v>0</v>
      </c>
      <c r="R2179" t="s">
        <v>12883</v>
      </c>
      <c r="S2179" t="s">
        <v>12884</v>
      </c>
    </row>
    <row r="2180" spans="1:19" x14ac:dyDescent="0.25">
      <c r="A2180" t="s">
        <v>7181</v>
      </c>
      <c r="B2180" s="1">
        <v>45959</v>
      </c>
      <c r="C2180" t="s">
        <v>12890</v>
      </c>
      <c r="D2180" s="5">
        <v>0.53840277777777779</v>
      </c>
      <c r="E2180">
        <v>37.33</v>
      </c>
      <c r="F2180" t="s">
        <v>44</v>
      </c>
      <c r="G2180" t="s">
        <v>7182</v>
      </c>
      <c r="H2180" t="s">
        <v>71</v>
      </c>
      <c r="I2180" t="s">
        <v>91</v>
      </c>
      <c r="J2180" t="s">
        <v>7183</v>
      </c>
      <c r="K2180">
        <v>36</v>
      </c>
      <c r="L2180" t="s">
        <v>49</v>
      </c>
      <c r="M2180" t="s">
        <v>91</v>
      </c>
      <c r="N2180" t="s">
        <v>84</v>
      </c>
      <c r="O2180" t="s">
        <v>113</v>
      </c>
      <c r="P2180" t="s">
        <v>31</v>
      </c>
      <c r="Q2180">
        <v>0</v>
      </c>
      <c r="R2180" t="s">
        <v>12883</v>
      </c>
      <c r="S2180" t="s">
        <v>12889</v>
      </c>
    </row>
    <row r="2181" spans="1:19" x14ac:dyDescent="0.25">
      <c r="A2181" t="s">
        <v>5577</v>
      </c>
      <c r="B2181" s="1">
        <v>45923</v>
      </c>
      <c r="C2181" t="s">
        <v>12882</v>
      </c>
      <c r="D2181" s="5">
        <v>1.8275462962962962E-2</v>
      </c>
      <c r="E2181">
        <v>37.31</v>
      </c>
      <c r="F2181" t="s">
        <v>44</v>
      </c>
      <c r="G2181" t="s">
        <v>849</v>
      </c>
      <c r="H2181" t="s">
        <v>77</v>
      </c>
      <c r="I2181" t="s">
        <v>26</v>
      </c>
      <c r="J2181" t="s">
        <v>5578</v>
      </c>
      <c r="K2181">
        <v>51</v>
      </c>
      <c r="L2181" t="s">
        <v>49</v>
      </c>
      <c r="M2181" t="s">
        <v>66</v>
      </c>
      <c r="N2181" t="s">
        <v>51</v>
      </c>
      <c r="O2181" t="s">
        <v>28</v>
      </c>
      <c r="P2181" t="s">
        <v>31</v>
      </c>
      <c r="Q2181">
        <v>0</v>
      </c>
      <c r="R2181" t="s">
        <v>12883</v>
      </c>
      <c r="S2181" t="s">
        <v>12886</v>
      </c>
    </row>
    <row r="2182" spans="1:19" x14ac:dyDescent="0.25">
      <c r="A2182" t="s">
        <v>1320</v>
      </c>
      <c r="B2182" s="1">
        <v>45863</v>
      </c>
      <c r="C2182" t="s">
        <v>12885</v>
      </c>
      <c r="D2182" s="5">
        <v>0.39870370370370373</v>
      </c>
      <c r="E2182">
        <v>37.28</v>
      </c>
      <c r="F2182" t="s">
        <v>44</v>
      </c>
      <c r="G2182" t="s">
        <v>1321</v>
      </c>
      <c r="H2182" t="s">
        <v>34</v>
      </c>
      <c r="I2182" t="s">
        <v>38</v>
      </c>
      <c r="J2182" t="s">
        <v>1322</v>
      </c>
      <c r="K2182">
        <v>58</v>
      </c>
      <c r="L2182" t="s">
        <v>25</v>
      </c>
      <c r="M2182" t="s">
        <v>119</v>
      </c>
      <c r="N2182" t="s">
        <v>105</v>
      </c>
      <c r="O2182" t="s">
        <v>28</v>
      </c>
      <c r="P2182" t="s">
        <v>31</v>
      </c>
      <c r="Q2182">
        <v>0</v>
      </c>
      <c r="R2182" t="s">
        <v>12883</v>
      </c>
      <c r="S2182" t="s">
        <v>12886</v>
      </c>
    </row>
    <row r="2183" spans="1:19" x14ac:dyDescent="0.25">
      <c r="A2183" t="s">
        <v>1128</v>
      </c>
      <c r="B2183" s="1">
        <v>45846</v>
      </c>
      <c r="C2183" t="s">
        <v>12885</v>
      </c>
      <c r="D2183" s="5">
        <v>0.17906250000000001</v>
      </c>
      <c r="E2183">
        <v>37.119999999999997</v>
      </c>
      <c r="F2183" t="s">
        <v>44</v>
      </c>
      <c r="G2183" t="s">
        <v>768</v>
      </c>
      <c r="H2183" t="s">
        <v>22</v>
      </c>
      <c r="I2183" t="s">
        <v>58</v>
      </c>
      <c r="J2183" t="s">
        <v>1129</v>
      </c>
      <c r="K2183">
        <v>19</v>
      </c>
      <c r="L2183" t="s">
        <v>49</v>
      </c>
      <c r="M2183" t="s">
        <v>38</v>
      </c>
      <c r="N2183" t="s">
        <v>105</v>
      </c>
      <c r="O2183" t="s">
        <v>28</v>
      </c>
      <c r="P2183" t="s">
        <v>31</v>
      </c>
      <c r="Q2183">
        <v>0</v>
      </c>
      <c r="R2183" t="s">
        <v>12883</v>
      </c>
      <c r="S2183" t="s">
        <v>12892</v>
      </c>
    </row>
    <row r="2184" spans="1:19" x14ac:dyDescent="0.25">
      <c r="A2184" t="s">
        <v>8259</v>
      </c>
      <c r="B2184" s="1">
        <v>45810</v>
      </c>
      <c r="C2184" t="s">
        <v>12888</v>
      </c>
      <c r="D2184" s="5">
        <v>0.20780092592592592</v>
      </c>
      <c r="E2184">
        <v>37.07</v>
      </c>
      <c r="F2184" t="s">
        <v>44</v>
      </c>
      <c r="G2184" t="s">
        <v>4473</v>
      </c>
      <c r="H2184" t="s">
        <v>46</v>
      </c>
      <c r="I2184" t="s">
        <v>47</v>
      </c>
      <c r="J2184" t="s">
        <v>8260</v>
      </c>
      <c r="K2184">
        <v>47</v>
      </c>
      <c r="L2184" t="s">
        <v>37</v>
      </c>
      <c r="M2184" t="s">
        <v>146</v>
      </c>
      <c r="N2184" t="s">
        <v>27</v>
      </c>
      <c r="O2184" t="s">
        <v>28</v>
      </c>
      <c r="P2184" t="s">
        <v>31</v>
      </c>
      <c r="Q2184">
        <v>0</v>
      </c>
      <c r="R2184" t="s">
        <v>12883</v>
      </c>
      <c r="S2184" t="s">
        <v>12886</v>
      </c>
    </row>
    <row r="2185" spans="1:19" x14ac:dyDescent="0.25">
      <c r="A2185" t="s">
        <v>9933</v>
      </c>
      <c r="B2185" s="1">
        <v>45918</v>
      </c>
      <c r="C2185" t="s">
        <v>12882</v>
      </c>
      <c r="D2185" s="5">
        <v>0.30846064814814816</v>
      </c>
      <c r="E2185">
        <v>37.049999999999997</v>
      </c>
      <c r="F2185" t="s">
        <v>44</v>
      </c>
      <c r="G2185" t="s">
        <v>5322</v>
      </c>
      <c r="H2185" t="s">
        <v>34</v>
      </c>
      <c r="I2185" t="s">
        <v>38</v>
      </c>
      <c r="J2185" t="s">
        <v>9934</v>
      </c>
      <c r="K2185">
        <v>45</v>
      </c>
      <c r="L2185" t="s">
        <v>49</v>
      </c>
      <c r="M2185" t="s">
        <v>248</v>
      </c>
      <c r="N2185" t="s">
        <v>39</v>
      </c>
      <c r="O2185" t="s">
        <v>28</v>
      </c>
      <c r="P2185" t="s">
        <v>31</v>
      </c>
      <c r="Q2185">
        <v>0</v>
      </c>
      <c r="R2185" t="s">
        <v>12883</v>
      </c>
      <c r="S2185" t="s">
        <v>12886</v>
      </c>
    </row>
    <row r="2186" spans="1:19" x14ac:dyDescent="0.25">
      <c r="A2186" t="s">
        <v>9996</v>
      </c>
      <c r="B2186" s="1">
        <v>45910</v>
      </c>
      <c r="C2186" t="s">
        <v>12882</v>
      </c>
      <c r="D2186" s="5">
        <v>0.61241898148148144</v>
      </c>
      <c r="E2186">
        <v>36.97</v>
      </c>
      <c r="F2186" t="s">
        <v>44</v>
      </c>
      <c r="G2186" t="s">
        <v>4756</v>
      </c>
      <c r="H2186" t="s">
        <v>89</v>
      </c>
      <c r="I2186" t="s">
        <v>26</v>
      </c>
      <c r="J2186" t="s">
        <v>9997</v>
      </c>
      <c r="K2186">
        <v>46</v>
      </c>
      <c r="L2186" t="s">
        <v>25</v>
      </c>
      <c r="M2186" t="s">
        <v>50</v>
      </c>
      <c r="N2186" t="s">
        <v>39</v>
      </c>
      <c r="O2186" t="s">
        <v>28</v>
      </c>
      <c r="P2186" t="s">
        <v>31</v>
      </c>
      <c r="Q2186">
        <v>0</v>
      </c>
      <c r="R2186" t="s">
        <v>12883</v>
      </c>
      <c r="S2186" t="s">
        <v>12886</v>
      </c>
    </row>
    <row r="2187" spans="1:19" x14ac:dyDescent="0.25">
      <c r="A2187" t="s">
        <v>7776</v>
      </c>
      <c r="B2187" s="1">
        <v>45904</v>
      </c>
      <c r="C2187" t="s">
        <v>12882</v>
      </c>
      <c r="D2187" s="5">
        <v>0.59894675925925922</v>
      </c>
      <c r="E2187">
        <v>36.85</v>
      </c>
      <c r="F2187" t="s">
        <v>44</v>
      </c>
      <c r="G2187" t="s">
        <v>2561</v>
      </c>
      <c r="H2187" t="s">
        <v>57</v>
      </c>
      <c r="I2187" t="s">
        <v>35</v>
      </c>
      <c r="J2187" t="s">
        <v>7777</v>
      </c>
      <c r="K2187">
        <v>18</v>
      </c>
      <c r="L2187" t="s">
        <v>49</v>
      </c>
      <c r="M2187" t="s">
        <v>119</v>
      </c>
      <c r="N2187" t="s">
        <v>105</v>
      </c>
      <c r="O2187" t="s">
        <v>28</v>
      </c>
      <c r="P2187" t="s">
        <v>31</v>
      </c>
      <c r="Q2187">
        <v>0</v>
      </c>
      <c r="R2187" t="s">
        <v>12883</v>
      </c>
      <c r="S2187" t="s">
        <v>12892</v>
      </c>
    </row>
    <row r="2188" spans="1:19" x14ac:dyDescent="0.25">
      <c r="A2188" t="s">
        <v>10031</v>
      </c>
      <c r="B2188" s="1">
        <v>45902</v>
      </c>
      <c r="C2188" t="s">
        <v>12882</v>
      </c>
      <c r="D2188" s="5">
        <v>0.31253472222222223</v>
      </c>
      <c r="E2188">
        <v>36.83</v>
      </c>
      <c r="F2188" t="s">
        <v>44</v>
      </c>
      <c r="G2188" t="s">
        <v>903</v>
      </c>
      <c r="H2188" t="s">
        <v>34</v>
      </c>
      <c r="I2188" t="s">
        <v>97</v>
      </c>
      <c r="J2188" t="s">
        <v>10032</v>
      </c>
      <c r="K2188">
        <v>61</v>
      </c>
      <c r="L2188" t="s">
        <v>37</v>
      </c>
      <c r="M2188" t="s">
        <v>58</v>
      </c>
      <c r="N2188" t="s">
        <v>51</v>
      </c>
      <c r="O2188" t="s">
        <v>28</v>
      </c>
      <c r="P2188" t="s">
        <v>31</v>
      </c>
      <c r="Q2188">
        <v>0</v>
      </c>
      <c r="R2188" t="s">
        <v>12883</v>
      </c>
      <c r="S2188" t="s">
        <v>12884</v>
      </c>
    </row>
    <row r="2189" spans="1:19" x14ac:dyDescent="0.25">
      <c r="A2189" t="s">
        <v>4271</v>
      </c>
      <c r="B2189" s="1">
        <v>45842</v>
      </c>
      <c r="C2189" t="s">
        <v>12885</v>
      </c>
      <c r="D2189" s="5">
        <v>0.58715277777777775</v>
      </c>
      <c r="E2189">
        <v>36.67</v>
      </c>
      <c r="F2189" t="s">
        <v>44</v>
      </c>
      <c r="G2189" t="s">
        <v>2846</v>
      </c>
      <c r="H2189" t="s">
        <v>34</v>
      </c>
      <c r="I2189" t="s">
        <v>58</v>
      </c>
      <c r="J2189" t="s">
        <v>4272</v>
      </c>
      <c r="K2189">
        <v>42</v>
      </c>
      <c r="L2189" t="s">
        <v>49</v>
      </c>
      <c r="M2189" t="s">
        <v>119</v>
      </c>
      <c r="N2189" t="s">
        <v>27</v>
      </c>
      <c r="O2189" t="s">
        <v>28</v>
      </c>
      <c r="P2189" t="s">
        <v>31</v>
      </c>
      <c r="Q2189">
        <v>0</v>
      </c>
      <c r="R2189" t="s">
        <v>12883</v>
      </c>
      <c r="S2189" t="s">
        <v>12886</v>
      </c>
    </row>
    <row r="2190" spans="1:19" x14ac:dyDescent="0.25">
      <c r="A2190" t="s">
        <v>2204</v>
      </c>
      <c r="B2190" s="1">
        <v>45906</v>
      </c>
      <c r="C2190" t="s">
        <v>12882</v>
      </c>
      <c r="D2190" s="5">
        <v>0.92483796296296295</v>
      </c>
      <c r="E2190">
        <v>36.450000000000003</v>
      </c>
      <c r="F2190" t="s">
        <v>44</v>
      </c>
      <c r="G2190" t="s">
        <v>718</v>
      </c>
      <c r="H2190" t="s">
        <v>34</v>
      </c>
      <c r="I2190" t="s">
        <v>91</v>
      </c>
      <c r="J2190" t="s">
        <v>2205</v>
      </c>
      <c r="K2190">
        <v>47</v>
      </c>
      <c r="L2190" t="s">
        <v>49</v>
      </c>
      <c r="M2190" t="s">
        <v>119</v>
      </c>
      <c r="N2190" t="s">
        <v>51</v>
      </c>
      <c r="O2190" t="s">
        <v>28</v>
      </c>
      <c r="P2190" t="s">
        <v>31</v>
      </c>
      <c r="Q2190">
        <v>0</v>
      </c>
      <c r="R2190" t="s">
        <v>12883</v>
      </c>
      <c r="S2190" t="s">
        <v>12886</v>
      </c>
    </row>
    <row r="2191" spans="1:19" x14ac:dyDescent="0.25">
      <c r="A2191" t="s">
        <v>9467</v>
      </c>
      <c r="B2191" s="1">
        <v>45950</v>
      </c>
      <c r="C2191" t="s">
        <v>12890</v>
      </c>
      <c r="D2191" s="5">
        <v>0.26603009259259258</v>
      </c>
      <c r="E2191">
        <v>36.409999999999997</v>
      </c>
      <c r="F2191" t="s">
        <v>44</v>
      </c>
      <c r="G2191" t="s">
        <v>9468</v>
      </c>
      <c r="H2191" t="s">
        <v>96</v>
      </c>
      <c r="I2191" t="s">
        <v>146</v>
      </c>
      <c r="J2191" t="s">
        <v>9469</v>
      </c>
      <c r="K2191">
        <v>44</v>
      </c>
      <c r="L2191" t="s">
        <v>25</v>
      </c>
      <c r="M2191" t="s">
        <v>35</v>
      </c>
      <c r="N2191" t="s">
        <v>51</v>
      </c>
      <c r="O2191" t="s">
        <v>28</v>
      </c>
      <c r="P2191" t="s">
        <v>31</v>
      </c>
      <c r="Q2191">
        <v>0</v>
      </c>
      <c r="R2191" t="s">
        <v>12883</v>
      </c>
      <c r="S2191" t="s">
        <v>12886</v>
      </c>
    </row>
    <row r="2192" spans="1:19" x14ac:dyDescent="0.25">
      <c r="A2192" t="s">
        <v>6689</v>
      </c>
      <c r="B2192" s="1">
        <v>45888</v>
      </c>
      <c r="C2192" t="s">
        <v>12893</v>
      </c>
      <c r="D2192" s="5">
        <v>0.3338888888888889</v>
      </c>
      <c r="E2192">
        <v>36.4</v>
      </c>
      <c r="F2192" t="s">
        <v>44</v>
      </c>
      <c r="G2192" t="s">
        <v>6690</v>
      </c>
      <c r="H2192" t="s">
        <v>64</v>
      </c>
      <c r="I2192" t="s">
        <v>50</v>
      </c>
      <c r="J2192" t="s">
        <v>6691</v>
      </c>
      <c r="K2192">
        <v>39</v>
      </c>
      <c r="L2192" t="s">
        <v>25</v>
      </c>
      <c r="M2192" t="s">
        <v>248</v>
      </c>
      <c r="N2192" t="s">
        <v>105</v>
      </c>
      <c r="O2192" t="s">
        <v>28</v>
      </c>
      <c r="P2192" t="s">
        <v>31</v>
      </c>
      <c r="Q2192">
        <v>0</v>
      </c>
      <c r="R2192" t="s">
        <v>12883</v>
      </c>
      <c r="S2192" t="s">
        <v>12889</v>
      </c>
    </row>
    <row r="2193" spans="1:19" x14ac:dyDescent="0.25">
      <c r="A2193" t="s">
        <v>629</v>
      </c>
      <c r="B2193" s="1">
        <v>45810</v>
      </c>
      <c r="C2193" t="s">
        <v>12888</v>
      </c>
      <c r="D2193" s="5">
        <v>0.3240972222222222</v>
      </c>
      <c r="E2193">
        <v>36.35</v>
      </c>
      <c r="F2193" t="s">
        <v>44</v>
      </c>
      <c r="G2193" t="s">
        <v>630</v>
      </c>
      <c r="H2193" t="s">
        <v>96</v>
      </c>
      <c r="I2193" t="s">
        <v>146</v>
      </c>
      <c r="J2193" t="s">
        <v>631</v>
      </c>
      <c r="K2193">
        <v>55</v>
      </c>
      <c r="L2193" t="s">
        <v>37</v>
      </c>
      <c r="M2193" t="s">
        <v>50</v>
      </c>
      <c r="N2193" t="s">
        <v>39</v>
      </c>
      <c r="O2193" t="s">
        <v>28</v>
      </c>
      <c r="P2193" t="s">
        <v>31</v>
      </c>
      <c r="Q2193">
        <v>0</v>
      </c>
      <c r="R2193" t="s">
        <v>12883</v>
      </c>
      <c r="S2193" t="s">
        <v>12886</v>
      </c>
    </row>
    <row r="2194" spans="1:19" x14ac:dyDescent="0.25">
      <c r="A2194" t="s">
        <v>10887</v>
      </c>
      <c r="B2194" s="1">
        <v>45805</v>
      </c>
      <c r="C2194" t="s">
        <v>12887</v>
      </c>
      <c r="D2194" s="5">
        <v>0.27682870370370372</v>
      </c>
      <c r="E2194">
        <v>36.33</v>
      </c>
      <c r="F2194" t="s">
        <v>44</v>
      </c>
      <c r="G2194" t="s">
        <v>5322</v>
      </c>
      <c r="H2194" t="s">
        <v>57</v>
      </c>
      <c r="I2194" t="s">
        <v>38</v>
      </c>
      <c r="J2194" t="s">
        <v>10888</v>
      </c>
      <c r="K2194">
        <v>55</v>
      </c>
      <c r="L2194" t="s">
        <v>25</v>
      </c>
      <c r="M2194" t="s">
        <v>23</v>
      </c>
      <c r="N2194" t="s">
        <v>84</v>
      </c>
      <c r="O2194" t="s">
        <v>28</v>
      </c>
      <c r="P2194" t="s">
        <v>31</v>
      </c>
      <c r="Q2194">
        <v>0</v>
      </c>
      <c r="R2194" t="s">
        <v>12883</v>
      </c>
      <c r="S2194" t="s">
        <v>12886</v>
      </c>
    </row>
    <row r="2195" spans="1:19" x14ac:dyDescent="0.25">
      <c r="A2195" t="s">
        <v>8169</v>
      </c>
      <c r="B2195" s="1">
        <v>45939</v>
      </c>
      <c r="C2195" t="s">
        <v>12890</v>
      </c>
      <c r="D2195" s="5">
        <v>0.45209490740740743</v>
      </c>
      <c r="E2195">
        <v>36.19</v>
      </c>
      <c r="F2195" t="s">
        <v>44</v>
      </c>
      <c r="G2195" t="s">
        <v>3758</v>
      </c>
      <c r="H2195" t="s">
        <v>34</v>
      </c>
      <c r="I2195" t="s">
        <v>110</v>
      </c>
      <c r="J2195" t="s">
        <v>8170</v>
      </c>
      <c r="K2195">
        <v>32</v>
      </c>
      <c r="L2195" t="s">
        <v>25</v>
      </c>
      <c r="M2195" t="s">
        <v>91</v>
      </c>
      <c r="N2195" t="s">
        <v>39</v>
      </c>
      <c r="O2195" t="s">
        <v>28</v>
      </c>
      <c r="P2195" t="s">
        <v>31</v>
      </c>
      <c r="Q2195">
        <v>0</v>
      </c>
      <c r="R2195" t="s">
        <v>12883</v>
      </c>
      <c r="S2195" t="s">
        <v>12889</v>
      </c>
    </row>
    <row r="2196" spans="1:19" x14ac:dyDescent="0.25">
      <c r="A2196" t="s">
        <v>2476</v>
      </c>
      <c r="B2196" s="1">
        <v>45896</v>
      </c>
      <c r="C2196" t="s">
        <v>12893</v>
      </c>
      <c r="D2196" s="5">
        <v>0.30453703703703705</v>
      </c>
      <c r="E2196">
        <v>36.159999999999997</v>
      </c>
      <c r="F2196" t="s">
        <v>44</v>
      </c>
      <c r="G2196" t="s">
        <v>333</v>
      </c>
      <c r="H2196" t="s">
        <v>34</v>
      </c>
      <c r="I2196" t="s">
        <v>50</v>
      </c>
      <c r="J2196" t="s">
        <v>2477</v>
      </c>
      <c r="K2196">
        <v>75</v>
      </c>
      <c r="L2196" t="s">
        <v>37</v>
      </c>
      <c r="M2196" t="s">
        <v>38</v>
      </c>
      <c r="N2196" t="s">
        <v>105</v>
      </c>
      <c r="O2196" t="s">
        <v>28</v>
      </c>
      <c r="P2196" t="s">
        <v>31</v>
      </c>
      <c r="Q2196">
        <v>0</v>
      </c>
      <c r="R2196" t="s">
        <v>12883</v>
      </c>
      <c r="S2196" t="s">
        <v>12884</v>
      </c>
    </row>
    <row r="2197" spans="1:19" x14ac:dyDescent="0.25">
      <c r="A2197" t="s">
        <v>2148</v>
      </c>
      <c r="B2197" s="1">
        <v>45913</v>
      </c>
      <c r="C2197" t="s">
        <v>12882</v>
      </c>
      <c r="D2197" s="5">
        <v>0.39928240740740739</v>
      </c>
      <c r="E2197">
        <v>36.130000000000003</v>
      </c>
      <c r="F2197" t="s">
        <v>44</v>
      </c>
      <c r="G2197" t="s">
        <v>2149</v>
      </c>
      <c r="H2197" t="s">
        <v>57</v>
      </c>
      <c r="I2197" t="s">
        <v>38</v>
      </c>
      <c r="J2197" t="s">
        <v>2150</v>
      </c>
      <c r="K2197">
        <v>73</v>
      </c>
      <c r="L2197" t="s">
        <v>37</v>
      </c>
      <c r="M2197" t="s">
        <v>26</v>
      </c>
      <c r="N2197" t="s">
        <v>112</v>
      </c>
      <c r="O2197" t="s">
        <v>28</v>
      </c>
      <c r="P2197" t="s">
        <v>31</v>
      </c>
      <c r="Q2197">
        <v>0</v>
      </c>
      <c r="R2197" t="s">
        <v>12883</v>
      </c>
      <c r="S2197" t="s">
        <v>12884</v>
      </c>
    </row>
    <row r="2198" spans="1:19" x14ac:dyDescent="0.25">
      <c r="A2198" t="s">
        <v>12130</v>
      </c>
      <c r="B2198" s="1">
        <v>45857</v>
      </c>
      <c r="C2198" t="s">
        <v>12885</v>
      </c>
      <c r="D2198" s="5">
        <v>0.63292824074074072</v>
      </c>
      <c r="E2198">
        <v>35.86</v>
      </c>
      <c r="F2198" t="s">
        <v>44</v>
      </c>
      <c r="G2198" t="s">
        <v>3243</v>
      </c>
      <c r="H2198" t="s">
        <v>89</v>
      </c>
      <c r="I2198" t="s">
        <v>47</v>
      </c>
      <c r="J2198" t="s">
        <v>12131</v>
      </c>
      <c r="K2198">
        <v>39</v>
      </c>
      <c r="L2198" t="s">
        <v>25</v>
      </c>
      <c r="M2198" t="s">
        <v>50</v>
      </c>
      <c r="N2198" t="s">
        <v>51</v>
      </c>
      <c r="O2198" t="s">
        <v>28</v>
      </c>
      <c r="P2198" t="s">
        <v>31</v>
      </c>
      <c r="Q2198">
        <v>0</v>
      </c>
      <c r="R2198" t="s">
        <v>12883</v>
      </c>
      <c r="S2198" t="s">
        <v>12889</v>
      </c>
    </row>
    <row r="2199" spans="1:19" x14ac:dyDescent="0.25">
      <c r="A2199" t="s">
        <v>10408</v>
      </c>
      <c r="B2199" s="1">
        <v>45843</v>
      </c>
      <c r="C2199" t="s">
        <v>12885</v>
      </c>
      <c r="D2199" s="5">
        <v>0.51826388888888886</v>
      </c>
      <c r="E2199">
        <v>35.85</v>
      </c>
      <c r="F2199" t="s">
        <v>44</v>
      </c>
      <c r="G2199" t="s">
        <v>913</v>
      </c>
      <c r="H2199" t="s">
        <v>22</v>
      </c>
      <c r="I2199" t="s">
        <v>130</v>
      </c>
      <c r="J2199" t="s">
        <v>10409</v>
      </c>
      <c r="K2199">
        <v>27</v>
      </c>
      <c r="L2199" t="s">
        <v>25</v>
      </c>
      <c r="M2199" t="s">
        <v>47</v>
      </c>
      <c r="N2199" t="s">
        <v>105</v>
      </c>
      <c r="O2199" t="s">
        <v>28</v>
      </c>
      <c r="P2199" t="s">
        <v>31</v>
      </c>
      <c r="Q2199">
        <v>0</v>
      </c>
      <c r="R2199" t="s">
        <v>12883</v>
      </c>
      <c r="S2199" t="s">
        <v>12889</v>
      </c>
    </row>
    <row r="2200" spans="1:19" x14ac:dyDescent="0.25">
      <c r="A2200" t="s">
        <v>10575</v>
      </c>
      <c r="B2200" s="1">
        <v>45784</v>
      </c>
      <c r="C2200" t="s">
        <v>12887</v>
      </c>
      <c r="D2200" s="5">
        <v>6.9375000000000006E-2</v>
      </c>
      <c r="E2200">
        <v>35.72</v>
      </c>
      <c r="F2200" t="s">
        <v>44</v>
      </c>
      <c r="G2200" t="s">
        <v>10036</v>
      </c>
      <c r="H2200" t="s">
        <v>46</v>
      </c>
      <c r="I2200" t="s">
        <v>23</v>
      </c>
      <c r="J2200" t="s">
        <v>10576</v>
      </c>
      <c r="K2200">
        <v>60</v>
      </c>
      <c r="L2200" t="s">
        <v>49</v>
      </c>
      <c r="M2200" t="s">
        <v>50</v>
      </c>
      <c r="N2200" t="s">
        <v>51</v>
      </c>
      <c r="O2200" t="s">
        <v>28</v>
      </c>
      <c r="P2200" t="s">
        <v>31</v>
      </c>
      <c r="Q2200">
        <v>0</v>
      </c>
      <c r="R2200" t="s">
        <v>12883</v>
      </c>
      <c r="S2200" t="s">
        <v>12884</v>
      </c>
    </row>
    <row r="2201" spans="1:19" x14ac:dyDescent="0.25">
      <c r="A2201" t="s">
        <v>9360</v>
      </c>
      <c r="B2201" s="1">
        <v>45862</v>
      </c>
      <c r="C2201" t="s">
        <v>12885</v>
      </c>
      <c r="D2201" s="5">
        <v>0.50468749999999996</v>
      </c>
      <c r="E2201">
        <v>35.700000000000003</v>
      </c>
      <c r="F2201" t="s">
        <v>44</v>
      </c>
      <c r="G2201" t="s">
        <v>9361</v>
      </c>
      <c r="H2201" t="s">
        <v>34</v>
      </c>
      <c r="I2201" t="s">
        <v>58</v>
      </c>
      <c r="J2201" t="s">
        <v>9362</v>
      </c>
      <c r="K2201">
        <v>39</v>
      </c>
      <c r="L2201" t="s">
        <v>25</v>
      </c>
      <c r="M2201" t="s">
        <v>35</v>
      </c>
      <c r="N2201" t="s">
        <v>112</v>
      </c>
      <c r="O2201" t="s">
        <v>28</v>
      </c>
      <c r="P2201" t="s">
        <v>31</v>
      </c>
      <c r="Q2201">
        <v>0</v>
      </c>
      <c r="R2201" t="s">
        <v>12883</v>
      </c>
      <c r="S2201" t="s">
        <v>12889</v>
      </c>
    </row>
    <row r="2202" spans="1:19" x14ac:dyDescent="0.25">
      <c r="A2202" t="s">
        <v>3651</v>
      </c>
      <c r="B2202" s="1">
        <v>45826</v>
      </c>
      <c r="C2202" t="s">
        <v>12888</v>
      </c>
      <c r="D2202" s="5">
        <v>0.82972222222222225</v>
      </c>
      <c r="E2202">
        <v>35.659999999999997</v>
      </c>
      <c r="F2202" t="s">
        <v>44</v>
      </c>
      <c r="G2202" t="s">
        <v>2819</v>
      </c>
      <c r="H2202" t="s">
        <v>34</v>
      </c>
      <c r="I2202" t="s">
        <v>119</v>
      </c>
      <c r="J2202" t="s">
        <v>3652</v>
      </c>
      <c r="K2202">
        <v>55</v>
      </c>
      <c r="L2202" t="s">
        <v>37</v>
      </c>
      <c r="M2202" t="s">
        <v>91</v>
      </c>
      <c r="N2202" t="s">
        <v>51</v>
      </c>
      <c r="O2202" t="s">
        <v>28</v>
      </c>
      <c r="P2202" t="s">
        <v>31</v>
      </c>
      <c r="Q2202">
        <v>0</v>
      </c>
      <c r="R2202" t="s">
        <v>12883</v>
      </c>
      <c r="S2202" t="s">
        <v>12886</v>
      </c>
    </row>
    <row r="2203" spans="1:19" x14ac:dyDescent="0.25">
      <c r="A2203" t="s">
        <v>6103</v>
      </c>
      <c r="B2203" s="1">
        <v>45834</v>
      </c>
      <c r="C2203" t="s">
        <v>12888</v>
      </c>
      <c r="D2203" s="5">
        <v>0.62870370370370365</v>
      </c>
      <c r="E2203">
        <v>35.64</v>
      </c>
      <c r="F2203" t="s">
        <v>44</v>
      </c>
      <c r="G2203" t="s">
        <v>2080</v>
      </c>
      <c r="H2203" t="s">
        <v>77</v>
      </c>
      <c r="I2203" t="s">
        <v>50</v>
      </c>
      <c r="J2203" t="s">
        <v>6104</v>
      </c>
      <c r="K2203">
        <v>46</v>
      </c>
      <c r="L2203" t="s">
        <v>37</v>
      </c>
      <c r="M2203" t="s">
        <v>248</v>
      </c>
      <c r="N2203" t="s">
        <v>39</v>
      </c>
      <c r="O2203" t="s">
        <v>28</v>
      </c>
      <c r="P2203" t="s">
        <v>31</v>
      </c>
      <c r="Q2203">
        <v>0</v>
      </c>
      <c r="R2203" t="s">
        <v>12883</v>
      </c>
      <c r="S2203" t="s">
        <v>12886</v>
      </c>
    </row>
    <row r="2204" spans="1:19" x14ac:dyDescent="0.25">
      <c r="A2204" t="s">
        <v>8330</v>
      </c>
      <c r="B2204" s="1">
        <v>45917</v>
      </c>
      <c r="C2204" t="s">
        <v>12882</v>
      </c>
      <c r="D2204" s="5">
        <v>0.70234953703703706</v>
      </c>
      <c r="E2204">
        <v>35.630000000000003</v>
      </c>
      <c r="F2204" t="s">
        <v>44</v>
      </c>
      <c r="G2204" t="s">
        <v>5081</v>
      </c>
      <c r="H2204" t="s">
        <v>46</v>
      </c>
      <c r="I2204" t="s">
        <v>47</v>
      </c>
      <c r="J2204" t="s">
        <v>8331</v>
      </c>
      <c r="K2204">
        <v>26</v>
      </c>
      <c r="L2204" t="s">
        <v>37</v>
      </c>
      <c r="M2204" t="s">
        <v>38</v>
      </c>
      <c r="N2204" t="s">
        <v>105</v>
      </c>
      <c r="O2204" t="s">
        <v>28</v>
      </c>
      <c r="P2204" t="s">
        <v>31</v>
      </c>
      <c r="Q2204">
        <v>0</v>
      </c>
      <c r="R2204" t="s">
        <v>12883</v>
      </c>
      <c r="S2204" t="s">
        <v>12889</v>
      </c>
    </row>
    <row r="2205" spans="1:19" x14ac:dyDescent="0.25">
      <c r="A2205" t="s">
        <v>2886</v>
      </c>
      <c r="B2205" s="1">
        <v>45788</v>
      </c>
      <c r="C2205" t="s">
        <v>12887</v>
      </c>
      <c r="D2205" s="5">
        <v>0.2761689814814815</v>
      </c>
      <c r="E2205">
        <v>35.590000000000003</v>
      </c>
      <c r="F2205" t="s">
        <v>44</v>
      </c>
      <c r="G2205" t="s">
        <v>723</v>
      </c>
      <c r="H2205" t="s">
        <v>22</v>
      </c>
      <c r="I2205" t="s">
        <v>110</v>
      </c>
      <c r="J2205" t="s">
        <v>2887</v>
      </c>
      <c r="K2205">
        <v>39</v>
      </c>
      <c r="L2205" t="s">
        <v>49</v>
      </c>
      <c r="M2205" t="s">
        <v>119</v>
      </c>
      <c r="N2205" t="s">
        <v>84</v>
      </c>
      <c r="O2205" t="s">
        <v>28</v>
      </c>
      <c r="P2205" t="s">
        <v>31</v>
      </c>
      <c r="Q2205">
        <v>0</v>
      </c>
      <c r="R2205" t="s">
        <v>12883</v>
      </c>
      <c r="S2205" t="s">
        <v>12889</v>
      </c>
    </row>
    <row r="2206" spans="1:19" x14ac:dyDescent="0.25">
      <c r="A2206" t="s">
        <v>9222</v>
      </c>
      <c r="B2206" s="1">
        <v>45939</v>
      </c>
      <c r="C2206" t="s">
        <v>12890</v>
      </c>
      <c r="D2206" s="5">
        <v>0.45143518518518516</v>
      </c>
      <c r="E2206">
        <v>35.44</v>
      </c>
      <c r="F2206" t="s">
        <v>44</v>
      </c>
      <c r="G2206" t="s">
        <v>9223</v>
      </c>
      <c r="H2206" t="s">
        <v>96</v>
      </c>
      <c r="I2206" t="s">
        <v>97</v>
      </c>
      <c r="J2206" t="s">
        <v>9224</v>
      </c>
      <c r="K2206">
        <v>53</v>
      </c>
      <c r="L2206" t="s">
        <v>49</v>
      </c>
      <c r="M2206" t="s">
        <v>130</v>
      </c>
      <c r="N2206" t="s">
        <v>27</v>
      </c>
      <c r="O2206" t="s">
        <v>28</v>
      </c>
      <c r="P2206" t="s">
        <v>31</v>
      </c>
      <c r="Q2206">
        <v>0</v>
      </c>
      <c r="R2206" t="s">
        <v>12883</v>
      </c>
      <c r="S2206" t="s">
        <v>12886</v>
      </c>
    </row>
    <row r="2207" spans="1:19" x14ac:dyDescent="0.25">
      <c r="A2207" t="s">
        <v>4700</v>
      </c>
      <c r="B2207" s="1">
        <v>45915</v>
      </c>
      <c r="C2207" t="s">
        <v>12882</v>
      </c>
      <c r="D2207" s="5">
        <v>0.58652777777777776</v>
      </c>
      <c r="E2207">
        <v>35.29</v>
      </c>
      <c r="F2207" t="s">
        <v>44</v>
      </c>
      <c r="G2207" t="s">
        <v>4509</v>
      </c>
      <c r="H2207" t="s">
        <v>71</v>
      </c>
      <c r="I2207" t="s">
        <v>26</v>
      </c>
      <c r="J2207" t="s">
        <v>4701</v>
      </c>
      <c r="K2207">
        <v>47</v>
      </c>
      <c r="L2207" t="s">
        <v>25</v>
      </c>
      <c r="M2207" t="s">
        <v>38</v>
      </c>
      <c r="N2207" t="s">
        <v>51</v>
      </c>
      <c r="O2207" t="s">
        <v>28</v>
      </c>
      <c r="P2207" t="s">
        <v>31</v>
      </c>
      <c r="Q2207">
        <v>0</v>
      </c>
      <c r="R2207" t="s">
        <v>12883</v>
      </c>
      <c r="S2207" t="s">
        <v>12886</v>
      </c>
    </row>
    <row r="2208" spans="1:19" x14ac:dyDescent="0.25">
      <c r="A2208" t="s">
        <v>6208</v>
      </c>
      <c r="B2208" s="1">
        <v>45898</v>
      </c>
      <c r="C2208" t="s">
        <v>12893</v>
      </c>
      <c r="D2208" s="5">
        <v>0.81086805555555552</v>
      </c>
      <c r="E2208">
        <v>35.130000000000003</v>
      </c>
      <c r="F2208" t="s">
        <v>44</v>
      </c>
      <c r="G2208" t="s">
        <v>1692</v>
      </c>
      <c r="H2208" t="s">
        <v>89</v>
      </c>
      <c r="I2208" t="s">
        <v>26</v>
      </c>
      <c r="J2208" t="s">
        <v>6209</v>
      </c>
      <c r="K2208">
        <v>21</v>
      </c>
      <c r="L2208" t="s">
        <v>25</v>
      </c>
      <c r="M2208" t="s">
        <v>26</v>
      </c>
      <c r="N2208" t="s">
        <v>51</v>
      </c>
      <c r="O2208" t="s">
        <v>113</v>
      </c>
      <c r="P2208" t="s">
        <v>31</v>
      </c>
      <c r="Q2208">
        <v>0</v>
      </c>
      <c r="R2208" t="s">
        <v>12883</v>
      </c>
      <c r="S2208" t="s">
        <v>12892</v>
      </c>
    </row>
    <row r="2209" spans="1:19" x14ac:dyDescent="0.25">
      <c r="A2209" t="s">
        <v>7048</v>
      </c>
      <c r="B2209" s="1">
        <v>45824</v>
      </c>
      <c r="C2209" t="s">
        <v>12888</v>
      </c>
      <c r="D2209" s="5">
        <v>0.16189814814814815</v>
      </c>
      <c r="E2209">
        <v>35.08</v>
      </c>
      <c r="F2209" t="s">
        <v>44</v>
      </c>
      <c r="G2209" t="s">
        <v>997</v>
      </c>
      <c r="H2209" t="s">
        <v>46</v>
      </c>
      <c r="I2209" t="s">
        <v>130</v>
      </c>
      <c r="J2209" t="s">
        <v>7049</v>
      </c>
      <c r="K2209">
        <v>72</v>
      </c>
      <c r="L2209" t="s">
        <v>25</v>
      </c>
      <c r="M2209" t="s">
        <v>38</v>
      </c>
      <c r="N2209" t="s">
        <v>51</v>
      </c>
      <c r="O2209" t="s">
        <v>28</v>
      </c>
      <c r="P2209" t="s">
        <v>31</v>
      </c>
      <c r="Q2209">
        <v>0</v>
      </c>
      <c r="R2209" t="s">
        <v>12883</v>
      </c>
      <c r="S2209" t="s">
        <v>12884</v>
      </c>
    </row>
    <row r="2210" spans="1:19" x14ac:dyDescent="0.25">
      <c r="A2210" t="s">
        <v>504</v>
      </c>
      <c r="B2210" s="1">
        <v>45949</v>
      </c>
      <c r="C2210" t="s">
        <v>12890</v>
      </c>
      <c r="D2210" s="5">
        <v>0.64776620370370375</v>
      </c>
      <c r="E2210">
        <v>34.96</v>
      </c>
      <c r="F2210" t="s">
        <v>44</v>
      </c>
      <c r="G2210" t="s">
        <v>505</v>
      </c>
      <c r="H2210" t="s">
        <v>124</v>
      </c>
      <c r="I2210" t="s">
        <v>23</v>
      </c>
      <c r="J2210" t="s">
        <v>506</v>
      </c>
      <c r="K2210">
        <v>34</v>
      </c>
      <c r="L2210" t="s">
        <v>25</v>
      </c>
      <c r="M2210" t="s">
        <v>97</v>
      </c>
      <c r="N2210" t="s">
        <v>51</v>
      </c>
      <c r="O2210" t="s">
        <v>28</v>
      </c>
      <c r="P2210" t="s">
        <v>31</v>
      </c>
      <c r="Q2210">
        <v>0</v>
      </c>
      <c r="R2210" t="s">
        <v>12883</v>
      </c>
      <c r="S2210" t="s">
        <v>12889</v>
      </c>
    </row>
    <row r="2211" spans="1:19" x14ac:dyDescent="0.25">
      <c r="A2211" t="s">
        <v>4029</v>
      </c>
      <c r="B2211" s="1">
        <v>45886</v>
      </c>
      <c r="C2211" t="s">
        <v>12893</v>
      </c>
      <c r="D2211" s="5">
        <v>0.17959490740740741</v>
      </c>
      <c r="E2211">
        <v>34.909999999999997</v>
      </c>
      <c r="F2211" t="s">
        <v>44</v>
      </c>
      <c r="G2211" t="s">
        <v>4030</v>
      </c>
      <c r="H2211" t="s">
        <v>71</v>
      </c>
      <c r="I2211" t="s">
        <v>248</v>
      </c>
      <c r="J2211" t="s">
        <v>4031</v>
      </c>
      <c r="K2211">
        <v>24</v>
      </c>
      <c r="L2211" t="s">
        <v>37</v>
      </c>
      <c r="M2211" t="s">
        <v>130</v>
      </c>
      <c r="N2211" t="s">
        <v>39</v>
      </c>
      <c r="O2211" t="s">
        <v>28</v>
      </c>
      <c r="P2211" t="s">
        <v>31</v>
      </c>
      <c r="Q2211">
        <v>0</v>
      </c>
      <c r="R2211" t="s">
        <v>12883</v>
      </c>
      <c r="S2211" t="s">
        <v>12892</v>
      </c>
    </row>
    <row r="2212" spans="1:19" x14ac:dyDescent="0.25">
      <c r="A2212" t="s">
        <v>4832</v>
      </c>
      <c r="B2212" s="1">
        <v>45888</v>
      </c>
      <c r="C2212" t="s">
        <v>12893</v>
      </c>
      <c r="D2212" s="5">
        <v>0.63749999999999996</v>
      </c>
      <c r="E2212">
        <v>34.89</v>
      </c>
      <c r="F2212" t="s">
        <v>44</v>
      </c>
      <c r="G2212" t="s">
        <v>4833</v>
      </c>
      <c r="H2212" t="s">
        <v>77</v>
      </c>
      <c r="I2212" t="s">
        <v>38</v>
      </c>
      <c r="J2212" t="s">
        <v>4834</v>
      </c>
      <c r="K2212">
        <v>40</v>
      </c>
      <c r="L2212" t="s">
        <v>25</v>
      </c>
      <c r="M2212" t="s">
        <v>50</v>
      </c>
      <c r="N2212" t="s">
        <v>105</v>
      </c>
      <c r="O2212" t="s">
        <v>28</v>
      </c>
      <c r="P2212" t="s">
        <v>31</v>
      </c>
      <c r="Q2212">
        <v>0</v>
      </c>
      <c r="R2212" t="s">
        <v>12883</v>
      </c>
      <c r="S2212" t="s">
        <v>12886</v>
      </c>
    </row>
    <row r="2213" spans="1:19" x14ac:dyDescent="0.25">
      <c r="A2213" t="s">
        <v>7657</v>
      </c>
      <c r="B2213" s="1">
        <v>45912</v>
      </c>
      <c r="C2213" t="s">
        <v>12882</v>
      </c>
      <c r="D2213" s="5">
        <v>0.40563657407407405</v>
      </c>
      <c r="E2213">
        <v>34.880000000000003</v>
      </c>
      <c r="F2213" t="s">
        <v>44</v>
      </c>
      <c r="G2213" t="s">
        <v>3807</v>
      </c>
      <c r="H2213" t="s">
        <v>34</v>
      </c>
      <c r="I2213" t="s">
        <v>97</v>
      </c>
      <c r="J2213" t="s">
        <v>7658</v>
      </c>
      <c r="K2213">
        <v>57</v>
      </c>
      <c r="L2213" t="s">
        <v>25</v>
      </c>
      <c r="M2213" t="s">
        <v>146</v>
      </c>
      <c r="N2213" t="s">
        <v>84</v>
      </c>
      <c r="O2213" t="s">
        <v>28</v>
      </c>
      <c r="P2213" t="s">
        <v>31</v>
      </c>
      <c r="Q2213">
        <v>0</v>
      </c>
      <c r="R2213" t="s">
        <v>12883</v>
      </c>
      <c r="S2213" t="s">
        <v>12886</v>
      </c>
    </row>
    <row r="2214" spans="1:19" x14ac:dyDescent="0.25">
      <c r="A2214" t="s">
        <v>8567</v>
      </c>
      <c r="B2214" s="1">
        <v>45851</v>
      </c>
      <c r="C2214" t="s">
        <v>12885</v>
      </c>
      <c r="D2214" s="5">
        <v>0.37837962962962962</v>
      </c>
      <c r="E2214">
        <v>34.85</v>
      </c>
      <c r="F2214" t="s">
        <v>44</v>
      </c>
      <c r="G2214" t="s">
        <v>556</v>
      </c>
      <c r="H2214" t="s">
        <v>71</v>
      </c>
      <c r="I2214" t="s">
        <v>146</v>
      </c>
      <c r="J2214" t="s">
        <v>8568</v>
      </c>
      <c r="K2214">
        <v>18</v>
      </c>
      <c r="L2214" t="s">
        <v>37</v>
      </c>
      <c r="M2214" t="s">
        <v>146</v>
      </c>
      <c r="N2214" t="s">
        <v>27</v>
      </c>
      <c r="O2214" t="s">
        <v>113</v>
      </c>
      <c r="P2214" t="s">
        <v>31</v>
      </c>
      <c r="Q2214">
        <v>0</v>
      </c>
      <c r="R2214" t="s">
        <v>12883</v>
      </c>
      <c r="S2214" t="s">
        <v>12892</v>
      </c>
    </row>
    <row r="2215" spans="1:19" x14ac:dyDescent="0.25">
      <c r="A2215" t="s">
        <v>10289</v>
      </c>
      <c r="B2215" s="1">
        <v>45931</v>
      </c>
      <c r="C2215" t="s">
        <v>12890</v>
      </c>
      <c r="D2215" s="5">
        <v>0.68361111111111106</v>
      </c>
      <c r="E2215">
        <v>34.82</v>
      </c>
      <c r="F2215" t="s">
        <v>44</v>
      </c>
      <c r="G2215" t="s">
        <v>5671</v>
      </c>
      <c r="H2215" t="s">
        <v>124</v>
      </c>
      <c r="I2215" t="s">
        <v>23</v>
      </c>
      <c r="J2215" t="s">
        <v>10290</v>
      </c>
      <c r="K2215">
        <v>18</v>
      </c>
      <c r="L2215" t="s">
        <v>49</v>
      </c>
      <c r="M2215" t="s">
        <v>58</v>
      </c>
      <c r="N2215" t="s">
        <v>51</v>
      </c>
      <c r="O2215" t="s">
        <v>28</v>
      </c>
      <c r="P2215" t="s">
        <v>31</v>
      </c>
      <c r="Q2215">
        <v>0</v>
      </c>
      <c r="R2215" t="s">
        <v>12883</v>
      </c>
      <c r="S2215" t="s">
        <v>12892</v>
      </c>
    </row>
    <row r="2216" spans="1:19" x14ac:dyDescent="0.25">
      <c r="A2216" t="s">
        <v>4695</v>
      </c>
      <c r="B2216" s="1">
        <v>45937</v>
      </c>
      <c r="C2216" t="s">
        <v>12890</v>
      </c>
      <c r="D2216" s="5">
        <v>0.46607638888888892</v>
      </c>
      <c r="E2216">
        <v>34.799999999999997</v>
      </c>
      <c r="F2216" t="s">
        <v>44</v>
      </c>
      <c r="G2216" t="s">
        <v>4696</v>
      </c>
      <c r="H2216" t="s">
        <v>22</v>
      </c>
      <c r="I2216" t="s">
        <v>110</v>
      </c>
      <c r="J2216" t="s">
        <v>4697</v>
      </c>
      <c r="K2216">
        <v>67</v>
      </c>
      <c r="L2216" t="s">
        <v>49</v>
      </c>
      <c r="M2216" t="s">
        <v>248</v>
      </c>
      <c r="N2216" t="s">
        <v>112</v>
      </c>
      <c r="O2216" t="s">
        <v>28</v>
      </c>
      <c r="P2216" t="s">
        <v>31</v>
      </c>
      <c r="Q2216">
        <v>0</v>
      </c>
      <c r="R2216" t="s">
        <v>12883</v>
      </c>
      <c r="S2216" t="s">
        <v>12884</v>
      </c>
    </row>
    <row r="2217" spans="1:19" x14ac:dyDescent="0.25">
      <c r="A2217" t="s">
        <v>9941</v>
      </c>
      <c r="B2217" s="1">
        <v>45909</v>
      </c>
      <c r="C2217" t="s">
        <v>12882</v>
      </c>
      <c r="D2217" s="5">
        <v>0.40494212962962961</v>
      </c>
      <c r="E2217">
        <v>34.71</v>
      </c>
      <c r="F2217" t="s">
        <v>44</v>
      </c>
      <c r="G2217" t="s">
        <v>9906</v>
      </c>
      <c r="H2217" t="s">
        <v>77</v>
      </c>
      <c r="I2217" t="s">
        <v>38</v>
      </c>
      <c r="J2217" t="s">
        <v>9942</v>
      </c>
      <c r="K2217">
        <v>55</v>
      </c>
      <c r="L2217" t="s">
        <v>25</v>
      </c>
      <c r="M2217" t="s">
        <v>91</v>
      </c>
      <c r="N2217" t="s">
        <v>51</v>
      </c>
      <c r="O2217" t="s">
        <v>28</v>
      </c>
      <c r="P2217" t="s">
        <v>31</v>
      </c>
      <c r="Q2217">
        <v>0</v>
      </c>
      <c r="R2217" t="s">
        <v>12883</v>
      </c>
      <c r="S2217" t="s">
        <v>12886</v>
      </c>
    </row>
    <row r="2218" spans="1:19" x14ac:dyDescent="0.25">
      <c r="A2218" t="s">
        <v>7933</v>
      </c>
      <c r="B2218" s="1">
        <v>45957</v>
      </c>
      <c r="C2218" t="s">
        <v>12890</v>
      </c>
      <c r="D2218" s="5">
        <v>0.78317129629629634</v>
      </c>
      <c r="E2218">
        <v>34.68</v>
      </c>
      <c r="F2218" t="s">
        <v>44</v>
      </c>
      <c r="G2218" t="s">
        <v>1063</v>
      </c>
      <c r="H2218" t="s">
        <v>77</v>
      </c>
      <c r="I2218" t="s">
        <v>35</v>
      </c>
      <c r="J2218" t="s">
        <v>7934</v>
      </c>
      <c r="K2218">
        <v>62</v>
      </c>
      <c r="L2218" t="s">
        <v>37</v>
      </c>
      <c r="M2218" t="s">
        <v>248</v>
      </c>
      <c r="N2218" t="s">
        <v>39</v>
      </c>
      <c r="O2218" t="s">
        <v>28</v>
      </c>
      <c r="P2218" t="s">
        <v>31</v>
      </c>
      <c r="Q2218">
        <v>0</v>
      </c>
      <c r="R2218" t="s">
        <v>12883</v>
      </c>
      <c r="S2218" t="s">
        <v>12884</v>
      </c>
    </row>
    <row r="2219" spans="1:19" x14ac:dyDescent="0.25">
      <c r="A2219" t="s">
        <v>12017</v>
      </c>
      <c r="B2219" s="1">
        <v>45867</v>
      </c>
      <c r="C2219" t="s">
        <v>12885</v>
      </c>
      <c r="D2219" s="5">
        <v>0.55622685185185183</v>
      </c>
      <c r="E2219">
        <v>34.61</v>
      </c>
      <c r="F2219" t="s">
        <v>44</v>
      </c>
      <c r="G2219" t="s">
        <v>4590</v>
      </c>
      <c r="H2219" t="s">
        <v>89</v>
      </c>
      <c r="I2219" t="s">
        <v>146</v>
      </c>
      <c r="J2219" t="s">
        <v>12018</v>
      </c>
      <c r="K2219">
        <v>54</v>
      </c>
      <c r="L2219" t="s">
        <v>37</v>
      </c>
      <c r="M2219" t="s">
        <v>50</v>
      </c>
      <c r="N2219" t="s">
        <v>84</v>
      </c>
      <c r="O2219" t="s">
        <v>28</v>
      </c>
      <c r="P2219" t="s">
        <v>31</v>
      </c>
      <c r="Q2219">
        <v>0</v>
      </c>
      <c r="R2219" t="s">
        <v>12883</v>
      </c>
      <c r="S2219" t="s">
        <v>12886</v>
      </c>
    </row>
    <row r="2220" spans="1:19" x14ac:dyDescent="0.25">
      <c r="A2220" t="s">
        <v>12593</v>
      </c>
      <c r="B2220" s="1">
        <v>45946</v>
      </c>
      <c r="C2220" t="s">
        <v>12890</v>
      </c>
      <c r="D2220" s="5">
        <v>0.61559027777777775</v>
      </c>
      <c r="E2220">
        <v>34.61</v>
      </c>
      <c r="F2220" t="s">
        <v>44</v>
      </c>
      <c r="G2220" t="s">
        <v>6000</v>
      </c>
      <c r="H2220" t="s">
        <v>57</v>
      </c>
      <c r="I2220" t="s">
        <v>35</v>
      </c>
      <c r="J2220" t="s">
        <v>12594</v>
      </c>
      <c r="K2220">
        <v>68</v>
      </c>
      <c r="L2220" t="s">
        <v>25</v>
      </c>
      <c r="M2220" t="s">
        <v>97</v>
      </c>
      <c r="N2220" t="s">
        <v>27</v>
      </c>
      <c r="O2220" t="s">
        <v>28</v>
      </c>
      <c r="P2220" t="s">
        <v>31</v>
      </c>
      <c r="Q2220">
        <v>0</v>
      </c>
      <c r="R2220" t="s">
        <v>12883</v>
      </c>
      <c r="S2220" t="s">
        <v>12884</v>
      </c>
    </row>
    <row r="2221" spans="1:19" x14ac:dyDescent="0.25">
      <c r="A2221" t="s">
        <v>12681</v>
      </c>
      <c r="B2221" s="1">
        <v>45921</v>
      </c>
      <c r="C2221" t="s">
        <v>12882</v>
      </c>
      <c r="D2221" s="5">
        <v>0.51447916666666671</v>
      </c>
      <c r="E2221">
        <v>34.51</v>
      </c>
      <c r="F2221" t="s">
        <v>44</v>
      </c>
      <c r="G2221" t="s">
        <v>3097</v>
      </c>
      <c r="H2221" t="s">
        <v>124</v>
      </c>
      <c r="I2221" t="s">
        <v>146</v>
      </c>
      <c r="J2221" t="s">
        <v>12682</v>
      </c>
      <c r="K2221">
        <v>56</v>
      </c>
      <c r="L2221" t="s">
        <v>49</v>
      </c>
      <c r="M2221" t="s">
        <v>23</v>
      </c>
      <c r="N2221" t="s">
        <v>39</v>
      </c>
      <c r="O2221" t="s">
        <v>28</v>
      </c>
      <c r="P2221" t="s">
        <v>31</v>
      </c>
      <c r="Q2221">
        <v>1</v>
      </c>
      <c r="R2221" t="s">
        <v>12891</v>
      </c>
      <c r="S2221" t="s">
        <v>12886</v>
      </c>
    </row>
    <row r="2222" spans="1:19" x14ac:dyDescent="0.25">
      <c r="A2222" t="s">
        <v>1982</v>
      </c>
      <c r="B2222" s="1">
        <v>45923</v>
      </c>
      <c r="C2222" t="s">
        <v>12882</v>
      </c>
      <c r="D2222" s="5">
        <v>0.98931712962962959</v>
      </c>
      <c r="E2222">
        <v>34.5</v>
      </c>
      <c r="F2222" t="s">
        <v>44</v>
      </c>
      <c r="G2222" t="s">
        <v>1983</v>
      </c>
      <c r="H2222" t="s">
        <v>89</v>
      </c>
      <c r="I2222" t="s">
        <v>66</v>
      </c>
      <c r="J2222" t="s">
        <v>1984</v>
      </c>
      <c r="K2222">
        <v>33</v>
      </c>
      <c r="L2222" t="s">
        <v>49</v>
      </c>
      <c r="M2222" t="s">
        <v>23</v>
      </c>
      <c r="N2222" t="s">
        <v>84</v>
      </c>
      <c r="O2222" t="s">
        <v>28</v>
      </c>
      <c r="P2222" t="s">
        <v>31</v>
      </c>
      <c r="Q2222">
        <v>0</v>
      </c>
      <c r="R2222" t="s">
        <v>12883</v>
      </c>
      <c r="S2222" t="s">
        <v>12889</v>
      </c>
    </row>
    <row r="2223" spans="1:19" x14ac:dyDescent="0.25">
      <c r="A2223" t="s">
        <v>11860</v>
      </c>
      <c r="B2223" s="1">
        <v>45946</v>
      </c>
      <c r="C2223" t="s">
        <v>12890</v>
      </c>
      <c r="D2223" s="5">
        <v>0.2525115740740741</v>
      </c>
      <c r="E2223">
        <v>34.42</v>
      </c>
      <c r="F2223" t="s">
        <v>44</v>
      </c>
      <c r="G2223" t="s">
        <v>2999</v>
      </c>
      <c r="H2223" t="s">
        <v>46</v>
      </c>
      <c r="I2223" t="s">
        <v>119</v>
      </c>
      <c r="J2223" t="s">
        <v>11861</v>
      </c>
      <c r="K2223">
        <v>66</v>
      </c>
      <c r="L2223" t="s">
        <v>37</v>
      </c>
      <c r="M2223" t="s">
        <v>38</v>
      </c>
      <c r="N2223" t="s">
        <v>51</v>
      </c>
      <c r="O2223" t="s">
        <v>28</v>
      </c>
      <c r="P2223" t="s">
        <v>31</v>
      </c>
      <c r="Q2223">
        <v>0</v>
      </c>
      <c r="R2223" t="s">
        <v>12883</v>
      </c>
      <c r="S2223" t="s">
        <v>12884</v>
      </c>
    </row>
    <row r="2224" spans="1:19" x14ac:dyDescent="0.25">
      <c r="A2224" t="s">
        <v>8799</v>
      </c>
      <c r="B2224" s="1">
        <v>45883</v>
      </c>
      <c r="C2224" t="s">
        <v>12893</v>
      </c>
      <c r="D2224" s="5">
        <v>0.23945601851851853</v>
      </c>
      <c r="E2224">
        <v>34.380000000000003</v>
      </c>
      <c r="F2224" t="s">
        <v>44</v>
      </c>
      <c r="G2224" t="s">
        <v>192</v>
      </c>
      <c r="H2224" t="s">
        <v>96</v>
      </c>
      <c r="I2224" t="s">
        <v>110</v>
      </c>
      <c r="J2224" t="s">
        <v>8800</v>
      </c>
      <c r="K2224">
        <v>41</v>
      </c>
      <c r="L2224" t="s">
        <v>37</v>
      </c>
      <c r="M2224" t="s">
        <v>97</v>
      </c>
      <c r="N2224" t="s">
        <v>105</v>
      </c>
      <c r="O2224" t="s">
        <v>28</v>
      </c>
      <c r="P2224" t="s">
        <v>31</v>
      </c>
      <c r="Q2224">
        <v>0</v>
      </c>
      <c r="R2224" t="s">
        <v>12883</v>
      </c>
      <c r="S2224" t="s">
        <v>12886</v>
      </c>
    </row>
    <row r="2225" spans="1:19" x14ac:dyDescent="0.25">
      <c r="A2225" t="s">
        <v>12709</v>
      </c>
      <c r="B2225" s="1">
        <v>45821</v>
      </c>
      <c r="C2225" t="s">
        <v>12888</v>
      </c>
      <c r="D2225" s="5">
        <v>0.49815972222222221</v>
      </c>
      <c r="E2225">
        <v>34.340000000000003</v>
      </c>
      <c r="F2225" t="s">
        <v>44</v>
      </c>
      <c r="G2225" t="s">
        <v>4916</v>
      </c>
      <c r="H2225" t="s">
        <v>124</v>
      </c>
      <c r="I2225" t="s">
        <v>119</v>
      </c>
      <c r="J2225" t="s">
        <v>12710</v>
      </c>
      <c r="K2225">
        <v>53</v>
      </c>
      <c r="L2225" t="s">
        <v>49</v>
      </c>
      <c r="M2225" t="s">
        <v>50</v>
      </c>
      <c r="N2225" t="s">
        <v>112</v>
      </c>
      <c r="O2225" t="s">
        <v>28</v>
      </c>
      <c r="P2225" t="s">
        <v>31</v>
      </c>
      <c r="Q2225">
        <v>0</v>
      </c>
      <c r="R2225" t="s">
        <v>12883</v>
      </c>
      <c r="S2225" t="s">
        <v>12886</v>
      </c>
    </row>
    <row r="2226" spans="1:19" x14ac:dyDescent="0.25">
      <c r="A2226" t="s">
        <v>1508</v>
      </c>
      <c r="B2226" s="1">
        <v>45925</v>
      </c>
      <c r="C2226" t="s">
        <v>12882</v>
      </c>
      <c r="D2226" s="5">
        <v>0.22744212962962962</v>
      </c>
      <c r="E2226">
        <v>34.28</v>
      </c>
      <c r="F2226" t="s">
        <v>44</v>
      </c>
      <c r="G2226" t="s">
        <v>1509</v>
      </c>
      <c r="H2226" t="s">
        <v>71</v>
      </c>
      <c r="I2226" t="s">
        <v>248</v>
      </c>
      <c r="J2226" t="s">
        <v>1510</v>
      </c>
      <c r="K2226">
        <v>47</v>
      </c>
      <c r="L2226" t="s">
        <v>49</v>
      </c>
      <c r="M2226" t="s">
        <v>50</v>
      </c>
      <c r="N2226" t="s">
        <v>112</v>
      </c>
      <c r="O2226" t="s">
        <v>28</v>
      </c>
      <c r="P2226" t="s">
        <v>31</v>
      </c>
      <c r="Q2226">
        <v>0</v>
      </c>
      <c r="R2226" t="s">
        <v>12883</v>
      </c>
      <c r="S2226" t="s">
        <v>12886</v>
      </c>
    </row>
    <row r="2227" spans="1:19" x14ac:dyDescent="0.25">
      <c r="A2227" t="s">
        <v>10657</v>
      </c>
      <c r="B2227" s="1">
        <v>45872</v>
      </c>
      <c r="C2227" t="s">
        <v>12893</v>
      </c>
      <c r="D2227" s="5">
        <v>0.62304398148148143</v>
      </c>
      <c r="E2227">
        <v>34.28</v>
      </c>
      <c r="F2227" t="s">
        <v>44</v>
      </c>
      <c r="G2227" t="s">
        <v>6138</v>
      </c>
      <c r="H2227" t="s">
        <v>124</v>
      </c>
      <c r="I2227" t="s">
        <v>47</v>
      </c>
      <c r="J2227" t="s">
        <v>10658</v>
      </c>
      <c r="K2227">
        <v>54</v>
      </c>
      <c r="L2227" t="s">
        <v>37</v>
      </c>
      <c r="M2227" t="s">
        <v>38</v>
      </c>
      <c r="N2227" t="s">
        <v>39</v>
      </c>
      <c r="O2227" t="s">
        <v>28</v>
      </c>
      <c r="P2227" t="s">
        <v>31</v>
      </c>
      <c r="Q2227">
        <v>0</v>
      </c>
      <c r="R2227" t="s">
        <v>12883</v>
      </c>
      <c r="S2227" t="s">
        <v>12886</v>
      </c>
    </row>
    <row r="2228" spans="1:19" x14ac:dyDescent="0.25">
      <c r="A2228" t="s">
        <v>2079</v>
      </c>
      <c r="B2228" s="1">
        <v>45794</v>
      </c>
      <c r="C2228" t="s">
        <v>12887</v>
      </c>
      <c r="D2228" s="5">
        <v>0.85032407407407407</v>
      </c>
      <c r="E2228">
        <v>34.11</v>
      </c>
      <c r="F2228" t="s">
        <v>44</v>
      </c>
      <c r="G2228" t="s">
        <v>2080</v>
      </c>
      <c r="H2228" t="s">
        <v>57</v>
      </c>
      <c r="I2228" t="s">
        <v>97</v>
      </c>
      <c r="J2228" t="s">
        <v>2081</v>
      </c>
      <c r="K2228">
        <v>33</v>
      </c>
      <c r="L2228" t="s">
        <v>25</v>
      </c>
      <c r="M2228" t="s">
        <v>66</v>
      </c>
      <c r="N2228" t="s">
        <v>112</v>
      </c>
      <c r="O2228" t="s">
        <v>28</v>
      </c>
      <c r="P2228" t="s">
        <v>31</v>
      </c>
      <c r="Q2228">
        <v>0</v>
      </c>
      <c r="R2228" t="s">
        <v>12883</v>
      </c>
      <c r="S2228" t="s">
        <v>12889</v>
      </c>
    </row>
    <row r="2229" spans="1:19" x14ac:dyDescent="0.25">
      <c r="A2229" t="s">
        <v>5752</v>
      </c>
      <c r="B2229" s="1">
        <v>45788</v>
      </c>
      <c r="C2229" t="s">
        <v>12887</v>
      </c>
      <c r="D2229" s="5">
        <v>0.96659722222222222</v>
      </c>
      <c r="E2229">
        <v>34</v>
      </c>
      <c r="F2229" t="s">
        <v>44</v>
      </c>
      <c r="G2229" t="s">
        <v>4838</v>
      </c>
      <c r="H2229" t="s">
        <v>89</v>
      </c>
      <c r="I2229" t="s">
        <v>58</v>
      </c>
      <c r="J2229" t="s">
        <v>5753</v>
      </c>
      <c r="K2229">
        <v>40</v>
      </c>
      <c r="L2229" t="s">
        <v>25</v>
      </c>
      <c r="M2229" t="s">
        <v>47</v>
      </c>
      <c r="N2229" t="s">
        <v>39</v>
      </c>
      <c r="O2229" t="s">
        <v>28</v>
      </c>
      <c r="P2229" t="s">
        <v>31</v>
      </c>
      <c r="Q2229">
        <v>0</v>
      </c>
      <c r="R2229" t="s">
        <v>12883</v>
      </c>
      <c r="S2229" t="s">
        <v>12886</v>
      </c>
    </row>
    <row r="2230" spans="1:19" x14ac:dyDescent="0.25">
      <c r="A2230" t="s">
        <v>12805</v>
      </c>
      <c r="B2230" s="1">
        <v>45925</v>
      </c>
      <c r="C2230" t="s">
        <v>12882</v>
      </c>
      <c r="D2230" s="5">
        <v>0.9625231481481481</v>
      </c>
      <c r="E2230">
        <v>33.93</v>
      </c>
      <c r="F2230" t="s">
        <v>44</v>
      </c>
      <c r="G2230" t="s">
        <v>2408</v>
      </c>
      <c r="H2230" t="s">
        <v>46</v>
      </c>
      <c r="I2230" t="s">
        <v>50</v>
      </c>
      <c r="J2230" t="s">
        <v>12806</v>
      </c>
      <c r="K2230">
        <v>52</v>
      </c>
      <c r="L2230" t="s">
        <v>25</v>
      </c>
      <c r="M2230" t="s">
        <v>58</v>
      </c>
      <c r="N2230" t="s">
        <v>39</v>
      </c>
      <c r="O2230" t="s">
        <v>28</v>
      </c>
      <c r="P2230" t="s">
        <v>31</v>
      </c>
      <c r="Q2230">
        <v>0</v>
      </c>
      <c r="R2230" t="s">
        <v>12883</v>
      </c>
      <c r="S2230" t="s">
        <v>12886</v>
      </c>
    </row>
    <row r="2231" spans="1:19" x14ac:dyDescent="0.25">
      <c r="A2231" t="s">
        <v>11331</v>
      </c>
      <c r="B2231" s="1">
        <v>45911</v>
      </c>
      <c r="C2231" t="s">
        <v>12882</v>
      </c>
      <c r="D2231" s="5">
        <v>0.46511574074074075</v>
      </c>
      <c r="E2231">
        <v>33.92</v>
      </c>
      <c r="F2231" t="s">
        <v>44</v>
      </c>
      <c r="G2231" t="s">
        <v>571</v>
      </c>
      <c r="H2231" t="s">
        <v>89</v>
      </c>
      <c r="I2231" t="s">
        <v>50</v>
      </c>
      <c r="J2231" t="s">
        <v>11332</v>
      </c>
      <c r="K2231">
        <v>35</v>
      </c>
      <c r="L2231" t="s">
        <v>25</v>
      </c>
      <c r="M2231" t="s">
        <v>91</v>
      </c>
      <c r="N2231" t="s">
        <v>84</v>
      </c>
      <c r="O2231" t="s">
        <v>28</v>
      </c>
      <c r="P2231" t="s">
        <v>31</v>
      </c>
      <c r="Q2231">
        <v>0</v>
      </c>
      <c r="R2231" t="s">
        <v>12883</v>
      </c>
      <c r="S2231" t="s">
        <v>12889</v>
      </c>
    </row>
    <row r="2232" spans="1:19" x14ac:dyDescent="0.25">
      <c r="A2232" t="s">
        <v>4945</v>
      </c>
      <c r="B2232" s="1">
        <v>45949</v>
      </c>
      <c r="C2232" t="s">
        <v>12890</v>
      </c>
      <c r="D2232" s="5">
        <v>0.56730324074074079</v>
      </c>
      <c r="E2232">
        <v>33.909999999999997</v>
      </c>
      <c r="F2232" t="s">
        <v>44</v>
      </c>
      <c r="G2232" t="s">
        <v>4123</v>
      </c>
      <c r="H2232" t="s">
        <v>22</v>
      </c>
      <c r="I2232" t="s">
        <v>23</v>
      </c>
      <c r="J2232" t="s">
        <v>4946</v>
      </c>
      <c r="K2232">
        <v>68</v>
      </c>
      <c r="L2232" t="s">
        <v>37</v>
      </c>
      <c r="M2232" t="s">
        <v>66</v>
      </c>
      <c r="N2232" t="s">
        <v>105</v>
      </c>
      <c r="O2232" t="s">
        <v>28</v>
      </c>
      <c r="P2232" t="s">
        <v>31</v>
      </c>
      <c r="Q2232">
        <v>0</v>
      </c>
      <c r="R2232" t="s">
        <v>12883</v>
      </c>
      <c r="S2232" t="s">
        <v>12884</v>
      </c>
    </row>
    <row r="2233" spans="1:19" x14ac:dyDescent="0.25">
      <c r="A2233" t="s">
        <v>7148</v>
      </c>
      <c r="B2233" s="1">
        <v>45781</v>
      </c>
      <c r="C2233" t="s">
        <v>12887</v>
      </c>
      <c r="D2233" s="5">
        <v>0.79129629629629628</v>
      </c>
      <c r="E2233">
        <v>33.74</v>
      </c>
      <c r="F2233" t="s">
        <v>44</v>
      </c>
      <c r="G2233" t="s">
        <v>4350</v>
      </c>
      <c r="H2233" t="s">
        <v>34</v>
      </c>
      <c r="I2233" t="s">
        <v>119</v>
      </c>
      <c r="J2233" t="s">
        <v>7149</v>
      </c>
      <c r="K2233">
        <v>21</v>
      </c>
      <c r="L2233" t="s">
        <v>49</v>
      </c>
      <c r="M2233" t="s">
        <v>97</v>
      </c>
      <c r="N2233" t="s">
        <v>105</v>
      </c>
      <c r="O2233" t="s">
        <v>28</v>
      </c>
      <c r="P2233" t="s">
        <v>31</v>
      </c>
      <c r="Q2233">
        <v>0</v>
      </c>
      <c r="R2233" t="s">
        <v>12883</v>
      </c>
      <c r="S2233" t="s">
        <v>12892</v>
      </c>
    </row>
    <row r="2234" spans="1:19" x14ac:dyDescent="0.25">
      <c r="A2234" t="s">
        <v>1228</v>
      </c>
      <c r="B2234" s="1">
        <v>45925</v>
      </c>
      <c r="C2234" t="s">
        <v>12882</v>
      </c>
      <c r="D2234" s="5">
        <v>0.44500000000000001</v>
      </c>
      <c r="E2234">
        <v>33.69</v>
      </c>
      <c r="F2234" t="s">
        <v>44</v>
      </c>
      <c r="G2234" t="s">
        <v>1229</v>
      </c>
      <c r="H2234" t="s">
        <v>57</v>
      </c>
      <c r="I2234" t="s">
        <v>130</v>
      </c>
      <c r="J2234" t="s">
        <v>1230</v>
      </c>
      <c r="K2234">
        <v>39</v>
      </c>
      <c r="L2234" t="s">
        <v>37</v>
      </c>
      <c r="M2234" t="s">
        <v>66</v>
      </c>
      <c r="N2234" t="s">
        <v>112</v>
      </c>
      <c r="O2234" t="s">
        <v>28</v>
      </c>
      <c r="P2234" t="s">
        <v>31</v>
      </c>
      <c r="Q2234">
        <v>0</v>
      </c>
      <c r="R2234" t="s">
        <v>12883</v>
      </c>
      <c r="S2234" t="s">
        <v>12889</v>
      </c>
    </row>
    <row r="2235" spans="1:19" x14ac:dyDescent="0.25">
      <c r="A2235" t="s">
        <v>87</v>
      </c>
      <c r="B2235" s="1">
        <v>45805</v>
      </c>
      <c r="C2235" t="s">
        <v>12887</v>
      </c>
      <c r="D2235" s="5">
        <v>5.0405092592592592E-2</v>
      </c>
      <c r="E2235">
        <v>33.68</v>
      </c>
      <c r="F2235" t="s">
        <v>44</v>
      </c>
      <c r="G2235" t="s">
        <v>88</v>
      </c>
      <c r="H2235" t="s">
        <v>89</v>
      </c>
      <c r="I2235" t="s">
        <v>38</v>
      </c>
      <c r="J2235" t="s">
        <v>90</v>
      </c>
      <c r="K2235">
        <v>33</v>
      </c>
      <c r="L2235" t="s">
        <v>25</v>
      </c>
      <c r="M2235" t="s">
        <v>91</v>
      </c>
      <c r="N2235" t="s">
        <v>39</v>
      </c>
      <c r="O2235" t="s">
        <v>28</v>
      </c>
      <c r="P2235" t="s">
        <v>31</v>
      </c>
      <c r="Q2235">
        <v>0</v>
      </c>
      <c r="R2235" t="s">
        <v>12883</v>
      </c>
      <c r="S2235" t="s">
        <v>12889</v>
      </c>
    </row>
    <row r="2236" spans="1:19" x14ac:dyDescent="0.25">
      <c r="A2236" t="s">
        <v>7754</v>
      </c>
      <c r="B2236" s="1">
        <v>45824</v>
      </c>
      <c r="C2236" t="s">
        <v>12888</v>
      </c>
      <c r="D2236" s="5">
        <v>7.3391203703703708E-2</v>
      </c>
      <c r="E2236">
        <v>33.68</v>
      </c>
      <c r="F2236" t="s">
        <v>44</v>
      </c>
      <c r="G2236" t="s">
        <v>7755</v>
      </c>
      <c r="H2236" t="s">
        <v>77</v>
      </c>
      <c r="I2236" t="s">
        <v>50</v>
      </c>
      <c r="J2236" t="s">
        <v>7756</v>
      </c>
      <c r="K2236">
        <v>21</v>
      </c>
      <c r="L2236" t="s">
        <v>25</v>
      </c>
      <c r="M2236" t="s">
        <v>35</v>
      </c>
      <c r="N2236" t="s">
        <v>39</v>
      </c>
      <c r="O2236" t="s">
        <v>28</v>
      </c>
      <c r="P2236" t="s">
        <v>31</v>
      </c>
      <c r="Q2236">
        <v>0</v>
      </c>
      <c r="R2236" t="s">
        <v>12883</v>
      </c>
      <c r="S2236" t="s">
        <v>12892</v>
      </c>
    </row>
    <row r="2237" spans="1:19" x14ac:dyDescent="0.25">
      <c r="A2237" t="s">
        <v>4254</v>
      </c>
      <c r="B2237" s="1">
        <v>45784</v>
      </c>
      <c r="C2237" t="s">
        <v>12887</v>
      </c>
      <c r="D2237" s="5">
        <v>0.67656249999999996</v>
      </c>
      <c r="E2237">
        <v>33.659999999999997</v>
      </c>
      <c r="F2237" t="s">
        <v>44</v>
      </c>
      <c r="G2237" t="s">
        <v>2428</v>
      </c>
      <c r="H2237" t="s">
        <v>57</v>
      </c>
      <c r="I2237" t="s">
        <v>91</v>
      </c>
      <c r="J2237" t="s">
        <v>4255</v>
      </c>
      <c r="K2237">
        <v>75</v>
      </c>
      <c r="L2237" t="s">
        <v>25</v>
      </c>
      <c r="M2237" t="s">
        <v>97</v>
      </c>
      <c r="N2237" t="s">
        <v>51</v>
      </c>
      <c r="O2237" t="s">
        <v>28</v>
      </c>
      <c r="P2237" t="s">
        <v>31</v>
      </c>
      <c r="Q2237">
        <v>0</v>
      </c>
      <c r="R2237" t="s">
        <v>12883</v>
      </c>
      <c r="S2237" t="s">
        <v>12884</v>
      </c>
    </row>
    <row r="2238" spans="1:19" x14ac:dyDescent="0.25">
      <c r="A2238" t="s">
        <v>7997</v>
      </c>
      <c r="B2238" s="1">
        <v>45795</v>
      </c>
      <c r="C2238" t="s">
        <v>12887</v>
      </c>
      <c r="D2238" s="5">
        <v>0.57512731481481483</v>
      </c>
      <c r="E2238">
        <v>33.659999999999997</v>
      </c>
      <c r="F2238" t="s">
        <v>44</v>
      </c>
      <c r="G2238" t="s">
        <v>1456</v>
      </c>
      <c r="H2238" t="s">
        <v>71</v>
      </c>
      <c r="I2238" t="s">
        <v>146</v>
      </c>
      <c r="J2238" t="s">
        <v>7998</v>
      </c>
      <c r="K2238">
        <v>52</v>
      </c>
      <c r="L2238" t="s">
        <v>37</v>
      </c>
      <c r="M2238" t="s">
        <v>23</v>
      </c>
      <c r="N2238" t="s">
        <v>39</v>
      </c>
      <c r="O2238" t="s">
        <v>28</v>
      </c>
      <c r="P2238" t="s">
        <v>31</v>
      </c>
      <c r="Q2238">
        <v>0</v>
      </c>
      <c r="R2238" t="s">
        <v>12883</v>
      </c>
      <c r="S2238" t="s">
        <v>12886</v>
      </c>
    </row>
    <row r="2239" spans="1:19" x14ac:dyDescent="0.25">
      <c r="A2239" t="s">
        <v>7759</v>
      </c>
      <c r="B2239" s="1">
        <v>45831</v>
      </c>
      <c r="C2239" t="s">
        <v>12888</v>
      </c>
      <c r="D2239" s="5">
        <v>0.54871527777777773</v>
      </c>
      <c r="E2239">
        <v>33.56</v>
      </c>
      <c r="F2239" t="s">
        <v>44</v>
      </c>
      <c r="G2239" t="s">
        <v>4443</v>
      </c>
      <c r="H2239" t="s">
        <v>77</v>
      </c>
      <c r="I2239" t="s">
        <v>50</v>
      </c>
      <c r="J2239" t="s">
        <v>7760</v>
      </c>
      <c r="K2239">
        <v>46</v>
      </c>
      <c r="L2239" t="s">
        <v>49</v>
      </c>
      <c r="M2239" t="s">
        <v>23</v>
      </c>
      <c r="N2239" t="s">
        <v>84</v>
      </c>
      <c r="O2239" t="s">
        <v>28</v>
      </c>
      <c r="P2239" t="s">
        <v>31</v>
      </c>
      <c r="Q2239">
        <v>0</v>
      </c>
      <c r="R2239" t="s">
        <v>12883</v>
      </c>
      <c r="S2239" t="s">
        <v>12886</v>
      </c>
    </row>
    <row r="2240" spans="1:19" x14ac:dyDescent="0.25">
      <c r="A2240" t="s">
        <v>446</v>
      </c>
      <c r="B2240" s="1">
        <v>45927</v>
      </c>
      <c r="C2240" t="s">
        <v>12882</v>
      </c>
      <c r="D2240" s="5">
        <v>0.18436342592592592</v>
      </c>
      <c r="E2240">
        <v>33.44</v>
      </c>
      <c r="F2240" t="s">
        <v>44</v>
      </c>
      <c r="G2240" t="s">
        <v>447</v>
      </c>
      <c r="H2240" t="s">
        <v>64</v>
      </c>
      <c r="I2240" t="s">
        <v>110</v>
      </c>
      <c r="J2240" t="s">
        <v>448</v>
      </c>
      <c r="K2240">
        <v>32</v>
      </c>
      <c r="L2240" t="s">
        <v>25</v>
      </c>
      <c r="M2240" t="s">
        <v>50</v>
      </c>
      <c r="N2240" t="s">
        <v>39</v>
      </c>
      <c r="O2240" t="s">
        <v>28</v>
      </c>
      <c r="P2240" t="s">
        <v>31</v>
      </c>
      <c r="Q2240">
        <v>0</v>
      </c>
      <c r="R2240" t="s">
        <v>12883</v>
      </c>
      <c r="S2240" t="s">
        <v>12889</v>
      </c>
    </row>
    <row r="2241" spans="1:19" x14ac:dyDescent="0.25">
      <c r="A2241" t="s">
        <v>11472</v>
      </c>
      <c r="B2241" s="1">
        <v>45952</v>
      </c>
      <c r="C2241" t="s">
        <v>12890</v>
      </c>
      <c r="D2241" s="5">
        <v>0.23298611111111112</v>
      </c>
      <c r="E2241">
        <v>33.43</v>
      </c>
      <c r="F2241" t="s">
        <v>44</v>
      </c>
      <c r="G2241" t="s">
        <v>2249</v>
      </c>
      <c r="H2241" t="s">
        <v>22</v>
      </c>
      <c r="I2241" t="s">
        <v>23</v>
      </c>
      <c r="J2241" t="s">
        <v>11473</v>
      </c>
      <c r="K2241">
        <v>22</v>
      </c>
      <c r="L2241" t="s">
        <v>49</v>
      </c>
      <c r="M2241" t="s">
        <v>130</v>
      </c>
      <c r="N2241" t="s">
        <v>51</v>
      </c>
      <c r="O2241" t="s">
        <v>28</v>
      </c>
      <c r="P2241" t="s">
        <v>31</v>
      </c>
      <c r="Q2241">
        <v>0</v>
      </c>
      <c r="R2241" t="s">
        <v>12883</v>
      </c>
      <c r="S2241" t="s">
        <v>12892</v>
      </c>
    </row>
    <row r="2242" spans="1:19" x14ac:dyDescent="0.25">
      <c r="A2242" t="s">
        <v>5882</v>
      </c>
      <c r="B2242" s="1">
        <v>45815</v>
      </c>
      <c r="C2242" t="s">
        <v>12888</v>
      </c>
      <c r="D2242" s="5">
        <v>0.8630902777777778</v>
      </c>
      <c r="E2242">
        <v>33.42</v>
      </c>
      <c r="F2242" t="s">
        <v>44</v>
      </c>
      <c r="G2242" t="s">
        <v>3517</v>
      </c>
      <c r="H2242" t="s">
        <v>64</v>
      </c>
      <c r="I2242" t="s">
        <v>130</v>
      </c>
      <c r="J2242" t="s">
        <v>5883</v>
      </c>
      <c r="K2242">
        <v>38</v>
      </c>
      <c r="L2242" t="s">
        <v>37</v>
      </c>
      <c r="M2242" t="s">
        <v>50</v>
      </c>
      <c r="N2242" t="s">
        <v>105</v>
      </c>
      <c r="O2242" t="s">
        <v>28</v>
      </c>
      <c r="P2242" t="s">
        <v>31</v>
      </c>
      <c r="Q2242">
        <v>0</v>
      </c>
      <c r="R2242" t="s">
        <v>12883</v>
      </c>
      <c r="S2242" t="s">
        <v>12889</v>
      </c>
    </row>
    <row r="2243" spans="1:19" x14ac:dyDescent="0.25">
      <c r="A2243" t="s">
        <v>252</v>
      </c>
      <c r="B2243" s="1">
        <v>45798</v>
      </c>
      <c r="C2243" t="s">
        <v>12887</v>
      </c>
      <c r="D2243" s="5">
        <v>0.84561342592592592</v>
      </c>
      <c r="E2243">
        <v>33.29</v>
      </c>
      <c r="F2243" t="s">
        <v>44</v>
      </c>
      <c r="G2243" t="s">
        <v>253</v>
      </c>
      <c r="H2243" t="s">
        <v>71</v>
      </c>
      <c r="I2243" t="s">
        <v>47</v>
      </c>
      <c r="J2243" t="s">
        <v>254</v>
      </c>
      <c r="K2243">
        <v>31</v>
      </c>
      <c r="L2243" t="s">
        <v>25</v>
      </c>
      <c r="M2243" t="s">
        <v>23</v>
      </c>
      <c r="N2243" t="s">
        <v>27</v>
      </c>
      <c r="O2243" t="s">
        <v>28</v>
      </c>
      <c r="P2243" t="s">
        <v>31</v>
      </c>
      <c r="Q2243">
        <v>0</v>
      </c>
      <c r="R2243" t="s">
        <v>12883</v>
      </c>
      <c r="S2243" t="s">
        <v>12889</v>
      </c>
    </row>
    <row r="2244" spans="1:19" x14ac:dyDescent="0.25">
      <c r="A2244" t="s">
        <v>6694</v>
      </c>
      <c r="B2244" s="1">
        <v>45792</v>
      </c>
      <c r="C2244" t="s">
        <v>12887</v>
      </c>
      <c r="D2244" s="5">
        <v>0.22491898148148148</v>
      </c>
      <c r="E2244">
        <v>33.26</v>
      </c>
      <c r="F2244" t="s">
        <v>44</v>
      </c>
      <c r="G2244" t="s">
        <v>2408</v>
      </c>
      <c r="H2244" t="s">
        <v>64</v>
      </c>
      <c r="I2244" t="s">
        <v>50</v>
      </c>
      <c r="J2244" t="s">
        <v>6695</v>
      </c>
      <c r="K2244">
        <v>58</v>
      </c>
      <c r="L2244" t="s">
        <v>25</v>
      </c>
      <c r="M2244" t="s">
        <v>130</v>
      </c>
      <c r="N2244" t="s">
        <v>84</v>
      </c>
      <c r="O2244" t="s">
        <v>28</v>
      </c>
      <c r="P2244" t="s">
        <v>31</v>
      </c>
      <c r="Q2244">
        <v>0</v>
      </c>
      <c r="R2244" t="s">
        <v>12883</v>
      </c>
      <c r="S2244" t="s">
        <v>12886</v>
      </c>
    </row>
    <row r="2245" spans="1:19" x14ac:dyDescent="0.25">
      <c r="A2245" t="s">
        <v>9459</v>
      </c>
      <c r="B2245" s="1">
        <v>45825</v>
      </c>
      <c r="C2245" t="s">
        <v>12888</v>
      </c>
      <c r="D2245" s="5">
        <v>0.93306712962962968</v>
      </c>
      <c r="E2245">
        <v>33.15</v>
      </c>
      <c r="F2245" t="s">
        <v>44</v>
      </c>
      <c r="G2245" t="s">
        <v>2395</v>
      </c>
      <c r="H2245" t="s">
        <v>89</v>
      </c>
      <c r="I2245" t="s">
        <v>26</v>
      </c>
      <c r="J2245" t="s">
        <v>9460</v>
      </c>
      <c r="K2245">
        <v>49</v>
      </c>
      <c r="L2245" t="s">
        <v>37</v>
      </c>
      <c r="M2245" t="s">
        <v>119</v>
      </c>
      <c r="N2245" t="s">
        <v>27</v>
      </c>
      <c r="O2245" t="s">
        <v>28</v>
      </c>
      <c r="P2245" t="s">
        <v>31</v>
      </c>
      <c r="Q2245">
        <v>0</v>
      </c>
      <c r="R2245" t="s">
        <v>12883</v>
      </c>
      <c r="S2245" t="s">
        <v>12886</v>
      </c>
    </row>
    <row r="2246" spans="1:19" x14ac:dyDescent="0.25">
      <c r="A2246" t="s">
        <v>5316</v>
      </c>
      <c r="B2246" s="1">
        <v>45832</v>
      </c>
      <c r="C2246" t="s">
        <v>12888</v>
      </c>
      <c r="D2246" s="5">
        <v>0.3213773148148148</v>
      </c>
      <c r="E2246">
        <v>33.06</v>
      </c>
      <c r="F2246" t="s">
        <v>44</v>
      </c>
      <c r="G2246" t="s">
        <v>5317</v>
      </c>
      <c r="H2246" t="s">
        <v>34</v>
      </c>
      <c r="I2246" t="s">
        <v>130</v>
      </c>
      <c r="J2246" t="s">
        <v>5318</v>
      </c>
      <c r="K2246">
        <v>53</v>
      </c>
      <c r="L2246" t="s">
        <v>37</v>
      </c>
      <c r="M2246" t="s">
        <v>146</v>
      </c>
      <c r="N2246" t="s">
        <v>112</v>
      </c>
      <c r="O2246" t="s">
        <v>28</v>
      </c>
      <c r="P2246" t="s">
        <v>31</v>
      </c>
      <c r="Q2246">
        <v>0</v>
      </c>
      <c r="R2246" t="s">
        <v>12883</v>
      </c>
      <c r="S2246" t="s">
        <v>12886</v>
      </c>
    </row>
    <row r="2247" spans="1:19" x14ac:dyDescent="0.25">
      <c r="A2247" t="s">
        <v>8874</v>
      </c>
      <c r="B2247" s="1">
        <v>45925</v>
      </c>
      <c r="C2247" t="s">
        <v>12882</v>
      </c>
      <c r="D2247" s="5">
        <v>0.76211805555555556</v>
      </c>
      <c r="E2247">
        <v>33.06</v>
      </c>
      <c r="F2247" t="s">
        <v>44</v>
      </c>
      <c r="G2247" t="s">
        <v>7486</v>
      </c>
      <c r="H2247" t="s">
        <v>22</v>
      </c>
      <c r="I2247" t="s">
        <v>146</v>
      </c>
      <c r="J2247" t="s">
        <v>8875</v>
      </c>
      <c r="K2247">
        <v>73</v>
      </c>
      <c r="L2247" t="s">
        <v>37</v>
      </c>
      <c r="M2247" t="s">
        <v>50</v>
      </c>
      <c r="N2247" t="s">
        <v>51</v>
      </c>
      <c r="O2247" t="s">
        <v>28</v>
      </c>
      <c r="P2247" t="s">
        <v>31</v>
      </c>
      <c r="Q2247">
        <v>1</v>
      </c>
      <c r="R2247" t="s">
        <v>12891</v>
      </c>
      <c r="S2247" t="s">
        <v>12884</v>
      </c>
    </row>
    <row r="2248" spans="1:19" x14ac:dyDescent="0.25">
      <c r="A2248" t="s">
        <v>9324</v>
      </c>
      <c r="B2248" s="1">
        <v>45800</v>
      </c>
      <c r="C2248" t="s">
        <v>12887</v>
      </c>
      <c r="D2248" s="5">
        <v>0.84063657407407411</v>
      </c>
      <c r="E2248">
        <v>32.89</v>
      </c>
      <c r="F2248" t="s">
        <v>44</v>
      </c>
      <c r="G2248" t="s">
        <v>1045</v>
      </c>
      <c r="H2248" t="s">
        <v>22</v>
      </c>
      <c r="I2248" t="s">
        <v>47</v>
      </c>
      <c r="J2248" t="s">
        <v>9325</v>
      </c>
      <c r="K2248">
        <v>25</v>
      </c>
      <c r="L2248" t="s">
        <v>37</v>
      </c>
      <c r="M2248" t="s">
        <v>97</v>
      </c>
      <c r="N2248" t="s">
        <v>105</v>
      </c>
      <c r="O2248" t="s">
        <v>28</v>
      </c>
      <c r="P2248" t="s">
        <v>31</v>
      </c>
      <c r="Q2248">
        <v>0</v>
      </c>
      <c r="R2248" t="s">
        <v>12883</v>
      </c>
      <c r="S2248" t="s">
        <v>12889</v>
      </c>
    </row>
    <row r="2249" spans="1:19" x14ac:dyDescent="0.25">
      <c r="A2249" t="s">
        <v>9561</v>
      </c>
      <c r="B2249" s="1">
        <v>45916</v>
      </c>
      <c r="C2249" t="s">
        <v>12882</v>
      </c>
      <c r="D2249" s="5">
        <v>0.31589120370370372</v>
      </c>
      <c r="E2249">
        <v>32.86</v>
      </c>
      <c r="F2249" t="s">
        <v>44</v>
      </c>
      <c r="G2249" t="s">
        <v>9562</v>
      </c>
      <c r="H2249" t="s">
        <v>89</v>
      </c>
      <c r="I2249" t="s">
        <v>58</v>
      </c>
      <c r="J2249" t="s">
        <v>9563</v>
      </c>
      <c r="K2249">
        <v>25</v>
      </c>
      <c r="L2249" t="s">
        <v>49</v>
      </c>
      <c r="M2249" t="s">
        <v>50</v>
      </c>
      <c r="N2249" t="s">
        <v>105</v>
      </c>
      <c r="O2249" t="s">
        <v>28</v>
      </c>
      <c r="P2249" t="s">
        <v>31</v>
      </c>
      <c r="Q2249">
        <v>0</v>
      </c>
      <c r="R2249" t="s">
        <v>12883</v>
      </c>
      <c r="S2249" t="s">
        <v>12889</v>
      </c>
    </row>
    <row r="2250" spans="1:19" x14ac:dyDescent="0.25">
      <c r="A2250" t="s">
        <v>2592</v>
      </c>
      <c r="B2250" s="1">
        <v>45957</v>
      </c>
      <c r="C2250" t="s">
        <v>12890</v>
      </c>
      <c r="D2250" s="5">
        <v>0.1615625</v>
      </c>
      <c r="E2250">
        <v>32.54</v>
      </c>
      <c r="F2250" t="s">
        <v>44</v>
      </c>
      <c r="G2250" t="s">
        <v>2593</v>
      </c>
      <c r="H2250" t="s">
        <v>89</v>
      </c>
      <c r="I2250" t="s">
        <v>110</v>
      </c>
      <c r="J2250" t="s">
        <v>2594</v>
      </c>
      <c r="K2250">
        <v>35</v>
      </c>
      <c r="L2250" t="s">
        <v>25</v>
      </c>
      <c r="M2250" t="s">
        <v>119</v>
      </c>
      <c r="N2250" t="s">
        <v>27</v>
      </c>
      <c r="O2250" t="s">
        <v>28</v>
      </c>
      <c r="P2250" t="s">
        <v>31</v>
      </c>
      <c r="Q2250">
        <v>0</v>
      </c>
      <c r="R2250" t="s">
        <v>12883</v>
      </c>
      <c r="S2250" t="s">
        <v>12889</v>
      </c>
    </row>
    <row r="2251" spans="1:19" x14ac:dyDescent="0.25">
      <c r="A2251" t="s">
        <v>2180</v>
      </c>
      <c r="B2251" s="1">
        <v>45960</v>
      </c>
      <c r="C2251" t="s">
        <v>12890</v>
      </c>
      <c r="D2251" s="5">
        <v>0.29486111111111113</v>
      </c>
      <c r="E2251">
        <v>32.4</v>
      </c>
      <c r="F2251" t="s">
        <v>44</v>
      </c>
      <c r="G2251" t="s">
        <v>2181</v>
      </c>
      <c r="H2251" t="s">
        <v>57</v>
      </c>
      <c r="I2251" t="s">
        <v>35</v>
      </c>
      <c r="J2251" t="s">
        <v>2182</v>
      </c>
      <c r="K2251">
        <v>70</v>
      </c>
      <c r="L2251" t="s">
        <v>49</v>
      </c>
      <c r="M2251" t="s">
        <v>119</v>
      </c>
      <c r="N2251" t="s">
        <v>39</v>
      </c>
      <c r="O2251" t="s">
        <v>28</v>
      </c>
      <c r="P2251" t="s">
        <v>31</v>
      </c>
      <c r="Q2251">
        <v>0</v>
      </c>
      <c r="R2251" t="s">
        <v>12883</v>
      </c>
      <c r="S2251" t="s">
        <v>12884</v>
      </c>
    </row>
    <row r="2252" spans="1:19" x14ac:dyDescent="0.25">
      <c r="A2252" t="s">
        <v>9884</v>
      </c>
      <c r="B2252" s="1">
        <v>45785</v>
      </c>
      <c r="C2252" t="s">
        <v>12887</v>
      </c>
      <c r="D2252" s="5">
        <v>0.627349537037037</v>
      </c>
      <c r="E2252">
        <v>32.369999999999997</v>
      </c>
      <c r="F2252" t="s">
        <v>44</v>
      </c>
      <c r="G2252" t="s">
        <v>9885</v>
      </c>
      <c r="H2252" t="s">
        <v>89</v>
      </c>
      <c r="I2252" t="s">
        <v>66</v>
      </c>
      <c r="J2252" t="s">
        <v>9886</v>
      </c>
      <c r="K2252">
        <v>33</v>
      </c>
      <c r="L2252" t="s">
        <v>49</v>
      </c>
      <c r="M2252" t="s">
        <v>50</v>
      </c>
      <c r="N2252" t="s">
        <v>105</v>
      </c>
      <c r="O2252" t="s">
        <v>28</v>
      </c>
      <c r="P2252" t="s">
        <v>31</v>
      </c>
      <c r="Q2252">
        <v>0</v>
      </c>
      <c r="R2252" t="s">
        <v>12883</v>
      </c>
      <c r="S2252" t="s">
        <v>12889</v>
      </c>
    </row>
    <row r="2253" spans="1:19" x14ac:dyDescent="0.25">
      <c r="A2253" t="s">
        <v>11540</v>
      </c>
      <c r="B2253" s="1">
        <v>45792</v>
      </c>
      <c r="C2253" t="s">
        <v>12887</v>
      </c>
      <c r="D2253" s="5">
        <v>0.87109953703703702</v>
      </c>
      <c r="E2253">
        <v>32.340000000000003</v>
      </c>
      <c r="F2253" t="s">
        <v>44</v>
      </c>
      <c r="G2253" t="s">
        <v>2317</v>
      </c>
      <c r="H2253" t="s">
        <v>89</v>
      </c>
      <c r="I2253" t="s">
        <v>110</v>
      </c>
      <c r="J2253" t="s">
        <v>11541</v>
      </c>
      <c r="K2253">
        <v>35</v>
      </c>
      <c r="L2253" t="s">
        <v>25</v>
      </c>
      <c r="M2253" t="s">
        <v>119</v>
      </c>
      <c r="N2253" t="s">
        <v>112</v>
      </c>
      <c r="O2253" t="s">
        <v>28</v>
      </c>
      <c r="P2253" t="s">
        <v>31</v>
      </c>
      <c r="Q2253">
        <v>0</v>
      </c>
      <c r="R2253" t="s">
        <v>12883</v>
      </c>
      <c r="S2253" t="s">
        <v>12889</v>
      </c>
    </row>
    <row r="2254" spans="1:19" x14ac:dyDescent="0.25">
      <c r="A2254" t="s">
        <v>11498</v>
      </c>
      <c r="B2254" s="1">
        <v>45904</v>
      </c>
      <c r="C2254" t="s">
        <v>12882</v>
      </c>
      <c r="D2254" s="5">
        <v>0.76501157407407405</v>
      </c>
      <c r="E2254">
        <v>32.32</v>
      </c>
      <c r="F2254" t="s">
        <v>44</v>
      </c>
      <c r="G2254" t="s">
        <v>6076</v>
      </c>
      <c r="H2254" t="s">
        <v>46</v>
      </c>
      <c r="I2254" t="s">
        <v>38</v>
      </c>
      <c r="J2254" t="s">
        <v>11499</v>
      </c>
      <c r="K2254">
        <v>45</v>
      </c>
      <c r="L2254" t="s">
        <v>25</v>
      </c>
      <c r="M2254" t="s">
        <v>91</v>
      </c>
      <c r="N2254" t="s">
        <v>84</v>
      </c>
      <c r="O2254" t="s">
        <v>28</v>
      </c>
      <c r="P2254" t="s">
        <v>31</v>
      </c>
      <c r="Q2254">
        <v>0</v>
      </c>
      <c r="R2254" t="s">
        <v>12883</v>
      </c>
      <c r="S2254" t="s">
        <v>12886</v>
      </c>
    </row>
    <row r="2255" spans="1:19" x14ac:dyDescent="0.25">
      <c r="A2255" t="s">
        <v>4726</v>
      </c>
      <c r="B2255" s="1">
        <v>45799</v>
      </c>
      <c r="C2255" t="s">
        <v>12887</v>
      </c>
      <c r="D2255" s="5">
        <v>0.35145833333333332</v>
      </c>
      <c r="E2255">
        <v>32.28</v>
      </c>
      <c r="F2255" t="s">
        <v>44</v>
      </c>
      <c r="G2255" t="s">
        <v>4727</v>
      </c>
      <c r="H2255" t="s">
        <v>57</v>
      </c>
      <c r="I2255" t="s">
        <v>146</v>
      </c>
      <c r="J2255" t="s">
        <v>4728</v>
      </c>
      <c r="K2255">
        <v>20</v>
      </c>
      <c r="L2255" t="s">
        <v>49</v>
      </c>
      <c r="M2255" t="s">
        <v>110</v>
      </c>
      <c r="N2255" t="s">
        <v>105</v>
      </c>
      <c r="O2255" t="s">
        <v>28</v>
      </c>
      <c r="P2255" t="s">
        <v>31</v>
      </c>
      <c r="Q2255">
        <v>0</v>
      </c>
      <c r="R2255" t="s">
        <v>12883</v>
      </c>
      <c r="S2255" t="s">
        <v>12892</v>
      </c>
    </row>
    <row r="2256" spans="1:19" x14ac:dyDescent="0.25">
      <c r="A2256" t="s">
        <v>4267</v>
      </c>
      <c r="B2256" s="1">
        <v>45833</v>
      </c>
      <c r="C2256" t="s">
        <v>12888</v>
      </c>
      <c r="D2256" s="5">
        <v>0.59320601851851851</v>
      </c>
      <c r="E2256">
        <v>32.25</v>
      </c>
      <c r="F2256" t="s">
        <v>44</v>
      </c>
      <c r="G2256" t="s">
        <v>1524</v>
      </c>
      <c r="H2256" t="s">
        <v>57</v>
      </c>
      <c r="I2256" t="s">
        <v>130</v>
      </c>
      <c r="J2256" t="s">
        <v>4268</v>
      </c>
      <c r="K2256">
        <v>60</v>
      </c>
      <c r="L2256" t="s">
        <v>25</v>
      </c>
      <c r="M2256" t="s">
        <v>119</v>
      </c>
      <c r="N2256" t="s">
        <v>112</v>
      </c>
      <c r="O2256" t="s">
        <v>28</v>
      </c>
      <c r="P2256" t="s">
        <v>31</v>
      </c>
      <c r="Q2256">
        <v>0</v>
      </c>
      <c r="R2256" t="s">
        <v>12883</v>
      </c>
      <c r="S2256" t="s">
        <v>12884</v>
      </c>
    </row>
    <row r="2257" spans="1:19" x14ac:dyDescent="0.25">
      <c r="A2257" t="s">
        <v>2223</v>
      </c>
      <c r="B2257" s="1">
        <v>45955</v>
      </c>
      <c r="C2257" t="s">
        <v>12890</v>
      </c>
      <c r="D2257" s="5">
        <v>8.3206018518518512E-2</v>
      </c>
      <c r="E2257">
        <v>32.22</v>
      </c>
      <c r="F2257" t="s">
        <v>44</v>
      </c>
      <c r="G2257" t="s">
        <v>2224</v>
      </c>
      <c r="H2257" t="s">
        <v>64</v>
      </c>
      <c r="I2257" t="s">
        <v>66</v>
      </c>
      <c r="J2257" t="s">
        <v>2225</v>
      </c>
      <c r="K2257">
        <v>73</v>
      </c>
      <c r="L2257" t="s">
        <v>37</v>
      </c>
      <c r="M2257" t="s">
        <v>146</v>
      </c>
      <c r="N2257" t="s">
        <v>105</v>
      </c>
      <c r="O2257" t="s">
        <v>28</v>
      </c>
      <c r="P2257" t="s">
        <v>31</v>
      </c>
      <c r="Q2257">
        <v>0</v>
      </c>
      <c r="R2257" t="s">
        <v>12883</v>
      </c>
      <c r="S2257" t="s">
        <v>12884</v>
      </c>
    </row>
    <row r="2258" spans="1:19" x14ac:dyDescent="0.25">
      <c r="A2258" t="s">
        <v>4187</v>
      </c>
      <c r="B2258" s="1">
        <v>45838</v>
      </c>
      <c r="C2258" t="s">
        <v>12888</v>
      </c>
      <c r="D2258" s="5">
        <v>0.78300925925925924</v>
      </c>
      <c r="E2258">
        <v>32.1</v>
      </c>
      <c r="F2258" t="s">
        <v>44</v>
      </c>
      <c r="G2258" t="s">
        <v>3040</v>
      </c>
      <c r="H2258" t="s">
        <v>89</v>
      </c>
      <c r="I2258" t="s">
        <v>35</v>
      </c>
      <c r="J2258" t="s">
        <v>4188</v>
      </c>
      <c r="K2258">
        <v>56</v>
      </c>
      <c r="L2258" t="s">
        <v>25</v>
      </c>
      <c r="M2258" t="s">
        <v>97</v>
      </c>
      <c r="N2258" t="s">
        <v>39</v>
      </c>
      <c r="O2258" t="s">
        <v>28</v>
      </c>
      <c r="P2258" t="s">
        <v>31</v>
      </c>
      <c r="Q2258">
        <v>0</v>
      </c>
      <c r="R2258" t="s">
        <v>12883</v>
      </c>
      <c r="S2258" t="s">
        <v>12886</v>
      </c>
    </row>
    <row r="2259" spans="1:19" x14ac:dyDescent="0.25">
      <c r="A2259" t="s">
        <v>4958</v>
      </c>
      <c r="B2259" s="1">
        <v>45840</v>
      </c>
      <c r="C2259" t="s">
        <v>12885</v>
      </c>
      <c r="D2259" s="5">
        <v>0.74012731481481486</v>
      </c>
      <c r="E2259">
        <v>32.06</v>
      </c>
      <c r="F2259" t="s">
        <v>44</v>
      </c>
      <c r="G2259" t="s">
        <v>4959</v>
      </c>
      <c r="H2259" t="s">
        <v>64</v>
      </c>
      <c r="I2259" t="s">
        <v>47</v>
      </c>
      <c r="J2259" t="s">
        <v>4960</v>
      </c>
      <c r="K2259">
        <v>75</v>
      </c>
      <c r="L2259" t="s">
        <v>25</v>
      </c>
      <c r="M2259" t="s">
        <v>23</v>
      </c>
      <c r="N2259" t="s">
        <v>84</v>
      </c>
      <c r="O2259" t="s">
        <v>28</v>
      </c>
      <c r="P2259" t="s">
        <v>31</v>
      </c>
      <c r="Q2259">
        <v>0</v>
      </c>
      <c r="R2259" t="s">
        <v>12883</v>
      </c>
      <c r="S2259" t="s">
        <v>12884</v>
      </c>
    </row>
    <row r="2260" spans="1:19" x14ac:dyDescent="0.25">
      <c r="A2260" t="s">
        <v>4674</v>
      </c>
      <c r="B2260" s="1">
        <v>45879</v>
      </c>
      <c r="C2260" t="s">
        <v>12893</v>
      </c>
      <c r="D2260" s="5">
        <v>0.44613425925925926</v>
      </c>
      <c r="E2260">
        <v>32.01</v>
      </c>
      <c r="F2260" t="s">
        <v>44</v>
      </c>
      <c r="G2260" t="s">
        <v>302</v>
      </c>
      <c r="H2260" t="s">
        <v>46</v>
      </c>
      <c r="I2260" t="s">
        <v>50</v>
      </c>
      <c r="J2260" t="s">
        <v>1144</v>
      </c>
      <c r="K2260">
        <v>61</v>
      </c>
      <c r="L2260" t="s">
        <v>25</v>
      </c>
      <c r="M2260" t="s">
        <v>38</v>
      </c>
      <c r="N2260" t="s">
        <v>105</v>
      </c>
      <c r="O2260" t="s">
        <v>28</v>
      </c>
      <c r="P2260" t="s">
        <v>31</v>
      </c>
      <c r="Q2260">
        <v>0</v>
      </c>
      <c r="R2260" t="s">
        <v>12883</v>
      </c>
      <c r="S2260" t="s">
        <v>12884</v>
      </c>
    </row>
    <row r="2261" spans="1:19" x14ac:dyDescent="0.25">
      <c r="A2261" t="s">
        <v>809</v>
      </c>
      <c r="B2261" s="1">
        <v>45928</v>
      </c>
      <c r="C2261" t="s">
        <v>12882</v>
      </c>
      <c r="D2261" s="5">
        <v>0.91468749999999999</v>
      </c>
      <c r="E2261">
        <v>31.68</v>
      </c>
      <c r="F2261" t="s">
        <v>44</v>
      </c>
      <c r="G2261" t="s">
        <v>810</v>
      </c>
      <c r="H2261" t="s">
        <v>71</v>
      </c>
      <c r="I2261" t="s">
        <v>110</v>
      </c>
      <c r="J2261" t="s">
        <v>811</v>
      </c>
      <c r="K2261">
        <v>38</v>
      </c>
      <c r="L2261" t="s">
        <v>25</v>
      </c>
      <c r="M2261" t="s">
        <v>50</v>
      </c>
      <c r="N2261" t="s">
        <v>105</v>
      </c>
      <c r="O2261" t="s">
        <v>28</v>
      </c>
      <c r="P2261" t="s">
        <v>31</v>
      </c>
      <c r="Q2261">
        <v>0</v>
      </c>
      <c r="R2261" t="s">
        <v>12883</v>
      </c>
      <c r="S2261" t="s">
        <v>12889</v>
      </c>
    </row>
    <row r="2262" spans="1:19" x14ac:dyDescent="0.25">
      <c r="A2262" t="s">
        <v>4373</v>
      </c>
      <c r="B2262" s="1">
        <v>45802</v>
      </c>
      <c r="C2262" t="s">
        <v>12887</v>
      </c>
      <c r="D2262" s="5">
        <v>0.67113425925925929</v>
      </c>
      <c r="E2262">
        <v>31.58</v>
      </c>
      <c r="F2262" t="s">
        <v>44</v>
      </c>
      <c r="G2262" t="s">
        <v>4374</v>
      </c>
      <c r="H2262" t="s">
        <v>77</v>
      </c>
      <c r="I2262" t="s">
        <v>119</v>
      </c>
      <c r="J2262" t="s">
        <v>4375</v>
      </c>
      <c r="K2262">
        <v>53</v>
      </c>
      <c r="L2262" t="s">
        <v>49</v>
      </c>
      <c r="M2262" t="s">
        <v>91</v>
      </c>
      <c r="N2262" t="s">
        <v>112</v>
      </c>
      <c r="O2262" t="s">
        <v>28</v>
      </c>
      <c r="P2262" t="s">
        <v>31</v>
      </c>
      <c r="Q2262">
        <v>0</v>
      </c>
      <c r="R2262" t="s">
        <v>12883</v>
      </c>
      <c r="S2262" t="s">
        <v>12886</v>
      </c>
    </row>
    <row r="2263" spans="1:19" x14ac:dyDescent="0.25">
      <c r="A2263" t="s">
        <v>1733</v>
      </c>
      <c r="B2263" s="1">
        <v>45893</v>
      </c>
      <c r="C2263" t="s">
        <v>12893</v>
      </c>
      <c r="D2263" s="5">
        <v>7.1423611111111104E-2</v>
      </c>
      <c r="E2263">
        <v>31.51</v>
      </c>
      <c r="F2263" t="s">
        <v>44</v>
      </c>
      <c r="G2263" t="s">
        <v>1734</v>
      </c>
      <c r="H2263" t="s">
        <v>34</v>
      </c>
      <c r="I2263" t="s">
        <v>119</v>
      </c>
      <c r="J2263" t="s">
        <v>1735</v>
      </c>
      <c r="K2263">
        <v>45</v>
      </c>
      <c r="L2263" t="s">
        <v>37</v>
      </c>
      <c r="M2263" t="s">
        <v>130</v>
      </c>
      <c r="N2263" t="s">
        <v>51</v>
      </c>
      <c r="O2263" t="s">
        <v>28</v>
      </c>
      <c r="P2263" t="s">
        <v>31</v>
      </c>
      <c r="Q2263">
        <v>0</v>
      </c>
      <c r="R2263" t="s">
        <v>12883</v>
      </c>
      <c r="S2263" t="s">
        <v>12886</v>
      </c>
    </row>
    <row r="2264" spans="1:19" x14ac:dyDescent="0.25">
      <c r="A2264" t="s">
        <v>8043</v>
      </c>
      <c r="B2264" s="1">
        <v>45819</v>
      </c>
      <c r="C2264" t="s">
        <v>12888</v>
      </c>
      <c r="D2264" s="5">
        <v>0.58901620370370367</v>
      </c>
      <c r="E2264">
        <v>31.5</v>
      </c>
      <c r="F2264" t="s">
        <v>44</v>
      </c>
      <c r="G2264" t="s">
        <v>7391</v>
      </c>
      <c r="H2264" t="s">
        <v>77</v>
      </c>
      <c r="I2264" t="s">
        <v>26</v>
      </c>
      <c r="J2264" t="s">
        <v>8044</v>
      </c>
      <c r="K2264">
        <v>23</v>
      </c>
      <c r="L2264" t="s">
        <v>25</v>
      </c>
      <c r="M2264" t="s">
        <v>97</v>
      </c>
      <c r="N2264" t="s">
        <v>105</v>
      </c>
      <c r="O2264" t="s">
        <v>28</v>
      </c>
      <c r="P2264" t="s">
        <v>31</v>
      </c>
      <c r="Q2264">
        <v>0</v>
      </c>
      <c r="R2264" t="s">
        <v>12883</v>
      </c>
      <c r="S2264" t="s">
        <v>12892</v>
      </c>
    </row>
    <row r="2265" spans="1:19" x14ac:dyDescent="0.25">
      <c r="A2265" t="s">
        <v>12212</v>
      </c>
      <c r="B2265" s="1">
        <v>45956</v>
      </c>
      <c r="C2265" t="s">
        <v>12890</v>
      </c>
      <c r="D2265" s="5">
        <v>0.99143518518518514</v>
      </c>
      <c r="E2265">
        <v>31.22</v>
      </c>
      <c r="F2265" t="s">
        <v>44</v>
      </c>
      <c r="G2265" t="s">
        <v>5072</v>
      </c>
      <c r="H2265" t="s">
        <v>89</v>
      </c>
      <c r="I2265" t="s">
        <v>66</v>
      </c>
      <c r="J2265" t="s">
        <v>12213</v>
      </c>
      <c r="K2265">
        <v>48</v>
      </c>
      <c r="L2265" t="s">
        <v>37</v>
      </c>
      <c r="M2265" t="s">
        <v>58</v>
      </c>
      <c r="N2265" t="s">
        <v>84</v>
      </c>
      <c r="O2265" t="s">
        <v>28</v>
      </c>
      <c r="P2265" t="s">
        <v>31</v>
      </c>
      <c r="Q2265">
        <v>0</v>
      </c>
      <c r="R2265" t="s">
        <v>12883</v>
      </c>
      <c r="S2265" t="s">
        <v>12886</v>
      </c>
    </row>
    <row r="2266" spans="1:19" x14ac:dyDescent="0.25">
      <c r="A2266" t="s">
        <v>3237</v>
      </c>
      <c r="B2266" s="1">
        <v>45829</v>
      </c>
      <c r="C2266" t="s">
        <v>12888</v>
      </c>
      <c r="D2266" s="5">
        <v>0.71800925925925929</v>
      </c>
      <c r="E2266">
        <v>31.14</v>
      </c>
      <c r="F2266" t="s">
        <v>44</v>
      </c>
      <c r="G2266" t="s">
        <v>3238</v>
      </c>
      <c r="H2266" t="s">
        <v>71</v>
      </c>
      <c r="I2266" t="s">
        <v>47</v>
      </c>
      <c r="J2266" t="s">
        <v>3239</v>
      </c>
      <c r="K2266">
        <v>15</v>
      </c>
      <c r="L2266" t="s">
        <v>49</v>
      </c>
      <c r="M2266" t="s">
        <v>26</v>
      </c>
      <c r="N2266" t="s">
        <v>105</v>
      </c>
      <c r="O2266" t="s">
        <v>28</v>
      </c>
      <c r="P2266" t="s">
        <v>31</v>
      </c>
      <c r="Q2266">
        <v>0</v>
      </c>
      <c r="R2266" t="s">
        <v>12883</v>
      </c>
      <c r="S2266" t="s">
        <v>12892</v>
      </c>
    </row>
    <row r="2267" spans="1:19" x14ac:dyDescent="0.25">
      <c r="A2267" t="s">
        <v>7040</v>
      </c>
      <c r="B2267" s="1">
        <v>45868</v>
      </c>
      <c r="C2267" t="s">
        <v>12885</v>
      </c>
      <c r="D2267" s="5">
        <v>0.61824074074074076</v>
      </c>
      <c r="E2267">
        <v>31.12</v>
      </c>
      <c r="F2267" t="s">
        <v>44</v>
      </c>
      <c r="G2267" t="s">
        <v>2335</v>
      </c>
      <c r="H2267" t="s">
        <v>64</v>
      </c>
      <c r="I2267" t="s">
        <v>110</v>
      </c>
      <c r="J2267" t="s">
        <v>7041</v>
      </c>
      <c r="K2267">
        <v>56</v>
      </c>
      <c r="L2267" t="s">
        <v>49</v>
      </c>
      <c r="M2267" t="s">
        <v>91</v>
      </c>
      <c r="N2267" t="s">
        <v>51</v>
      </c>
      <c r="O2267" t="s">
        <v>28</v>
      </c>
      <c r="P2267" t="s">
        <v>31</v>
      </c>
      <c r="Q2267">
        <v>0</v>
      </c>
      <c r="R2267" t="s">
        <v>12883</v>
      </c>
      <c r="S2267" t="s">
        <v>12886</v>
      </c>
    </row>
    <row r="2268" spans="1:19" x14ac:dyDescent="0.25">
      <c r="A2268" t="s">
        <v>4779</v>
      </c>
      <c r="B2268" s="1">
        <v>45901</v>
      </c>
      <c r="C2268" t="s">
        <v>12882</v>
      </c>
      <c r="D2268" s="5">
        <v>0.84192129629629631</v>
      </c>
      <c r="E2268">
        <v>31.02</v>
      </c>
      <c r="F2268" t="s">
        <v>44</v>
      </c>
      <c r="G2268" t="s">
        <v>369</v>
      </c>
      <c r="H2268" t="s">
        <v>71</v>
      </c>
      <c r="I2268" t="s">
        <v>248</v>
      </c>
      <c r="J2268" t="s">
        <v>4780</v>
      </c>
      <c r="K2268">
        <v>29</v>
      </c>
      <c r="L2268" t="s">
        <v>49</v>
      </c>
      <c r="M2268" t="s">
        <v>97</v>
      </c>
      <c r="N2268" t="s">
        <v>112</v>
      </c>
      <c r="O2268" t="s">
        <v>28</v>
      </c>
      <c r="P2268" t="s">
        <v>31</v>
      </c>
      <c r="Q2268">
        <v>0</v>
      </c>
      <c r="R2268" t="s">
        <v>12883</v>
      </c>
      <c r="S2268" t="s">
        <v>12889</v>
      </c>
    </row>
    <row r="2269" spans="1:19" x14ac:dyDescent="0.25">
      <c r="A2269" t="s">
        <v>6247</v>
      </c>
      <c r="B2269" s="1">
        <v>45912</v>
      </c>
      <c r="C2269" t="s">
        <v>12882</v>
      </c>
      <c r="D2269" s="5">
        <v>0.66570601851851852</v>
      </c>
      <c r="E2269">
        <v>30.93</v>
      </c>
      <c r="F2269" t="s">
        <v>44</v>
      </c>
      <c r="G2269" t="s">
        <v>333</v>
      </c>
      <c r="H2269" t="s">
        <v>96</v>
      </c>
      <c r="I2269" t="s">
        <v>91</v>
      </c>
      <c r="J2269" t="s">
        <v>6248</v>
      </c>
      <c r="K2269">
        <v>35</v>
      </c>
      <c r="L2269" t="s">
        <v>49</v>
      </c>
      <c r="M2269" t="s">
        <v>146</v>
      </c>
      <c r="N2269" t="s">
        <v>105</v>
      </c>
      <c r="O2269" t="s">
        <v>28</v>
      </c>
      <c r="P2269" t="s">
        <v>31</v>
      </c>
      <c r="Q2269">
        <v>0</v>
      </c>
      <c r="R2269" t="s">
        <v>12883</v>
      </c>
      <c r="S2269" t="s">
        <v>12889</v>
      </c>
    </row>
    <row r="2270" spans="1:19" x14ac:dyDescent="0.25">
      <c r="A2270" t="s">
        <v>570</v>
      </c>
      <c r="B2270" s="1">
        <v>45886</v>
      </c>
      <c r="C2270" t="s">
        <v>12893</v>
      </c>
      <c r="D2270" s="5">
        <v>0.42903935185185182</v>
      </c>
      <c r="E2270">
        <v>30.74</v>
      </c>
      <c r="F2270" t="s">
        <v>44</v>
      </c>
      <c r="G2270" t="s">
        <v>571</v>
      </c>
      <c r="H2270" t="s">
        <v>96</v>
      </c>
      <c r="I2270" t="s">
        <v>47</v>
      </c>
      <c r="J2270" t="s">
        <v>572</v>
      </c>
      <c r="K2270">
        <v>74</v>
      </c>
      <c r="L2270" t="s">
        <v>37</v>
      </c>
      <c r="M2270" t="s">
        <v>47</v>
      </c>
      <c r="N2270" t="s">
        <v>105</v>
      </c>
      <c r="O2270" t="s">
        <v>113</v>
      </c>
      <c r="P2270" t="s">
        <v>31</v>
      </c>
      <c r="Q2270">
        <v>0</v>
      </c>
      <c r="R2270" t="s">
        <v>12883</v>
      </c>
      <c r="S2270" t="s">
        <v>12884</v>
      </c>
    </row>
    <row r="2271" spans="1:19" x14ac:dyDescent="0.25">
      <c r="A2271" t="s">
        <v>1678</v>
      </c>
      <c r="B2271" s="1">
        <v>45904</v>
      </c>
      <c r="C2271" t="s">
        <v>12882</v>
      </c>
      <c r="D2271" s="5">
        <v>0.83254629629629628</v>
      </c>
      <c r="E2271">
        <v>30.66</v>
      </c>
      <c r="F2271" t="s">
        <v>44</v>
      </c>
      <c r="G2271" t="s">
        <v>467</v>
      </c>
      <c r="H2271" t="s">
        <v>22</v>
      </c>
      <c r="I2271" t="s">
        <v>66</v>
      </c>
      <c r="J2271" t="s">
        <v>1679</v>
      </c>
      <c r="K2271">
        <v>23</v>
      </c>
      <c r="L2271" t="s">
        <v>37</v>
      </c>
      <c r="M2271" t="s">
        <v>38</v>
      </c>
      <c r="N2271" t="s">
        <v>105</v>
      </c>
      <c r="O2271" t="s">
        <v>28</v>
      </c>
      <c r="P2271" t="s">
        <v>31</v>
      </c>
      <c r="Q2271">
        <v>0</v>
      </c>
      <c r="R2271" t="s">
        <v>12883</v>
      </c>
      <c r="S2271" t="s">
        <v>12892</v>
      </c>
    </row>
    <row r="2272" spans="1:19" x14ac:dyDescent="0.25">
      <c r="A2272" t="s">
        <v>6698</v>
      </c>
      <c r="B2272" s="1">
        <v>45863</v>
      </c>
      <c r="C2272" t="s">
        <v>12885</v>
      </c>
      <c r="D2272" s="5">
        <v>8.4560185185185183E-2</v>
      </c>
      <c r="E2272">
        <v>30.61</v>
      </c>
      <c r="F2272" t="s">
        <v>44</v>
      </c>
      <c r="G2272" t="s">
        <v>1642</v>
      </c>
      <c r="H2272" t="s">
        <v>71</v>
      </c>
      <c r="I2272" t="s">
        <v>248</v>
      </c>
      <c r="J2272" t="s">
        <v>6699</v>
      </c>
      <c r="K2272">
        <v>68</v>
      </c>
      <c r="L2272" t="s">
        <v>49</v>
      </c>
      <c r="M2272" t="s">
        <v>58</v>
      </c>
      <c r="N2272" t="s">
        <v>112</v>
      </c>
      <c r="O2272" t="s">
        <v>28</v>
      </c>
      <c r="P2272" t="s">
        <v>31</v>
      </c>
      <c r="Q2272">
        <v>0</v>
      </c>
      <c r="R2272" t="s">
        <v>12883</v>
      </c>
      <c r="S2272" t="s">
        <v>12884</v>
      </c>
    </row>
    <row r="2273" spans="1:19" x14ac:dyDescent="0.25">
      <c r="A2273" t="s">
        <v>10822</v>
      </c>
      <c r="B2273" s="1">
        <v>45859</v>
      </c>
      <c r="C2273" t="s">
        <v>12885</v>
      </c>
      <c r="D2273" s="5">
        <v>0.81254629629629627</v>
      </c>
      <c r="E2273">
        <v>30.61</v>
      </c>
      <c r="F2273" t="s">
        <v>44</v>
      </c>
      <c r="G2273" t="s">
        <v>10823</v>
      </c>
      <c r="H2273" t="s">
        <v>124</v>
      </c>
      <c r="I2273" t="s">
        <v>110</v>
      </c>
      <c r="J2273" t="s">
        <v>10824</v>
      </c>
      <c r="K2273">
        <v>43</v>
      </c>
      <c r="L2273" t="s">
        <v>37</v>
      </c>
      <c r="M2273" t="s">
        <v>130</v>
      </c>
      <c r="N2273" t="s">
        <v>39</v>
      </c>
      <c r="O2273" t="s">
        <v>28</v>
      </c>
      <c r="P2273" t="s">
        <v>31</v>
      </c>
      <c r="Q2273">
        <v>0</v>
      </c>
      <c r="R2273" t="s">
        <v>12883</v>
      </c>
      <c r="S2273" t="s">
        <v>12886</v>
      </c>
    </row>
    <row r="2274" spans="1:19" x14ac:dyDescent="0.25">
      <c r="A2274" t="s">
        <v>5586</v>
      </c>
      <c r="B2274" s="1">
        <v>45929</v>
      </c>
      <c r="C2274" t="s">
        <v>12882</v>
      </c>
      <c r="D2274" s="5">
        <v>0.44620370370370371</v>
      </c>
      <c r="E2274">
        <v>30.56</v>
      </c>
      <c r="F2274" t="s">
        <v>44</v>
      </c>
      <c r="G2274" t="s">
        <v>3469</v>
      </c>
      <c r="H2274" t="s">
        <v>57</v>
      </c>
      <c r="I2274" t="s">
        <v>38</v>
      </c>
      <c r="J2274" t="s">
        <v>5587</v>
      </c>
      <c r="K2274">
        <v>41</v>
      </c>
      <c r="L2274" t="s">
        <v>37</v>
      </c>
      <c r="M2274" t="s">
        <v>110</v>
      </c>
      <c r="N2274" t="s">
        <v>105</v>
      </c>
      <c r="O2274" t="s">
        <v>28</v>
      </c>
      <c r="P2274" t="s">
        <v>31</v>
      </c>
      <c r="Q2274">
        <v>0</v>
      </c>
      <c r="R2274" t="s">
        <v>12883</v>
      </c>
      <c r="S2274" t="s">
        <v>12886</v>
      </c>
    </row>
    <row r="2275" spans="1:19" x14ac:dyDescent="0.25">
      <c r="A2275" t="s">
        <v>2560</v>
      </c>
      <c r="B2275" s="1">
        <v>45889</v>
      </c>
      <c r="C2275" t="s">
        <v>12893</v>
      </c>
      <c r="D2275" s="5">
        <v>0.51233796296296297</v>
      </c>
      <c r="E2275">
        <v>30.43</v>
      </c>
      <c r="F2275" t="s">
        <v>44</v>
      </c>
      <c r="G2275" t="s">
        <v>2561</v>
      </c>
      <c r="H2275" t="s">
        <v>57</v>
      </c>
      <c r="I2275" t="s">
        <v>110</v>
      </c>
      <c r="J2275" t="s">
        <v>2562</v>
      </c>
      <c r="K2275">
        <v>96</v>
      </c>
      <c r="L2275" t="s">
        <v>49</v>
      </c>
      <c r="M2275" t="s">
        <v>248</v>
      </c>
      <c r="N2275" t="s">
        <v>84</v>
      </c>
      <c r="O2275" t="s">
        <v>28</v>
      </c>
      <c r="P2275" t="s">
        <v>31</v>
      </c>
      <c r="Q2275">
        <v>0</v>
      </c>
      <c r="R2275" t="s">
        <v>12883</v>
      </c>
      <c r="S2275" t="s">
        <v>12884</v>
      </c>
    </row>
    <row r="2276" spans="1:19" x14ac:dyDescent="0.25">
      <c r="A2276" t="s">
        <v>5666</v>
      </c>
      <c r="B2276" s="1">
        <v>45863</v>
      </c>
      <c r="C2276" t="s">
        <v>12885</v>
      </c>
      <c r="D2276" s="5">
        <v>0.15400462962962963</v>
      </c>
      <c r="E2276">
        <v>30.35</v>
      </c>
      <c r="F2276" t="s">
        <v>44</v>
      </c>
      <c r="G2276" t="s">
        <v>1177</v>
      </c>
      <c r="H2276" t="s">
        <v>46</v>
      </c>
      <c r="I2276" t="s">
        <v>26</v>
      </c>
      <c r="J2276" t="s">
        <v>5667</v>
      </c>
      <c r="K2276">
        <v>28</v>
      </c>
      <c r="L2276" t="s">
        <v>25</v>
      </c>
      <c r="M2276" t="s">
        <v>91</v>
      </c>
      <c r="N2276" t="s">
        <v>105</v>
      </c>
      <c r="O2276" t="s">
        <v>28</v>
      </c>
      <c r="P2276" t="s">
        <v>31</v>
      </c>
      <c r="Q2276">
        <v>0</v>
      </c>
      <c r="R2276" t="s">
        <v>12883</v>
      </c>
      <c r="S2276" t="s">
        <v>12889</v>
      </c>
    </row>
    <row r="2277" spans="1:19" x14ac:dyDescent="0.25">
      <c r="A2277" t="s">
        <v>4318</v>
      </c>
      <c r="B2277" s="1">
        <v>45892</v>
      </c>
      <c r="C2277" t="s">
        <v>12893</v>
      </c>
      <c r="D2277" s="5">
        <v>0.75</v>
      </c>
      <c r="E2277">
        <v>30.23</v>
      </c>
      <c r="F2277" t="s">
        <v>44</v>
      </c>
      <c r="G2277" t="s">
        <v>4319</v>
      </c>
      <c r="H2277" t="s">
        <v>22</v>
      </c>
      <c r="I2277" t="s">
        <v>26</v>
      </c>
      <c r="J2277" t="s">
        <v>4320</v>
      </c>
      <c r="K2277">
        <v>66</v>
      </c>
      <c r="L2277" t="s">
        <v>49</v>
      </c>
      <c r="M2277" t="s">
        <v>58</v>
      </c>
      <c r="N2277" t="s">
        <v>112</v>
      </c>
      <c r="O2277" t="s">
        <v>28</v>
      </c>
      <c r="P2277" t="s">
        <v>31</v>
      </c>
      <c r="Q2277">
        <v>0</v>
      </c>
      <c r="R2277" t="s">
        <v>12883</v>
      </c>
      <c r="S2277" t="s">
        <v>12884</v>
      </c>
    </row>
    <row r="2278" spans="1:19" x14ac:dyDescent="0.25">
      <c r="A2278" t="s">
        <v>10803</v>
      </c>
      <c r="B2278" s="1">
        <v>45863</v>
      </c>
      <c r="C2278" t="s">
        <v>12885</v>
      </c>
      <c r="D2278" s="5">
        <v>0.79984953703703698</v>
      </c>
      <c r="E2278">
        <v>30.18</v>
      </c>
      <c r="F2278" t="s">
        <v>44</v>
      </c>
      <c r="G2278" t="s">
        <v>2556</v>
      </c>
      <c r="H2278" t="s">
        <v>46</v>
      </c>
      <c r="I2278" t="s">
        <v>248</v>
      </c>
      <c r="J2278" t="s">
        <v>10804</v>
      </c>
      <c r="K2278">
        <v>13</v>
      </c>
      <c r="L2278" t="s">
        <v>49</v>
      </c>
      <c r="M2278" t="s">
        <v>130</v>
      </c>
      <c r="N2278" t="s">
        <v>27</v>
      </c>
      <c r="O2278" t="s">
        <v>28</v>
      </c>
      <c r="P2278" t="s">
        <v>31</v>
      </c>
      <c r="Q2278">
        <v>0</v>
      </c>
      <c r="R2278" t="s">
        <v>12883</v>
      </c>
      <c r="S2278" t="s">
        <v>12892</v>
      </c>
    </row>
    <row r="2279" spans="1:19" x14ac:dyDescent="0.25">
      <c r="A2279" t="s">
        <v>6991</v>
      </c>
      <c r="B2279" s="1">
        <v>45851</v>
      </c>
      <c r="C2279" t="s">
        <v>12885</v>
      </c>
      <c r="D2279" s="5">
        <v>0.55583333333333329</v>
      </c>
      <c r="E2279">
        <v>30.09</v>
      </c>
      <c r="F2279" t="s">
        <v>44</v>
      </c>
      <c r="G2279" t="s">
        <v>1583</v>
      </c>
      <c r="H2279" t="s">
        <v>64</v>
      </c>
      <c r="I2279" t="s">
        <v>130</v>
      </c>
      <c r="J2279" t="s">
        <v>6992</v>
      </c>
      <c r="K2279">
        <v>22</v>
      </c>
      <c r="L2279" t="s">
        <v>25</v>
      </c>
      <c r="M2279" t="s">
        <v>35</v>
      </c>
      <c r="N2279" t="s">
        <v>112</v>
      </c>
      <c r="O2279" t="s">
        <v>28</v>
      </c>
      <c r="P2279" t="s">
        <v>31</v>
      </c>
      <c r="Q2279">
        <v>0</v>
      </c>
      <c r="R2279" t="s">
        <v>12883</v>
      </c>
      <c r="S2279" t="s">
        <v>12892</v>
      </c>
    </row>
    <row r="2280" spans="1:19" x14ac:dyDescent="0.25">
      <c r="A2280" t="s">
        <v>6924</v>
      </c>
      <c r="B2280" s="1">
        <v>45923</v>
      </c>
      <c r="C2280" t="s">
        <v>12882</v>
      </c>
      <c r="D2280" s="5">
        <v>0.53788194444444448</v>
      </c>
      <c r="E2280">
        <v>29.91</v>
      </c>
      <c r="F2280" t="s">
        <v>44</v>
      </c>
      <c r="G2280" t="s">
        <v>6860</v>
      </c>
      <c r="H2280" t="s">
        <v>77</v>
      </c>
      <c r="I2280" t="s">
        <v>23</v>
      </c>
      <c r="J2280" t="s">
        <v>6925</v>
      </c>
      <c r="K2280">
        <v>43</v>
      </c>
      <c r="L2280" t="s">
        <v>25</v>
      </c>
      <c r="M2280" t="s">
        <v>110</v>
      </c>
      <c r="N2280" t="s">
        <v>105</v>
      </c>
      <c r="O2280" t="s">
        <v>28</v>
      </c>
      <c r="P2280" t="s">
        <v>31</v>
      </c>
      <c r="Q2280">
        <v>0</v>
      </c>
      <c r="R2280" t="s">
        <v>12883</v>
      </c>
      <c r="S2280" t="s">
        <v>12886</v>
      </c>
    </row>
    <row r="2281" spans="1:19" x14ac:dyDescent="0.25">
      <c r="A2281" t="s">
        <v>4052</v>
      </c>
      <c r="B2281" s="1">
        <v>45852</v>
      </c>
      <c r="C2281" t="s">
        <v>12885</v>
      </c>
      <c r="D2281" s="5">
        <v>0.10159722222222223</v>
      </c>
      <c r="E2281">
        <v>29.85</v>
      </c>
      <c r="F2281" t="s">
        <v>44</v>
      </c>
      <c r="G2281" t="s">
        <v>4053</v>
      </c>
      <c r="H2281" t="s">
        <v>124</v>
      </c>
      <c r="I2281" t="s">
        <v>38</v>
      </c>
      <c r="J2281" t="s">
        <v>4054</v>
      </c>
      <c r="K2281">
        <v>56</v>
      </c>
      <c r="L2281" t="s">
        <v>25</v>
      </c>
      <c r="M2281" t="s">
        <v>248</v>
      </c>
      <c r="N2281" t="s">
        <v>51</v>
      </c>
      <c r="O2281" t="s">
        <v>28</v>
      </c>
      <c r="P2281" t="s">
        <v>31</v>
      </c>
      <c r="Q2281">
        <v>0</v>
      </c>
      <c r="R2281" t="s">
        <v>12883</v>
      </c>
      <c r="S2281" t="s">
        <v>12886</v>
      </c>
    </row>
    <row r="2282" spans="1:19" x14ac:dyDescent="0.25">
      <c r="A2282" t="s">
        <v>4420</v>
      </c>
      <c r="B2282" s="1">
        <v>45798</v>
      </c>
      <c r="C2282" t="s">
        <v>12887</v>
      </c>
      <c r="D2282" s="5">
        <v>0.72317129629629628</v>
      </c>
      <c r="E2282">
        <v>29.78</v>
      </c>
      <c r="F2282" t="s">
        <v>44</v>
      </c>
      <c r="G2282" t="s">
        <v>4421</v>
      </c>
      <c r="H2282" t="s">
        <v>77</v>
      </c>
      <c r="I2282" t="s">
        <v>35</v>
      </c>
      <c r="J2282" t="s">
        <v>4422</v>
      </c>
      <c r="K2282">
        <v>30</v>
      </c>
      <c r="L2282" t="s">
        <v>25</v>
      </c>
      <c r="M2282" t="s">
        <v>26</v>
      </c>
      <c r="N2282" t="s">
        <v>84</v>
      </c>
      <c r="O2282" t="s">
        <v>28</v>
      </c>
      <c r="P2282" t="s">
        <v>31</v>
      </c>
      <c r="Q2282">
        <v>0</v>
      </c>
      <c r="R2282" t="s">
        <v>12883</v>
      </c>
      <c r="S2282" t="s">
        <v>12889</v>
      </c>
    </row>
    <row r="2283" spans="1:19" x14ac:dyDescent="0.25">
      <c r="A2283" t="s">
        <v>9631</v>
      </c>
      <c r="B2283" s="1">
        <v>45788</v>
      </c>
      <c r="C2283" t="s">
        <v>12887</v>
      </c>
      <c r="D2283" s="5">
        <v>0.65171296296296299</v>
      </c>
      <c r="E2283">
        <v>29.67</v>
      </c>
      <c r="F2283" t="s">
        <v>44</v>
      </c>
      <c r="G2283" t="s">
        <v>2855</v>
      </c>
      <c r="H2283" t="s">
        <v>96</v>
      </c>
      <c r="I2283" t="s">
        <v>66</v>
      </c>
      <c r="J2283" t="s">
        <v>9632</v>
      </c>
      <c r="K2283">
        <v>54</v>
      </c>
      <c r="L2283" t="s">
        <v>37</v>
      </c>
      <c r="M2283" t="s">
        <v>50</v>
      </c>
      <c r="N2283" t="s">
        <v>105</v>
      </c>
      <c r="O2283" t="s">
        <v>28</v>
      </c>
      <c r="P2283" t="s">
        <v>31</v>
      </c>
      <c r="Q2283">
        <v>0</v>
      </c>
      <c r="R2283" t="s">
        <v>12883</v>
      </c>
      <c r="S2283" t="s">
        <v>12886</v>
      </c>
    </row>
    <row r="2284" spans="1:19" x14ac:dyDescent="0.25">
      <c r="A2284" t="s">
        <v>8387</v>
      </c>
      <c r="B2284" s="1">
        <v>45915</v>
      </c>
      <c r="C2284" t="s">
        <v>12882</v>
      </c>
      <c r="D2284" s="5">
        <v>0.95438657407407412</v>
      </c>
      <c r="E2284">
        <v>29.49</v>
      </c>
      <c r="F2284" t="s">
        <v>44</v>
      </c>
      <c r="G2284" t="s">
        <v>8388</v>
      </c>
      <c r="H2284" t="s">
        <v>96</v>
      </c>
      <c r="I2284" t="s">
        <v>130</v>
      </c>
      <c r="J2284" t="s">
        <v>7496</v>
      </c>
      <c r="K2284">
        <v>53</v>
      </c>
      <c r="L2284" t="s">
        <v>25</v>
      </c>
      <c r="M2284" t="s">
        <v>23</v>
      </c>
      <c r="N2284" t="s">
        <v>27</v>
      </c>
      <c r="O2284" t="s">
        <v>28</v>
      </c>
      <c r="P2284" t="s">
        <v>31</v>
      </c>
      <c r="Q2284">
        <v>0</v>
      </c>
      <c r="R2284" t="s">
        <v>12883</v>
      </c>
      <c r="S2284" t="s">
        <v>12886</v>
      </c>
    </row>
    <row r="2285" spans="1:19" x14ac:dyDescent="0.25">
      <c r="A2285" t="s">
        <v>634</v>
      </c>
      <c r="B2285" s="1">
        <v>45908</v>
      </c>
      <c r="C2285" t="s">
        <v>12882</v>
      </c>
      <c r="D2285" s="5">
        <v>0.44259259259259259</v>
      </c>
      <c r="E2285">
        <v>29.42</v>
      </c>
      <c r="F2285" t="s">
        <v>44</v>
      </c>
      <c r="G2285" t="s">
        <v>467</v>
      </c>
      <c r="H2285" t="s">
        <v>77</v>
      </c>
      <c r="I2285" t="s">
        <v>66</v>
      </c>
      <c r="J2285" t="s">
        <v>635</v>
      </c>
      <c r="K2285">
        <v>65</v>
      </c>
      <c r="L2285" t="s">
        <v>49</v>
      </c>
      <c r="M2285" t="s">
        <v>58</v>
      </c>
      <c r="N2285" t="s">
        <v>39</v>
      </c>
      <c r="O2285" t="s">
        <v>28</v>
      </c>
      <c r="P2285" t="s">
        <v>31</v>
      </c>
      <c r="Q2285">
        <v>0</v>
      </c>
      <c r="R2285" t="s">
        <v>12883</v>
      </c>
      <c r="S2285" t="s">
        <v>12884</v>
      </c>
    </row>
    <row r="2286" spans="1:19" x14ac:dyDescent="0.25">
      <c r="A2286" t="s">
        <v>2066</v>
      </c>
      <c r="B2286" s="1">
        <v>45788</v>
      </c>
      <c r="C2286" t="s">
        <v>12887</v>
      </c>
      <c r="D2286" s="5">
        <v>0.66668981481481482</v>
      </c>
      <c r="E2286">
        <v>29.35</v>
      </c>
      <c r="F2286" t="s">
        <v>44</v>
      </c>
      <c r="G2286" t="s">
        <v>1504</v>
      </c>
      <c r="H2286" t="s">
        <v>22</v>
      </c>
      <c r="I2286" t="s">
        <v>47</v>
      </c>
      <c r="J2286" t="s">
        <v>2067</v>
      </c>
      <c r="K2286">
        <v>72</v>
      </c>
      <c r="L2286" t="s">
        <v>37</v>
      </c>
      <c r="M2286" t="s">
        <v>23</v>
      </c>
      <c r="N2286" t="s">
        <v>27</v>
      </c>
      <c r="O2286" t="s">
        <v>28</v>
      </c>
      <c r="P2286" t="s">
        <v>31</v>
      </c>
      <c r="Q2286">
        <v>0</v>
      </c>
      <c r="R2286" t="s">
        <v>12883</v>
      </c>
      <c r="S2286" t="s">
        <v>12884</v>
      </c>
    </row>
    <row r="2287" spans="1:19" x14ac:dyDescent="0.25">
      <c r="A2287" t="s">
        <v>10259</v>
      </c>
      <c r="B2287" s="1">
        <v>45833</v>
      </c>
      <c r="C2287" t="s">
        <v>12888</v>
      </c>
      <c r="D2287" s="5">
        <v>0.41413194444444446</v>
      </c>
      <c r="E2287">
        <v>29.28</v>
      </c>
      <c r="F2287" t="s">
        <v>44</v>
      </c>
      <c r="G2287" t="s">
        <v>9299</v>
      </c>
      <c r="H2287" t="s">
        <v>34</v>
      </c>
      <c r="I2287" t="s">
        <v>47</v>
      </c>
      <c r="J2287" t="s">
        <v>4636</v>
      </c>
      <c r="K2287">
        <v>36</v>
      </c>
      <c r="L2287" t="s">
        <v>25</v>
      </c>
      <c r="M2287" t="s">
        <v>97</v>
      </c>
      <c r="N2287" t="s">
        <v>51</v>
      </c>
      <c r="O2287" t="s">
        <v>28</v>
      </c>
      <c r="P2287" t="s">
        <v>31</v>
      </c>
      <c r="Q2287">
        <v>0</v>
      </c>
      <c r="R2287" t="s">
        <v>12883</v>
      </c>
      <c r="S2287" t="s">
        <v>12889</v>
      </c>
    </row>
    <row r="2288" spans="1:19" x14ac:dyDescent="0.25">
      <c r="A2288" t="s">
        <v>4846</v>
      </c>
      <c r="B2288" s="1">
        <v>45941</v>
      </c>
      <c r="C2288" t="s">
        <v>12890</v>
      </c>
      <c r="D2288" s="5">
        <v>0.57278935185185187</v>
      </c>
      <c r="E2288">
        <v>29.23</v>
      </c>
      <c r="F2288" t="s">
        <v>44</v>
      </c>
      <c r="G2288" t="s">
        <v>4847</v>
      </c>
      <c r="H2288" t="s">
        <v>124</v>
      </c>
      <c r="I2288" t="s">
        <v>97</v>
      </c>
      <c r="J2288" t="s">
        <v>4848</v>
      </c>
      <c r="K2288">
        <v>69</v>
      </c>
      <c r="L2288" t="s">
        <v>37</v>
      </c>
      <c r="M2288" t="s">
        <v>58</v>
      </c>
      <c r="N2288" t="s">
        <v>27</v>
      </c>
      <c r="O2288" t="s">
        <v>28</v>
      </c>
      <c r="P2288" t="s">
        <v>31</v>
      </c>
      <c r="Q2288">
        <v>0</v>
      </c>
      <c r="R2288" t="s">
        <v>12883</v>
      </c>
      <c r="S2288" t="s">
        <v>12884</v>
      </c>
    </row>
    <row r="2289" spans="1:19" x14ac:dyDescent="0.25">
      <c r="A2289" t="s">
        <v>6651</v>
      </c>
      <c r="B2289" s="1">
        <v>45783</v>
      </c>
      <c r="C2289" t="s">
        <v>12887</v>
      </c>
      <c r="D2289" s="5">
        <v>0.87766203703703705</v>
      </c>
      <c r="E2289">
        <v>29.19</v>
      </c>
      <c r="F2289" t="s">
        <v>44</v>
      </c>
      <c r="G2289" t="s">
        <v>394</v>
      </c>
      <c r="H2289" t="s">
        <v>34</v>
      </c>
      <c r="I2289" t="s">
        <v>110</v>
      </c>
      <c r="J2289" t="s">
        <v>6652</v>
      </c>
      <c r="K2289">
        <v>46</v>
      </c>
      <c r="L2289" t="s">
        <v>49</v>
      </c>
      <c r="M2289" t="s">
        <v>130</v>
      </c>
      <c r="N2289" t="s">
        <v>112</v>
      </c>
      <c r="O2289" t="s">
        <v>28</v>
      </c>
      <c r="P2289" t="s">
        <v>31</v>
      </c>
      <c r="Q2289">
        <v>0</v>
      </c>
      <c r="R2289" t="s">
        <v>12883</v>
      </c>
      <c r="S2289" t="s">
        <v>12886</v>
      </c>
    </row>
    <row r="2290" spans="1:19" x14ac:dyDescent="0.25">
      <c r="A2290" t="s">
        <v>1091</v>
      </c>
      <c r="B2290" s="1">
        <v>45849</v>
      </c>
      <c r="C2290" t="s">
        <v>12885</v>
      </c>
      <c r="D2290" s="5">
        <v>0.516087962962963</v>
      </c>
      <c r="E2290">
        <v>29.11</v>
      </c>
      <c r="F2290" t="s">
        <v>44</v>
      </c>
      <c r="G2290" t="s">
        <v>1092</v>
      </c>
      <c r="H2290" t="s">
        <v>22</v>
      </c>
      <c r="I2290" t="s">
        <v>38</v>
      </c>
      <c r="J2290" t="s">
        <v>1093</v>
      </c>
      <c r="K2290">
        <v>19</v>
      </c>
      <c r="L2290" t="s">
        <v>37</v>
      </c>
      <c r="M2290" t="s">
        <v>146</v>
      </c>
      <c r="N2290" t="s">
        <v>112</v>
      </c>
      <c r="O2290" t="s">
        <v>28</v>
      </c>
      <c r="P2290" t="s">
        <v>31</v>
      </c>
      <c r="Q2290">
        <v>0</v>
      </c>
      <c r="R2290" t="s">
        <v>12883</v>
      </c>
      <c r="S2290" t="s">
        <v>12892</v>
      </c>
    </row>
    <row r="2291" spans="1:19" x14ac:dyDescent="0.25">
      <c r="A2291" t="s">
        <v>8646</v>
      </c>
      <c r="B2291" s="1">
        <v>45895</v>
      </c>
      <c r="C2291" t="s">
        <v>12893</v>
      </c>
      <c r="D2291" s="5">
        <v>0.70460648148148153</v>
      </c>
      <c r="E2291">
        <v>29</v>
      </c>
      <c r="F2291" t="s">
        <v>44</v>
      </c>
      <c r="G2291" t="s">
        <v>1739</v>
      </c>
      <c r="H2291" t="s">
        <v>124</v>
      </c>
      <c r="I2291" t="s">
        <v>119</v>
      </c>
      <c r="J2291" t="s">
        <v>8647</v>
      </c>
      <c r="K2291">
        <v>56</v>
      </c>
      <c r="L2291" t="s">
        <v>49</v>
      </c>
      <c r="M2291" t="s">
        <v>47</v>
      </c>
      <c r="N2291" t="s">
        <v>27</v>
      </c>
      <c r="O2291" t="s">
        <v>28</v>
      </c>
      <c r="P2291" t="s">
        <v>31</v>
      </c>
      <c r="Q2291">
        <v>0</v>
      </c>
      <c r="R2291" t="s">
        <v>12883</v>
      </c>
      <c r="S2291" t="s">
        <v>12886</v>
      </c>
    </row>
    <row r="2292" spans="1:19" x14ac:dyDescent="0.25">
      <c r="A2292" t="s">
        <v>3408</v>
      </c>
      <c r="B2292" s="1">
        <v>45873</v>
      </c>
      <c r="C2292" t="s">
        <v>12893</v>
      </c>
      <c r="D2292" s="5">
        <v>0.85081018518518514</v>
      </c>
      <c r="E2292">
        <v>28.96</v>
      </c>
      <c r="F2292" t="s">
        <v>44</v>
      </c>
      <c r="G2292" t="s">
        <v>753</v>
      </c>
      <c r="H2292" t="s">
        <v>89</v>
      </c>
      <c r="I2292" t="s">
        <v>146</v>
      </c>
      <c r="J2292" t="s">
        <v>3409</v>
      </c>
      <c r="K2292">
        <v>38</v>
      </c>
      <c r="L2292" t="s">
        <v>37</v>
      </c>
      <c r="M2292" t="s">
        <v>130</v>
      </c>
      <c r="N2292" t="s">
        <v>39</v>
      </c>
      <c r="O2292" t="s">
        <v>28</v>
      </c>
      <c r="P2292" t="s">
        <v>31</v>
      </c>
      <c r="Q2292">
        <v>0</v>
      </c>
      <c r="R2292" t="s">
        <v>12883</v>
      </c>
      <c r="S2292" t="s">
        <v>12889</v>
      </c>
    </row>
    <row r="2293" spans="1:19" x14ac:dyDescent="0.25">
      <c r="A2293" t="s">
        <v>3851</v>
      </c>
      <c r="B2293" s="1">
        <v>45818</v>
      </c>
      <c r="C2293" t="s">
        <v>12888</v>
      </c>
      <c r="D2293" s="5">
        <v>0.22325231481481481</v>
      </c>
      <c r="E2293">
        <v>28.81</v>
      </c>
      <c r="F2293" t="s">
        <v>44</v>
      </c>
      <c r="G2293" t="s">
        <v>814</v>
      </c>
      <c r="H2293" t="s">
        <v>64</v>
      </c>
      <c r="I2293" t="s">
        <v>66</v>
      </c>
      <c r="J2293" t="s">
        <v>3852</v>
      </c>
      <c r="K2293">
        <v>68</v>
      </c>
      <c r="L2293" t="s">
        <v>25</v>
      </c>
      <c r="M2293" t="s">
        <v>91</v>
      </c>
      <c r="N2293" t="s">
        <v>27</v>
      </c>
      <c r="O2293" t="s">
        <v>28</v>
      </c>
      <c r="P2293" t="s">
        <v>31</v>
      </c>
      <c r="Q2293">
        <v>1</v>
      </c>
      <c r="R2293" t="s">
        <v>12891</v>
      </c>
      <c r="S2293" t="s">
        <v>12884</v>
      </c>
    </row>
    <row r="2294" spans="1:19" x14ac:dyDescent="0.25">
      <c r="A2294" t="s">
        <v>10059</v>
      </c>
      <c r="B2294" s="1">
        <v>45806</v>
      </c>
      <c r="C2294" t="s">
        <v>12887</v>
      </c>
      <c r="D2294" s="5">
        <v>0.60611111111111116</v>
      </c>
      <c r="E2294">
        <v>28.42</v>
      </c>
      <c r="F2294" t="s">
        <v>44</v>
      </c>
      <c r="G2294" t="s">
        <v>1224</v>
      </c>
      <c r="H2294" t="s">
        <v>96</v>
      </c>
      <c r="I2294" t="s">
        <v>26</v>
      </c>
      <c r="J2294" t="s">
        <v>8771</v>
      </c>
      <c r="K2294">
        <v>23</v>
      </c>
      <c r="L2294" t="s">
        <v>37</v>
      </c>
      <c r="M2294" t="s">
        <v>66</v>
      </c>
      <c r="N2294" t="s">
        <v>84</v>
      </c>
      <c r="O2294" t="s">
        <v>28</v>
      </c>
      <c r="P2294" t="s">
        <v>31</v>
      </c>
      <c r="Q2294">
        <v>0</v>
      </c>
      <c r="R2294" t="s">
        <v>12883</v>
      </c>
      <c r="S2294" t="s">
        <v>12892</v>
      </c>
    </row>
    <row r="2295" spans="1:19" x14ac:dyDescent="0.25">
      <c r="A2295" t="s">
        <v>1384</v>
      </c>
      <c r="B2295" s="1">
        <v>45841</v>
      </c>
      <c r="C2295" t="s">
        <v>12885</v>
      </c>
      <c r="D2295" s="5">
        <v>0.91744212962962968</v>
      </c>
      <c r="E2295">
        <v>28.38</v>
      </c>
      <c r="F2295" t="s">
        <v>44</v>
      </c>
      <c r="G2295" t="s">
        <v>596</v>
      </c>
      <c r="H2295" t="s">
        <v>124</v>
      </c>
      <c r="I2295" t="s">
        <v>248</v>
      </c>
      <c r="J2295" t="s">
        <v>1385</v>
      </c>
      <c r="K2295">
        <v>64</v>
      </c>
      <c r="L2295" t="s">
        <v>25</v>
      </c>
      <c r="M2295" t="s">
        <v>58</v>
      </c>
      <c r="N2295" t="s">
        <v>112</v>
      </c>
      <c r="O2295" t="s">
        <v>28</v>
      </c>
      <c r="P2295" t="s">
        <v>31</v>
      </c>
      <c r="Q2295">
        <v>0</v>
      </c>
      <c r="R2295" t="s">
        <v>12883</v>
      </c>
      <c r="S2295" t="s">
        <v>12884</v>
      </c>
    </row>
    <row r="2296" spans="1:19" x14ac:dyDescent="0.25">
      <c r="A2296" t="s">
        <v>11517</v>
      </c>
      <c r="B2296" s="1">
        <v>45959</v>
      </c>
      <c r="C2296" t="s">
        <v>12890</v>
      </c>
      <c r="D2296" s="5">
        <v>8.6631944444444442E-2</v>
      </c>
      <c r="E2296">
        <v>28.3</v>
      </c>
      <c r="F2296" t="s">
        <v>44</v>
      </c>
      <c r="G2296" t="s">
        <v>4491</v>
      </c>
      <c r="H2296" t="s">
        <v>96</v>
      </c>
      <c r="I2296" t="s">
        <v>50</v>
      </c>
      <c r="J2296" t="s">
        <v>11518</v>
      </c>
      <c r="K2296">
        <v>53</v>
      </c>
      <c r="L2296" t="s">
        <v>25</v>
      </c>
      <c r="M2296" t="s">
        <v>38</v>
      </c>
      <c r="N2296" t="s">
        <v>84</v>
      </c>
      <c r="O2296" t="s">
        <v>28</v>
      </c>
      <c r="P2296" t="s">
        <v>31</v>
      </c>
      <c r="Q2296">
        <v>0</v>
      </c>
      <c r="R2296" t="s">
        <v>12883</v>
      </c>
      <c r="S2296" t="s">
        <v>12886</v>
      </c>
    </row>
    <row r="2297" spans="1:19" x14ac:dyDescent="0.25">
      <c r="A2297" t="s">
        <v>2716</v>
      </c>
      <c r="B2297" s="1">
        <v>45795</v>
      </c>
      <c r="C2297" t="s">
        <v>12887</v>
      </c>
      <c r="D2297" s="5">
        <v>0.14026620370370371</v>
      </c>
      <c r="E2297">
        <v>28.25</v>
      </c>
      <c r="F2297" t="s">
        <v>44</v>
      </c>
      <c r="G2297" t="s">
        <v>1563</v>
      </c>
      <c r="H2297" t="s">
        <v>71</v>
      </c>
      <c r="I2297" t="s">
        <v>50</v>
      </c>
      <c r="J2297" t="s">
        <v>2717</v>
      </c>
      <c r="K2297">
        <v>50</v>
      </c>
      <c r="L2297" t="s">
        <v>25</v>
      </c>
      <c r="M2297" t="s">
        <v>35</v>
      </c>
      <c r="N2297" t="s">
        <v>84</v>
      </c>
      <c r="O2297" t="s">
        <v>28</v>
      </c>
      <c r="P2297" t="s">
        <v>31</v>
      </c>
      <c r="Q2297">
        <v>0</v>
      </c>
      <c r="R2297" t="s">
        <v>12883</v>
      </c>
      <c r="S2297" t="s">
        <v>12886</v>
      </c>
    </row>
    <row r="2298" spans="1:19" x14ac:dyDescent="0.25">
      <c r="A2298" t="s">
        <v>11214</v>
      </c>
      <c r="B2298" s="1">
        <v>45945</v>
      </c>
      <c r="C2298" t="s">
        <v>12890</v>
      </c>
      <c r="D2298" s="5">
        <v>0.8871296296296296</v>
      </c>
      <c r="E2298">
        <v>28.21</v>
      </c>
      <c r="F2298" t="s">
        <v>44</v>
      </c>
      <c r="G2298" t="s">
        <v>5815</v>
      </c>
      <c r="H2298" t="s">
        <v>124</v>
      </c>
      <c r="I2298" t="s">
        <v>119</v>
      </c>
      <c r="J2298" t="s">
        <v>11215</v>
      </c>
      <c r="K2298">
        <v>24</v>
      </c>
      <c r="L2298" t="s">
        <v>25</v>
      </c>
      <c r="M2298" t="s">
        <v>97</v>
      </c>
      <c r="N2298" t="s">
        <v>112</v>
      </c>
      <c r="O2298" t="s">
        <v>28</v>
      </c>
      <c r="P2298" t="s">
        <v>31</v>
      </c>
      <c r="Q2298">
        <v>0</v>
      </c>
      <c r="R2298" t="s">
        <v>12883</v>
      </c>
      <c r="S2298" t="s">
        <v>12892</v>
      </c>
    </row>
    <row r="2299" spans="1:19" x14ac:dyDescent="0.25">
      <c r="A2299" t="s">
        <v>11186</v>
      </c>
      <c r="B2299" s="1">
        <v>45881</v>
      </c>
      <c r="C2299" t="s">
        <v>12893</v>
      </c>
      <c r="D2299" s="5">
        <v>0.20030092592592594</v>
      </c>
      <c r="E2299">
        <v>27.93</v>
      </c>
      <c r="F2299" t="s">
        <v>44</v>
      </c>
      <c r="G2299" t="s">
        <v>1195</v>
      </c>
      <c r="H2299" t="s">
        <v>96</v>
      </c>
      <c r="I2299" t="s">
        <v>119</v>
      </c>
      <c r="J2299" t="s">
        <v>11187</v>
      </c>
      <c r="K2299">
        <v>33</v>
      </c>
      <c r="L2299" t="s">
        <v>37</v>
      </c>
      <c r="M2299" t="s">
        <v>130</v>
      </c>
      <c r="N2299" t="s">
        <v>105</v>
      </c>
      <c r="O2299" t="s">
        <v>28</v>
      </c>
      <c r="P2299" t="s">
        <v>31</v>
      </c>
      <c r="Q2299">
        <v>0</v>
      </c>
      <c r="R2299" t="s">
        <v>12883</v>
      </c>
      <c r="S2299" t="s">
        <v>12889</v>
      </c>
    </row>
    <row r="2300" spans="1:19" x14ac:dyDescent="0.25">
      <c r="A2300" t="s">
        <v>677</v>
      </c>
      <c r="B2300" s="1">
        <v>45904</v>
      </c>
      <c r="C2300" t="s">
        <v>12882</v>
      </c>
      <c r="D2300" s="5">
        <v>0.99677083333333338</v>
      </c>
      <c r="E2300">
        <v>27.9</v>
      </c>
      <c r="F2300" t="s">
        <v>44</v>
      </c>
      <c r="G2300" t="s">
        <v>678</v>
      </c>
      <c r="H2300" t="s">
        <v>124</v>
      </c>
      <c r="I2300" t="s">
        <v>38</v>
      </c>
      <c r="J2300" t="s">
        <v>679</v>
      </c>
      <c r="K2300">
        <v>113</v>
      </c>
      <c r="L2300" t="s">
        <v>49</v>
      </c>
      <c r="M2300" t="s">
        <v>130</v>
      </c>
      <c r="N2300" t="s">
        <v>27</v>
      </c>
      <c r="O2300" t="s">
        <v>28</v>
      </c>
      <c r="P2300" t="s">
        <v>31</v>
      </c>
      <c r="Q2300">
        <v>0</v>
      </c>
      <c r="R2300" t="s">
        <v>12883</v>
      </c>
      <c r="S2300" t="s">
        <v>12884</v>
      </c>
    </row>
    <row r="2301" spans="1:19" x14ac:dyDescent="0.25">
      <c r="A2301" t="s">
        <v>4066</v>
      </c>
      <c r="B2301" s="1">
        <v>45891</v>
      </c>
      <c r="C2301" t="s">
        <v>12893</v>
      </c>
      <c r="D2301" s="5">
        <v>0.14935185185185185</v>
      </c>
      <c r="E2301">
        <v>27.87</v>
      </c>
      <c r="F2301" t="s">
        <v>44</v>
      </c>
      <c r="G2301" t="s">
        <v>4067</v>
      </c>
      <c r="H2301" t="s">
        <v>34</v>
      </c>
      <c r="I2301" t="s">
        <v>23</v>
      </c>
      <c r="J2301" t="s">
        <v>4068</v>
      </c>
      <c r="K2301">
        <v>37</v>
      </c>
      <c r="L2301" t="s">
        <v>25</v>
      </c>
      <c r="M2301" t="s">
        <v>35</v>
      </c>
      <c r="N2301" t="s">
        <v>39</v>
      </c>
      <c r="O2301" t="s">
        <v>28</v>
      </c>
      <c r="P2301" t="s">
        <v>31</v>
      </c>
      <c r="Q2301">
        <v>0</v>
      </c>
      <c r="R2301" t="s">
        <v>12883</v>
      </c>
      <c r="S2301" t="s">
        <v>12889</v>
      </c>
    </row>
    <row r="2302" spans="1:19" x14ac:dyDescent="0.25">
      <c r="A2302" t="s">
        <v>7887</v>
      </c>
      <c r="B2302" s="1">
        <v>45852</v>
      </c>
      <c r="C2302" t="s">
        <v>12885</v>
      </c>
      <c r="D2302" s="5">
        <v>0.16170138888888888</v>
      </c>
      <c r="E2302">
        <v>27.83</v>
      </c>
      <c r="F2302" t="s">
        <v>44</v>
      </c>
      <c r="G2302" t="s">
        <v>2640</v>
      </c>
      <c r="H2302" t="s">
        <v>46</v>
      </c>
      <c r="I2302" t="s">
        <v>146</v>
      </c>
      <c r="J2302" t="s">
        <v>7888</v>
      </c>
      <c r="K2302">
        <v>53</v>
      </c>
      <c r="L2302" t="s">
        <v>37</v>
      </c>
      <c r="M2302" t="s">
        <v>110</v>
      </c>
      <c r="N2302" t="s">
        <v>27</v>
      </c>
      <c r="O2302" t="s">
        <v>28</v>
      </c>
      <c r="P2302" t="s">
        <v>31</v>
      </c>
      <c r="Q2302">
        <v>0</v>
      </c>
      <c r="R2302" t="s">
        <v>12883</v>
      </c>
      <c r="S2302" t="s">
        <v>12886</v>
      </c>
    </row>
    <row r="2303" spans="1:19" x14ac:dyDescent="0.25">
      <c r="A2303" t="s">
        <v>560</v>
      </c>
      <c r="B2303" s="1">
        <v>45875</v>
      </c>
      <c r="C2303" t="s">
        <v>12893</v>
      </c>
      <c r="D2303" s="5">
        <v>0.83740740740740738</v>
      </c>
      <c r="E2303">
        <v>27.79</v>
      </c>
      <c r="F2303" t="s">
        <v>44</v>
      </c>
      <c r="G2303" t="s">
        <v>561</v>
      </c>
      <c r="H2303" t="s">
        <v>77</v>
      </c>
      <c r="I2303" t="s">
        <v>58</v>
      </c>
      <c r="J2303" t="s">
        <v>562</v>
      </c>
      <c r="K2303">
        <v>69</v>
      </c>
      <c r="L2303" t="s">
        <v>37</v>
      </c>
      <c r="M2303" t="s">
        <v>66</v>
      </c>
      <c r="N2303" t="s">
        <v>84</v>
      </c>
      <c r="O2303" t="s">
        <v>28</v>
      </c>
      <c r="P2303" t="s">
        <v>31</v>
      </c>
      <c r="Q2303">
        <v>0</v>
      </c>
      <c r="R2303" t="s">
        <v>12883</v>
      </c>
      <c r="S2303" t="s">
        <v>12884</v>
      </c>
    </row>
    <row r="2304" spans="1:19" x14ac:dyDescent="0.25">
      <c r="A2304" t="s">
        <v>10591</v>
      </c>
      <c r="B2304" s="1">
        <v>45957</v>
      </c>
      <c r="C2304" t="s">
        <v>12890</v>
      </c>
      <c r="D2304" s="5">
        <v>0.74410879629629634</v>
      </c>
      <c r="E2304">
        <v>27.68</v>
      </c>
      <c r="F2304" t="s">
        <v>44</v>
      </c>
      <c r="G2304" t="s">
        <v>328</v>
      </c>
      <c r="H2304" t="s">
        <v>46</v>
      </c>
      <c r="I2304" t="s">
        <v>119</v>
      </c>
      <c r="J2304" t="s">
        <v>10592</v>
      </c>
      <c r="K2304">
        <v>65</v>
      </c>
      <c r="L2304" t="s">
        <v>49</v>
      </c>
      <c r="M2304" t="s">
        <v>66</v>
      </c>
      <c r="N2304" t="s">
        <v>84</v>
      </c>
      <c r="O2304" t="s">
        <v>28</v>
      </c>
      <c r="P2304" t="s">
        <v>31</v>
      </c>
      <c r="Q2304">
        <v>0</v>
      </c>
      <c r="R2304" t="s">
        <v>12883</v>
      </c>
      <c r="S2304" t="s">
        <v>12884</v>
      </c>
    </row>
    <row r="2305" spans="1:19" x14ac:dyDescent="0.25">
      <c r="A2305" t="s">
        <v>3274</v>
      </c>
      <c r="B2305" s="1">
        <v>45921</v>
      </c>
      <c r="C2305" t="s">
        <v>12882</v>
      </c>
      <c r="D2305" s="5">
        <v>0.22981481481481481</v>
      </c>
      <c r="E2305">
        <v>27.45</v>
      </c>
      <c r="F2305" t="s">
        <v>44</v>
      </c>
      <c r="G2305" t="s">
        <v>76</v>
      </c>
      <c r="H2305" t="s">
        <v>46</v>
      </c>
      <c r="I2305" t="s">
        <v>110</v>
      </c>
      <c r="J2305" t="s">
        <v>3275</v>
      </c>
      <c r="K2305">
        <v>51</v>
      </c>
      <c r="L2305" t="s">
        <v>49</v>
      </c>
      <c r="M2305" t="s">
        <v>97</v>
      </c>
      <c r="N2305" t="s">
        <v>51</v>
      </c>
      <c r="O2305" t="s">
        <v>28</v>
      </c>
      <c r="P2305" t="s">
        <v>31</v>
      </c>
      <c r="Q2305">
        <v>1</v>
      </c>
      <c r="R2305" t="s">
        <v>12891</v>
      </c>
      <c r="S2305" t="s">
        <v>12886</v>
      </c>
    </row>
    <row r="2306" spans="1:19" x14ac:dyDescent="0.25">
      <c r="A2306" t="s">
        <v>6117</v>
      </c>
      <c r="B2306" s="1">
        <v>45950</v>
      </c>
      <c r="C2306" t="s">
        <v>12890</v>
      </c>
      <c r="D2306" s="5">
        <v>0.70306712962962958</v>
      </c>
      <c r="E2306">
        <v>27.44</v>
      </c>
      <c r="F2306" t="s">
        <v>44</v>
      </c>
      <c r="G2306" t="s">
        <v>5393</v>
      </c>
      <c r="H2306" t="s">
        <v>71</v>
      </c>
      <c r="I2306" t="s">
        <v>110</v>
      </c>
      <c r="J2306" t="s">
        <v>6118</v>
      </c>
      <c r="K2306">
        <v>50</v>
      </c>
      <c r="L2306" t="s">
        <v>49</v>
      </c>
      <c r="M2306" t="s">
        <v>110</v>
      </c>
      <c r="N2306" t="s">
        <v>112</v>
      </c>
      <c r="O2306" t="s">
        <v>113</v>
      </c>
      <c r="P2306" t="s">
        <v>31</v>
      </c>
      <c r="Q2306">
        <v>0</v>
      </c>
      <c r="R2306" t="s">
        <v>12883</v>
      </c>
      <c r="S2306" t="s">
        <v>12886</v>
      </c>
    </row>
    <row r="2307" spans="1:19" x14ac:dyDescent="0.25">
      <c r="A2307" t="s">
        <v>4677</v>
      </c>
      <c r="B2307" s="1">
        <v>45810</v>
      </c>
      <c r="C2307" t="s">
        <v>12888</v>
      </c>
      <c r="D2307" s="5">
        <v>0.47091435185185188</v>
      </c>
      <c r="E2307">
        <v>27.4</v>
      </c>
      <c r="F2307" t="s">
        <v>44</v>
      </c>
      <c r="G2307" t="s">
        <v>4678</v>
      </c>
      <c r="H2307" t="s">
        <v>34</v>
      </c>
      <c r="I2307" t="s">
        <v>58</v>
      </c>
      <c r="J2307" t="s">
        <v>4679</v>
      </c>
      <c r="K2307">
        <v>33</v>
      </c>
      <c r="L2307" t="s">
        <v>25</v>
      </c>
      <c r="M2307" t="s">
        <v>23</v>
      </c>
      <c r="N2307" t="s">
        <v>105</v>
      </c>
      <c r="O2307" t="s">
        <v>28</v>
      </c>
      <c r="P2307" t="s">
        <v>31</v>
      </c>
      <c r="Q2307">
        <v>0</v>
      </c>
      <c r="R2307" t="s">
        <v>12883</v>
      </c>
      <c r="S2307" t="s">
        <v>12889</v>
      </c>
    </row>
    <row r="2308" spans="1:19" x14ac:dyDescent="0.25">
      <c r="A2308" t="s">
        <v>8994</v>
      </c>
      <c r="B2308" s="1">
        <v>45841</v>
      </c>
      <c r="C2308" t="s">
        <v>12885</v>
      </c>
      <c r="D2308" s="5">
        <v>0.78425925925925921</v>
      </c>
      <c r="E2308">
        <v>27.3</v>
      </c>
      <c r="F2308" t="s">
        <v>44</v>
      </c>
      <c r="G2308" t="s">
        <v>423</v>
      </c>
      <c r="H2308" t="s">
        <v>89</v>
      </c>
      <c r="I2308" t="s">
        <v>23</v>
      </c>
      <c r="J2308" t="s">
        <v>8995</v>
      </c>
      <c r="K2308">
        <v>75</v>
      </c>
      <c r="L2308" t="s">
        <v>25</v>
      </c>
      <c r="M2308" t="s">
        <v>146</v>
      </c>
      <c r="N2308" t="s">
        <v>39</v>
      </c>
      <c r="O2308" t="s">
        <v>28</v>
      </c>
      <c r="P2308" t="s">
        <v>31</v>
      </c>
      <c r="Q2308">
        <v>1</v>
      </c>
      <c r="R2308" t="s">
        <v>12891</v>
      </c>
      <c r="S2308" t="s">
        <v>12884</v>
      </c>
    </row>
    <row r="2309" spans="1:19" x14ac:dyDescent="0.25">
      <c r="A2309" t="s">
        <v>682</v>
      </c>
      <c r="B2309" s="1">
        <v>45842</v>
      </c>
      <c r="C2309" t="s">
        <v>12885</v>
      </c>
      <c r="D2309" s="5">
        <v>0.41181712962962963</v>
      </c>
      <c r="E2309">
        <v>27.09</v>
      </c>
      <c r="F2309" t="s">
        <v>44</v>
      </c>
      <c r="G2309" t="s">
        <v>683</v>
      </c>
      <c r="H2309" t="s">
        <v>77</v>
      </c>
      <c r="I2309" t="s">
        <v>26</v>
      </c>
      <c r="J2309" t="s">
        <v>684</v>
      </c>
      <c r="K2309">
        <v>22</v>
      </c>
      <c r="L2309" t="s">
        <v>49</v>
      </c>
      <c r="M2309" t="s">
        <v>47</v>
      </c>
      <c r="N2309" t="s">
        <v>27</v>
      </c>
      <c r="O2309" t="s">
        <v>28</v>
      </c>
      <c r="P2309" t="s">
        <v>31</v>
      </c>
      <c r="Q2309">
        <v>0</v>
      </c>
      <c r="R2309" t="s">
        <v>12883</v>
      </c>
      <c r="S2309" t="s">
        <v>12892</v>
      </c>
    </row>
    <row r="2310" spans="1:19" x14ac:dyDescent="0.25">
      <c r="A2310" t="s">
        <v>10416</v>
      </c>
      <c r="B2310" s="1">
        <v>45865</v>
      </c>
      <c r="C2310" t="s">
        <v>12885</v>
      </c>
      <c r="D2310" s="5">
        <v>0.37689814814814815</v>
      </c>
      <c r="E2310">
        <v>27.07</v>
      </c>
      <c r="F2310" t="s">
        <v>44</v>
      </c>
      <c r="G2310" t="s">
        <v>3924</v>
      </c>
      <c r="H2310" t="s">
        <v>64</v>
      </c>
      <c r="I2310" t="s">
        <v>23</v>
      </c>
      <c r="J2310" t="s">
        <v>10417</v>
      </c>
      <c r="K2310">
        <v>67</v>
      </c>
      <c r="L2310" t="s">
        <v>25</v>
      </c>
      <c r="M2310" t="s">
        <v>50</v>
      </c>
      <c r="N2310" t="s">
        <v>27</v>
      </c>
      <c r="O2310" t="s">
        <v>28</v>
      </c>
      <c r="P2310" t="s">
        <v>31</v>
      </c>
      <c r="Q2310">
        <v>0</v>
      </c>
      <c r="R2310" t="s">
        <v>12883</v>
      </c>
      <c r="S2310" t="s">
        <v>12884</v>
      </c>
    </row>
    <row r="2311" spans="1:19" x14ac:dyDescent="0.25">
      <c r="A2311" t="s">
        <v>12045</v>
      </c>
      <c r="B2311" s="1">
        <v>45881</v>
      </c>
      <c r="C2311" t="s">
        <v>12893</v>
      </c>
      <c r="D2311" s="5">
        <v>6.5520833333333334E-2</v>
      </c>
      <c r="E2311">
        <v>26.72</v>
      </c>
      <c r="F2311" t="s">
        <v>44</v>
      </c>
      <c r="G2311" t="s">
        <v>1583</v>
      </c>
      <c r="H2311" t="s">
        <v>71</v>
      </c>
      <c r="I2311" t="s">
        <v>66</v>
      </c>
      <c r="J2311" t="s">
        <v>8510</v>
      </c>
      <c r="K2311">
        <v>39</v>
      </c>
      <c r="L2311" t="s">
        <v>25</v>
      </c>
      <c r="M2311" t="s">
        <v>91</v>
      </c>
      <c r="N2311" t="s">
        <v>39</v>
      </c>
      <c r="O2311" t="s">
        <v>28</v>
      </c>
      <c r="P2311" t="s">
        <v>31</v>
      </c>
      <c r="Q2311">
        <v>0</v>
      </c>
      <c r="R2311" t="s">
        <v>12883</v>
      </c>
      <c r="S2311" t="s">
        <v>12889</v>
      </c>
    </row>
    <row r="2312" spans="1:19" x14ac:dyDescent="0.25">
      <c r="A2312" t="s">
        <v>7350</v>
      </c>
      <c r="B2312" s="1">
        <v>45935</v>
      </c>
      <c r="C2312" t="s">
        <v>12890</v>
      </c>
      <c r="D2312" s="5">
        <v>0.74069444444444443</v>
      </c>
      <c r="E2312">
        <v>26.7</v>
      </c>
      <c r="F2312" t="s">
        <v>44</v>
      </c>
      <c r="G2312" t="s">
        <v>3942</v>
      </c>
      <c r="H2312" t="s">
        <v>64</v>
      </c>
      <c r="I2312" t="s">
        <v>66</v>
      </c>
      <c r="J2312" t="s">
        <v>7351</v>
      </c>
      <c r="K2312">
        <v>44</v>
      </c>
      <c r="L2312" t="s">
        <v>37</v>
      </c>
      <c r="M2312" t="s">
        <v>23</v>
      </c>
      <c r="N2312" t="s">
        <v>27</v>
      </c>
      <c r="O2312" t="s">
        <v>28</v>
      </c>
      <c r="P2312" t="s">
        <v>31</v>
      </c>
      <c r="Q2312">
        <v>0</v>
      </c>
      <c r="R2312" t="s">
        <v>12883</v>
      </c>
      <c r="S2312" t="s">
        <v>12886</v>
      </c>
    </row>
    <row r="2313" spans="1:19" x14ac:dyDescent="0.25">
      <c r="A2313" t="s">
        <v>6212</v>
      </c>
      <c r="B2313" s="1">
        <v>45825</v>
      </c>
      <c r="C2313" t="s">
        <v>12888</v>
      </c>
      <c r="D2313" s="5">
        <v>0.43587962962962962</v>
      </c>
      <c r="E2313">
        <v>26.65</v>
      </c>
      <c r="F2313" t="s">
        <v>44</v>
      </c>
      <c r="G2313" t="s">
        <v>6213</v>
      </c>
      <c r="H2313" t="s">
        <v>124</v>
      </c>
      <c r="I2313" t="s">
        <v>146</v>
      </c>
      <c r="J2313" t="s">
        <v>6214</v>
      </c>
      <c r="K2313">
        <v>72</v>
      </c>
      <c r="L2313" t="s">
        <v>25</v>
      </c>
      <c r="M2313" t="s">
        <v>91</v>
      </c>
      <c r="N2313" t="s">
        <v>51</v>
      </c>
      <c r="O2313" t="s">
        <v>28</v>
      </c>
      <c r="P2313" t="s">
        <v>31</v>
      </c>
      <c r="Q2313">
        <v>0</v>
      </c>
      <c r="R2313" t="s">
        <v>12883</v>
      </c>
      <c r="S2313" t="s">
        <v>12884</v>
      </c>
    </row>
    <row r="2314" spans="1:19" x14ac:dyDescent="0.25">
      <c r="A2314" t="s">
        <v>12372</v>
      </c>
      <c r="B2314" s="1">
        <v>45839</v>
      </c>
      <c r="C2314" t="s">
        <v>12885</v>
      </c>
      <c r="D2314" s="5">
        <v>0.20886574074074074</v>
      </c>
      <c r="E2314">
        <v>26.49</v>
      </c>
      <c r="F2314" t="s">
        <v>44</v>
      </c>
      <c r="G2314" t="s">
        <v>2368</v>
      </c>
      <c r="H2314" t="s">
        <v>96</v>
      </c>
      <c r="I2314" t="s">
        <v>97</v>
      </c>
      <c r="J2314" t="s">
        <v>12373</v>
      </c>
      <c r="K2314">
        <v>42</v>
      </c>
      <c r="L2314" t="s">
        <v>25</v>
      </c>
      <c r="M2314" t="s">
        <v>91</v>
      </c>
      <c r="N2314" t="s">
        <v>84</v>
      </c>
      <c r="O2314" t="s">
        <v>28</v>
      </c>
      <c r="P2314" t="s">
        <v>31</v>
      </c>
      <c r="Q2314">
        <v>0</v>
      </c>
      <c r="R2314" t="s">
        <v>12883</v>
      </c>
      <c r="S2314" t="s">
        <v>12886</v>
      </c>
    </row>
    <row r="2315" spans="1:19" x14ac:dyDescent="0.25">
      <c r="A2315" t="s">
        <v>9880</v>
      </c>
      <c r="B2315" s="1">
        <v>45920</v>
      </c>
      <c r="C2315" t="s">
        <v>12882</v>
      </c>
      <c r="D2315" s="5">
        <v>0.56920138888888894</v>
      </c>
      <c r="E2315">
        <v>26.38</v>
      </c>
      <c r="F2315" t="s">
        <v>44</v>
      </c>
      <c r="G2315" t="s">
        <v>868</v>
      </c>
      <c r="H2315" t="s">
        <v>96</v>
      </c>
      <c r="I2315" t="s">
        <v>130</v>
      </c>
      <c r="J2315" t="s">
        <v>9881</v>
      </c>
      <c r="K2315">
        <v>24</v>
      </c>
      <c r="L2315" t="s">
        <v>49</v>
      </c>
      <c r="M2315" t="s">
        <v>248</v>
      </c>
      <c r="N2315" t="s">
        <v>105</v>
      </c>
      <c r="O2315" t="s">
        <v>28</v>
      </c>
      <c r="P2315" t="s">
        <v>31</v>
      </c>
      <c r="Q2315">
        <v>0</v>
      </c>
      <c r="R2315" t="s">
        <v>12883</v>
      </c>
      <c r="S2315" t="s">
        <v>12892</v>
      </c>
    </row>
    <row r="2316" spans="1:19" x14ac:dyDescent="0.25">
      <c r="A2316" t="s">
        <v>12189</v>
      </c>
      <c r="B2316" s="1">
        <v>45870</v>
      </c>
      <c r="C2316" t="s">
        <v>12893</v>
      </c>
      <c r="D2316" s="5">
        <v>0.19085648148148149</v>
      </c>
      <c r="E2316">
        <v>26.35</v>
      </c>
      <c r="F2316" t="s">
        <v>44</v>
      </c>
      <c r="G2316" t="s">
        <v>2781</v>
      </c>
      <c r="H2316" t="s">
        <v>89</v>
      </c>
      <c r="I2316" t="s">
        <v>110</v>
      </c>
      <c r="J2316" t="s">
        <v>12190</v>
      </c>
      <c r="K2316">
        <v>31</v>
      </c>
      <c r="L2316" t="s">
        <v>25</v>
      </c>
      <c r="M2316" t="s">
        <v>23</v>
      </c>
      <c r="N2316" t="s">
        <v>39</v>
      </c>
      <c r="O2316" t="s">
        <v>28</v>
      </c>
      <c r="P2316" t="s">
        <v>31</v>
      </c>
      <c r="Q2316">
        <v>0</v>
      </c>
      <c r="R2316" t="s">
        <v>12883</v>
      </c>
      <c r="S2316" t="s">
        <v>12889</v>
      </c>
    </row>
    <row r="2317" spans="1:19" x14ac:dyDescent="0.25">
      <c r="A2317" t="s">
        <v>1705</v>
      </c>
      <c r="B2317" s="1">
        <v>45830</v>
      </c>
      <c r="C2317" t="s">
        <v>12888</v>
      </c>
      <c r="D2317" s="5">
        <v>0.22486111111111112</v>
      </c>
      <c r="E2317">
        <v>26.31</v>
      </c>
      <c r="F2317" t="s">
        <v>44</v>
      </c>
      <c r="G2317" t="s">
        <v>768</v>
      </c>
      <c r="H2317" t="s">
        <v>34</v>
      </c>
      <c r="I2317" t="s">
        <v>66</v>
      </c>
      <c r="J2317" t="s">
        <v>1706</v>
      </c>
      <c r="K2317">
        <v>21</v>
      </c>
      <c r="L2317" t="s">
        <v>49</v>
      </c>
      <c r="M2317" t="s">
        <v>248</v>
      </c>
      <c r="N2317" t="s">
        <v>39</v>
      </c>
      <c r="O2317" t="s">
        <v>28</v>
      </c>
      <c r="P2317" t="s">
        <v>31</v>
      </c>
      <c r="Q2317">
        <v>0</v>
      </c>
      <c r="R2317" t="s">
        <v>12883</v>
      </c>
      <c r="S2317" t="s">
        <v>12892</v>
      </c>
    </row>
    <row r="2318" spans="1:19" x14ac:dyDescent="0.25">
      <c r="A2318" t="s">
        <v>10392</v>
      </c>
      <c r="B2318" s="1">
        <v>45822</v>
      </c>
      <c r="C2318" t="s">
        <v>12888</v>
      </c>
      <c r="D2318" s="5">
        <v>0.46295138888888887</v>
      </c>
      <c r="E2318">
        <v>26.16</v>
      </c>
      <c r="F2318" t="s">
        <v>44</v>
      </c>
      <c r="G2318" t="s">
        <v>1785</v>
      </c>
      <c r="H2318" t="s">
        <v>77</v>
      </c>
      <c r="I2318" t="s">
        <v>91</v>
      </c>
      <c r="J2318" t="s">
        <v>10393</v>
      </c>
      <c r="K2318">
        <v>52</v>
      </c>
      <c r="L2318" t="s">
        <v>25</v>
      </c>
      <c r="M2318" t="s">
        <v>248</v>
      </c>
      <c r="N2318" t="s">
        <v>112</v>
      </c>
      <c r="O2318" t="s">
        <v>28</v>
      </c>
      <c r="P2318" t="s">
        <v>31</v>
      </c>
      <c r="Q2318">
        <v>0</v>
      </c>
      <c r="R2318" t="s">
        <v>12883</v>
      </c>
      <c r="S2318" t="s">
        <v>12886</v>
      </c>
    </row>
    <row r="2319" spans="1:19" x14ac:dyDescent="0.25">
      <c r="A2319" t="s">
        <v>2043</v>
      </c>
      <c r="B2319" s="1">
        <v>45839</v>
      </c>
      <c r="C2319" t="s">
        <v>12885</v>
      </c>
      <c r="D2319" s="5">
        <v>0.10016203703703704</v>
      </c>
      <c r="E2319">
        <v>26.14</v>
      </c>
      <c r="F2319" t="s">
        <v>44</v>
      </c>
      <c r="G2319" t="s">
        <v>2044</v>
      </c>
      <c r="H2319" t="s">
        <v>124</v>
      </c>
      <c r="I2319" t="s">
        <v>97</v>
      </c>
      <c r="J2319" t="s">
        <v>2045</v>
      </c>
      <c r="K2319">
        <v>43</v>
      </c>
      <c r="L2319" t="s">
        <v>49</v>
      </c>
      <c r="M2319" t="s">
        <v>91</v>
      </c>
      <c r="N2319" t="s">
        <v>105</v>
      </c>
      <c r="O2319" t="s">
        <v>28</v>
      </c>
      <c r="P2319" t="s">
        <v>31</v>
      </c>
      <c r="Q2319">
        <v>0</v>
      </c>
      <c r="R2319" t="s">
        <v>12883</v>
      </c>
      <c r="S2319" t="s">
        <v>12886</v>
      </c>
    </row>
    <row r="2320" spans="1:19" x14ac:dyDescent="0.25">
      <c r="A2320" t="s">
        <v>11123</v>
      </c>
      <c r="B2320" s="1">
        <v>45841</v>
      </c>
      <c r="C2320" t="s">
        <v>12885</v>
      </c>
      <c r="D2320" s="5">
        <v>0.20091435185185186</v>
      </c>
      <c r="E2320">
        <v>26.08</v>
      </c>
      <c r="F2320" t="s">
        <v>44</v>
      </c>
      <c r="G2320" t="s">
        <v>1446</v>
      </c>
      <c r="H2320" t="s">
        <v>124</v>
      </c>
      <c r="I2320" t="s">
        <v>248</v>
      </c>
      <c r="J2320" t="s">
        <v>11124</v>
      </c>
      <c r="K2320">
        <v>43</v>
      </c>
      <c r="L2320" t="s">
        <v>25</v>
      </c>
      <c r="M2320" t="s">
        <v>35</v>
      </c>
      <c r="N2320" t="s">
        <v>105</v>
      </c>
      <c r="O2320" t="s">
        <v>28</v>
      </c>
      <c r="P2320" t="s">
        <v>31</v>
      </c>
      <c r="Q2320">
        <v>0</v>
      </c>
      <c r="R2320" t="s">
        <v>12883</v>
      </c>
      <c r="S2320" t="s">
        <v>12886</v>
      </c>
    </row>
    <row r="2321" spans="1:19" x14ac:dyDescent="0.25">
      <c r="A2321" t="s">
        <v>3114</v>
      </c>
      <c r="B2321" s="1">
        <v>45839</v>
      </c>
      <c r="C2321" t="s">
        <v>12885</v>
      </c>
      <c r="D2321" s="5">
        <v>0.52836805555555555</v>
      </c>
      <c r="E2321">
        <v>25.94</v>
      </c>
      <c r="F2321" t="s">
        <v>44</v>
      </c>
      <c r="G2321" t="s">
        <v>3115</v>
      </c>
      <c r="H2321" t="s">
        <v>34</v>
      </c>
      <c r="I2321" t="s">
        <v>35</v>
      </c>
      <c r="J2321" t="s">
        <v>3116</v>
      </c>
      <c r="K2321">
        <v>55</v>
      </c>
      <c r="L2321" t="s">
        <v>49</v>
      </c>
      <c r="M2321" t="s">
        <v>97</v>
      </c>
      <c r="N2321" t="s">
        <v>105</v>
      </c>
      <c r="O2321" t="s">
        <v>28</v>
      </c>
      <c r="P2321" t="s">
        <v>31</v>
      </c>
      <c r="Q2321">
        <v>0</v>
      </c>
      <c r="R2321" t="s">
        <v>12883</v>
      </c>
      <c r="S2321" t="s">
        <v>12886</v>
      </c>
    </row>
    <row r="2322" spans="1:19" x14ac:dyDescent="0.25">
      <c r="A2322" t="s">
        <v>1204</v>
      </c>
      <c r="B2322" s="1">
        <v>45940</v>
      </c>
      <c r="C2322" t="s">
        <v>12890</v>
      </c>
      <c r="D2322" s="5">
        <v>0.66824074074074069</v>
      </c>
      <c r="E2322">
        <v>25.93</v>
      </c>
      <c r="F2322" t="s">
        <v>44</v>
      </c>
      <c r="G2322" t="s">
        <v>1205</v>
      </c>
      <c r="H2322" t="s">
        <v>46</v>
      </c>
      <c r="I2322" t="s">
        <v>47</v>
      </c>
      <c r="J2322" t="s">
        <v>1206</v>
      </c>
      <c r="K2322">
        <v>58</v>
      </c>
      <c r="L2322" t="s">
        <v>25</v>
      </c>
      <c r="M2322" t="s">
        <v>50</v>
      </c>
      <c r="N2322" t="s">
        <v>112</v>
      </c>
      <c r="O2322" t="s">
        <v>28</v>
      </c>
      <c r="P2322" t="s">
        <v>31</v>
      </c>
      <c r="Q2322">
        <v>0</v>
      </c>
      <c r="R2322" t="s">
        <v>12883</v>
      </c>
      <c r="S2322" t="s">
        <v>12886</v>
      </c>
    </row>
    <row r="2323" spans="1:19" x14ac:dyDescent="0.25">
      <c r="A2323" t="s">
        <v>6087</v>
      </c>
      <c r="B2323" s="1">
        <v>45953</v>
      </c>
      <c r="C2323" t="s">
        <v>12890</v>
      </c>
      <c r="D2323" s="5">
        <v>0.86670138888888892</v>
      </c>
      <c r="E2323">
        <v>25.86</v>
      </c>
      <c r="F2323" t="s">
        <v>44</v>
      </c>
      <c r="G2323" t="s">
        <v>2786</v>
      </c>
      <c r="H2323" t="s">
        <v>124</v>
      </c>
      <c r="I2323" t="s">
        <v>58</v>
      </c>
      <c r="J2323" t="s">
        <v>6088</v>
      </c>
      <c r="K2323">
        <v>43</v>
      </c>
      <c r="L2323" t="s">
        <v>49</v>
      </c>
      <c r="M2323" t="s">
        <v>248</v>
      </c>
      <c r="N2323" t="s">
        <v>27</v>
      </c>
      <c r="O2323" t="s">
        <v>28</v>
      </c>
      <c r="P2323" t="s">
        <v>31</v>
      </c>
      <c r="Q2323">
        <v>0</v>
      </c>
      <c r="R2323" t="s">
        <v>12883</v>
      </c>
      <c r="S2323" t="s">
        <v>12886</v>
      </c>
    </row>
    <row r="2324" spans="1:19" x14ac:dyDescent="0.25">
      <c r="A2324" t="s">
        <v>6900</v>
      </c>
      <c r="B2324" s="1">
        <v>45861</v>
      </c>
      <c r="C2324" t="s">
        <v>12885</v>
      </c>
      <c r="D2324" s="5">
        <v>0.41876157407407405</v>
      </c>
      <c r="E2324">
        <v>25.85</v>
      </c>
      <c r="F2324" t="s">
        <v>44</v>
      </c>
      <c r="G2324" t="s">
        <v>591</v>
      </c>
      <c r="H2324" t="s">
        <v>34</v>
      </c>
      <c r="I2324" t="s">
        <v>38</v>
      </c>
      <c r="J2324" t="s">
        <v>6901</v>
      </c>
      <c r="K2324">
        <v>64</v>
      </c>
      <c r="L2324" t="s">
        <v>49</v>
      </c>
      <c r="M2324" t="s">
        <v>130</v>
      </c>
      <c r="N2324" t="s">
        <v>105</v>
      </c>
      <c r="O2324" t="s">
        <v>28</v>
      </c>
      <c r="P2324" t="s">
        <v>31</v>
      </c>
      <c r="Q2324">
        <v>0</v>
      </c>
      <c r="R2324" t="s">
        <v>12883</v>
      </c>
      <c r="S2324" t="s">
        <v>12884</v>
      </c>
    </row>
    <row r="2325" spans="1:19" x14ac:dyDescent="0.25">
      <c r="A2325" t="s">
        <v>11030</v>
      </c>
      <c r="B2325" s="1">
        <v>45842</v>
      </c>
      <c r="C2325" t="s">
        <v>12885</v>
      </c>
      <c r="D2325" s="5">
        <v>0.14251157407407408</v>
      </c>
      <c r="E2325">
        <v>25.75</v>
      </c>
      <c r="F2325" t="s">
        <v>44</v>
      </c>
      <c r="G2325" t="s">
        <v>2249</v>
      </c>
      <c r="H2325" t="s">
        <v>124</v>
      </c>
      <c r="I2325" t="s">
        <v>119</v>
      </c>
      <c r="J2325" t="s">
        <v>11031</v>
      </c>
      <c r="K2325">
        <v>31</v>
      </c>
      <c r="L2325" t="s">
        <v>49</v>
      </c>
      <c r="M2325" t="s">
        <v>91</v>
      </c>
      <c r="N2325" t="s">
        <v>112</v>
      </c>
      <c r="O2325" t="s">
        <v>28</v>
      </c>
      <c r="P2325" t="s">
        <v>31</v>
      </c>
      <c r="Q2325">
        <v>0</v>
      </c>
      <c r="R2325" t="s">
        <v>12883</v>
      </c>
      <c r="S2325" t="s">
        <v>12889</v>
      </c>
    </row>
    <row r="2326" spans="1:19" x14ac:dyDescent="0.25">
      <c r="A2326" t="s">
        <v>3557</v>
      </c>
      <c r="B2326" s="1">
        <v>45886</v>
      </c>
      <c r="C2326" t="s">
        <v>12893</v>
      </c>
      <c r="D2326" s="5">
        <v>0.91554398148148153</v>
      </c>
      <c r="E2326">
        <v>25.67</v>
      </c>
      <c r="F2326" t="s">
        <v>44</v>
      </c>
      <c r="G2326" t="s">
        <v>3558</v>
      </c>
      <c r="H2326" t="s">
        <v>46</v>
      </c>
      <c r="I2326" t="s">
        <v>23</v>
      </c>
      <c r="J2326" t="s">
        <v>3559</v>
      </c>
      <c r="K2326">
        <v>71</v>
      </c>
      <c r="L2326" t="s">
        <v>49</v>
      </c>
      <c r="M2326" t="s">
        <v>248</v>
      </c>
      <c r="N2326" t="s">
        <v>105</v>
      </c>
      <c r="O2326" t="s">
        <v>28</v>
      </c>
      <c r="P2326" t="s">
        <v>31</v>
      </c>
      <c r="Q2326">
        <v>0</v>
      </c>
      <c r="R2326" t="s">
        <v>12883</v>
      </c>
      <c r="S2326" t="s">
        <v>12884</v>
      </c>
    </row>
    <row r="2327" spans="1:19" x14ac:dyDescent="0.25">
      <c r="A2327" t="s">
        <v>10011</v>
      </c>
      <c r="B2327" s="1">
        <v>45842</v>
      </c>
      <c r="C2327" t="s">
        <v>12885</v>
      </c>
      <c r="D2327" s="5">
        <v>0.61079861111111111</v>
      </c>
      <c r="E2327">
        <v>25.5</v>
      </c>
      <c r="F2327" t="s">
        <v>44</v>
      </c>
      <c r="G2327" t="s">
        <v>4929</v>
      </c>
      <c r="H2327" t="s">
        <v>77</v>
      </c>
      <c r="I2327" t="s">
        <v>38</v>
      </c>
      <c r="J2327" t="s">
        <v>10012</v>
      </c>
      <c r="K2327">
        <v>37</v>
      </c>
      <c r="L2327" t="s">
        <v>37</v>
      </c>
      <c r="M2327" t="s">
        <v>50</v>
      </c>
      <c r="N2327" t="s">
        <v>105</v>
      </c>
      <c r="O2327" t="s">
        <v>28</v>
      </c>
      <c r="P2327" t="s">
        <v>31</v>
      </c>
      <c r="Q2327">
        <v>0</v>
      </c>
      <c r="R2327" t="s">
        <v>12883</v>
      </c>
      <c r="S2327" t="s">
        <v>12889</v>
      </c>
    </row>
    <row r="2328" spans="1:19" x14ac:dyDescent="0.25">
      <c r="A2328" t="s">
        <v>5921</v>
      </c>
      <c r="B2328" s="1">
        <v>45857</v>
      </c>
      <c r="C2328" t="s">
        <v>12885</v>
      </c>
      <c r="D2328" s="5">
        <v>0.71296296296296291</v>
      </c>
      <c r="E2328">
        <v>25.3</v>
      </c>
      <c r="F2328" t="s">
        <v>44</v>
      </c>
      <c r="G2328" t="s">
        <v>5922</v>
      </c>
      <c r="H2328" t="s">
        <v>64</v>
      </c>
      <c r="I2328" t="s">
        <v>91</v>
      </c>
      <c r="J2328" t="s">
        <v>5923</v>
      </c>
      <c r="K2328">
        <v>54</v>
      </c>
      <c r="L2328" t="s">
        <v>49</v>
      </c>
      <c r="M2328" t="s">
        <v>26</v>
      </c>
      <c r="N2328" t="s">
        <v>105</v>
      </c>
      <c r="O2328" t="s">
        <v>28</v>
      </c>
      <c r="P2328" t="s">
        <v>31</v>
      </c>
      <c r="Q2328">
        <v>0</v>
      </c>
      <c r="R2328" t="s">
        <v>12883</v>
      </c>
      <c r="S2328" t="s">
        <v>12886</v>
      </c>
    </row>
    <row r="2329" spans="1:19" x14ac:dyDescent="0.25">
      <c r="A2329" t="s">
        <v>3771</v>
      </c>
      <c r="B2329" s="1">
        <v>45807</v>
      </c>
      <c r="C2329" t="s">
        <v>12887</v>
      </c>
      <c r="D2329" s="5">
        <v>0.39071759259259259</v>
      </c>
      <c r="E2329">
        <v>25.13</v>
      </c>
      <c r="F2329" t="s">
        <v>44</v>
      </c>
      <c r="G2329" t="s">
        <v>1785</v>
      </c>
      <c r="H2329" t="s">
        <v>71</v>
      </c>
      <c r="I2329" t="s">
        <v>38</v>
      </c>
      <c r="J2329" t="s">
        <v>3772</v>
      </c>
      <c r="K2329">
        <v>54</v>
      </c>
      <c r="L2329" t="s">
        <v>49</v>
      </c>
      <c r="M2329" t="s">
        <v>91</v>
      </c>
      <c r="N2329" t="s">
        <v>84</v>
      </c>
      <c r="O2329" t="s">
        <v>28</v>
      </c>
      <c r="P2329" t="s">
        <v>31</v>
      </c>
      <c r="Q2329">
        <v>0</v>
      </c>
      <c r="R2329" t="s">
        <v>12883</v>
      </c>
      <c r="S2329" t="s">
        <v>12886</v>
      </c>
    </row>
    <row r="2330" spans="1:19" x14ac:dyDescent="0.25">
      <c r="A2330" t="s">
        <v>1660</v>
      </c>
      <c r="B2330" s="1">
        <v>45935</v>
      </c>
      <c r="C2330" t="s">
        <v>12890</v>
      </c>
      <c r="D2330" s="5">
        <v>0.74626157407407412</v>
      </c>
      <c r="E2330">
        <v>25.07</v>
      </c>
      <c r="F2330" t="s">
        <v>44</v>
      </c>
      <c r="G2330" t="s">
        <v>1661</v>
      </c>
      <c r="H2330" t="s">
        <v>64</v>
      </c>
      <c r="I2330" t="s">
        <v>47</v>
      </c>
      <c r="J2330" t="s">
        <v>1662</v>
      </c>
      <c r="K2330">
        <v>75</v>
      </c>
      <c r="L2330" t="s">
        <v>25</v>
      </c>
      <c r="M2330" t="s">
        <v>119</v>
      </c>
      <c r="N2330" t="s">
        <v>84</v>
      </c>
      <c r="O2330" t="s">
        <v>28</v>
      </c>
      <c r="P2330" t="s">
        <v>31</v>
      </c>
      <c r="Q2330">
        <v>0</v>
      </c>
      <c r="R2330" t="s">
        <v>12883</v>
      </c>
      <c r="S2330" t="s">
        <v>12884</v>
      </c>
    </row>
    <row r="2331" spans="1:19" x14ac:dyDescent="0.25">
      <c r="A2331" t="s">
        <v>10946</v>
      </c>
      <c r="B2331" s="1">
        <v>45798</v>
      </c>
      <c r="C2331" t="s">
        <v>12887</v>
      </c>
      <c r="D2331" s="5">
        <v>0.26327546296296295</v>
      </c>
      <c r="E2331">
        <v>25.07</v>
      </c>
      <c r="F2331" t="s">
        <v>44</v>
      </c>
      <c r="G2331" t="s">
        <v>5824</v>
      </c>
      <c r="H2331" t="s">
        <v>89</v>
      </c>
      <c r="I2331" t="s">
        <v>58</v>
      </c>
      <c r="J2331" t="s">
        <v>10947</v>
      </c>
      <c r="K2331">
        <v>25</v>
      </c>
      <c r="L2331" t="s">
        <v>49</v>
      </c>
      <c r="M2331" t="s">
        <v>66</v>
      </c>
      <c r="N2331" t="s">
        <v>112</v>
      </c>
      <c r="O2331" t="s">
        <v>28</v>
      </c>
      <c r="P2331" t="s">
        <v>31</v>
      </c>
      <c r="Q2331">
        <v>0</v>
      </c>
      <c r="R2331" t="s">
        <v>12883</v>
      </c>
      <c r="S2331" t="s">
        <v>12889</v>
      </c>
    </row>
    <row r="2332" spans="1:19" x14ac:dyDescent="0.25">
      <c r="A2332" t="s">
        <v>4047</v>
      </c>
      <c r="B2332" s="1">
        <v>45798</v>
      </c>
      <c r="C2332" t="s">
        <v>12887</v>
      </c>
      <c r="D2332" s="5">
        <v>6.4432870370370376E-2</v>
      </c>
      <c r="E2332">
        <v>25.05</v>
      </c>
      <c r="F2332" t="s">
        <v>44</v>
      </c>
      <c r="G2332" t="s">
        <v>4048</v>
      </c>
      <c r="H2332" t="s">
        <v>124</v>
      </c>
      <c r="I2332" t="s">
        <v>26</v>
      </c>
      <c r="J2332" t="s">
        <v>4049</v>
      </c>
      <c r="K2332">
        <v>68</v>
      </c>
      <c r="L2332" t="s">
        <v>25</v>
      </c>
      <c r="M2332" t="s">
        <v>97</v>
      </c>
      <c r="N2332" t="s">
        <v>105</v>
      </c>
      <c r="O2332" t="s">
        <v>28</v>
      </c>
      <c r="P2332" t="s">
        <v>31</v>
      </c>
      <c r="Q2332">
        <v>0</v>
      </c>
      <c r="R2332" t="s">
        <v>12883</v>
      </c>
      <c r="S2332" t="s">
        <v>12884</v>
      </c>
    </row>
    <row r="2333" spans="1:19" x14ac:dyDescent="0.25">
      <c r="A2333" t="s">
        <v>3352</v>
      </c>
      <c r="B2333" s="1">
        <v>45933</v>
      </c>
      <c r="C2333" t="s">
        <v>12890</v>
      </c>
      <c r="D2333" s="5">
        <v>0.30971064814814814</v>
      </c>
      <c r="E2333">
        <v>25.01</v>
      </c>
      <c r="F2333" t="s">
        <v>44</v>
      </c>
      <c r="G2333" t="s">
        <v>2947</v>
      </c>
      <c r="H2333" t="s">
        <v>57</v>
      </c>
      <c r="I2333" t="s">
        <v>26</v>
      </c>
      <c r="J2333" t="s">
        <v>3353</v>
      </c>
      <c r="K2333">
        <v>65</v>
      </c>
      <c r="L2333" t="s">
        <v>37</v>
      </c>
      <c r="M2333" t="s">
        <v>35</v>
      </c>
      <c r="N2333" t="s">
        <v>105</v>
      </c>
      <c r="O2333" t="s">
        <v>28</v>
      </c>
      <c r="P2333" t="s">
        <v>31</v>
      </c>
      <c r="Q2333">
        <v>0</v>
      </c>
      <c r="R2333" t="s">
        <v>12883</v>
      </c>
      <c r="S2333" t="s">
        <v>12884</v>
      </c>
    </row>
    <row r="2334" spans="1:19" x14ac:dyDescent="0.25">
      <c r="A2334" t="s">
        <v>2348</v>
      </c>
      <c r="B2334" s="1">
        <v>45869</v>
      </c>
      <c r="C2334" t="s">
        <v>12885</v>
      </c>
      <c r="D2334" s="5">
        <v>0.16545138888888888</v>
      </c>
      <c r="E2334">
        <v>24.91</v>
      </c>
      <c r="F2334" t="s">
        <v>44</v>
      </c>
      <c r="G2334" t="s">
        <v>2349</v>
      </c>
      <c r="H2334" t="s">
        <v>77</v>
      </c>
      <c r="I2334" t="s">
        <v>97</v>
      </c>
      <c r="J2334" t="s">
        <v>2350</v>
      </c>
      <c r="K2334">
        <v>50</v>
      </c>
      <c r="L2334" t="s">
        <v>49</v>
      </c>
      <c r="M2334" t="s">
        <v>35</v>
      </c>
      <c r="N2334" t="s">
        <v>105</v>
      </c>
      <c r="O2334" t="s">
        <v>28</v>
      </c>
      <c r="P2334" t="s">
        <v>31</v>
      </c>
      <c r="Q2334">
        <v>0</v>
      </c>
      <c r="R2334" t="s">
        <v>12883</v>
      </c>
      <c r="S2334" t="s">
        <v>12886</v>
      </c>
    </row>
    <row r="2335" spans="1:19" x14ac:dyDescent="0.25">
      <c r="A2335" t="s">
        <v>4154</v>
      </c>
      <c r="B2335" s="1">
        <v>45821</v>
      </c>
      <c r="C2335" t="s">
        <v>12888</v>
      </c>
      <c r="D2335" s="5">
        <v>0.8391319444444445</v>
      </c>
      <c r="E2335">
        <v>24.88</v>
      </c>
      <c r="F2335" t="s">
        <v>44</v>
      </c>
      <c r="G2335" t="s">
        <v>4155</v>
      </c>
      <c r="H2335" t="s">
        <v>34</v>
      </c>
      <c r="I2335" t="s">
        <v>47</v>
      </c>
      <c r="J2335" t="s">
        <v>4156</v>
      </c>
      <c r="K2335">
        <v>31</v>
      </c>
      <c r="L2335" t="s">
        <v>49</v>
      </c>
      <c r="M2335" t="s">
        <v>130</v>
      </c>
      <c r="N2335" t="s">
        <v>105</v>
      </c>
      <c r="O2335" t="s">
        <v>28</v>
      </c>
      <c r="P2335" t="s">
        <v>31</v>
      </c>
      <c r="Q2335">
        <v>0</v>
      </c>
      <c r="R2335" t="s">
        <v>12883</v>
      </c>
      <c r="S2335" t="s">
        <v>12889</v>
      </c>
    </row>
    <row r="2336" spans="1:19" x14ac:dyDescent="0.25">
      <c r="A2336" t="s">
        <v>8766</v>
      </c>
      <c r="B2336" s="1">
        <v>45891</v>
      </c>
      <c r="C2336" t="s">
        <v>12893</v>
      </c>
      <c r="D2336" s="5">
        <v>3.8634259259259257E-2</v>
      </c>
      <c r="E2336">
        <v>24.83</v>
      </c>
      <c r="F2336" t="s">
        <v>44</v>
      </c>
      <c r="G2336" t="s">
        <v>4788</v>
      </c>
      <c r="H2336" t="s">
        <v>96</v>
      </c>
      <c r="I2336" t="s">
        <v>146</v>
      </c>
      <c r="J2336" t="s">
        <v>8767</v>
      </c>
      <c r="K2336">
        <v>29</v>
      </c>
      <c r="L2336" t="s">
        <v>49</v>
      </c>
      <c r="M2336" t="s">
        <v>35</v>
      </c>
      <c r="N2336" t="s">
        <v>51</v>
      </c>
      <c r="O2336" t="s">
        <v>28</v>
      </c>
      <c r="P2336" t="s">
        <v>31</v>
      </c>
      <c r="Q2336">
        <v>0</v>
      </c>
      <c r="R2336" t="s">
        <v>12883</v>
      </c>
      <c r="S2336" t="s">
        <v>12889</v>
      </c>
    </row>
    <row r="2337" spans="1:19" x14ac:dyDescent="0.25">
      <c r="A2337" t="s">
        <v>1518</v>
      </c>
      <c r="B2337" s="1">
        <v>45804</v>
      </c>
      <c r="C2337" t="s">
        <v>12887</v>
      </c>
      <c r="D2337" s="5">
        <v>0.9496296296296296</v>
      </c>
      <c r="E2337">
        <v>24.73</v>
      </c>
      <c r="F2337" t="s">
        <v>44</v>
      </c>
      <c r="G2337" t="s">
        <v>1519</v>
      </c>
      <c r="H2337" t="s">
        <v>46</v>
      </c>
      <c r="I2337" t="s">
        <v>47</v>
      </c>
      <c r="J2337" t="s">
        <v>1520</v>
      </c>
      <c r="K2337">
        <v>45</v>
      </c>
      <c r="L2337" t="s">
        <v>25</v>
      </c>
      <c r="M2337" t="s">
        <v>38</v>
      </c>
      <c r="N2337" t="s">
        <v>105</v>
      </c>
      <c r="O2337" t="s">
        <v>28</v>
      </c>
      <c r="P2337" t="s">
        <v>31</v>
      </c>
      <c r="Q2337">
        <v>0</v>
      </c>
      <c r="R2337" t="s">
        <v>12883</v>
      </c>
      <c r="S2337" t="s">
        <v>12886</v>
      </c>
    </row>
    <row r="2338" spans="1:19" x14ac:dyDescent="0.25">
      <c r="A2338" t="s">
        <v>12429</v>
      </c>
      <c r="B2338" s="1">
        <v>45905</v>
      </c>
      <c r="C2338" t="s">
        <v>12882</v>
      </c>
      <c r="D2338" s="5">
        <v>0.95126157407407408</v>
      </c>
      <c r="E2338">
        <v>24.67</v>
      </c>
      <c r="F2338" t="s">
        <v>44</v>
      </c>
      <c r="G2338" t="s">
        <v>4123</v>
      </c>
      <c r="H2338" t="s">
        <v>34</v>
      </c>
      <c r="I2338" t="s">
        <v>47</v>
      </c>
      <c r="J2338" t="s">
        <v>12430</v>
      </c>
      <c r="K2338">
        <v>73</v>
      </c>
      <c r="L2338" t="s">
        <v>25</v>
      </c>
      <c r="M2338" t="s">
        <v>91</v>
      </c>
      <c r="N2338" t="s">
        <v>112</v>
      </c>
      <c r="O2338" t="s">
        <v>28</v>
      </c>
      <c r="P2338" t="s">
        <v>31</v>
      </c>
      <c r="Q2338">
        <v>0</v>
      </c>
      <c r="R2338" t="s">
        <v>12883</v>
      </c>
      <c r="S2338" t="s">
        <v>12884</v>
      </c>
    </row>
    <row r="2339" spans="1:19" x14ac:dyDescent="0.25">
      <c r="A2339" t="s">
        <v>1728</v>
      </c>
      <c r="B2339" s="1">
        <v>45837</v>
      </c>
      <c r="C2339" t="s">
        <v>12888</v>
      </c>
      <c r="D2339" s="5">
        <v>0.51025462962962964</v>
      </c>
      <c r="E2339">
        <v>24.57</v>
      </c>
      <c r="F2339" t="s">
        <v>44</v>
      </c>
      <c r="G2339" t="s">
        <v>1729</v>
      </c>
      <c r="H2339" t="s">
        <v>77</v>
      </c>
      <c r="I2339" t="s">
        <v>50</v>
      </c>
      <c r="J2339" t="s">
        <v>1730</v>
      </c>
      <c r="K2339">
        <v>63</v>
      </c>
      <c r="L2339" t="s">
        <v>37</v>
      </c>
      <c r="M2339" t="s">
        <v>38</v>
      </c>
      <c r="N2339" t="s">
        <v>105</v>
      </c>
      <c r="O2339" t="s">
        <v>28</v>
      </c>
      <c r="P2339" t="s">
        <v>31</v>
      </c>
      <c r="Q2339">
        <v>0</v>
      </c>
      <c r="R2339" t="s">
        <v>12883</v>
      </c>
      <c r="S2339" t="s">
        <v>12884</v>
      </c>
    </row>
    <row r="2340" spans="1:19" x14ac:dyDescent="0.25">
      <c r="A2340" t="s">
        <v>10070</v>
      </c>
      <c r="B2340" s="1">
        <v>45944</v>
      </c>
      <c r="C2340" t="s">
        <v>12890</v>
      </c>
      <c r="D2340" s="5">
        <v>0.68459490740740736</v>
      </c>
      <c r="E2340">
        <v>24.56</v>
      </c>
      <c r="F2340" t="s">
        <v>44</v>
      </c>
      <c r="G2340" t="s">
        <v>2659</v>
      </c>
      <c r="H2340" t="s">
        <v>71</v>
      </c>
      <c r="I2340" t="s">
        <v>50</v>
      </c>
      <c r="J2340" t="s">
        <v>10071</v>
      </c>
      <c r="K2340">
        <v>74</v>
      </c>
      <c r="L2340" t="s">
        <v>49</v>
      </c>
      <c r="M2340" t="s">
        <v>97</v>
      </c>
      <c r="N2340" t="s">
        <v>39</v>
      </c>
      <c r="O2340" t="s">
        <v>28</v>
      </c>
      <c r="P2340" t="s">
        <v>31</v>
      </c>
      <c r="Q2340">
        <v>0</v>
      </c>
      <c r="R2340" t="s">
        <v>12883</v>
      </c>
      <c r="S2340" t="s">
        <v>12884</v>
      </c>
    </row>
    <row r="2341" spans="1:19" x14ac:dyDescent="0.25">
      <c r="A2341" t="s">
        <v>4127</v>
      </c>
      <c r="B2341" s="1">
        <v>45912</v>
      </c>
      <c r="C2341" t="s">
        <v>12882</v>
      </c>
      <c r="D2341" s="5">
        <v>0.13815972222222223</v>
      </c>
      <c r="E2341">
        <v>24.42</v>
      </c>
      <c r="F2341" t="s">
        <v>44</v>
      </c>
      <c r="G2341" t="s">
        <v>1499</v>
      </c>
      <c r="H2341" t="s">
        <v>34</v>
      </c>
      <c r="I2341" t="s">
        <v>58</v>
      </c>
      <c r="J2341" t="s">
        <v>4128</v>
      </c>
      <c r="K2341">
        <v>41</v>
      </c>
      <c r="L2341" t="s">
        <v>37</v>
      </c>
      <c r="M2341" t="s">
        <v>50</v>
      </c>
      <c r="N2341" t="s">
        <v>51</v>
      </c>
      <c r="O2341" t="s">
        <v>28</v>
      </c>
      <c r="P2341" t="s">
        <v>31</v>
      </c>
      <c r="Q2341">
        <v>0</v>
      </c>
      <c r="R2341" t="s">
        <v>12883</v>
      </c>
      <c r="S2341" t="s">
        <v>12886</v>
      </c>
    </row>
    <row r="2342" spans="1:19" x14ac:dyDescent="0.25">
      <c r="A2342" t="s">
        <v>3516</v>
      </c>
      <c r="B2342" s="1">
        <v>45846</v>
      </c>
      <c r="C2342" t="s">
        <v>12885</v>
      </c>
      <c r="D2342" s="5">
        <v>0.72479166666666661</v>
      </c>
      <c r="E2342">
        <v>24.41</v>
      </c>
      <c r="F2342" t="s">
        <v>44</v>
      </c>
      <c r="G2342" t="s">
        <v>3517</v>
      </c>
      <c r="H2342" t="s">
        <v>71</v>
      </c>
      <c r="I2342" t="s">
        <v>110</v>
      </c>
      <c r="J2342" t="s">
        <v>3518</v>
      </c>
      <c r="K2342">
        <v>26</v>
      </c>
      <c r="L2342" t="s">
        <v>37</v>
      </c>
      <c r="M2342" t="s">
        <v>66</v>
      </c>
      <c r="N2342" t="s">
        <v>51</v>
      </c>
      <c r="O2342" t="s">
        <v>28</v>
      </c>
      <c r="P2342" t="s">
        <v>31</v>
      </c>
      <c r="Q2342">
        <v>0</v>
      </c>
      <c r="R2342" t="s">
        <v>12883</v>
      </c>
      <c r="S2342" t="s">
        <v>12889</v>
      </c>
    </row>
    <row r="2343" spans="1:19" x14ac:dyDescent="0.25">
      <c r="A2343" t="s">
        <v>5277</v>
      </c>
      <c r="B2343" s="1">
        <v>45910</v>
      </c>
      <c r="C2343" t="s">
        <v>12882</v>
      </c>
      <c r="D2343" s="5">
        <v>0.4319560185185185</v>
      </c>
      <c r="E2343">
        <v>24.36</v>
      </c>
      <c r="F2343" t="s">
        <v>44</v>
      </c>
      <c r="G2343" t="s">
        <v>768</v>
      </c>
      <c r="H2343" t="s">
        <v>124</v>
      </c>
      <c r="I2343" t="s">
        <v>50</v>
      </c>
      <c r="J2343" t="s">
        <v>5278</v>
      </c>
      <c r="K2343">
        <v>64</v>
      </c>
      <c r="L2343" t="s">
        <v>37</v>
      </c>
      <c r="M2343" t="s">
        <v>110</v>
      </c>
      <c r="N2343" t="s">
        <v>27</v>
      </c>
      <c r="O2343" t="s">
        <v>28</v>
      </c>
      <c r="P2343" t="s">
        <v>31</v>
      </c>
      <c r="Q2343">
        <v>0</v>
      </c>
      <c r="R2343" t="s">
        <v>12883</v>
      </c>
      <c r="S2343" t="s">
        <v>12884</v>
      </c>
    </row>
    <row r="2344" spans="1:19" x14ac:dyDescent="0.25">
      <c r="A2344" t="s">
        <v>10556</v>
      </c>
      <c r="B2344" s="1">
        <v>45934</v>
      </c>
      <c r="C2344" t="s">
        <v>12890</v>
      </c>
      <c r="D2344" s="5">
        <v>6.4571759259259259E-2</v>
      </c>
      <c r="E2344">
        <v>24.21</v>
      </c>
      <c r="F2344" t="s">
        <v>44</v>
      </c>
      <c r="G2344" t="s">
        <v>5393</v>
      </c>
      <c r="H2344" t="s">
        <v>34</v>
      </c>
      <c r="I2344" t="s">
        <v>130</v>
      </c>
      <c r="J2344" t="s">
        <v>10557</v>
      </c>
      <c r="K2344">
        <v>61</v>
      </c>
      <c r="L2344" t="s">
        <v>49</v>
      </c>
      <c r="M2344" t="s">
        <v>50</v>
      </c>
      <c r="N2344" t="s">
        <v>51</v>
      </c>
      <c r="O2344" t="s">
        <v>28</v>
      </c>
      <c r="P2344" t="s">
        <v>31</v>
      </c>
      <c r="Q2344">
        <v>0</v>
      </c>
      <c r="R2344" t="s">
        <v>12883</v>
      </c>
      <c r="S2344" t="s">
        <v>12884</v>
      </c>
    </row>
    <row r="2345" spans="1:19" x14ac:dyDescent="0.25">
      <c r="A2345" t="s">
        <v>2551</v>
      </c>
      <c r="B2345" s="1">
        <v>45953</v>
      </c>
      <c r="C2345" t="s">
        <v>12890</v>
      </c>
      <c r="D2345" s="5">
        <v>0.93797453703703704</v>
      </c>
      <c r="E2345">
        <v>24.13</v>
      </c>
      <c r="F2345" t="s">
        <v>44</v>
      </c>
      <c r="G2345" t="s">
        <v>308</v>
      </c>
      <c r="H2345" t="s">
        <v>64</v>
      </c>
      <c r="I2345" t="s">
        <v>110</v>
      </c>
      <c r="J2345" t="s">
        <v>2552</v>
      </c>
      <c r="K2345">
        <v>42</v>
      </c>
      <c r="L2345" t="s">
        <v>25</v>
      </c>
      <c r="M2345" t="s">
        <v>23</v>
      </c>
      <c r="N2345" t="s">
        <v>27</v>
      </c>
      <c r="O2345" t="s">
        <v>28</v>
      </c>
      <c r="P2345" t="s">
        <v>31</v>
      </c>
      <c r="Q2345">
        <v>0</v>
      </c>
      <c r="R2345" t="s">
        <v>12883</v>
      </c>
      <c r="S2345" t="s">
        <v>12886</v>
      </c>
    </row>
    <row r="2346" spans="1:19" x14ac:dyDescent="0.25">
      <c r="A2346" t="s">
        <v>1039</v>
      </c>
      <c r="B2346" s="1">
        <v>45796</v>
      </c>
      <c r="C2346" t="s">
        <v>12887</v>
      </c>
      <c r="D2346" s="5">
        <v>0.37556712962962963</v>
      </c>
      <c r="E2346">
        <v>24.09</v>
      </c>
      <c r="F2346" t="s">
        <v>44</v>
      </c>
      <c r="G2346" t="s">
        <v>1040</v>
      </c>
      <c r="H2346" t="s">
        <v>96</v>
      </c>
      <c r="I2346" t="s">
        <v>119</v>
      </c>
      <c r="J2346" t="s">
        <v>1041</v>
      </c>
      <c r="K2346">
        <v>73</v>
      </c>
      <c r="L2346" t="s">
        <v>25</v>
      </c>
      <c r="M2346" t="s">
        <v>130</v>
      </c>
      <c r="N2346" t="s">
        <v>112</v>
      </c>
      <c r="O2346" t="s">
        <v>28</v>
      </c>
      <c r="P2346" t="s">
        <v>31</v>
      </c>
      <c r="Q2346">
        <v>0</v>
      </c>
      <c r="R2346" t="s">
        <v>12883</v>
      </c>
      <c r="S2346" t="s">
        <v>12884</v>
      </c>
    </row>
    <row r="2347" spans="1:19" x14ac:dyDescent="0.25">
      <c r="A2347" t="s">
        <v>8949</v>
      </c>
      <c r="B2347" s="1">
        <v>45865</v>
      </c>
      <c r="C2347" t="s">
        <v>12885</v>
      </c>
      <c r="D2347" s="5">
        <v>0.59995370370370371</v>
      </c>
      <c r="E2347">
        <v>24.08</v>
      </c>
      <c r="F2347" t="s">
        <v>44</v>
      </c>
      <c r="G2347" t="s">
        <v>500</v>
      </c>
      <c r="H2347" t="s">
        <v>57</v>
      </c>
      <c r="I2347" t="s">
        <v>58</v>
      </c>
      <c r="J2347" t="s">
        <v>8950</v>
      </c>
      <c r="K2347">
        <v>32</v>
      </c>
      <c r="L2347" t="s">
        <v>25</v>
      </c>
      <c r="M2347" t="s">
        <v>130</v>
      </c>
      <c r="N2347" t="s">
        <v>112</v>
      </c>
      <c r="O2347" t="s">
        <v>28</v>
      </c>
      <c r="P2347" t="s">
        <v>31</v>
      </c>
      <c r="Q2347">
        <v>0</v>
      </c>
      <c r="R2347" t="s">
        <v>12883</v>
      </c>
      <c r="S2347" t="s">
        <v>12889</v>
      </c>
    </row>
    <row r="2348" spans="1:19" x14ac:dyDescent="0.25">
      <c r="A2348" t="s">
        <v>2057</v>
      </c>
      <c r="B2348" s="1">
        <v>45868</v>
      </c>
      <c r="C2348" t="s">
        <v>12885</v>
      </c>
      <c r="D2348" s="5">
        <v>8.4953703703703701E-3</v>
      </c>
      <c r="E2348">
        <v>24.07</v>
      </c>
      <c r="F2348" t="s">
        <v>44</v>
      </c>
      <c r="G2348" t="s">
        <v>1291</v>
      </c>
      <c r="H2348" t="s">
        <v>96</v>
      </c>
      <c r="I2348" t="s">
        <v>66</v>
      </c>
      <c r="J2348" t="s">
        <v>2058</v>
      </c>
      <c r="K2348">
        <v>65</v>
      </c>
      <c r="L2348" t="s">
        <v>37</v>
      </c>
      <c r="M2348" t="s">
        <v>47</v>
      </c>
      <c r="N2348" t="s">
        <v>105</v>
      </c>
      <c r="O2348" t="s">
        <v>28</v>
      </c>
      <c r="P2348" t="s">
        <v>31</v>
      </c>
      <c r="Q2348">
        <v>0</v>
      </c>
      <c r="R2348" t="s">
        <v>12883</v>
      </c>
      <c r="S2348" t="s">
        <v>12884</v>
      </c>
    </row>
    <row r="2349" spans="1:19" x14ac:dyDescent="0.25">
      <c r="A2349" t="s">
        <v>5898</v>
      </c>
      <c r="B2349" s="1">
        <v>45916</v>
      </c>
      <c r="C2349" t="s">
        <v>12882</v>
      </c>
      <c r="D2349" s="5">
        <v>0.71315972222222224</v>
      </c>
      <c r="E2349">
        <v>23.93</v>
      </c>
      <c r="F2349" t="s">
        <v>44</v>
      </c>
      <c r="G2349" t="s">
        <v>5899</v>
      </c>
      <c r="H2349" t="s">
        <v>64</v>
      </c>
      <c r="I2349" t="s">
        <v>130</v>
      </c>
      <c r="J2349" t="s">
        <v>5900</v>
      </c>
      <c r="K2349">
        <v>62</v>
      </c>
      <c r="L2349" t="s">
        <v>49</v>
      </c>
      <c r="M2349" t="s">
        <v>58</v>
      </c>
      <c r="N2349" t="s">
        <v>39</v>
      </c>
      <c r="O2349" t="s">
        <v>28</v>
      </c>
      <c r="P2349" t="s">
        <v>31</v>
      </c>
      <c r="Q2349">
        <v>0</v>
      </c>
      <c r="R2349" t="s">
        <v>12883</v>
      </c>
      <c r="S2349" t="s">
        <v>12884</v>
      </c>
    </row>
    <row r="2350" spans="1:19" x14ac:dyDescent="0.25">
      <c r="A2350" t="s">
        <v>5836</v>
      </c>
      <c r="B2350" s="1">
        <v>45829</v>
      </c>
      <c r="C2350" t="s">
        <v>12888</v>
      </c>
      <c r="D2350" s="5">
        <v>0.84686342592592589</v>
      </c>
      <c r="E2350">
        <v>23.79</v>
      </c>
      <c r="F2350" t="s">
        <v>44</v>
      </c>
      <c r="G2350" t="s">
        <v>4176</v>
      </c>
      <c r="H2350" t="s">
        <v>77</v>
      </c>
      <c r="I2350" t="s">
        <v>66</v>
      </c>
      <c r="J2350" t="s">
        <v>5837</v>
      </c>
      <c r="K2350">
        <v>59</v>
      </c>
      <c r="L2350" t="s">
        <v>37</v>
      </c>
      <c r="M2350" t="s">
        <v>119</v>
      </c>
      <c r="N2350" t="s">
        <v>27</v>
      </c>
      <c r="O2350" t="s">
        <v>28</v>
      </c>
      <c r="P2350" t="s">
        <v>31</v>
      </c>
      <c r="Q2350">
        <v>0</v>
      </c>
      <c r="R2350" t="s">
        <v>12883</v>
      </c>
      <c r="S2350" t="s">
        <v>12886</v>
      </c>
    </row>
    <row r="2351" spans="1:19" x14ac:dyDescent="0.25">
      <c r="A2351" t="s">
        <v>7807</v>
      </c>
      <c r="B2351" s="1">
        <v>45836</v>
      </c>
      <c r="C2351" t="s">
        <v>12888</v>
      </c>
      <c r="D2351" s="5">
        <v>0.74763888888888885</v>
      </c>
      <c r="E2351">
        <v>23.77</v>
      </c>
      <c r="F2351" t="s">
        <v>44</v>
      </c>
      <c r="G2351" t="s">
        <v>7808</v>
      </c>
      <c r="H2351" t="s">
        <v>89</v>
      </c>
      <c r="I2351" t="s">
        <v>97</v>
      </c>
      <c r="J2351" t="s">
        <v>7809</v>
      </c>
      <c r="K2351">
        <v>23</v>
      </c>
      <c r="L2351" t="s">
        <v>25</v>
      </c>
      <c r="M2351" t="s">
        <v>110</v>
      </c>
      <c r="N2351" t="s">
        <v>84</v>
      </c>
      <c r="O2351" t="s">
        <v>28</v>
      </c>
      <c r="P2351" t="s">
        <v>31</v>
      </c>
      <c r="Q2351">
        <v>0</v>
      </c>
      <c r="R2351" t="s">
        <v>12883</v>
      </c>
      <c r="S2351" t="s">
        <v>12892</v>
      </c>
    </row>
    <row r="2352" spans="1:19" x14ac:dyDescent="0.25">
      <c r="A2352" t="s">
        <v>8778</v>
      </c>
      <c r="B2352" s="1">
        <v>45945</v>
      </c>
      <c r="C2352" t="s">
        <v>12890</v>
      </c>
      <c r="D2352" s="5">
        <v>5.3819444444444448E-2</v>
      </c>
      <c r="E2352">
        <v>23.62</v>
      </c>
      <c r="F2352" t="s">
        <v>44</v>
      </c>
      <c r="G2352" t="s">
        <v>5718</v>
      </c>
      <c r="H2352" t="s">
        <v>71</v>
      </c>
      <c r="I2352" t="s">
        <v>130</v>
      </c>
      <c r="J2352" t="s">
        <v>8779</v>
      </c>
      <c r="K2352">
        <v>60</v>
      </c>
      <c r="L2352" t="s">
        <v>25</v>
      </c>
      <c r="M2352" t="s">
        <v>47</v>
      </c>
      <c r="N2352" t="s">
        <v>27</v>
      </c>
      <c r="O2352" t="s">
        <v>28</v>
      </c>
      <c r="P2352" t="s">
        <v>31</v>
      </c>
      <c r="Q2352">
        <v>0</v>
      </c>
      <c r="R2352" t="s">
        <v>12883</v>
      </c>
      <c r="S2352" t="s">
        <v>12884</v>
      </c>
    </row>
    <row r="2353" spans="1:19" x14ac:dyDescent="0.25">
      <c r="A2353" t="s">
        <v>10529</v>
      </c>
      <c r="B2353" s="1">
        <v>45901</v>
      </c>
      <c r="C2353" t="s">
        <v>12882</v>
      </c>
      <c r="D2353" s="5">
        <v>9.4467592592592589E-2</v>
      </c>
      <c r="E2353">
        <v>23.55</v>
      </c>
      <c r="F2353" t="s">
        <v>44</v>
      </c>
      <c r="G2353" t="s">
        <v>4622</v>
      </c>
      <c r="H2353" t="s">
        <v>34</v>
      </c>
      <c r="I2353" t="s">
        <v>35</v>
      </c>
      <c r="J2353" t="s">
        <v>10530</v>
      </c>
      <c r="K2353">
        <v>23</v>
      </c>
      <c r="L2353" t="s">
        <v>25</v>
      </c>
      <c r="M2353" t="s">
        <v>110</v>
      </c>
      <c r="N2353" t="s">
        <v>112</v>
      </c>
      <c r="O2353" t="s">
        <v>28</v>
      </c>
      <c r="P2353" t="s">
        <v>31</v>
      </c>
      <c r="Q2353">
        <v>0</v>
      </c>
      <c r="R2353" t="s">
        <v>12883</v>
      </c>
      <c r="S2353" t="s">
        <v>12892</v>
      </c>
    </row>
    <row r="2354" spans="1:19" x14ac:dyDescent="0.25">
      <c r="A2354" t="s">
        <v>1124</v>
      </c>
      <c r="B2354" s="1">
        <v>45805</v>
      </c>
      <c r="C2354" t="s">
        <v>12887</v>
      </c>
      <c r="D2354" s="5">
        <v>0.34444444444444444</v>
      </c>
      <c r="E2354">
        <v>23.44</v>
      </c>
      <c r="F2354" t="s">
        <v>44</v>
      </c>
      <c r="G2354" t="s">
        <v>863</v>
      </c>
      <c r="H2354" t="s">
        <v>57</v>
      </c>
      <c r="I2354" t="s">
        <v>50</v>
      </c>
      <c r="J2354" t="s">
        <v>1125</v>
      </c>
      <c r="K2354">
        <v>33</v>
      </c>
      <c r="L2354" t="s">
        <v>37</v>
      </c>
      <c r="M2354" t="s">
        <v>119</v>
      </c>
      <c r="N2354" t="s">
        <v>27</v>
      </c>
      <c r="O2354" t="s">
        <v>28</v>
      </c>
      <c r="P2354" t="s">
        <v>31</v>
      </c>
      <c r="Q2354">
        <v>0</v>
      </c>
      <c r="R2354" t="s">
        <v>12883</v>
      </c>
      <c r="S2354" t="s">
        <v>12889</v>
      </c>
    </row>
    <row r="2355" spans="1:19" x14ac:dyDescent="0.25">
      <c r="A2355" t="s">
        <v>2790</v>
      </c>
      <c r="B2355" s="1">
        <v>45943</v>
      </c>
      <c r="C2355" t="s">
        <v>12890</v>
      </c>
      <c r="D2355" s="5">
        <v>0.61456018518518518</v>
      </c>
      <c r="E2355">
        <v>23.34</v>
      </c>
      <c r="F2355" t="s">
        <v>44</v>
      </c>
      <c r="G2355" t="s">
        <v>2791</v>
      </c>
      <c r="H2355" t="s">
        <v>34</v>
      </c>
      <c r="I2355" t="s">
        <v>66</v>
      </c>
      <c r="J2355" t="s">
        <v>2792</v>
      </c>
      <c r="K2355">
        <v>39</v>
      </c>
      <c r="L2355" t="s">
        <v>37</v>
      </c>
      <c r="M2355" t="s">
        <v>47</v>
      </c>
      <c r="N2355" t="s">
        <v>51</v>
      </c>
      <c r="O2355" t="s">
        <v>28</v>
      </c>
      <c r="P2355" t="s">
        <v>31</v>
      </c>
      <c r="Q2355">
        <v>0</v>
      </c>
      <c r="R2355" t="s">
        <v>12883</v>
      </c>
      <c r="S2355" t="s">
        <v>12889</v>
      </c>
    </row>
    <row r="2356" spans="1:19" x14ac:dyDescent="0.25">
      <c r="A2356" t="s">
        <v>4555</v>
      </c>
      <c r="B2356" s="1">
        <v>45812</v>
      </c>
      <c r="C2356" t="s">
        <v>12888</v>
      </c>
      <c r="D2356" s="5">
        <v>0.57787037037037037</v>
      </c>
      <c r="E2356">
        <v>23.18</v>
      </c>
      <c r="F2356" t="s">
        <v>44</v>
      </c>
      <c r="G2356" t="s">
        <v>4556</v>
      </c>
      <c r="H2356" t="s">
        <v>77</v>
      </c>
      <c r="I2356" t="s">
        <v>248</v>
      </c>
      <c r="J2356" t="s">
        <v>4557</v>
      </c>
      <c r="K2356">
        <v>22</v>
      </c>
      <c r="L2356" t="s">
        <v>25</v>
      </c>
      <c r="M2356" t="s">
        <v>130</v>
      </c>
      <c r="N2356" t="s">
        <v>51</v>
      </c>
      <c r="O2356" t="s">
        <v>28</v>
      </c>
      <c r="P2356" t="s">
        <v>31</v>
      </c>
      <c r="Q2356">
        <v>0</v>
      </c>
      <c r="R2356" t="s">
        <v>12883</v>
      </c>
      <c r="S2356" t="s">
        <v>12892</v>
      </c>
    </row>
    <row r="2357" spans="1:19" x14ac:dyDescent="0.25">
      <c r="A2357" t="s">
        <v>590</v>
      </c>
      <c r="B2357" s="1">
        <v>45914</v>
      </c>
      <c r="C2357" t="s">
        <v>12882</v>
      </c>
      <c r="D2357" s="5">
        <v>5.2384259259259262E-2</v>
      </c>
      <c r="E2357">
        <v>23.08</v>
      </c>
      <c r="F2357" t="s">
        <v>44</v>
      </c>
      <c r="G2357" t="s">
        <v>591</v>
      </c>
      <c r="H2357" t="s">
        <v>22</v>
      </c>
      <c r="I2357" t="s">
        <v>35</v>
      </c>
      <c r="J2357" t="s">
        <v>592</v>
      </c>
      <c r="K2357">
        <v>38</v>
      </c>
      <c r="L2357" t="s">
        <v>49</v>
      </c>
      <c r="M2357" t="s">
        <v>47</v>
      </c>
      <c r="N2357" t="s">
        <v>84</v>
      </c>
      <c r="O2357" t="s">
        <v>28</v>
      </c>
      <c r="P2357" t="s">
        <v>31</v>
      </c>
      <c r="Q2357">
        <v>0</v>
      </c>
      <c r="R2357" t="s">
        <v>12883</v>
      </c>
      <c r="S2357" t="s">
        <v>12889</v>
      </c>
    </row>
    <row r="2358" spans="1:19" x14ac:dyDescent="0.25">
      <c r="A2358" t="s">
        <v>9705</v>
      </c>
      <c r="B2358" s="1">
        <v>45880</v>
      </c>
      <c r="C2358" t="s">
        <v>12893</v>
      </c>
      <c r="D2358" s="5">
        <v>0.60539351851851853</v>
      </c>
      <c r="E2358">
        <v>23.05</v>
      </c>
      <c r="F2358" t="s">
        <v>44</v>
      </c>
      <c r="G2358" t="s">
        <v>2878</v>
      </c>
      <c r="H2358" t="s">
        <v>77</v>
      </c>
      <c r="I2358" t="s">
        <v>50</v>
      </c>
      <c r="J2358" t="s">
        <v>9706</v>
      </c>
      <c r="K2358">
        <v>24</v>
      </c>
      <c r="L2358" t="s">
        <v>49</v>
      </c>
      <c r="M2358" t="s">
        <v>47</v>
      </c>
      <c r="N2358" t="s">
        <v>105</v>
      </c>
      <c r="O2358" t="s">
        <v>28</v>
      </c>
      <c r="P2358" t="s">
        <v>31</v>
      </c>
      <c r="Q2358">
        <v>1</v>
      </c>
      <c r="R2358" t="s">
        <v>12891</v>
      </c>
      <c r="S2358" t="s">
        <v>12892</v>
      </c>
    </row>
    <row r="2359" spans="1:19" x14ac:dyDescent="0.25">
      <c r="A2359" t="s">
        <v>535</v>
      </c>
      <c r="B2359" s="1">
        <v>45805</v>
      </c>
      <c r="C2359" t="s">
        <v>12887</v>
      </c>
      <c r="D2359" s="5">
        <v>0.46050925925925928</v>
      </c>
      <c r="E2359">
        <v>22.93</v>
      </c>
      <c r="F2359" t="s">
        <v>44</v>
      </c>
      <c r="G2359" t="s">
        <v>536</v>
      </c>
      <c r="H2359" t="s">
        <v>57</v>
      </c>
      <c r="I2359" t="s">
        <v>23</v>
      </c>
      <c r="J2359" t="s">
        <v>537</v>
      </c>
      <c r="K2359">
        <v>60</v>
      </c>
      <c r="L2359" t="s">
        <v>25</v>
      </c>
      <c r="M2359" t="s">
        <v>248</v>
      </c>
      <c r="N2359" t="s">
        <v>39</v>
      </c>
      <c r="O2359" t="s">
        <v>28</v>
      </c>
      <c r="P2359" t="s">
        <v>31</v>
      </c>
      <c r="Q2359">
        <v>0</v>
      </c>
      <c r="R2359" t="s">
        <v>12883</v>
      </c>
      <c r="S2359" t="s">
        <v>12884</v>
      </c>
    </row>
    <row r="2360" spans="1:19" x14ac:dyDescent="0.25">
      <c r="A2360" t="s">
        <v>7233</v>
      </c>
      <c r="B2360" s="1">
        <v>45793</v>
      </c>
      <c r="C2360" t="s">
        <v>12887</v>
      </c>
      <c r="D2360" s="5">
        <v>0.32817129629629632</v>
      </c>
      <c r="E2360">
        <v>22.83</v>
      </c>
      <c r="F2360" t="s">
        <v>44</v>
      </c>
      <c r="G2360" t="s">
        <v>4678</v>
      </c>
      <c r="H2360" t="s">
        <v>34</v>
      </c>
      <c r="I2360" t="s">
        <v>50</v>
      </c>
      <c r="J2360" t="s">
        <v>7234</v>
      </c>
      <c r="K2360">
        <v>43</v>
      </c>
      <c r="L2360" t="s">
        <v>49</v>
      </c>
      <c r="M2360" t="s">
        <v>50</v>
      </c>
      <c r="N2360" t="s">
        <v>105</v>
      </c>
      <c r="O2360" t="s">
        <v>113</v>
      </c>
      <c r="P2360" t="s">
        <v>31</v>
      </c>
      <c r="Q2360">
        <v>0</v>
      </c>
      <c r="R2360" t="s">
        <v>12883</v>
      </c>
      <c r="S2360" t="s">
        <v>12886</v>
      </c>
    </row>
    <row r="2361" spans="1:19" x14ac:dyDescent="0.25">
      <c r="A2361" t="s">
        <v>8774</v>
      </c>
      <c r="B2361" s="1">
        <v>45930</v>
      </c>
      <c r="C2361" t="s">
        <v>12882</v>
      </c>
      <c r="D2361" s="5">
        <v>0.21837962962962962</v>
      </c>
      <c r="E2361">
        <v>22.82</v>
      </c>
      <c r="F2361" t="s">
        <v>44</v>
      </c>
      <c r="G2361" t="s">
        <v>1291</v>
      </c>
      <c r="H2361" t="s">
        <v>77</v>
      </c>
      <c r="I2361" t="s">
        <v>97</v>
      </c>
      <c r="J2361" t="s">
        <v>8775</v>
      </c>
      <c r="K2361">
        <v>35</v>
      </c>
      <c r="L2361" t="s">
        <v>49</v>
      </c>
      <c r="M2361" t="s">
        <v>50</v>
      </c>
      <c r="N2361" t="s">
        <v>105</v>
      </c>
      <c r="O2361" t="s">
        <v>28</v>
      </c>
      <c r="P2361" t="s">
        <v>31</v>
      </c>
      <c r="Q2361">
        <v>0</v>
      </c>
      <c r="R2361" t="s">
        <v>12883</v>
      </c>
      <c r="S2361" t="s">
        <v>12889</v>
      </c>
    </row>
    <row r="2362" spans="1:19" x14ac:dyDescent="0.25">
      <c r="A2362" t="s">
        <v>10420</v>
      </c>
      <c r="B2362" s="1">
        <v>45936</v>
      </c>
      <c r="C2362" t="s">
        <v>12890</v>
      </c>
      <c r="D2362" s="5">
        <v>0.77359953703703699</v>
      </c>
      <c r="E2362">
        <v>22.81</v>
      </c>
      <c r="F2362" t="s">
        <v>44</v>
      </c>
      <c r="G2362" t="s">
        <v>82</v>
      </c>
      <c r="H2362" t="s">
        <v>64</v>
      </c>
      <c r="I2362" t="s">
        <v>26</v>
      </c>
      <c r="J2362" t="s">
        <v>10421</v>
      </c>
      <c r="K2362">
        <v>64</v>
      </c>
      <c r="L2362" t="s">
        <v>49</v>
      </c>
      <c r="M2362" t="s">
        <v>38</v>
      </c>
      <c r="N2362" t="s">
        <v>39</v>
      </c>
      <c r="O2362" t="s">
        <v>28</v>
      </c>
      <c r="P2362" t="s">
        <v>31</v>
      </c>
      <c r="Q2362">
        <v>0</v>
      </c>
      <c r="R2362" t="s">
        <v>12883</v>
      </c>
      <c r="S2362" t="s">
        <v>12884</v>
      </c>
    </row>
    <row r="2363" spans="1:19" x14ac:dyDescent="0.25">
      <c r="A2363" t="s">
        <v>11316</v>
      </c>
      <c r="B2363" s="1">
        <v>45823</v>
      </c>
      <c r="C2363" t="s">
        <v>12888</v>
      </c>
      <c r="D2363" s="5">
        <v>0.35372685185185188</v>
      </c>
      <c r="E2363">
        <v>22.66</v>
      </c>
      <c r="F2363" t="s">
        <v>44</v>
      </c>
      <c r="G2363" t="s">
        <v>272</v>
      </c>
      <c r="H2363" t="s">
        <v>46</v>
      </c>
      <c r="I2363" t="s">
        <v>110</v>
      </c>
      <c r="J2363" t="s">
        <v>11317</v>
      </c>
      <c r="K2363">
        <v>44</v>
      </c>
      <c r="L2363" t="s">
        <v>25</v>
      </c>
      <c r="M2363" t="s">
        <v>97</v>
      </c>
      <c r="N2363" t="s">
        <v>27</v>
      </c>
      <c r="O2363" t="s">
        <v>28</v>
      </c>
      <c r="P2363" t="s">
        <v>31</v>
      </c>
      <c r="Q2363">
        <v>0</v>
      </c>
      <c r="R2363" t="s">
        <v>12883</v>
      </c>
      <c r="S2363" t="s">
        <v>12886</v>
      </c>
    </row>
    <row r="2364" spans="1:19" x14ac:dyDescent="0.25">
      <c r="A2364" t="s">
        <v>10646</v>
      </c>
      <c r="B2364" s="1">
        <v>45923</v>
      </c>
      <c r="C2364" t="s">
        <v>12882</v>
      </c>
      <c r="D2364" s="5">
        <v>0.28850694444444447</v>
      </c>
      <c r="E2364">
        <v>22.55</v>
      </c>
      <c r="F2364" t="s">
        <v>44</v>
      </c>
      <c r="G2364" t="s">
        <v>4284</v>
      </c>
      <c r="H2364" t="s">
        <v>89</v>
      </c>
      <c r="I2364" t="s">
        <v>38</v>
      </c>
      <c r="J2364" t="s">
        <v>10175</v>
      </c>
      <c r="K2364">
        <v>22</v>
      </c>
      <c r="L2364" t="s">
        <v>25</v>
      </c>
      <c r="M2364" t="s">
        <v>146</v>
      </c>
      <c r="N2364" t="s">
        <v>51</v>
      </c>
      <c r="O2364" t="s">
        <v>28</v>
      </c>
      <c r="P2364" t="s">
        <v>31</v>
      </c>
      <c r="Q2364">
        <v>0</v>
      </c>
      <c r="R2364" t="s">
        <v>12883</v>
      </c>
      <c r="S2364" t="s">
        <v>12892</v>
      </c>
    </row>
    <row r="2365" spans="1:19" x14ac:dyDescent="0.25">
      <c r="A2365" t="s">
        <v>5840</v>
      </c>
      <c r="B2365" s="1">
        <v>45928</v>
      </c>
      <c r="C2365" t="s">
        <v>12882</v>
      </c>
      <c r="D2365" s="5">
        <v>0.66453703703703704</v>
      </c>
      <c r="E2365">
        <v>22.47</v>
      </c>
      <c r="F2365" t="s">
        <v>44</v>
      </c>
      <c r="G2365" t="s">
        <v>3238</v>
      </c>
      <c r="H2365" t="s">
        <v>34</v>
      </c>
      <c r="I2365" t="s">
        <v>248</v>
      </c>
      <c r="J2365" t="s">
        <v>5841</v>
      </c>
      <c r="K2365">
        <v>60</v>
      </c>
      <c r="L2365" t="s">
        <v>49</v>
      </c>
      <c r="M2365" t="s">
        <v>23</v>
      </c>
      <c r="N2365" t="s">
        <v>112</v>
      </c>
      <c r="O2365" t="s">
        <v>28</v>
      </c>
      <c r="P2365" t="s">
        <v>31</v>
      </c>
      <c r="Q2365">
        <v>0</v>
      </c>
      <c r="R2365" t="s">
        <v>12883</v>
      </c>
      <c r="S2365" t="s">
        <v>12884</v>
      </c>
    </row>
    <row r="2366" spans="1:19" x14ac:dyDescent="0.25">
      <c r="A2366" t="s">
        <v>10750</v>
      </c>
      <c r="B2366" s="1">
        <v>45834</v>
      </c>
      <c r="C2366" t="s">
        <v>12888</v>
      </c>
      <c r="D2366" s="5">
        <v>0.64554398148148151</v>
      </c>
      <c r="E2366">
        <v>22.37</v>
      </c>
      <c r="F2366" t="s">
        <v>44</v>
      </c>
      <c r="G2366" t="s">
        <v>1133</v>
      </c>
      <c r="H2366" t="s">
        <v>22</v>
      </c>
      <c r="I2366" t="s">
        <v>35</v>
      </c>
      <c r="J2366" t="s">
        <v>10751</v>
      </c>
      <c r="K2366">
        <v>42</v>
      </c>
      <c r="L2366" t="s">
        <v>25</v>
      </c>
      <c r="M2366" t="s">
        <v>58</v>
      </c>
      <c r="N2366" t="s">
        <v>39</v>
      </c>
      <c r="O2366" t="s">
        <v>28</v>
      </c>
      <c r="P2366" t="s">
        <v>31</v>
      </c>
      <c r="Q2366">
        <v>0</v>
      </c>
      <c r="R2366" t="s">
        <v>12883</v>
      </c>
      <c r="S2366" t="s">
        <v>12886</v>
      </c>
    </row>
    <row r="2367" spans="1:19" x14ac:dyDescent="0.25">
      <c r="A2367" t="s">
        <v>3839</v>
      </c>
      <c r="B2367" s="1">
        <v>45802</v>
      </c>
      <c r="C2367" t="s">
        <v>12887</v>
      </c>
      <c r="D2367" s="5">
        <v>0.14770833333333333</v>
      </c>
      <c r="E2367">
        <v>22.33</v>
      </c>
      <c r="F2367" t="s">
        <v>44</v>
      </c>
      <c r="G2367" t="s">
        <v>3110</v>
      </c>
      <c r="H2367" t="s">
        <v>57</v>
      </c>
      <c r="I2367" t="s">
        <v>50</v>
      </c>
      <c r="J2367" t="s">
        <v>3840</v>
      </c>
      <c r="K2367">
        <v>45</v>
      </c>
      <c r="L2367" t="s">
        <v>49</v>
      </c>
      <c r="M2367" t="s">
        <v>23</v>
      </c>
      <c r="N2367" t="s">
        <v>84</v>
      </c>
      <c r="O2367" t="s">
        <v>28</v>
      </c>
      <c r="P2367" t="s">
        <v>31</v>
      </c>
      <c r="Q2367">
        <v>0</v>
      </c>
      <c r="R2367" t="s">
        <v>12883</v>
      </c>
      <c r="S2367" t="s">
        <v>12886</v>
      </c>
    </row>
    <row r="2368" spans="1:19" x14ac:dyDescent="0.25">
      <c r="A2368" t="s">
        <v>6091</v>
      </c>
      <c r="B2368" s="1">
        <v>45897</v>
      </c>
      <c r="C2368" t="s">
        <v>12893</v>
      </c>
      <c r="D2368" s="5">
        <v>0.76133101851851848</v>
      </c>
      <c r="E2368">
        <v>22.28</v>
      </c>
      <c r="F2368" t="s">
        <v>44</v>
      </c>
      <c r="G2368" t="s">
        <v>6092</v>
      </c>
      <c r="H2368" t="s">
        <v>77</v>
      </c>
      <c r="I2368" t="s">
        <v>23</v>
      </c>
      <c r="J2368" t="s">
        <v>6093</v>
      </c>
      <c r="K2368">
        <v>38</v>
      </c>
      <c r="L2368" t="s">
        <v>49</v>
      </c>
      <c r="M2368" t="s">
        <v>110</v>
      </c>
      <c r="N2368" t="s">
        <v>27</v>
      </c>
      <c r="O2368" t="s">
        <v>28</v>
      </c>
      <c r="P2368" t="s">
        <v>31</v>
      </c>
      <c r="Q2368">
        <v>0</v>
      </c>
      <c r="R2368" t="s">
        <v>12883</v>
      </c>
      <c r="S2368" t="s">
        <v>12889</v>
      </c>
    </row>
    <row r="2369" spans="1:19" x14ac:dyDescent="0.25">
      <c r="A2369" t="s">
        <v>10424</v>
      </c>
      <c r="B2369" s="1">
        <v>45873</v>
      </c>
      <c r="C2369" t="s">
        <v>12893</v>
      </c>
      <c r="D2369" s="5">
        <v>0.29516203703703703</v>
      </c>
      <c r="E2369">
        <v>22.25</v>
      </c>
      <c r="F2369" t="s">
        <v>44</v>
      </c>
      <c r="G2369" t="s">
        <v>2354</v>
      </c>
      <c r="H2369" t="s">
        <v>89</v>
      </c>
      <c r="I2369" t="s">
        <v>50</v>
      </c>
      <c r="J2369" t="s">
        <v>10425</v>
      </c>
      <c r="K2369">
        <v>27</v>
      </c>
      <c r="L2369" t="s">
        <v>37</v>
      </c>
      <c r="M2369" t="s">
        <v>58</v>
      </c>
      <c r="N2369" t="s">
        <v>84</v>
      </c>
      <c r="O2369" t="s">
        <v>28</v>
      </c>
      <c r="P2369" t="s">
        <v>31</v>
      </c>
      <c r="Q2369">
        <v>0</v>
      </c>
      <c r="R2369" t="s">
        <v>12883</v>
      </c>
      <c r="S2369" t="s">
        <v>12889</v>
      </c>
    </row>
    <row r="2370" spans="1:19" x14ac:dyDescent="0.25">
      <c r="A2370" t="s">
        <v>7545</v>
      </c>
      <c r="B2370" s="1">
        <v>45911</v>
      </c>
      <c r="C2370" t="s">
        <v>12882</v>
      </c>
      <c r="D2370" s="5">
        <v>0.85840277777777774</v>
      </c>
      <c r="E2370">
        <v>22.17</v>
      </c>
      <c r="F2370" t="s">
        <v>44</v>
      </c>
      <c r="G2370" t="s">
        <v>3483</v>
      </c>
      <c r="H2370" t="s">
        <v>64</v>
      </c>
      <c r="I2370" t="s">
        <v>248</v>
      </c>
      <c r="J2370" t="s">
        <v>7546</v>
      </c>
      <c r="K2370">
        <v>33</v>
      </c>
      <c r="L2370" t="s">
        <v>25</v>
      </c>
      <c r="M2370" t="s">
        <v>248</v>
      </c>
      <c r="N2370" t="s">
        <v>112</v>
      </c>
      <c r="O2370" t="s">
        <v>113</v>
      </c>
      <c r="P2370" t="s">
        <v>31</v>
      </c>
      <c r="Q2370">
        <v>0</v>
      </c>
      <c r="R2370" t="s">
        <v>12883</v>
      </c>
      <c r="S2370" t="s">
        <v>12889</v>
      </c>
    </row>
    <row r="2371" spans="1:19" x14ac:dyDescent="0.25">
      <c r="A2371" t="s">
        <v>6323</v>
      </c>
      <c r="B2371" s="1">
        <v>45895</v>
      </c>
      <c r="C2371" t="s">
        <v>12893</v>
      </c>
      <c r="D2371" s="5">
        <v>5.513888888888889E-2</v>
      </c>
      <c r="E2371">
        <v>22.13</v>
      </c>
      <c r="F2371" t="s">
        <v>44</v>
      </c>
      <c r="G2371" t="s">
        <v>2049</v>
      </c>
      <c r="H2371" t="s">
        <v>89</v>
      </c>
      <c r="I2371" t="s">
        <v>130</v>
      </c>
      <c r="J2371" t="s">
        <v>6324</v>
      </c>
      <c r="K2371">
        <v>19</v>
      </c>
      <c r="L2371" t="s">
        <v>37</v>
      </c>
      <c r="M2371" t="s">
        <v>23</v>
      </c>
      <c r="N2371" t="s">
        <v>84</v>
      </c>
      <c r="O2371" t="s">
        <v>28</v>
      </c>
      <c r="P2371" t="s">
        <v>31</v>
      </c>
      <c r="Q2371">
        <v>0</v>
      </c>
      <c r="R2371" t="s">
        <v>12883</v>
      </c>
      <c r="S2371" t="s">
        <v>12892</v>
      </c>
    </row>
    <row r="2372" spans="1:19" x14ac:dyDescent="0.25">
      <c r="A2372" t="s">
        <v>10335</v>
      </c>
      <c r="B2372" s="1">
        <v>45875</v>
      </c>
      <c r="C2372" t="s">
        <v>12893</v>
      </c>
      <c r="D2372" s="5">
        <v>0.71708333333333329</v>
      </c>
      <c r="E2372">
        <v>22.02</v>
      </c>
      <c r="F2372" t="s">
        <v>44</v>
      </c>
      <c r="G2372" t="s">
        <v>7703</v>
      </c>
      <c r="H2372" t="s">
        <v>64</v>
      </c>
      <c r="I2372" t="s">
        <v>91</v>
      </c>
      <c r="J2372" t="s">
        <v>10336</v>
      </c>
      <c r="K2372">
        <v>37</v>
      </c>
      <c r="L2372" t="s">
        <v>37</v>
      </c>
      <c r="M2372" t="s">
        <v>50</v>
      </c>
      <c r="N2372" t="s">
        <v>39</v>
      </c>
      <c r="O2372" t="s">
        <v>28</v>
      </c>
      <c r="P2372" t="s">
        <v>31</v>
      </c>
      <c r="Q2372">
        <v>0</v>
      </c>
      <c r="R2372" t="s">
        <v>12883</v>
      </c>
      <c r="S2372" t="s">
        <v>12889</v>
      </c>
    </row>
    <row r="2373" spans="1:19" x14ac:dyDescent="0.25">
      <c r="A2373" t="s">
        <v>10661</v>
      </c>
      <c r="B2373" s="1">
        <v>45854</v>
      </c>
      <c r="C2373" t="s">
        <v>12885</v>
      </c>
      <c r="D2373" s="5">
        <v>0.49365740740740743</v>
      </c>
      <c r="E2373">
        <v>21.82</v>
      </c>
      <c r="F2373" t="s">
        <v>44</v>
      </c>
      <c r="G2373" t="s">
        <v>1509</v>
      </c>
      <c r="H2373" t="s">
        <v>46</v>
      </c>
      <c r="I2373" t="s">
        <v>119</v>
      </c>
      <c r="J2373" t="s">
        <v>10662</v>
      </c>
      <c r="K2373">
        <v>71</v>
      </c>
      <c r="L2373" t="s">
        <v>37</v>
      </c>
      <c r="M2373" t="s">
        <v>119</v>
      </c>
      <c r="N2373" t="s">
        <v>105</v>
      </c>
      <c r="O2373" t="s">
        <v>113</v>
      </c>
      <c r="P2373" t="s">
        <v>31</v>
      </c>
      <c r="Q2373">
        <v>0</v>
      </c>
      <c r="R2373" t="s">
        <v>12883</v>
      </c>
      <c r="S2373" t="s">
        <v>12884</v>
      </c>
    </row>
    <row r="2374" spans="1:19" x14ac:dyDescent="0.25">
      <c r="A2374" t="s">
        <v>5503</v>
      </c>
      <c r="B2374" s="1">
        <v>45827</v>
      </c>
      <c r="C2374" t="s">
        <v>12888</v>
      </c>
      <c r="D2374" s="5">
        <v>0.30197916666666669</v>
      </c>
      <c r="E2374">
        <v>21.81</v>
      </c>
      <c r="F2374" t="s">
        <v>44</v>
      </c>
      <c r="G2374" t="s">
        <v>1916</v>
      </c>
      <c r="H2374" t="s">
        <v>89</v>
      </c>
      <c r="I2374" t="s">
        <v>97</v>
      </c>
      <c r="J2374" t="s">
        <v>5504</v>
      </c>
      <c r="K2374">
        <v>57</v>
      </c>
      <c r="L2374" t="s">
        <v>37</v>
      </c>
      <c r="M2374" t="s">
        <v>110</v>
      </c>
      <c r="N2374" t="s">
        <v>105</v>
      </c>
      <c r="O2374" t="s">
        <v>28</v>
      </c>
      <c r="P2374" t="s">
        <v>31</v>
      </c>
      <c r="Q2374">
        <v>0</v>
      </c>
      <c r="R2374" t="s">
        <v>12883</v>
      </c>
      <c r="S2374" t="s">
        <v>12886</v>
      </c>
    </row>
    <row r="2375" spans="1:19" x14ac:dyDescent="0.25">
      <c r="A2375" t="s">
        <v>2746</v>
      </c>
      <c r="B2375" s="1">
        <v>45805</v>
      </c>
      <c r="C2375" t="s">
        <v>12887</v>
      </c>
      <c r="D2375" s="5">
        <v>4.3946759259259262E-2</v>
      </c>
      <c r="E2375">
        <v>21.8</v>
      </c>
      <c r="F2375" t="s">
        <v>44</v>
      </c>
      <c r="G2375" t="s">
        <v>374</v>
      </c>
      <c r="H2375" t="s">
        <v>77</v>
      </c>
      <c r="I2375" t="s">
        <v>110</v>
      </c>
      <c r="J2375" t="s">
        <v>2747</v>
      </c>
      <c r="K2375">
        <v>27</v>
      </c>
      <c r="L2375" t="s">
        <v>37</v>
      </c>
      <c r="M2375" t="s">
        <v>130</v>
      </c>
      <c r="N2375" t="s">
        <v>84</v>
      </c>
      <c r="O2375" t="s">
        <v>28</v>
      </c>
      <c r="P2375" t="s">
        <v>31</v>
      </c>
      <c r="Q2375">
        <v>0</v>
      </c>
      <c r="R2375" t="s">
        <v>12883</v>
      </c>
      <c r="S2375" t="s">
        <v>12889</v>
      </c>
    </row>
    <row r="2376" spans="1:19" x14ac:dyDescent="0.25">
      <c r="A2376" t="s">
        <v>12356</v>
      </c>
      <c r="B2376" s="1">
        <v>45843</v>
      </c>
      <c r="C2376" t="s">
        <v>12885</v>
      </c>
      <c r="D2376" s="5">
        <v>0.18386574074074075</v>
      </c>
      <c r="E2376">
        <v>21.79</v>
      </c>
      <c r="F2376" t="s">
        <v>44</v>
      </c>
      <c r="G2376" t="s">
        <v>6596</v>
      </c>
      <c r="H2376" t="s">
        <v>89</v>
      </c>
      <c r="I2376" t="s">
        <v>38</v>
      </c>
      <c r="J2376" t="s">
        <v>12357</v>
      </c>
      <c r="K2376">
        <v>71</v>
      </c>
      <c r="L2376" t="s">
        <v>37</v>
      </c>
      <c r="M2376" t="s">
        <v>146</v>
      </c>
      <c r="N2376" t="s">
        <v>51</v>
      </c>
      <c r="O2376" t="s">
        <v>28</v>
      </c>
      <c r="P2376" t="s">
        <v>31</v>
      </c>
      <c r="Q2376">
        <v>0</v>
      </c>
      <c r="R2376" t="s">
        <v>12883</v>
      </c>
      <c r="S2376" t="s">
        <v>12884</v>
      </c>
    </row>
    <row r="2377" spans="1:19" x14ac:dyDescent="0.25">
      <c r="A2377" t="s">
        <v>9925</v>
      </c>
      <c r="B2377" s="1">
        <v>45897</v>
      </c>
      <c r="C2377" t="s">
        <v>12893</v>
      </c>
      <c r="D2377" s="5">
        <v>0.51418981481481485</v>
      </c>
      <c r="E2377">
        <v>21.76</v>
      </c>
      <c r="F2377" t="s">
        <v>44</v>
      </c>
      <c r="G2377" t="s">
        <v>3643</v>
      </c>
      <c r="H2377" t="s">
        <v>46</v>
      </c>
      <c r="I2377" t="s">
        <v>35</v>
      </c>
      <c r="J2377" t="s">
        <v>9926</v>
      </c>
      <c r="K2377">
        <v>29</v>
      </c>
      <c r="L2377" t="s">
        <v>37</v>
      </c>
      <c r="M2377" t="s">
        <v>38</v>
      </c>
      <c r="N2377" t="s">
        <v>27</v>
      </c>
      <c r="O2377" t="s">
        <v>28</v>
      </c>
      <c r="P2377" t="s">
        <v>31</v>
      </c>
      <c r="Q2377">
        <v>0</v>
      </c>
      <c r="R2377" t="s">
        <v>12883</v>
      </c>
      <c r="S2377" t="s">
        <v>12889</v>
      </c>
    </row>
    <row r="2378" spans="1:19" x14ac:dyDescent="0.25">
      <c r="A2378" t="s">
        <v>7690</v>
      </c>
      <c r="B2378" s="1">
        <v>45862</v>
      </c>
      <c r="C2378" t="s">
        <v>12885</v>
      </c>
      <c r="D2378" s="5">
        <v>5.1388888888888887E-2</v>
      </c>
      <c r="E2378">
        <v>21.71</v>
      </c>
      <c r="F2378" t="s">
        <v>44</v>
      </c>
      <c r="G2378" t="s">
        <v>1627</v>
      </c>
      <c r="H2378" t="s">
        <v>77</v>
      </c>
      <c r="I2378" t="s">
        <v>248</v>
      </c>
      <c r="J2378" t="s">
        <v>7691</v>
      </c>
      <c r="K2378">
        <v>18</v>
      </c>
      <c r="L2378" t="s">
        <v>37</v>
      </c>
      <c r="M2378" t="s">
        <v>66</v>
      </c>
      <c r="N2378" t="s">
        <v>112</v>
      </c>
      <c r="O2378" t="s">
        <v>28</v>
      </c>
      <c r="P2378" t="s">
        <v>31</v>
      </c>
      <c r="Q2378">
        <v>0</v>
      </c>
      <c r="R2378" t="s">
        <v>12883</v>
      </c>
      <c r="S2378" t="s">
        <v>12892</v>
      </c>
    </row>
    <row r="2379" spans="1:19" x14ac:dyDescent="0.25">
      <c r="A2379" t="s">
        <v>7490</v>
      </c>
      <c r="B2379" s="1">
        <v>45845</v>
      </c>
      <c r="C2379" t="s">
        <v>12885</v>
      </c>
      <c r="D2379" s="5">
        <v>0.29961805555555554</v>
      </c>
      <c r="E2379">
        <v>21.52</v>
      </c>
      <c r="F2379" t="s">
        <v>44</v>
      </c>
      <c r="G2379" t="s">
        <v>7491</v>
      </c>
      <c r="H2379" t="s">
        <v>89</v>
      </c>
      <c r="I2379" t="s">
        <v>58</v>
      </c>
      <c r="J2379" t="s">
        <v>7492</v>
      </c>
      <c r="K2379">
        <v>45</v>
      </c>
      <c r="L2379" t="s">
        <v>49</v>
      </c>
      <c r="M2379" t="s">
        <v>50</v>
      </c>
      <c r="N2379" t="s">
        <v>84</v>
      </c>
      <c r="O2379" t="s">
        <v>28</v>
      </c>
      <c r="P2379" t="s">
        <v>31</v>
      </c>
      <c r="Q2379">
        <v>1</v>
      </c>
      <c r="R2379" t="s">
        <v>12891</v>
      </c>
      <c r="S2379" t="s">
        <v>12886</v>
      </c>
    </row>
    <row r="2380" spans="1:19" x14ac:dyDescent="0.25">
      <c r="A2380" t="s">
        <v>10222</v>
      </c>
      <c r="B2380" s="1">
        <v>45805</v>
      </c>
      <c r="C2380" t="s">
        <v>12887</v>
      </c>
      <c r="D2380" s="5">
        <v>3.3333333333333333E-2</v>
      </c>
      <c r="E2380">
        <v>21.45</v>
      </c>
      <c r="F2380" t="s">
        <v>44</v>
      </c>
      <c r="G2380" t="s">
        <v>3418</v>
      </c>
      <c r="H2380" t="s">
        <v>64</v>
      </c>
      <c r="I2380" t="s">
        <v>97</v>
      </c>
      <c r="J2380" t="s">
        <v>10223</v>
      </c>
      <c r="K2380">
        <v>32</v>
      </c>
      <c r="L2380" t="s">
        <v>25</v>
      </c>
      <c r="M2380" t="s">
        <v>130</v>
      </c>
      <c r="N2380" t="s">
        <v>84</v>
      </c>
      <c r="O2380" t="s">
        <v>28</v>
      </c>
      <c r="P2380" t="s">
        <v>31</v>
      </c>
      <c r="Q2380">
        <v>0</v>
      </c>
      <c r="R2380" t="s">
        <v>12883</v>
      </c>
      <c r="S2380" t="s">
        <v>12889</v>
      </c>
    </row>
    <row r="2381" spans="1:19" x14ac:dyDescent="0.25">
      <c r="A2381" t="s">
        <v>11261</v>
      </c>
      <c r="B2381" s="1">
        <v>45802</v>
      </c>
      <c r="C2381" t="s">
        <v>12887</v>
      </c>
      <c r="D2381" s="5">
        <v>0.89310185185185187</v>
      </c>
      <c r="E2381">
        <v>21.41</v>
      </c>
      <c r="F2381" t="s">
        <v>44</v>
      </c>
      <c r="G2381" t="s">
        <v>5115</v>
      </c>
      <c r="H2381" t="s">
        <v>34</v>
      </c>
      <c r="I2381" t="s">
        <v>66</v>
      </c>
      <c r="J2381" t="s">
        <v>11262</v>
      </c>
      <c r="K2381">
        <v>32</v>
      </c>
      <c r="L2381" t="s">
        <v>37</v>
      </c>
      <c r="M2381" t="s">
        <v>50</v>
      </c>
      <c r="N2381" t="s">
        <v>27</v>
      </c>
      <c r="O2381" t="s">
        <v>28</v>
      </c>
      <c r="P2381" t="s">
        <v>31</v>
      </c>
      <c r="Q2381">
        <v>0</v>
      </c>
      <c r="R2381" t="s">
        <v>12883</v>
      </c>
      <c r="S2381" t="s">
        <v>12889</v>
      </c>
    </row>
    <row r="2382" spans="1:19" x14ac:dyDescent="0.25">
      <c r="A2382" t="s">
        <v>9681</v>
      </c>
      <c r="B2382" s="1">
        <v>45928</v>
      </c>
      <c r="C2382" t="s">
        <v>12882</v>
      </c>
      <c r="D2382" s="5">
        <v>0.78520833333333329</v>
      </c>
      <c r="E2382">
        <v>21.39</v>
      </c>
      <c r="F2382" t="s">
        <v>44</v>
      </c>
      <c r="G2382" t="s">
        <v>1045</v>
      </c>
      <c r="H2382" t="s">
        <v>96</v>
      </c>
      <c r="I2382" t="s">
        <v>58</v>
      </c>
      <c r="J2382" t="s">
        <v>9682</v>
      </c>
      <c r="K2382">
        <v>75</v>
      </c>
      <c r="L2382" t="s">
        <v>37</v>
      </c>
      <c r="M2382" t="s">
        <v>26</v>
      </c>
      <c r="N2382" t="s">
        <v>112</v>
      </c>
      <c r="O2382" t="s">
        <v>28</v>
      </c>
      <c r="P2382" t="s">
        <v>31</v>
      </c>
      <c r="Q2382">
        <v>0</v>
      </c>
      <c r="R2382" t="s">
        <v>12883</v>
      </c>
      <c r="S2382" t="s">
        <v>12884</v>
      </c>
    </row>
    <row r="2383" spans="1:19" x14ac:dyDescent="0.25">
      <c r="A2383" t="s">
        <v>2010</v>
      </c>
      <c r="B2383" s="1">
        <v>45937</v>
      </c>
      <c r="C2383" t="s">
        <v>12890</v>
      </c>
      <c r="D2383" s="5">
        <v>0.14833333333333334</v>
      </c>
      <c r="E2383">
        <v>21.33</v>
      </c>
      <c r="F2383" t="s">
        <v>44</v>
      </c>
      <c r="G2383" t="s">
        <v>1413</v>
      </c>
      <c r="H2383" t="s">
        <v>46</v>
      </c>
      <c r="I2383" t="s">
        <v>97</v>
      </c>
      <c r="J2383" t="s">
        <v>2011</v>
      </c>
      <c r="K2383">
        <v>29</v>
      </c>
      <c r="L2383" t="s">
        <v>37</v>
      </c>
      <c r="M2383" t="s">
        <v>97</v>
      </c>
      <c r="N2383" t="s">
        <v>105</v>
      </c>
      <c r="O2383" t="s">
        <v>113</v>
      </c>
      <c r="P2383" t="s">
        <v>31</v>
      </c>
      <c r="Q2383">
        <v>0</v>
      </c>
      <c r="R2383" t="s">
        <v>12883</v>
      </c>
      <c r="S2383" t="s">
        <v>12889</v>
      </c>
    </row>
    <row r="2384" spans="1:19" x14ac:dyDescent="0.25">
      <c r="A2384" t="s">
        <v>2048</v>
      </c>
      <c r="B2384" s="1">
        <v>45795</v>
      </c>
      <c r="C2384" t="s">
        <v>12887</v>
      </c>
      <c r="D2384" s="5">
        <v>0.42903935185185182</v>
      </c>
      <c r="E2384">
        <v>21.24</v>
      </c>
      <c r="F2384" t="s">
        <v>44</v>
      </c>
      <c r="G2384" t="s">
        <v>2049</v>
      </c>
      <c r="H2384" t="s">
        <v>96</v>
      </c>
      <c r="I2384" t="s">
        <v>47</v>
      </c>
      <c r="J2384" t="s">
        <v>2050</v>
      </c>
      <c r="K2384">
        <v>32</v>
      </c>
      <c r="L2384" t="s">
        <v>49</v>
      </c>
      <c r="M2384" t="s">
        <v>119</v>
      </c>
      <c r="N2384" t="s">
        <v>39</v>
      </c>
      <c r="O2384" t="s">
        <v>28</v>
      </c>
      <c r="P2384" t="s">
        <v>31</v>
      </c>
      <c r="Q2384">
        <v>0</v>
      </c>
      <c r="R2384" t="s">
        <v>12883</v>
      </c>
      <c r="S2384" t="s">
        <v>12889</v>
      </c>
    </row>
    <row r="2385" spans="1:19" x14ac:dyDescent="0.25">
      <c r="A2385" t="s">
        <v>9814</v>
      </c>
      <c r="B2385" s="1">
        <v>45844</v>
      </c>
      <c r="C2385" t="s">
        <v>12885</v>
      </c>
      <c r="D2385" s="5">
        <v>0.33046296296296296</v>
      </c>
      <c r="E2385">
        <v>21.21</v>
      </c>
      <c r="F2385" t="s">
        <v>44</v>
      </c>
      <c r="G2385" t="s">
        <v>3008</v>
      </c>
      <c r="H2385" t="s">
        <v>34</v>
      </c>
      <c r="I2385" t="s">
        <v>130</v>
      </c>
      <c r="J2385" t="s">
        <v>9815</v>
      </c>
      <c r="K2385">
        <v>67</v>
      </c>
      <c r="L2385" t="s">
        <v>49</v>
      </c>
      <c r="M2385" t="s">
        <v>23</v>
      </c>
      <c r="N2385" t="s">
        <v>27</v>
      </c>
      <c r="O2385" t="s">
        <v>28</v>
      </c>
      <c r="P2385" t="s">
        <v>31</v>
      </c>
      <c r="Q2385">
        <v>0</v>
      </c>
      <c r="R2385" t="s">
        <v>12883</v>
      </c>
      <c r="S2385" t="s">
        <v>12884</v>
      </c>
    </row>
    <row r="2386" spans="1:19" x14ac:dyDescent="0.25">
      <c r="A2386" t="s">
        <v>3412</v>
      </c>
      <c r="B2386" s="1">
        <v>45894</v>
      </c>
      <c r="C2386" t="s">
        <v>12893</v>
      </c>
      <c r="D2386" s="5">
        <v>0.53732638888888884</v>
      </c>
      <c r="E2386">
        <v>21.2</v>
      </c>
      <c r="F2386" t="s">
        <v>44</v>
      </c>
      <c r="G2386" t="s">
        <v>3413</v>
      </c>
      <c r="H2386" t="s">
        <v>34</v>
      </c>
      <c r="I2386" t="s">
        <v>146</v>
      </c>
      <c r="J2386" t="s">
        <v>3414</v>
      </c>
      <c r="K2386">
        <v>48</v>
      </c>
      <c r="L2386" t="s">
        <v>25</v>
      </c>
      <c r="M2386" t="s">
        <v>97</v>
      </c>
      <c r="N2386" t="s">
        <v>112</v>
      </c>
      <c r="O2386" t="s">
        <v>28</v>
      </c>
      <c r="P2386" t="s">
        <v>31</v>
      </c>
      <c r="Q2386">
        <v>0</v>
      </c>
      <c r="R2386" t="s">
        <v>12883</v>
      </c>
      <c r="S2386" t="s">
        <v>12886</v>
      </c>
    </row>
    <row r="2387" spans="1:19" x14ac:dyDescent="0.25">
      <c r="A2387" t="s">
        <v>5421</v>
      </c>
      <c r="B2387" s="1">
        <v>45901</v>
      </c>
      <c r="C2387" t="s">
        <v>12882</v>
      </c>
      <c r="D2387" s="5">
        <v>0.43285879629629631</v>
      </c>
      <c r="E2387">
        <v>21.13</v>
      </c>
      <c r="F2387" t="s">
        <v>44</v>
      </c>
      <c r="G2387" t="s">
        <v>3504</v>
      </c>
      <c r="H2387" t="s">
        <v>64</v>
      </c>
      <c r="I2387" t="s">
        <v>119</v>
      </c>
      <c r="J2387" t="s">
        <v>5422</v>
      </c>
      <c r="K2387">
        <v>45</v>
      </c>
      <c r="L2387" t="s">
        <v>37</v>
      </c>
      <c r="M2387" t="s">
        <v>248</v>
      </c>
      <c r="N2387" t="s">
        <v>51</v>
      </c>
      <c r="O2387" t="s">
        <v>28</v>
      </c>
      <c r="P2387" t="s">
        <v>31</v>
      </c>
      <c r="Q2387">
        <v>0</v>
      </c>
      <c r="R2387" t="s">
        <v>12883</v>
      </c>
      <c r="S2387" t="s">
        <v>12886</v>
      </c>
    </row>
    <row r="2388" spans="1:19" x14ac:dyDescent="0.25">
      <c r="A2388" t="s">
        <v>10902</v>
      </c>
      <c r="B2388" s="1">
        <v>45818</v>
      </c>
      <c r="C2388" t="s">
        <v>12888</v>
      </c>
      <c r="D2388" s="5">
        <v>0.78978009259259263</v>
      </c>
      <c r="E2388">
        <v>20.97</v>
      </c>
      <c r="F2388" t="s">
        <v>44</v>
      </c>
      <c r="G2388" t="s">
        <v>156</v>
      </c>
      <c r="H2388" t="s">
        <v>71</v>
      </c>
      <c r="I2388" t="s">
        <v>23</v>
      </c>
      <c r="J2388" t="s">
        <v>10903</v>
      </c>
      <c r="K2388">
        <v>42</v>
      </c>
      <c r="L2388" t="s">
        <v>25</v>
      </c>
      <c r="M2388" t="s">
        <v>110</v>
      </c>
      <c r="N2388" t="s">
        <v>112</v>
      </c>
      <c r="O2388" t="s">
        <v>28</v>
      </c>
      <c r="P2388" t="s">
        <v>31</v>
      </c>
      <c r="Q2388">
        <v>1</v>
      </c>
      <c r="R2388" t="s">
        <v>12891</v>
      </c>
      <c r="S2388" t="s">
        <v>12886</v>
      </c>
    </row>
    <row r="2389" spans="1:19" x14ac:dyDescent="0.25">
      <c r="A2389" t="s">
        <v>6026</v>
      </c>
      <c r="B2389" s="1">
        <v>45829</v>
      </c>
      <c r="C2389" t="s">
        <v>12888</v>
      </c>
      <c r="D2389" s="5">
        <v>0.34710648148148149</v>
      </c>
      <c r="E2389">
        <v>20.88</v>
      </c>
      <c r="F2389" t="s">
        <v>44</v>
      </c>
      <c r="G2389" t="s">
        <v>6027</v>
      </c>
      <c r="H2389" t="s">
        <v>71</v>
      </c>
      <c r="I2389" t="s">
        <v>58</v>
      </c>
      <c r="J2389" t="s">
        <v>6028</v>
      </c>
      <c r="K2389">
        <v>61</v>
      </c>
      <c r="L2389" t="s">
        <v>49</v>
      </c>
      <c r="M2389" t="s">
        <v>38</v>
      </c>
      <c r="N2389" t="s">
        <v>51</v>
      </c>
      <c r="O2389" t="s">
        <v>28</v>
      </c>
      <c r="P2389" t="s">
        <v>31</v>
      </c>
      <c r="Q2389">
        <v>0</v>
      </c>
      <c r="R2389" t="s">
        <v>12883</v>
      </c>
      <c r="S2389" t="s">
        <v>12884</v>
      </c>
    </row>
    <row r="2390" spans="1:19" x14ac:dyDescent="0.25">
      <c r="A2390" t="s">
        <v>9143</v>
      </c>
      <c r="B2390" s="1">
        <v>45858</v>
      </c>
      <c r="C2390" t="s">
        <v>12885</v>
      </c>
      <c r="D2390" s="5">
        <v>0.51569444444444446</v>
      </c>
      <c r="E2390">
        <v>20.84</v>
      </c>
      <c r="F2390" t="s">
        <v>44</v>
      </c>
      <c r="G2390" t="s">
        <v>7816</v>
      </c>
      <c r="H2390" t="s">
        <v>64</v>
      </c>
      <c r="I2390" t="s">
        <v>119</v>
      </c>
      <c r="J2390" t="s">
        <v>9144</v>
      </c>
      <c r="K2390">
        <v>48</v>
      </c>
      <c r="L2390" t="s">
        <v>37</v>
      </c>
      <c r="M2390" t="s">
        <v>97</v>
      </c>
      <c r="N2390" t="s">
        <v>51</v>
      </c>
      <c r="O2390" t="s">
        <v>28</v>
      </c>
      <c r="P2390" t="s">
        <v>31</v>
      </c>
      <c r="Q2390">
        <v>0</v>
      </c>
      <c r="R2390" t="s">
        <v>12883</v>
      </c>
      <c r="S2390" t="s">
        <v>12886</v>
      </c>
    </row>
    <row r="2391" spans="1:19" x14ac:dyDescent="0.25">
      <c r="A2391" t="s">
        <v>9059</v>
      </c>
      <c r="B2391" s="1">
        <v>45939</v>
      </c>
      <c r="C2391" t="s">
        <v>12890</v>
      </c>
      <c r="D2391" s="5">
        <v>0.861724537037037</v>
      </c>
      <c r="E2391">
        <v>20.73</v>
      </c>
      <c r="F2391" t="s">
        <v>44</v>
      </c>
      <c r="G2391" t="s">
        <v>2726</v>
      </c>
      <c r="H2391" t="s">
        <v>96</v>
      </c>
      <c r="I2391" t="s">
        <v>146</v>
      </c>
      <c r="J2391" t="s">
        <v>9060</v>
      </c>
      <c r="K2391">
        <v>58</v>
      </c>
      <c r="L2391" t="s">
        <v>37</v>
      </c>
      <c r="M2391" t="s">
        <v>130</v>
      </c>
      <c r="N2391" t="s">
        <v>105</v>
      </c>
      <c r="O2391" t="s">
        <v>28</v>
      </c>
      <c r="P2391" t="s">
        <v>31</v>
      </c>
      <c r="Q2391">
        <v>0</v>
      </c>
      <c r="R2391" t="s">
        <v>12883</v>
      </c>
      <c r="S2391" t="s">
        <v>12886</v>
      </c>
    </row>
    <row r="2392" spans="1:19" x14ac:dyDescent="0.25">
      <c r="A2392" t="s">
        <v>6312</v>
      </c>
      <c r="B2392" s="1">
        <v>45798</v>
      </c>
      <c r="C2392" t="s">
        <v>12887</v>
      </c>
      <c r="D2392" s="5">
        <v>3.152777777777778E-2</v>
      </c>
      <c r="E2392">
        <v>20.5</v>
      </c>
      <c r="F2392" t="s">
        <v>44</v>
      </c>
      <c r="G2392" t="s">
        <v>2621</v>
      </c>
      <c r="H2392" t="s">
        <v>124</v>
      </c>
      <c r="I2392" t="s">
        <v>66</v>
      </c>
      <c r="J2392" t="s">
        <v>6313</v>
      </c>
      <c r="K2392">
        <v>41</v>
      </c>
      <c r="L2392" t="s">
        <v>37</v>
      </c>
      <c r="M2392" t="s">
        <v>110</v>
      </c>
      <c r="N2392" t="s">
        <v>39</v>
      </c>
      <c r="O2392" t="s">
        <v>28</v>
      </c>
      <c r="P2392" t="s">
        <v>31</v>
      </c>
      <c r="Q2392">
        <v>0</v>
      </c>
      <c r="R2392" t="s">
        <v>12883</v>
      </c>
      <c r="S2392" t="s">
        <v>12886</v>
      </c>
    </row>
    <row r="2393" spans="1:19" x14ac:dyDescent="0.25">
      <c r="A2393" t="s">
        <v>2153</v>
      </c>
      <c r="B2393" s="1">
        <v>45955</v>
      </c>
      <c r="C2393" t="s">
        <v>12890</v>
      </c>
      <c r="D2393" s="5">
        <v>0.62140046296296292</v>
      </c>
      <c r="E2393">
        <v>20.36</v>
      </c>
      <c r="F2393" t="s">
        <v>44</v>
      </c>
      <c r="G2393" t="s">
        <v>418</v>
      </c>
      <c r="H2393" t="s">
        <v>64</v>
      </c>
      <c r="I2393" t="s">
        <v>130</v>
      </c>
      <c r="J2393" t="s">
        <v>2154</v>
      </c>
      <c r="K2393">
        <v>59</v>
      </c>
      <c r="L2393" t="s">
        <v>49</v>
      </c>
      <c r="M2393" t="s">
        <v>248</v>
      </c>
      <c r="N2393" t="s">
        <v>27</v>
      </c>
      <c r="O2393" t="s">
        <v>28</v>
      </c>
      <c r="P2393" t="s">
        <v>31</v>
      </c>
      <c r="Q2393">
        <v>0</v>
      </c>
      <c r="R2393" t="s">
        <v>12883</v>
      </c>
      <c r="S2393" t="s">
        <v>12886</v>
      </c>
    </row>
    <row r="2394" spans="1:19" x14ac:dyDescent="0.25">
      <c r="A2394" t="s">
        <v>2372</v>
      </c>
      <c r="B2394" s="1">
        <v>45921</v>
      </c>
      <c r="C2394" t="s">
        <v>12882</v>
      </c>
      <c r="D2394" s="5">
        <v>0.15143518518518517</v>
      </c>
      <c r="E2394">
        <v>20.190000000000001</v>
      </c>
      <c r="F2394" t="s">
        <v>44</v>
      </c>
      <c r="G2394" t="s">
        <v>2373</v>
      </c>
      <c r="H2394" t="s">
        <v>77</v>
      </c>
      <c r="I2394" t="s">
        <v>146</v>
      </c>
      <c r="J2394" t="s">
        <v>2374</v>
      </c>
      <c r="K2394">
        <v>51</v>
      </c>
      <c r="L2394" t="s">
        <v>37</v>
      </c>
      <c r="M2394" t="s">
        <v>110</v>
      </c>
      <c r="N2394" t="s">
        <v>112</v>
      </c>
      <c r="O2394" t="s">
        <v>28</v>
      </c>
      <c r="P2394" t="s">
        <v>31</v>
      </c>
      <c r="Q2394">
        <v>0</v>
      </c>
      <c r="R2394" t="s">
        <v>12883</v>
      </c>
      <c r="S2394" t="s">
        <v>12886</v>
      </c>
    </row>
    <row r="2395" spans="1:19" x14ac:dyDescent="0.25">
      <c r="A2395" t="s">
        <v>4551</v>
      </c>
      <c r="B2395" s="1">
        <v>45902</v>
      </c>
      <c r="C2395" t="s">
        <v>12882</v>
      </c>
      <c r="D2395" s="5">
        <v>0.59909722222222217</v>
      </c>
      <c r="E2395">
        <v>20.059999999999999</v>
      </c>
      <c r="F2395" t="s">
        <v>44</v>
      </c>
      <c r="G2395" t="s">
        <v>2373</v>
      </c>
      <c r="H2395" t="s">
        <v>57</v>
      </c>
      <c r="I2395" t="s">
        <v>91</v>
      </c>
      <c r="J2395" t="s">
        <v>4552</v>
      </c>
      <c r="K2395">
        <v>53</v>
      </c>
      <c r="L2395" t="s">
        <v>25</v>
      </c>
      <c r="M2395" t="s">
        <v>110</v>
      </c>
      <c r="N2395" t="s">
        <v>51</v>
      </c>
      <c r="O2395" t="s">
        <v>28</v>
      </c>
      <c r="P2395" t="s">
        <v>31</v>
      </c>
      <c r="Q2395">
        <v>0</v>
      </c>
      <c r="R2395" t="s">
        <v>12883</v>
      </c>
      <c r="S2395" t="s">
        <v>12886</v>
      </c>
    </row>
    <row r="2396" spans="1:19" x14ac:dyDescent="0.25">
      <c r="A2396" t="s">
        <v>6121</v>
      </c>
      <c r="B2396" s="1">
        <v>45834</v>
      </c>
      <c r="C2396" t="s">
        <v>12888</v>
      </c>
      <c r="D2396" s="5">
        <v>0.7300578703703704</v>
      </c>
      <c r="E2396">
        <v>19.940000000000001</v>
      </c>
      <c r="F2396" t="s">
        <v>44</v>
      </c>
      <c r="G2396" t="s">
        <v>4053</v>
      </c>
      <c r="H2396" t="s">
        <v>46</v>
      </c>
      <c r="I2396" t="s">
        <v>38</v>
      </c>
      <c r="J2396" t="s">
        <v>6122</v>
      </c>
      <c r="K2396">
        <v>42</v>
      </c>
      <c r="L2396" t="s">
        <v>49</v>
      </c>
      <c r="M2396" t="s">
        <v>119</v>
      </c>
      <c r="N2396" t="s">
        <v>105</v>
      </c>
      <c r="O2396" t="s">
        <v>28</v>
      </c>
      <c r="P2396" t="s">
        <v>31</v>
      </c>
      <c r="Q2396">
        <v>0</v>
      </c>
      <c r="R2396" t="s">
        <v>12883</v>
      </c>
      <c r="S2396" t="s">
        <v>12886</v>
      </c>
    </row>
    <row r="2397" spans="1:19" x14ac:dyDescent="0.25">
      <c r="A2397" t="s">
        <v>5967</v>
      </c>
      <c r="B2397" s="1">
        <v>45926</v>
      </c>
      <c r="C2397" t="s">
        <v>12882</v>
      </c>
      <c r="D2397" s="5">
        <v>0.50993055555555555</v>
      </c>
      <c r="E2397">
        <v>19.829999999999998</v>
      </c>
      <c r="F2397" t="s">
        <v>44</v>
      </c>
      <c r="G2397" t="s">
        <v>3595</v>
      </c>
      <c r="H2397" t="s">
        <v>46</v>
      </c>
      <c r="I2397" t="s">
        <v>38</v>
      </c>
      <c r="J2397" t="s">
        <v>5968</v>
      </c>
      <c r="K2397">
        <v>72</v>
      </c>
      <c r="L2397" t="s">
        <v>37</v>
      </c>
      <c r="M2397" t="s">
        <v>248</v>
      </c>
      <c r="N2397" t="s">
        <v>105</v>
      </c>
      <c r="O2397" t="s">
        <v>28</v>
      </c>
      <c r="P2397" t="s">
        <v>31</v>
      </c>
      <c r="Q2397">
        <v>0</v>
      </c>
      <c r="R2397" t="s">
        <v>12883</v>
      </c>
      <c r="S2397" t="s">
        <v>12884</v>
      </c>
    </row>
    <row r="2398" spans="1:19" x14ac:dyDescent="0.25">
      <c r="A2398" t="s">
        <v>8035</v>
      </c>
      <c r="B2398" s="1">
        <v>45886</v>
      </c>
      <c r="C2398" t="s">
        <v>12893</v>
      </c>
      <c r="D2398" s="5">
        <v>0.47248842592592594</v>
      </c>
      <c r="E2398">
        <v>19.72</v>
      </c>
      <c r="F2398" t="s">
        <v>44</v>
      </c>
      <c r="G2398" t="s">
        <v>561</v>
      </c>
      <c r="H2398" t="s">
        <v>22</v>
      </c>
      <c r="I2398" t="s">
        <v>66</v>
      </c>
      <c r="J2398" t="s">
        <v>8036</v>
      </c>
      <c r="K2398">
        <v>75</v>
      </c>
      <c r="L2398" t="s">
        <v>37</v>
      </c>
      <c r="M2398" t="s">
        <v>58</v>
      </c>
      <c r="N2398" t="s">
        <v>51</v>
      </c>
      <c r="O2398" t="s">
        <v>28</v>
      </c>
      <c r="P2398" t="s">
        <v>31</v>
      </c>
      <c r="Q2398">
        <v>0</v>
      </c>
      <c r="R2398" t="s">
        <v>12883</v>
      </c>
      <c r="S2398" t="s">
        <v>12884</v>
      </c>
    </row>
    <row r="2399" spans="1:19" x14ac:dyDescent="0.25">
      <c r="A2399" t="s">
        <v>7337</v>
      </c>
      <c r="B2399" s="1">
        <v>45819</v>
      </c>
      <c r="C2399" t="s">
        <v>12888</v>
      </c>
      <c r="D2399" s="5">
        <v>0.40013888888888888</v>
      </c>
      <c r="E2399">
        <v>19.54</v>
      </c>
      <c r="F2399" t="s">
        <v>44</v>
      </c>
      <c r="G2399" t="s">
        <v>7338</v>
      </c>
      <c r="H2399" t="s">
        <v>64</v>
      </c>
      <c r="I2399" t="s">
        <v>248</v>
      </c>
      <c r="J2399" t="s">
        <v>7339</v>
      </c>
      <c r="K2399">
        <v>44</v>
      </c>
      <c r="L2399" t="s">
        <v>25</v>
      </c>
      <c r="M2399" t="s">
        <v>50</v>
      </c>
      <c r="N2399" t="s">
        <v>105</v>
      </c>
      <c r="O2399" t="s">
        <v>28</v>
      </c>
      <c r="P2399" t="s">
        <v>31</v>
      </c>
      <c r="Q2399">
        <v>1</v>
      </c>
      <c r="R2399" t="s">
        <v>12891</v>
      </c>
      <c r="S2399" t="s">
        <v>12886</v>
      </c>
    </row>
    <row r="2400" spans="1:19" x14ac:dyDescent="0.25">
      <c r="A2400" t="s">
        <v>3404</v>
      </c>
      <c r="B2400" s="1">
        <v>45899</v>
      </c>
      <c r="C2400" t="s">
        <v>12893</v>
      </c>
      <c r="D2400" s="5">
        <v>0.92167824074074078</v>
      </c>
      <c r="E2400">
        <v>19.53</v>
      </c>
      <c r="F2400" t="s">
        <v>44</v>
      </c>
      <c r="G2400" t="s">
        <v>639</v>
      </c>
      <c r="H2400" t="s">
        <v>89</v>
      </c>
      <c r="I2400" t="s">
        <v>38</v>
      </c>
      <c r="J2400" t="s">
        <v>3405</v>
      </c>
      <c r="K2400">
        <v>19</v>
      </c>
      <c r="L2400" t="s">
        <v>37</v>
      </c>
      <c r="M2400" t="s">
        <v>110</v>
      </c>
      <c r="N2400" t="s">
        <v>39</v>
      </c>
      <c r="O2400" t="s">
        <v>28</v>
      </c>
      <c r="P2400" t="s">
        <v>31</v>
      </c>
      <c r="Q2400">
        <v>0</v>
      </c>
      <c r="R2400" t="s">
        <v>12883</v>
      </c>
      <c r="S2400" t="s">
        <v>12892</v>
      </c>
    </row>
    <row r="2401" spans="1:19" x14ac:dyDescent="0.25">
      <c r="A2401" t="s">
        <v>8039</v>
      </c>
      <c r="B2401" s="1">
        <v>45785</v>
      </c>
      <c r="C2401" t="s">
        <v>12887</v>
      </c>
      <c r="D2401" s="5">
        <v>0.55181712962962959</v>
      </c>
      <c r="E2401">
        <v>19.510000000000002</v>
      </c>
      <c r="F2401" t="s">
        <v>44</v>
      </c>
      <c r="G2401" t="s">
        <v>763</v>
      </c>
      <c r="H2401" t="s">
        <v>46</v>
      </c>
      <c r="I2401" t="s">
        <v>119</v>
      </c>
      <c r="J2401" t="s">
        <v>8040</v>
      </c>
      <c r="K2401">
        <v>50</v>
      </c>
      <c r="L2401" t="s">
        <v>25</v>
      </c>
      <c r="M2401" t="s">
        <v>38</v>
      </c>
      <c r="N2401" t="s">
        <v>39</v>
      </c>
      <c r="O2401" t="s">
        <v>28</v>
      </c>
      <c r="P2401" t="s">
        <v>31</v>
      </c>
      <c r="Q2401">
        <v>0</v>
      </c>
      <c r="R2401" t="s">
        <v>12883</v>
      </c>
      <c r="S2401" t="s">
        <v>12886</v>
      </c>
    </row>
    <row r="2402" spans="1:19" x14ac:dyDescent="0.25">
      <c r="A2402" t="s">
        <v>11111</v>
      </c>
      <c r="B2402" s="1">
        <v>45841</v>
      </c>
      <c r="C2402" t="s">
        <v>12885</v>
      </c>
      <c r="D2402" s="5">
        <v>0.80269675925925921</v>
      </c>
      <c r="E2402">
        <v>19.440000000000001</v>
      </c>
      <c r="F2402" t="s">
        <v>44</v>
      </c>
      <c r="G2402" t="s">
        <v>8754</v>
      </c>
      <c r="H2402" t="s">
        <v>22</v>
      </c>
      <c r="I2402" t="s">
        <v>35</v>
      </c>
      <c r="J2402" t="s">
        <v>11112</v>
      </c>
      <c r="K2402">
        <v>27</v>
      </c>
      <c r="L2402" t="s">
        <v>49</v>
      </c>
      <c r="M2402" t="s">
        <v>50</v>
      </c>
      <c r="N2402" t="s">
        <v>51</v>
      </c>
      <c r="O2402" t="s">
        <v>28</v>
      </c>
      <c r="P2402" t="s">
        <v>31</v>
      </c>
      <c r="Q2402">
        <v>0</v>
      </c>
      <c r="R2402" t="s">
        <v>12883</v>
      </c>
      <c r="S2402" t="s">
        <v>12889</v>
      </c>
    </row>
    <row r="2403" spans="1:19" x14ac:dyDescent="0.25">
      <c r="A2403" t="s">
        <v>10505</v>
      </c>
      <c r="B2403" s="1">
        <v>45831</v>
      </c>
      <c r="C2403" t="s">
        <v>12888</v>
      </c>
      <c r="D2403" s="5">
        <v>0.89421296296296293</v>
      </c>
      <c r="E2403">
        <v>19.239999999999998</v>
      </c>
      <c r="F2403" t="s">
        <v>44</v>
      </c>
      <c r="G2403" t="s">
        <v>10506</v>
      </c>
      <c r="H2403" t="s">
        <v>71</v>
      </c>
      <c r="I2403" t="s">
        <v>66</v>
      </c>
      <c r="J2403" t="s">
        <v>10507</v>
      </c>
      <c r="K2403">
        <v>25</v>
      </c>
      <c r="L2403" t="s">
        <v>37</v>
      </c>
      <c r="M2403" t="s">
        <v>146</v>
      </c>
      <c r="N2403" t="s">
        <v>84</v>
      </c>
      <c r="O2403" t="s">
        <v>28</v>
      </c>
      <c r="P2403" t="s">
        <v>31</v>
      </c>
      <c r="Q2403">
        <v>0</v>
      </c>
      <c r="R2403" t="s">
        <v>12883</v>
      </c>
      <c r="S2403" t="s">
        <v>12889</v>
      </c>
    </row>
    <row r="2404" spans="1:19" x14ac:dyDescent="0.25">
      <c r="A2404" t="s">
        <v>5411</v>
      </c>
      <c r="B2404" s="1">
        <v>45865</v>
      </c>
      <c r="C2404" t="s">
        <v>12885</v>
      </c>
      <c r="D2404" s="5">
        <v>0.51710648148148153</v>
      </c>
      <c r="E2404">
        <v>19.22</v>
      </c>
      <c r="F2404" t="s">
        <v>44</v>
      </c>
      <c r="G2404" t="s">
        <v>5412</v>
      </c>
      <c r="H2404" t="s">
        <v>22</v>
      </c>
      <c r="I2404" t="s">
        <v>66</v>
      </c>
      <c r="J2404" t="s">
        <v>5413</v>
      </c>
      <c r="K2404">
        <v>45</v>
      </c>
      <c r="L2404" t="s">
        <v>25</v>
      </c>
      <c r="M2404" t="s">
        <v>248</v>
      </c>
      <c r="N2404" t="s">
        <v>27</v>
      </c>
      <c r="O2404" t="s">
        <v>28</v>
      </c>
      <c r="P2404" t="s">
        <v>31</v>
      </c>
      <c r="Q2404">
        <v>0</v>
      </c>
      <c r="R2404" t="s">
        <v>12883</v>
      </c>
      <c r="S2404" t="s">
        <v>12886</v>
      </c>
    </row>
    <row r="2405" spans="1:19" x14ac:dyDescent="0.25">
      <c r="A2405" t="s">
        <v>1691</v>
      </c>
      <c r="B2405" s="1">
        <v>45828</v>
      </c>
      <c r="C2405" t="s">
        <v>12888</v>
      </c>
      <c r="D2405" s="5">
        <v>0.99913194444444442</v>
      </c>
      <c r="E2405">
        <v>19.2</v>
      </c>
      <c r="F2405" t="s">
        <v>44</v>
      </c>
      <c r="G2405" t="s">
        <v>1692</v>
      </c>
      <c r="H2405" t="s">
        <v>57</v>
      </c>
      <c r="I2405" t="s">
        <v>35</v>
      </c>
      <c r="J2405" t="s">
        <v>1693</v>
      </c>
      <c r="K2405">
        <v>23</v>
      </c>
      <c r="L2405" t="s">
        <v>49</v>
      </c>
      <c r="M2405" t="s">
        <v>97</v>
      </c>
      <c r="N2405" t="s">
        <v>39</v>
      </c>
      <c r="O2405" t="s">
        <v>28</v>
      </c>
      <c r="P2405" t="s">
        <v>31</v>
      </c>
      <c r="Q2405">
        <v>0</v>
      </c>
      <c r="R2405" t="s">
        <v>12883</v>
      </c>
      <c r="S2405" t="s">
        <v>12892</v>
      </c>
    </row>
    <row r="2406" spans="1:19" x14ac:dyDescent="0.25">
      <c r="A2406" t="s">
        <v>3664</v>
      </c>
      <c r="B2406" s="1">
        <v>45837</v>
      </c>
      <c r="C2406" t="s">
        <v>12888</v>
      </c>
      <c r="D2406" s="5">
        <v>0.9664814814814815</v>
      </c>
      <c r="E2406">
        <v>19.05</v>
      </c>
      <c r="F2406" t="s">
        <v>44</v>
      </c>
      <c r="G2406" t="s">
        <v>1548</v>
      </c>
      <c r="H2406" t="s">
        <v>124</v>
      </c>
      <c r="I2406" t="s">
        <v>91</v>
      </c>
      <c r="J2406" t="s">
        <v>3665</v>
      </c>
      <c r="K2406">
        <v>27</v>
      </c>
      <c r="L2406" t="s">
        <v>49</v>
      </c>
      <c r="M2406" t="s">
        <v>110</v>
      </c>
      <c r="N2406" t="s">
        <v>105</v>
      </c>
      <c r="O2406" t="s">
        <v>28</v>
      </c>
      <c r="P2406" t="s">
        <v>31</v>
      </c>
      <c r="Q2406">
        <v>0</v>
      </c>
      <c r="R2406" t="s">
        <v>12883</v>
      </c>
      <c r="S2406" t="s">
        <v>12889</v>
      </c>
    </row>
    <row r="2407" spans="1:19" x14ac:dyDescent="0.25">
      <c r="A2407" t="s">
        <v>12413</v>
      </c>
      <c r="B2407" s="1">
        <v>45828</v>
      </c>
      <c r="C2407" t="s">
        <v>12888</v>
      </c>
      <c r="D2407" s="5">
        <v>0.72326388888888893</v>
      </c>
      <c r="E2407">
        <v>18.95</v>
      </c>
      <c r="F2407" t="s">
        <v>44</v>
      </c>
      <c r="G2407" t="s">
        <v>1568</v>
      </c>
      <c r="H2407" t="s">
        <v>89</v>
      </c>
      <c r="I2407" t="s">
        <v>97</v>
      </c>
      <c r="J2407" t="s">
        <v>12414</v>
      </c>
      <c r="K2407">
        <v>53</v>
      </c>
      <c r="L2407" t="s">
        <v>25</v>
      </c>
      <c r="M2407" t="s">
        <v>248</v>
      </c>
      <c r="N2407" t="s">
        <v>51</v>
      </c>
      <c r="O2407" t="s">
        <v>28</v>
      </c>
      <c r="P2407" t="s">
        <v>31</v>
      </c>
      <c r="Q2407">
        <v>0</v>
      </c>
      <c r="R2407" t="s">
        <v>12883</v>
      </c>
      <c r="S2407" t="s">
        <v>12886</v>
      </c>
    </row>
    <row r="2408" spans="1:19" x14ac:dyDescent="0.25">
      <c r="A2408" t="s">
        <v>7346</v>
      </c>
      <c r="B2408" s="1">
        <v>45804</v>
      </c>
      <c r="C2408" t="s">
        <v>12887</v>
      </c>
      <c r="D2408" s="5">
        <v>0.25041666666666668</v>
      </c>
      <c r="E2408">
        <v>18.84</v>
      </c>
      <c r="F2408" t="s">
        <v>44</v>
      </c>
      <c r="G2408" t="s">
        <v>1593</v>
      </c>
      <c r="H2408" t="s">
        <v>46</v>
      </c>
      <c r="I2408" t="s">
        <v>130</v>
      </c>
      <c r="J2408" t="s">
        <v>7347</v>
      </c>
      <c r="K2408">
        <v>58</v>
      </c>
      <c r="L2408" t="s">
        <v>49</v>
      </c>
      <c r="M2408" t="s">
        <v>110</v>
      </c>
      <c r="N2408" t="s">
        <v>105</v>
      </c>
      <c r="O2408" t="s">
        <v>28</v>
      </c>
      <c r="P2408" t="s">
        <v>31</v>
      </c>
      <c r="Q2408">
        <v>0</v>
      </c>
      <c r="R2408" t="s">
        <v>12883</v>
      </c>
      <c r="S2408" t="s">
        <v>12886</v>
      </c>
    </row>
    <row r="2409" spans="1:19" x14ac:dyDescent="0.25">
      <c r="A2409" t="s">
        <v>4996</v>
      </c>
      <c r="B2409" s="1">
        <v>45822</v>
      </c>
      <c r="C2409" t="s">
        <v>12888</v>
      </c>
      <c r="D2409" s="5">
        <v>0.54708333333333337</v>
      </c>
      <c r="E2409">
        <v>18.79</v>
      </c>
      <c r="F2409" t="s">
        <v>44</v>
      </c>
      <c r="G2409" t="s">
        <v>1040</v>
      </c>
      <c r="H2409" t="s">
        <v>124</v>
      </c>
      <c r="I2409" t="s">
        <v>50</v>
      </c>
      <c r="J2409" t="s">
        <v>4997</v>
      </c>
      <c r="K2409">
        <v>47</v>
      </c>
      <c r="L2409" t="s">
        <v>25</v>
      </c>
      <c r="M2409" t="s">
        <v>38</v>
      </c>
      <c r="N2409" t="s">
        <v>112</v>
      </c>
      <c r="O2409" t="s">
        <v>28</v>
      </c>
      <c r="P2409" t="s">
        <v>31</v>
      </c>
      <c r="Q2409">
        <v>0</v>
      </c>
      <c r="R2409" t="s">
        <v>12883</v>
      </c>
      <c r="S2409" t="s">
        <v>12886</v>
      </c>
    </row>
    <row r="2410" spans="1:19" x14ac:dyDescent="0.25">
      <c r="A2410" t="s">
        <v>6604</v>
      </c>
      <c r="B2410" s="1">
        <v>45850</v>
      </c>
      <c r="C2410" t="s">
        <v>12885</v>
      </c>
      <c r="D2410" s="5">
        <v>9.0162037037037034E-3</v>
      </c>
      <c r="E2410">
        <v>18.62</v>
      </c>
      <c r="F2410" t="s">
        <v>44</v>
      </c>
      <c r="G2410" t="s">
        <v>1262</v>
      </c>
      <c r="H2410" t="s">
        <v>64</v>
      </c>
      <c r="I2410" t="s">
        <v>110</v>
      </c>
      <c r="J2410" t="s">
        <v>6605</v>
      </c>
      <c r="K2410">
        <v>51</v>
      </c>
      <c r="L2410" t="s">
        <v>25</v>
      </c>
      <c r="M2410" t="s">
        <v>26</v>
      </c>
      <c r="N2410" t="s">
        <v>105</v>
      </c>
      <c r="O2410" t="s">
        <v>28</v>
      </c>
      <c r="P2410" t="s">
        <v>31</v>
      </c>
      <c r="Q2410">
        <v>0</v>
      </c>
      <c r="R2410" t="s">
        <v>12883</v>
      </c>
      <c r="S2410" t="s">
        <v>12886</v>
      </c>
    </row>
    <row r="2411" spans="1:19" x14ac:dyDescent="0.25">
      <c r="A2411" t="s">
        <v>5636</v>
      </c>
      <c r="B2411" s="1">
        <v>45932</v>
      </c>
      <c r="C2411" t="s">
        <v>12890</v>
      </c>
      <c r="D2411" s="5">
        <v>0.72828703703703701</v>
      </c>
      <c r="E2411">
        <v>18.57</v>
      </c>
      <c r="F2411" t="s">
        <v>44</v>
      </c>
      <c r="G2411" t="s">
        <v>5637</v>
      </c>
      <c r="H2411" t="s">
        <v>64</v>
      </c>
      <c r="I2411" t="s">
        <v>47</v>
      </c>
      <c r="J2411" t="s">
        <v>5638</v>
      </c>
      <c r="K2411">
        <v>40</v>
      </c>
      <c r="L2411" t="s">
        <v>37</v>
      </c>
      <c r="M2411" t="s">
        <v>97</v>
      </c>
      <c r="N2411" t="s">
        <v>51</v>
      </c>
      <c r="O2411" t="s">
        <v>28</v>
      </c>
      <c r="P2411" t="s">
        <v>31</v>
      </c>
      <c r="Q2411">
        <v>0</v>
      </c>
      <c r="R2411" t="s">
        <v>12883</v>
      </c>
      <c r="S2411" t="s">
        <v>12886</v>
      </c>
    </row>
    <row r="2412" spans="1:19" x14ac:dyDescent="0.25">
      <c r="A2412" t="s">
        <v>10501</v>
      </c>
      <c r="B2412" s="1">
        <v>45837</v>
      </c>
      <c r="C2412" t="s">
        <v>12888</v>
      </c>
      <c r="D2412" s="5">
        <v>0.45893518518518517</v>
      </c>
      <c r="E2412">
        <v>18.5</v>
      </c>
      <c r="F2412" t="s">
        <v>44</v>
      </c>
      <c r="G2412" t="s">
        <v>6010</v>
      </c>
      <c r="H2412" t="s">
        <v>89</v>
      </c>
      <c r="I2412" t="s">
        <v>23</v>
      </c>
      <c r="J2412" t="s">
        <v>10502</v>
      </c>
      <c r="K2412">
        <v>33</v>
      </c>
      <c r="L2412" t="s">
        <v>25</v>
      </c>
      <c r="M2412" t="s">
        <v>35</v>
      </c>
      <c r="N2412" t="s">
        <v>27</v>
      </c>
      <c r="O2412" t="s">
        <v>28</v>
      </c>
      <c r="P2412" t="s">
        <v>31</v>
      </c>
      <c r="Q2412">
        <v>0</v>
      </c>
      <c r="R2412" t="s">
        <v>12883</v>
      </c>
      <c r="S2412" t="s">
        <v>12889</v>
      </c>
    </row>
    <row r="2413" spans="1:19" x14ac:dyDescent="0.25">
      <c r="A2413" t="s">
        <v>10967</v>
      </c>
      <c r="B2413" s="1">
        <v>45947</v>
      </c>
      <c r="C2413" t="s">
        <v>12890</v>
      </c>
      <c r="D2413" s="5">
        <v>0.93451388888888887</v>
      </c>
      <c r="E2413">
        <v>18.420000000000002</v>
      </c>
      <c r="F2413" t="s">
        <v>44</v>
      </c>
      <c r="G2413" t="s">
        <v>3017</v>
      </c>
      <c r="H2413" t="s">
        <v>89</v>
      </c>
      <c r="I2413" t="s">
        <v>91</v>
      </c>
      <c r="J2413" t="s">
        <v>10968</v>
      </c>
      <c r="K2413">
        <v>17</v>
      </c>
      <c r="L2413" t="s">
        <v>49</v>
      </c>
      <c r="M2413" t="s">
        <v>130</v>
      </c>
      <c r="N2413" t="s">
        <v>51</v>
      </c>
      <c r="O2413" t="s">
        <v>28</v>
      </c>
      <c r="P2413" t="s">
        <v>31</v>
      </c>
      <c r="Q2413">
        <v>0</v>
      </c>
      <c r="R2413" t="s">
        <v>12883</v>
      </c>
      <c r="S2413" t="s">
        <v>12892</v>
      </c>
    </row>
    <row r="2414" spans="1:19" x14ac:dyDescent="0.25">
      <c r="A2414" t="s">
        <v>5781</v>
      </c>
      <c r="B2414" s="1">
        <v>45941</v>
      </c>
      <c r="C2414" t="s">
        <v>12890</v>
      </c>
      <c r="D2414" s="5">
        <v>0.58377314814814818</v>
      </c>
      <c r="E2414">
        <v>18.38</v>
      </c>
      <c r="F2414" t="s">
        <v>44</v>
      </c>
      <c r="G2414" t="s">
        <v>5782</v>
      </c>
      <c r="H2414" t="s">
        <v>22</v>
      </c>
      <c r="I2414" t="s">
        <v>38</v>
      </c>
      <c r="J2414" t="s">
        <v>5783</v>
      </c>
      <c r="K2414">
        <v>66</v>
      </c>
      <c r="L2414" t="s">
        <v>25</v>
      </c>
      <c r="M2414" t="s">
        <v>91</v>
      </c>
      <c r="N2414" t="s">
        <v>84</v>
      </c>
      <c r="O2414" t="s">
        <v>28</v>
      </c>
      <c r="P2414" t="s">
        <v>31</v>
      </c>
      <c r="Q2414">
        <v>0</v>
      </c>
      <c r="R2414" t="s">
        <v>12883</v>
      </c>
      <c r="S2414" t="s">
        <v>12884</v>
      </c>
    </row>
    <row r="2415" spans="1:19" x14ac:dyDescent="0.25">
      <c r="A2415" t="s">
        <v>4967</v>
      </c>
      <c r="B2415" s="1">
        <v>45912</v>
      </c>
      <c r="C2415" t="s">
        <v>12882</v>
      </c>
      <c r="D2415" s="5">
        <v>0.97357638888888887</v>
      </c>
      <c r="E2415">
        <v>18.239999999999998</v>
      </c>
      <c r="F2415" t="s">
        <v>44</v>
      </c>
      <c r="G2415" t="s">
        <v>237</v>
      </c>
      <c r="H2415" t="s">
        <v>57</v>
      </c>
      <c r="I2415" t="s">
        <v>38</v>
      </c>
      <c r="J2415" t="s">
        <v>4968</v>
      </c>
      <c r="K2415">
        <v>75</v>
      </c>
      <c r="L2415" t="s">
        <v>37</v>
      </c>
      <c r="M2415" t="s">
        <v>35</v>
      </c>
      <c r="N2415" t="s">
        <v>84</v>
      </c>
      <c r="O2415" t="s">
        <v>28</v>
      </c>
      <c r="P2415" t="s">
        <v>31</v>
      </c>
      <c r="Q2415">
        <v>0</v>
      </c>
      <c r="R2415" t="s">
        <v>12883</v>
      </c>
      <c r="S2415" t="s">
        <v>12884</v>
      </c>
    </row>
    <row r="2416" spans="1:19" x14ac:dyDescent="0.25">
      <c r="A2416" t="s">
        <v>5123</v>
      </c>
      <c r="B2416" s="1">
        <v>45948</v>
      </c>
      <c r="C2416" t="s">
        <v>12890</v>
      </c>
      <c r="D2416" s="5">
        <v>0.41913194444444446</v>
      </c>
      <c r="E2416">
        <v>18.239999999999998</v>
      </c>
      <c r="F2416" t="s">
        <v>44</v>
      </c>
      <c r="G2416" t="s">
        <v>5124</v>
      </c>
      <c r="H2416" t="s">
        <v>89</v>
      </c>
      <c r="I2416" t="s">
        <v>47</v>
      </c>
      <c r="J2416" t="s">
        <v>5125</v>
      </c>
      <c r="K2416">
        <v>68</v>
      </c>
      <c r="L2416" t="s">
        <v>49</v>
      </c>
      <c r="M2416" t="s">
        <v>146</v>
      </c>
      <c r="N2416" t="s">
        <v>84</v>
      </c>
      <c r="O2416" t="s">
        <v>28</v>
      </c>
      <c r="P2416" t="s">
        <v>31</v>
      </c>
      <c r="Q2416">
        <v>0</v>
      </c>
      <c r="R2416" t="s">
        <v>12883</v>
      </c>
      <c r="S2416" t="s">
        <v>12884</v>
      </c>
    </row>
    <row r="2417" spans="1:19" x14ac:dyDescent="0.25">
      <c r="A2417" t="s">
        <v>10214</v>
      </c>
      <c r="B2417" s="1">
        <v>45809</v>
      </c>
      <c r="C2417" t="s">
        <v>12888</v>
      </c>
      <c r="D2417" s="5">
        <v>0.33292824074074073</v>
      </c>
      <c r="E2417">
        <v>18.2</v>
      </c>
      <c r="F2417" t="s">
        <v>44</v>
      </c>
      <c r="G2417" t="s">
        <v>868</v>
      </c>
      <c r="H2417" t="s">
        <v>64</v>
      </c>
      <c r="I2417" t="s">
        <v>146</v>
      </c>
      <c r="J2417" t="s">
        <v>10215</v>
      </c>
      <c r="K2417">
        <v>23</v>
      </c>
      <c r="L2417" t="s">
        <v>37</v>
      </c>
      <c r="M2417" t="s">
        <v>47</v>
      </c>
      <c r="N2417" t="s">
        <v>112</v>
      </c>
      <c r="O2417" t="s">
        <v>28</v>
      </c>
      <c r="P2417" t="s">
        <v>31</v>
      </c>
      <c r="Q2417">
        <v>0</v>
      </c>
      <c r="R2417" t="s">
        <v>12883</v>
      </c>
      <c r="S2417" t="s">
        <v>12892</v>
      </c>
    </row>
    <row r="2418" spans="1:19" x14ac:dyDescent="0.25">
      <c r="A2418" t="s">
        <v>1238</v>
      </c>
      <c r="B2418" s="1">
        <v>45885</v>
      </c>
      <c r="C2418" t="s">
        <v>12893</v>
      </c>
      <c r="D2418" s="5">
        <v>0.34244212962962961</v>
      </c>
      <c r="E2418">
        <v>18.02</v>
      </c>
      <c r="F2418" t="s">
        <v>44</v>
      </c>
      <c r="G2418" t="s">
        <v>777</v>
      </c>
      <c r="H2418" t="s">
        <v>96</v>
      </c>
      <c r="I2418" t="s">
        <v>50</v>
      </c>
      <c r="J2418" t="s">
        <v>1239</v>
      </c>
      <c r="K2418">
        <v>45</v>
      </c>
      <c r="L2418" t="s">
        <v>25</v>
      </c>
      <c r="M2418" t="s">
        <v>110</v>
      </c>
      <c r="N2418" t="s">
        <v>84</v>
      </c>
      <c r="O2418" t="s">
        <v>28</v>
      </c>
      <c r="P2418" t="s">
        <v>31</v>
      </c>
      <c r="Q2418">
        <v>0</v>
      </c>
      <c r="R2418" t="s">
        <v>12883</v>
      </c>
      <c r="S2418" t="s">
        <v>12886</v>
      </c>
    </row>
    <row r="2419" spans="1:19" x14ac:dyDescent="0.25">
      <c r="A2419" t="s">
        <v>10472</v>
      </c>
      <c r="B2419" s="1">
        <v>45892</v>
      </c>
      <c r="C2419" t="s">
        <v>12893</v>
      </c>
      <c r="D2419" s="5">
        <v>0.33799768518518519</v>
      </c>
      <c r="E2419">
        <v>18</v>
      </c>
      <c r="F2419" t="s">
        <v>44</v>
      </c>
      <c r="G2419" t="s">
        <v>1683</v>
      </c>
      <c r="H2419" t="s">
        <v>57</v>
      </c>
      <c r="I2419" t="s">
        <v>119</v>
      </c>
      <c r="J2419" t="s">
        <v>10473</v>
      </c>
      <c r="K2419">
        <v>71</v>
      </c>
      <c r="L2419" t="s">
        <v>49</v>
      </c>
      <c r="M2419" t="s">
        <v>119</v>
      </c>
      <c r="N2419" t="s">
        <v>27</v>
      </c>
      <c r="O2419" t="s">
        <v>113</v>
      </c>
      <c r="P2419" t="s">
        <v>31</v>
      </c>
      <c r="Q2419">
        <v>0</v>
      </c>
      <c r="R2419" t="s">
        <v>12883</v>
      </c>
      <c r="S2419" t="s">
        <v>12884</v>
      </c>
    </row>
    <row r="2420" spans="1:19" x14ac:dyDescent="0.25">
      <c r="A2420" t="s">
        <v>6269</v>
      </c>
      <c r="B2420" s="1">
        <v>45836</v>
      </c>
      <c r="C2420" t="s">
        <v>12888</v>
      </c>
      <c r="D2420" s="5">
        <v>0.49570601851851853</v>
      </c>
      <c r="E2420">
        <v>17.95</v>
      </c>
      <c r="F2420" t="s">
        <v>44</v>
      </c>
      <c r="G2420" t="s">
        <v>6270</v>
      </c>
      <c r="H2420" t="s">
        <v>77</v>
      </c>
      <c r="I2420" t="s">
        <v>38</v>
      </c>
      <c r="J2420" t="s">
        <v>6271</v>
      </c>
      <c r="K2420">
        <v>54</v>
      </c>
      <c r="L2420" t="s">
        <v>49</v>
      </c>
      <c r="M2420" t="s">
        <v>97</v>
      </c>
      <c r="N2420" t="s">
        <v>51</v>
      </c>
      <c r="O2420" t="s">
        <v>28</v>
      </c>
      <c r="P2420" t="s">
        <v>31</v>
      </c>
      <c r="Q2420">
        <v>0</v>
      </c>
      <c r="R2420" t="s">
        <v>12883</v>
      </c>
      <c r="S2420" t="s">
        <v>12886</v>
      </c>
    </row>
    <row r="2421" spans="1:19" x14ac:dyDescent="0.25">
      <c r="A2421" t="s">
        <v>11611</v>
      </c>
      <c r="B2421" s="1">
        <v>45870</v>
      </c>
      <c r="C2421" t="s">
        <v>12893</v>
      </c>
      <c r="D2421" s="5">
        <v>0.75017361111111114</v>
      </c>
      <c r="E2421">
        <v>17.84</v>
      </c>
      <c r="F2421" t="s">
        <v>44</v>
      </c>
      <c r="G2421" t="s">
        <v>2404</v>
      </c>
      <c r="H2421" t="s">
        <v>34</v>
      </c>
      <c r="I2421" t="s">
        <v>146</v>
      </c>
      <c r="J2421" t="s">
        <v>11612</v>
      </c>
      <c r="K2421">
        <v>26</v>
      </c>
      <c r="L2421" t="s">
        <v>37</v>
      </c>
      <c r="M2421" t="s">
        <v>26</v>
      </c>
      <c r="N2421" t="s">
        <v>51</v>
      </c>
      <c r="O2421" t="s">
        <v>28</v>
      </c>
      <c r="P2421" t="s">
        <v>31</v>
      </c>
      <c r="Q2421">
        <v>0</v>
      </c>
      <c r="R2421" t="s">
        <v>12883</v>
      </c>
      <c r="S2421" t="s">
        <v>12889</v>
      </c>
    </row>
    <row r="2422" spans="1:19" x14ac:dyDescent="0.25">
      <c r="A2422" t="s">
        <v>11900</v>
      </c>
      <c r="B2422" s="1">
        <v>45923</v>
      </c>
      <c r="C2422" t="s">
        <v>12882</v>
      </c>
      <c r="D2422" s="5">
        <v>0.26337962962962963</v>
      </c>
      <c r="E2422">
        <v>17.829999999999998</v>
      </c>
      <c r="F2422" t="s">
        <v>44</v>
      </c>
      <c r="G2422" t="s">
        <v>2645</v>
      </c>
      <c r="H2422" t="s">
        <v>64</v>
      </c>
      <c r="I2422" t="s">
        <v>66</v>
      </c>
      <c r="J2422" t="s">
        <v>11901</v>
      </c>
      <c r="K2422">
        <v>65</v>
      </c>
      <c r="L2422" t="s">
        <v>25</v>
      </c>
      <c r="M2422" t="s">
        <v>35</v>
      </c>
      <c r="N2422" t="s">
        <v>39</v>
      </c>
      <c r="O2422" t="s">
        <v>28</v>
      </c>
      <c r="P2422" t="s">
        <v>31</v>
      </c>
      <c r="Q2422">
        <v>0</v>
      </c>
      <c r="R2422" t="s">
        <v>12883</v>
      </c>
      <c r="S2422" t="s">
        <v>12884</v>
      </c>
    </row>
    <row r="2423" spans="1:19" x14ac:dyDescent="0.25">
      <c r="A2423" t="s">
        <v>12765</v>
      </c>
      <c r="B2423" s="1">
        <v>45809</v>
      </c>
      <c r="C2423" t="s">
        <v>12888</v>
      </c>
      <c r="D2423" s="5">
        <v>0.28631944444444446</v>
      </c>
      <c r="E2423">
        <v>17.71</v>
      </c>
      <c r="F2423" t="s">
        <v>44</v>
      </c>
      <c r="G2423" t="s">
        <v>1441</v>
      </c>
      <c r="H2423" t="s">
        <v>77</v>
      </c>
      <c r="I2423" t="s">
        <v>50</v>
      </c>
      <c r="J2423" t="s">
        <v>12766</v>
      </c>
      <c r="K2423">
        <v>37</v>
      </c>
      <c r="L2423" t="s">
        <v>49</v>
      </c>
      <c r="M2423" t="s">
        <v>110</v>
      </c>
      <c r="N2423" t="s">
        <v>112</v>
      </c>
      <c r="O2423" t="s">
        <v>28</v>
      </c>
      <c r="P2423" t="s">
        <v>31</v>
      </c>
      <c r="Q2423">
        <v>0</v>
      </c>
      <c r="R2423" t="s">
        <v>12883</v>
      </c>
      <c r="S2423" t="s">
        <v>12889</v>
      </c>
    </row>
    <row r="2424" spans="1:19" x14ac:dyDescent="0.25">
      <c r="A2424" t="s">
        <v>8529</v>
      </c>
      <c r="B2424" s="1">
        <v>45822</v>
      </c>
      <c r="C2424" t="s">
        <v>12888</v>
      </c>
      <c r="D2424" s="5">
        <v>0.71894675925925922</v>
      </c>
      <c r="E2424">
        <v>17.64</v>
      </c>
      <c r="F2424" t="s">
        <v>44</v>
      </c>
      <c r="G2424" t="s">
        <v>2462</v>
      </c>
      <c r="H2424" t="s">
        <v>89</v>
      </c>
      <c r="I2424" t="s">
        <v>130</v>
      </c>
      <c r="J2424" t="s">
        <v>8530</v>
      </c>
      <c r="K2424">
        <v>46</v>
      </c>
      <c r="L2424" t="s">
        <v>37</v>
      </c>
      <c r="M2424" t="s">
        <v>38</v>
      </c>
      <c r="N2424" t="s">
        <v>112</v>
      </c>
      <c r="O2424" t="s">
        <v>28</v>
      </c>
      <c r="P2424" t="s">
        <v>31</v>
      </c>
      <c r="Q2424">
        <v>0</v>
      </c>
      <c r="R2424" t="s">
        <v>12883</v>
      </c>
      <c r="S2424" t="s">
        <v>12886</v>
      </c>
    </row>
    <row r="2425" spans="1:19" x14ac:dyDescent="0.25">
      <c r="A2425" t="s">
        <v>2382</v>
      </c>
      <c r="B2425" s="1">
        <v>45896</v>
      </c>
      <c r="C2425" t="s">
        <v>12893</v>
      </c>
      <c r="D2425" s="5">
        <v>7.3715277777777782E-2</v>
      </c>
      <c r="E2425">
        <v>17.5</v>
      </c>
      <c r="F2425" t="s">
        <v>44</v>
      </c>
      <c r="G2425" t="s">
        <v>1277</v>
      </c>
      <c r="H2425" t="s">
        <v>124</v>
      </c>
      <c r="I2425" t="s">
        <v>119</v>
      </c>
      <c r="J2425" t="s">
        <v>2383</v>
      </c>
      <c r="K2425">
        <v>75</v>
      </c>
      <c r="L2425" t="s">
        <v>37</v>
      </c>
      <c r="M2425" t="s">
        <v>50</v>
      </c>
      <c r="N2425" t="s">
        <v>51</v>
      </c>
      <c r="O2425" t="s">
        <v>28</v>
      </c>
      <c r="P2425" t="s">
        <v>31</v>
      </c>
      <c r="Q2425">
        <v>0</v>
      </c>
      <c r="R2425" t="s">
        <v>12883</v>
      </c>
      <c r="S2425" t="s">
        <v>12884</v>
      </c>
    </row>
    <row r="2426" spans="1:19" x14ac:dyDescent="0.25">
      <c r="A2426" t="s">
        <v>10884</v>
      </c>
      <c r="B2426" s="1">
        <v>45826</v>
      </c>
      <c r="C2426" t="s">
        <v>12888</v>
      </c>
      <c r="D2426" s="5">
        <v>0.13631944444444444</v>
      </c>
      <c r="E2426">
        <v>17.45</v>
      </c>
      <c r="F2426" t="s">
        <v>44</v>
      </c>
      <c r="G2426" t="s">
        <v>3526</v>
      </c>
      <c r="H2426" t="s">
        <v>124</v>
      </c>
      <c r="I2426" t="s">
        <v>97</v>
      </c>
      <c r="J2426" t="s">
        <v>3362</v>
      </c>
      <c r="K2426">
        <v>31</v>
      </c>
      <c r="L2426" t="s">
        <v>25</v>
      </c>
      <c r="M2426" t="s">
        <v>130</v>
      </c>
      <c r="N2426" t="s">
        <v>27</v>
      </c>
      <c r="O2426" t="s">
        <v>28</v>
      </c>
      <c r="P2426" t="s">
        <v>31</v>
      </c>
      <c r="Q2426">
        <v>0</v>
      </c>
      <c r="R2426" t="s">
        <v>12883</v>
      </c>
      <c r="S2426" t="s">
        <v>12889</v>
      </c>
    </row>
    <row r="2427" spans="1:19" x14ac:dyDescent="0.25">
      <c r="A2427" t="s">
        <v>11072</v>
      </c>
      <c r="B2427" s="1">
        <v>45813</v>
      </c>
      <c r="C2427" t="s">
        <v>12888</v>
      </c>
      <c r="D2427" s="5">
        <v>0.76119212962962968</v>
      </c>
      <c r="E2427">
        <v>17.399999999999999</v>
      </c>
      <c r="F2427" t="s">
        <v>44</v>
      </c>
      <c r="G2427" t="s">
        <v>6455</v>
      </c>
      <c r="H2427" t="s">
        <v>96</v>
      </c>
      <c r="I2427" t="s">
        <v>110</v>
      </c>
      <c r="J2427" t="s">
        <v>11073</v>
      </c>
      <c r="K2427">
        <v>67</v>
      </c>
      <c r="L2427" t="s">
        <v>49</v>
      </c>
      <c r="M2427" t="s">
        <v>146</v>
      </c>
      <c r="N2427" t="s">
        <v>27</v>
      </c>
      <c r="O2427" t="s">
        <v>28</v>
      </c>
      <c r="P2427" t="s">
        <v>31</v>
      </c>
      <c r="Q2427">
        <v>0</v>
      </c>
      <c r="R2427" t="s">
        <v>12883</v>
      </c>
      <c r="S2427" t="s">
        <v>12884</v>
      </c>
    </row>
    <row r="2428" spans="1:19" x14ac:dyDescent="0.25">
      <c r="A2428" t="s">
        <v>6327</v>
      </c>
      <c r="B2428" s="1">
        <v>45910</v>
      </c>
      <c r="C2428" t="s">
        <v>12882</v>
      </c>
      <c r="D2428" s="5">
        <v>0.95865740740740746</v>
      </c>
      <c r="E2428">
        <v>17.34</v>
      </c>
      <c r="F2428" t="s">
        <v>44</v>
      </c>
      <c r="G2428" t="s">
        <v>6328</v>
      </c>
      <c r="H2428" t="s">
        <v>46</v>
      </c>
      <c r="I2428" t="s">
        <v>66</v>
      </c>
      <c r="J2428" t="s">
        <v>6329</v>
      </c>
      <c r="K2428">
        <v>58</v>
      </c>
      <c r="L2428" t="s">
        <v>25</v>
      </c>
      <c r="M2428" t="s">
        <v>38</v>
      </c>
      <c r="N2428" t="s">
        <v>112</v>
      </c>
      <c r="O2428" t="s">
        <v>28</v>
      </c>
      <c r="P2428" t="s">
        <v>31</v>
      </c>
      <c r="Q2428">
        <v>0</v>
      </c>
      <c r="R2428" t="s">
        <v>12883</v>
      </c>
      <c r="S2428" t="s">
        <v>12886</v>
      </c>
    </row>
    <row r="2429" spans="1:19" x14ac:dyDescent="0.25">
      <c r="A2429" t="s">
        <v>10611</v>
      </c>
      <c r="B2429" s="1">
        <v>45861</v>
      </c>
      <c r="C2429" t="s">
        <v>12885</v>
      </c>
      <c r="D2429" s="5">
        <v>0.34233796296296298</v>
      </c>
      <c r="E2429">
        <v>17.3</v>
      </c>
      <c r="F2429" t="s">
        <v>44</v>
      </c>
      <c r="G2429" t="s">
        <v>5115</v>
      </c>
      <c r="H2429" t="s">
        <v>64</v>
      </c>
      <c r="I2429" t="s">
        <v>38</v>
      </c>
      <c r="J2429" t="s">
        <v>10612</v>
      </c>
      <c r="K2429">
        <v>51</v>
      </c>
      <c r="L2429" t="s">
        <v>49</v>
      </c>
      <c r="M2429" t="s">
        <v>38</v>
      </c>
      <c r="N2429" t="s">
        <v>39</v>
      </c>
      <c r="O2429" t="s">
        <v>113</v>
      </c>
      <c r="P2429" t="s">
        <v>31</v>
      </c>
      <c r="Q2429">
        <v>0</v>
      </c>
      <c r="R2429" t="s">
        <v>12883</v>
      </c>
      <c r="S2429" t="s">
        <v>12886</v>
      </c>
    </row>
    <row r="2430" spans="1:19" x14ac:dyDescent="0.25">
      <c r="A2430" t="s">
        <v>3096</v>
      </c>
      <c r="B2430" s="1">
        <v>45898</v>
      </c>
      <c r="C2430" t="s">
        <v>12893</v>
      </c>
      <c r="D2430" s="5">
        <v>0.28181712962962963</v>
      </c>
      <c r="E2430">
        <v>17.260000000000002</v>
      </c>
      <c r="F2430" t="s">
        <v>44</v>
      </c>
      <c r="G2430" t="s">
        <v>3097</v>
      </c>
      <c r="H2430" t="s">
        <v>89</v>
      </c>
      <c r="I2430" t="s">
        <v>91</v>
      </c>
      <c r="J2430" t="s">
        <v>3098</v>
      </c>
      <c r="K2430">
        <v>53</v>
      </c>
      <c r="L2430" t="s">
        <v>37</v>
      </c>
      <c r="M2430" t="s">
        <v>119</v>
      </c>
      <c r="N2430" t="s">
        <v>39</v>
      </c>
      <c r="O2430" t="s">
        <v>28</v>
      </c>
      <c r="P2430" t="s">
        <v>31</v>
      </c>
      <c r="Q2430">
        <v>0</v>
      </c>
      <c r="R2430" t="s">
        <v>12883</v>
      </c>
      <c r="S2430" t="s">
        <v>12886</v>
      </c>
    </row>
    <row r="2431" spans="1:19" x14ac:dyDescent="0.25">
      <c r="A2431" t="s">
        <v>6987</v>
      </c>
      <c r="B2431" s="1">
        <v>45907</v>
      </c>
      <c r="C2431" t="s">
        <v>12882</v>
      </c>
      <c r="D2431" s="5">
        <v>3.9953703703703707E-2</v>
      </c>
      <c r="E2431">
        <v>17.22</v>
      </c>
      <c r="F2431" t="s">
        <v>44</v>
      </c>
      <c r="G2431" t="s">
        <v>3708</v>
      </c>
      <c r="H2431" t="s">
        <v>77</v>
      </c>
      <c r="I2431" t="s">
        <v>38</v>
      </c>
      <c r="J2431" t="s">
        <v>6988</v>
      </c>
      <c r="K2431">
        <v>38</v>
      </c>
      <c r="L2431" t="s">
        <v>37</v>
      </c>
      <c r="M2431" t="s">
        <v>38</v>
      </c>
      <c r="N2431" t="s">
        <v>51</v>
      </c>
      <c r="O2431" t="s">
        <v>113</v>
      </c>
      <c r="P2431" t="s">
        <v>31</v>
      </c>
      <c r="Q2431">
        <v>0</v>
      </c>
      <c r="R2431" t="s">
        <v>12883</v>
      </c>
      <c r="S2431" t="s">
        <v>12889</v>
      </c>
    </row>
    <row r="2432" spans="1:19" x14ac:dyDescent="0.25">
      <c r="A2432" t="s">
        <v>3608</v>
      </c>
      <c r="B2432" s="1">
        <v>45857</v>
      </c>
      <c r="C2432" t="s">
        <v>12885</v>
      </c>
      <c r="D2432" s="5">
        <v>0.81990740740740742</v>
      </c>
      <c r="E2432">
        <v>17.21</v>
      </c>
      <c r="F2432" t="s">
        <v>44</v>
      </c>
      <c r="G2432" t="s">
        <v>3206</v>
      </c>
      <c r="H2432" t="s">
        <v>96</v>
      </c>
      <c r="I2432" t="s">
        <v>50</v>
      </c>
      <c r="J2432" t="s">
        <v>3609</v>
      </c>
      <c r="K2432">
        <v>22</v>
      </c>
      <c r="L2432" t="s">
        <v>25</v>
      </c>
      <c r="M2432" t="s">
        <v>248</v>
      </c>
      <c r="N2432" t="s">
        <v>27</v>
      </c>
      <c r="O2432" t="s">
        <v>28</v>
      </c>
      <c r="P2432" t="s">
        <v>31</v>
      </c>
      <c r="Q2432">
        <v>0</v>
      </c>
      <c r="R2432" t="s">
        <v>12883</v>
      </c>
      <c r="S2432" t="s">
        <v>12892</v>
      </c>
    </row>
    <row r="2433" spans="1:19" x14ac:dyDescent="0.25">
      <c r="A2433" t="s">
        <v>3478</v>
      </c>
      <c r="B2433" s="1">
        <v>45867</v>
      </c>
      <c r="C2433" t="s">
        <v>12885</v>
      </c>
      <c r="D2433" s="5">
        <v>0.24026620370370369</v>
      </c>
      <c r="E2433">
        <v>16.98</v>
      </c>
      <c r="F2433" t="s">
        <v>44</v>
      </c>
      <c r="G2433" t="s">
        <v>1436</v>
      </c>
      <c r="H2433" t="s">
        <v>89</v>
      </c>
      <c r="I2433" t="s">
        <v>110</v>
      </c>
      <c r="J2433" t="s">
        <v>3479</v>
      </c>
      <c r="K2433">
        <v>40</v>
      </c>
      <c r="L2433" t="s">
        <v>49</v>
      </c>
      <c r="M2433" t="s">
        <v>146</v>
      </c>
      <c r="N2433" t="s">
        <v>51</v>
      </c>
      <c r="O2433" t="s">
        <v>28</v>
      </c>
      <c r="P2433" t="s">
        <v>31</v>
      </c>
      <c r="Q2433">
        <v>0</v>
      </c>
      <c r="R2433" t="s">
        <v>12883</v>
      </c>
      <c r="S2433" t="s">
        <v>12886</v>
      </c>
    </row>
    <row r="2434" spans="1:19" x14ac:dyDescent="0.25">
      <c r="A2434" t="s">
        <v>4709</v>
      </c>
      <c r="B2434" s="1">
        <v>45921</v>
      </c>
      <c r="C2434" t="s">
        <v>12882</v>
      </c>
      <c r="D2434" s="5">
        <v>0.7723726851851852</v>
      </c>
      <c r="E2434">
        <v>16.98</v>
      </c>
      <c r="F2434" t="s">
        <v>44</v>
      </c>
      <c r="G2434" t="s">
        <v>4710</v>
      </c>
      <c r="H2434" t="s">
        <v>96</v>
      </c>
      <c r="I2434" t="s">
        <v>130</v>
      </c>
      <c r="J2434" t="s">
        <v>4711</v>
      </c>
      <c r="K2434">
        <v>40</v>
      </c>
      <c r="L2434" t="s">
        <v>49</v>
      </c>
      <c r="M2434" t="s">
        <v>66</v>
      </c>
      <c r="N2434" t="s">
        <v>39</v>
      </c>
      <c r="O2434" t="s">
        <v>28</v>
      </c>
      <c r="P2434" t="s">
        <v>31</v>
      </c>
      <c r="Q2434">
        <v>0</v>
      </c>
      <c r="R2434" t="s">
        <v>12883</v>
      </c>
      <c r="S2434" t="s">
        <v>12886</v>
      </c>
    </row>
    <row r="2435" spans="1:19" x14ac:dyDescent="0.25">
      <c r="A2435" t="s">
        <v>11339</v>
      </c>
      <c r="B2435" s="1">
        <v>45815</v>
      </c>
      <c r="C2435" t="s">
        <v>12888</v>
      </c>
      <c r="D2435" s="5">
        <v>0.4929398148148148</v>
      </c>
      <c r="E2435">
        <v>16.91</v>
      </c>
      <c r="F2435" t="s">
        <v>44</v>
      </c>
      <c r="G2435" t="s">
        <v>4561</v>
      </c>
      <c r="H2435" t="s">
        <v>124</v>
      </c>
      <c r="I2435" t="s">
        <v>26</v>
      </c>
      <c r="J2435" t="s">
        <v>11340</v>
      </c>
      <c r="K2435">
        <v>56</v>
      </c>
      <c r="L2435" t="s">
        <v>37</v>
      </c>
      <c r="M2435" t="s">
        <v>130</v>
      </c>
      <c r="N2435" t="s">
        <v>105</v>
      </c>
      <c r="O2435" t="s">
        <v>28</v>
      </c>
      <c r="P2435" t="s">
        <v>31</v>
      </c>
      <c r="Q2435">
        <v>0</v>
      </c>
      <c r="R2435" t="s">
        <v>12883</v>
      </c>
      <c r="S2435" t="s">
        <v>12886</v>
      </c>
    </row>
    <row r="2436" spans="1:19" x14ac:dyDescent="0.25">
      <c r="A2436" t="s">
        <v>9601</v>
      </c>
      <c r="B2436" s="1">
        <v>45899</v>
      </c>
      <c r="C2436" t="s">
        <v>12893</v>
      </c>
      <c r="D2436" s="5">
        <v>0.8394907407407407</v>
      </c>
      <c r="E2436">
        <v>16.87</v>
      </c>
      <c r="F2436" t="s">
        <v>44</v>
      </c>
      <c r="G2436" t="s">
        <v>7403</v>
      </c>
      <c r="H2436" t="s">
        <v>57</v>
      </c>
      <c r="I2436" t="s">
        <v>38</v>
      </c>
      <c r="J2436" t="s">
        <v>9602</v>
      </c>
      <c r="K2436">
        <v>58</v>
      </c>
      <c r="L2436" t="s">
        <v>25</v>
      </c>
      <c r="M2436" t="s">
        <v>23</v>
      </c>
      <c r="N2436" t="s">
        <v>105</v>
      </c>
      <c r="O2436" t="s">
        <v>28</v>
      </c>
      <c r="P2436" t="s">
        <v>31</v>
      </c>
      <c r="Q2436">
        <v>0</v>
      </c>
      <c r="R2436" t="s">
        <v>12883</v>
      </c>
      <c r="S2436" t="s">
        <v>12886</v>
      </c>
    </row>
    <row r="2437" spans="1:19" x14ac:dyDescent="0.25">
      <c r="A2437" t="s">
        <v>4495</v>
      </c>
      <c r="B2437" s="1">
        <v>45821</v>
      </c>
      <c r="C2437" t="s">
        <v>12888</v>
      </c>
      <c r="D2437" s="5">
        <v>0.34278935185185183</v>
      </c>
      <c r="E2437">
        <v>16.86</v>
      </c>
      <c r="F2437" t="s">
        <v>44</v>
      </c>
      <c r="G2437" t="s">
        <v>863</v>
      </c>
      <c r="H2437" t="s">
        <v>124</v>
      </c>
      <c r="I2437" t="s">
        <v>97</v>
      </c>
      <c r="J2437" t="s">
        <v>4496</v>
      </c>
      <c r="K2437">
        <v>34</v>
      </c>
      <c r="L2437" t="s">
        <v>49</v>
      </c>
      <c r="M2437" t="s">
        <v>97</v>
      </c>
      <c r="N2437" t="s">
        <v>39</v>
      </c>
      <c r="O2437" t="s">
        <v>113</v>
      </c>
      <c r="P2437" t="s">
        <v>31</v>
      </c>
      <c r="Q2437">
        <v>0</v>
      </c>
      <c r="R2437" t="s">
        <v>12883</v>
      </c>
      <c r="S2437" t="s">
        <v>12889</v>
      </c>
    </row>
    <row r="2438" spans="1:19" x14ac:dyDescent="0.25">
      <c r="A2438" t="s">
        <v>6595</v>
      </c>
      <c r="B2438" s="1">
        <v>45959</v>
      </c>
      <c r="C2438" t="s">
        <v>12890</v>
      </c>
      <c r="D2438" s="5">
        <v>0.47420138888888891</v>
      </c>
      <c r="E2438">
        <v>16.72</v>
      </c>
      <c r="F2438" t="s">
        <v>44</v>
      </c>
      <c r="G2438" t="s">
        <v>6596</v>
      </c>
      <c r="H2438" t="s">
        <v>34</v>
      </c>
      <c r="I2438" t="s">
        <v>146</v>
      </c>
      <c r="J2438" t="s">
        <v>6597</v>
      </c>
      <c r="K2438">
        <v>74</v>
      </c>
      <c r="L2438" t="s">
        <v>49</v>
      </c>
      <c r="M2438" t="s">
        <v>146</v>
      </c>
      <c r="N2438" t="s">
        <v>27</v>
      </c>
      <c r="O2438" t="s">
        <v>113</v>
      </c>
      <c r="P2438" t="s">
        <v>31</v>
      </c>
      <c r="Q2438">
        <v>0</v>
      </c>
      <c r="R2438" t="s">
        <v>12883</v>
      </c>
      <c r="S2438" t="s">
        <v>12884</v>
      </c>
    </row>
    <row r="2439" spans="1:19" x14ac:dyDescent="0.25">
      <c r="A2439" t="s">
        <v>7858</v>
      </c>
      <c r="B2439" s="1">
        <v>45782</v>
      </c>
      <c r="C2439" t="s">
        <v>12887</v>
      </c>
      <c r="D2439" s="5">
        <v>0.91106481481481483</v>
      </c>
      <c r="E2439">
        <v>16.72</v>
      </c>
      <c r="F2439" t="s">
        <v>44</v>
      </c>
      <c r="G2439" t="s">
        <v>4486</v>
      </c>
      <c r="H2439" t="s">
        <v>34</v>
      </c>
      <c r="I2439" t="s">
        <v>248</v>
      </c>
      <c r="J2439" t="s">
        <v>7859</v>
      </c>
      <c r="K2439">
        <v>59</v>
      </c>
      <c r="L2439" t="s">
        <v>25</v>
      </c>
      <c r="M2439" t="s">
        <v>130</v>
      </c>
      <c r="N2439" t="s">
        <v>39</v>
      </c>
      <c r="O2439" t="s">
        <v>28</v>
      </c>
      <c r="P2439" t="s">
        <v>31</v>
      </c>
      <c r="Q2439">
        <v>0</v>
      </c>
      <c r="R2439" t="s">
        <v>12883</v>
      </c>
      <c r="S2439" t="s">
        <v>12886</v>
      </c>
    </row>
    <row r="2440" spans="1:19" x14ac:dyDescent="0.25">
      <c r="A2440" t="s">
        <v>12173</v>
      </c>
      <c r="B2440" s="1">
        <v>45860</v>
      </c>
      <c r="C2440" t="s">
        <v>12885</v>
      </c>
      <c r="D2440" s="5">
        <v>0.31018518518518517</v>
      </c>
      <c r="E2440">
        <v>16.68</v>
      </c>
      <c r="F2440" t="s">
        <v>44</v>
      </c>
      <c r="G2440" t="s">
        <v>7528</v>
      </c>
      <c r="H2440" t="s">
        <v>22</v>
      </c>
      <c r="I2440" t="s">
        <v>130</v>
      </c>
      <c r="J2440" t="s">
        <v>12174</v>
      </c>
      <c r="K2440">
        <v>74</v>
      </c>
      <c r="L2440" t="s">
        <v>25</v>
      </c>
      <c r="M2440" t="s">
        <v>26</v>
      </c>
      <c r="N2440" t="s">
        <v>51</v>
      </c>
      <c r="O2440" t="s">
        <v>28</v>
      </c>
      <c r="P2440" t="s">
        <v>31</v>
      </c>
      <c r="Q2440">
        <v>0</v>
      </c>
      <c r="R2440" t="s">
        <v>12883</v>
      </c>
      <c r="S2440" t="s">
        <v>12884</v>
      </c>
    </row>
    <row r="2441" spans="1:19" x14ac:dyDescent="0.25">
      <c r="A2441" t="s">
        <v>4180</v>
      </c>
      <c r="B2441" s="1">
        <v>45920</v>
      </c>
      <c r="C2441" t="s">
        <v>12882</v>
      </c>
      <c r="D2441" s="5">
        <v>0.27748842592592593</v>
      </c>
      <c r="E2441">
        <v>16.63</v>
      </c>
      <c r="F2441" t="s">
        <v>44</v>
      </c>
      <c r="G2441" t="s">
        <v>1465</v>
      </c>
      <c r="H2441" t="s">
        <v>96</v>
      </c>
      <c r="I2441" t="s">
        <v>248</v>
      </c>
      <c r="J2441" t="s">
        <v>4181</v>
      </c>
      <c r="K2441">
        <v>110</v>
      </c>
      <c r="L2441" t="s">
        <v>49</v>
      </c>
      <c r="M2441" t="s">
        <v>146</v>
      </c>
      <c r="N2441" t="s">
        <v>112</v>
      </c>
      <c r="O2441" t="s">
        <v>28</v>
      </c>
      <c r="P2441" t="s">
        <v>31</v>
      </c>
      <c r="Q2441">
        <v>0</v>
      </c>
      <c r="R2441" t="s">
        <v>12883</v>
      </c>
      <c r="S2441" t="s">
        <v>12884</v>
      </c>
    </row>
    <row r="2442" spans="1:19" x14ac:dyDescent="0.25">
      <c r="A2442" t="s">
        <v>3348</v>
      </c>
      <c r="B2442" s="1">
        <v>45925</v>
      </c>
      <c r="C2442" t="s">
        <v>12882</v>
      </c>
      <c r="D2442" s="5">
        <v>0.49680555555555556</v>
      </c>
      <c r="E2442">
        <v>16.61</v>
      </c>
      <c r="F2442" t="s">
        <v>44</v>
      </c>
      <c r="G2442" t="s">
        <v>2726</v>
      </c>
      <c r="H2442" t="s">
        <v>89</v>
      </c>
      <c r="I2442" t="s">
        <v>130</v>
      </c>
      <c r="J2442" t="s">
        <v>3349</v>
      </c>
      <c r="K2442">
        <v>29</v>
      </c>
      <c r="L2442" t="s">
        <v>37</v>
      </c>
      <c r="M2442" t="s">
        <v>38</v>
      </c>
      <c r="N2442" t="s">
        <v>39</v>
      </c>
      <c r="O2442" t="s">
        <v>28</v>
      </c>
      <c r="P2442" t="s">
        <v>31</v>
      </c>
      <c r="Q2442">
        <v>0</v>
      </c>
      <c r="R2442" t="s">
        <v>12883</v>
      </c>
      <c r="S2442" t="s">
        <v>12889</v>
      </c>
    </row>
    <row r="2443" spans="1:19" x14ac:dyDescent="0.25">
      <c r="A2443" t="s">
        <v>5388</v>
      </c>
      <c r="B2443" s="1">
        <v>45856</v>
      </c>
      <c r="C2443" t="s">
        <v>12885</v>
      </c>
      <c r="D2443" s="5">
        <v>0.25725694444444447</v>
      </c>
      <c r="E2443">
        <v>16.489999999999998</v>
      </c>
      <c r="F2443" t="s">
        <v>44</v>
      </c>
      <c r="G2443" t="s">
        <v>232</v>
      </c>
      <c r="H2443" t="s">
        <v>64</v>
      </c>
      <c r="I2443" t="s">
        <v>38</v>
      </c>
      <c r="J2443" t="s">
        <v>5389</v>
      </c>
      <c r="K2443">
        <v>42</v>
      </c>
      <c r="L2443" t="s">
        <v>49</v>
      </c>
      <c r="M2443" t="s">
        <v>58</v>
      </c>
      <c r="N2443" t="s">
        <v>27</v>
      </c>
      <c r="O2443" t="s">
        <v>28</v>
      </c>
      <c r="P2443" t="s">
        <v>31</v>
      </c>
      <c r="Q2443">
        <v>0</v>
      </c>
      <c r="R2443" t="s">
        <v>12883</v>
      </c>
      <c r="S2443" t="s">
        <v>12886</v>
      </c>
    </row>
    <row r="2444" spans="1:19" x14ac:dyDescent="0.25">
      <c r="A2444" t="s">
        <v>12809</v>
      </c>
      <c r="B2444" s="1">
        <v>45950</v>
      </c>
      <c r="C2444" t="s">
        <v>12890</v>
      </c>
      <c r="D2444" s="5">
        <v>0.70795138888888887</v>
      </c>
      <c r="E2444">
        <v>16.48</v>
      </c>
      <c r="F2444" t="s">
        <v>44</v>
      </c>
      <c r="G2444" t="s">
        <v>2264</v>
      </c>
      <c r="H2444" t="s">
        <v>22</v>
      </c>
      <c r="I2444" t="s">
        <v>35</v>
      </c>
      <c r="J2444" t="s">
        <v>12810</v>
      </c>
      <c r="K2444">
        <v>23</v>
      </c>
      <c r="L2444" t="s">
        <v>25</v>
      </c>
      <c r="M2444" t="s">
        <v>50</v>
      </c>
      <c r="N2444" t="s">
        <v>39</v>
      </c>
      <c r="O2444" t="s">
        <v>28</v>
      </c>
      <c r="P2444" t="s">
        <v>31</v>
      </c>
      <c r="Q2444">
        <v>0</v>
      </c>
      <c r="R2444" t="s">
        <v>12883</v>
      </c>
      <c r="S2444" t="s">
        <v>12892</v>
      </c>
    </row>
    <row r="2445" spans="1:19" x14ac:dyDescent="0.25">
      <c r="A2445" t="s">
        <v>11170</v>
      </c>
      <c r="B2445" s="1">
        <v>45848</v>
      </c>
      <c r="C2445" t="s">
        <v>12885</v>
      </c>
      <c r="D2445" s="5">
        <v>0.71517361111111111</v>
      </c>
      <c r="E2445">
        <v>16.41</v>
      </c>
      <c r="F2445" t="s">
        <v>44</v>
      </c>
      <c r="G2445" t="s">
        <v>1973</v>
      </c>
      <c r="H2445" t="s">
        <v>71</v>
      </c>
      <c r="I2445" t="s">
        <v>26</v>
      </c>
      <c r="J2445" t="s">
        <v>11171</v>
      </c>
      <c r="K2445">
        <v>52</v>
      </c>
      <c r="L2445" t="s">
        <v>25</v>
      </c>
      <c r="M2445" t="s">
        <v>47</v>
      </c>
      <c r="N2445" t="s">
        <v>105</v>
      </c>
      <c r="O2445" t="s">
        <v>28</v>
      </c>
      <c r="P2445" t="s">
        <v>31</v>
      </c>
      <c r="Q2445">
        <v>0</v>
      </c>
      <c r="R2445" t="s">
        <v>12883</v>
      </c>
      <c r="S2445" t="s">
        <v>12886</v>
      </c>
    </row>
    <row r="2446" spans="1:19" x14ac:dyDescent="0.25">
      <c r="A2446" t="s">
        <v>10007</v>
      </c>
      <c r="B2446" s="1">
        <v>45812</v>
      </c>
      <c r="C2446" t="s">
        <v>12888</v>
      </c>
      <c r="D2446" s="5">
        <v>0.74836805555555552</v>
      </c>
      <c r="E2446">
        <v>16.329999999999998</v>
      </c>
      <c r="F2446" t="s">
        <v>44</v>
      </c>
      <c r="G2446" t="s">
        <v>4364</v>
      </c>
      <c r="H2446" t="s">
        <v>34</v>
      </c>
      <c r="I2446" t="s">
        <v>146</v>
      </c>
      <c r="J2446" t="s">
        <v>10008</v>
      </c>
      <c r="K2446">
        <v>50</v>
      </c>
      <c r="L2446" t="s">
        <v>37</v>
      </c>
      <c r="M2446" t="s">
        <v>23</v>
      </c>
      <c r="N2446" t="s">
        <v>105</v>
      </c>
      <c r="O2446" t="s">
        <v>28</v>
      </c>
      <c r="P2446" t="s">
        <v>31</v>
      </c>
      <c r="Q2446">
        <v>0</v>
      </c>
      <c r="R2446" t="s">
        <v>12883</v>
      </c>
      <c r="S2446" t="s">
        <v>12886</v>
      </c>
    </row>
    <row r="2447" spans="1:19" x14ac:dyDescent="0.25">
      <c r="A2447" t="s">
        <v>6351</v>
      </c>
      <c r="B2447" s="1">
        <v>45908</v>
      </c>
      <c r="C2447" t="s">
        <v>12882</v>
      </c>
      <c r="D2447" s="5">
        <v>0.67714120370370368</v>
      </c>
      <c r="E2447">
        <v>15.93</v>
      </c>
      <c r="F2447" t="s">
        <v>44</v>
      </c>
      <c r="G2447" t="s">
        <v>3395</v>
      </c>
      <c r="H2447" t="s">
        <v>34</v>
      </c>
      <c r="I2447" t="s">
        <v>130</v>
      </c>
      <c r="J2447" t="s">
        <v>6352</v>
      </c>
      <c r="K2447">
        <v>20</v>
      </c>
      <c r="L2447" t="s">
        <v>49</v>
      </c>
      <c r="M2447" t="s">
        <v>50</v>
      </c>
      <c r="N2447" t="s">
        <v>51</v>
      </c>
      <c r="O2447" t="s">
        <v>28</v>
      </c>
      <c r="P2447" t="s">
        <v>31</v>
      </c>
      <c r="Q2447">
        <v>0</v>
      </c>
      <c r="R2447" t="s">
        <v>12883</v>
      </c>
      <c r="S2447" t="s">
        <v>12892</v>
      </c>
    </row>
    <row r="2448" spans="1:19" x14ac:dyDescent="0.25">
      <c r="A2448" t="s">
        <v>7665</v>
      </c>
      <c r="B2448" s="1">
        <v>45805</v>
      </c>
      <c r="C2448" t="s">
        <v>12887</v>
      </c>
      <c r="D2448" s="5">
        <v>3.9039351851851853E-2</v>
      </c>
      <c r="E2448">
        <v>15.93</v>
      </c>
      <c r="F2448" t="s">
        <v>44</v>
      </c>
      <c r="G2448" t="s">
        <v>688</v>
      </c>
      <c r="H2448" t="s">
        <v>46</v>
      </c>
      <c r="I2448" t="s">
        <v>248</v>
      </c>
      <c r="J2448" t="s">
        <v>7666</v>
      </c>
      <c r="K2448">
        <v>26</v>
      </c>
      <c r="L2448" t="s">
        <v>49</v>
      </c>
      <c r="M2448" t="s">
        <v>35</v>
      </c>
      <c r="N2448" t="s">
        <v>84</v>
      </c>
      <c r="O2448" t="s">
        <v>28</v>
      </c>
      <c r="P2448" t="s">
        <v>31</v>
      </c>
      <c r="Q2448">
        <v>0</v>
      </c>
      <c r="R2448" t="s">
        <v>12883</v>
      </c>
      <c r="S2448" t="s">
        <v>12889</v>
      </c>
    </row>
    <row r="2449" spans="1:19" x14ac:dyDescent="0.25">
      <c r="A2449" t="s">
        <v>8713</v>
      </c>
      <c r="B2449" s="1">
        <v>45944</v>
      </c>
      <c r="C2449" t="s">
        <v>12890</v>
      </c>
      <c r="D2449" s="5">
        <v>0.35210648148148149</v>
      </c>
      <c r="E2449">
        <v>15.78</v>
      </c>
      <c r="F2449" t="s">
        <v>44</v>
      </c>
      <c r="G2449" t="s">
        <v>8714</v>
      </c>
      <c r="H2449" t="s">
        <v>124</v>
      </c>
      <c r="I2449" t="s">
        <v>119</v>
      </c>
      <c r="J2449" t="s">
        <v>8715</v>
      </c>
      <c r="K2449">
        <v>51</v>
      </c>
      <c r="L2449" t="s">
        <v>49</v>
      </c>
      <c r="M2449" t="s">
        <v>23</v>
      </c>
      <c r="N2449" t="s">
        <v>84</v>
      </c>
      <c r="O2449" t="s">
        <v>28</v>
      </c>
      <c r="P2449" t="s">
        <v>31</v>
      </c>
      <c r="Q2449">
        <v>0</v>
      </c>
      <c r="R2449" t="s">
        <v>12883</v>
      </c>
      <c r="S2449" t="s">
        <v>12886</v>
      </c>
    </row>
    <row r="2450" spans="1:19" x14ac:dyDescent="0.25">
      <c r="A2450" t="s">
        <v>6610</v>
      </c>
      <c r="B2450" s="1">
        <v>45900</v>
      </c>
      <c r="C2450" t="s">
        <v>12893</v>
      </c>
      <c r="D2450" s="5">
        <v>0.63398148148148148</v>
      </c>
      <c r="E2450">
        <v>15.77</v>
      </c>
      <c r="F2450" t="s">
        <v>44</v>
      </c>
      <c r="G2450" t="s">
        <v>2176</v>
      </c>
      <c r="H2450" t="s">
        <v>34</v>
      </c>
      <c r="I2450" t="s">
        <v>110</v>
      </c>
      <c r="J2450" t="s">
        <v>6611</v>
      </c>
      <c r="K2450">
        <v>55</v>
      </c>
      <c r="L2450" t="s">
        <v>37</v>
      </c>
      <c r="M2450" t="s">
        <v>119</v>
      </c>
      <c r="N2450" t="s">
        <v>39</v>
      </c>
      <c r="O2450" t="s">
        <v>28</v>
      </c>
      <c r="P2450" t="s">
        <v>31</v>
      </c>
      <c r="Q2450">
        <v>0</v>
      </c>
      <c r="R2450" t="s">
        <v>12883</v>
      </c>
      <c r="S2450" t="s">
        <v>12886</v>
      </c>
    </row>
    <row r="2451" spans="1:19" x14ac:dyDescent="0.25">
      <c r="A2451" t="s">
        <v>4110</v>
      </c>
      <c r="B2451" s="1">
        <v>45942</v>
      </c>
      <c r="C2451" t="s">
        <v>12890</v>
      </c>
      <c r="D2451" s="5">
        <v>0.69229166666666664</v>
      </c>
      <c r="E2451">
        <v>15.46</v>
      </c>
      <c r="F2451" t="s">
        <v>44</v>
      </c>
      <c r="G2451" t="s">
        <v>988</v>
      </c>
      <c r="H2451" t="s">
        <v>22</v>
      </c>
      <c r="I2451" t="s">
        <v>91</v>
      </c>
      <c r="J2451" t="s">
        <v>4111</v>
      </c>
      <c r="K2451">
        <v>49</v>
      </c>
      <c r="L2451" t="s">
        <v>37</v>
      </c>
      <c r="M2451" t="s">
        <v>58</v>
      </c>
      <c r="N2451" t="s">
        <v>39</v>
      </c>
      <c r="O2451" t="s">
        <v>28</v>
      </c>
      <c r="P2451" t="s">
        <v>31</v>
      </c>
      <c r="Q2451">
        <v>0</v>
      </c>
      <c r="R2451" t="s">
        <v>12883</v>
      </c>
      <c r="S2451" t="s">
        <v>12886</v>
      </c>
    </row>
    <row r="2452" spans="1:19" x14ac:dyDescent="0.25">
      <c r="A2452" t="s">
        <v>1765</v>
      </c>
      <c r="B2452" s="1">
        <v>45788</v>
      </c>
      <c r="C2452" t="s">
        <v>12887</v>
      </c>
      <c r="D2452" s="5">
        <v>0.50418981481481484</v>
      </c>
      <c r="E2452">
        <v>15.35</v>
      </c>
      <c r="F2452" t="s">
        <v>44</v>
      </c>
      <c r="G2452" t="s">
        <v>1766</v>
      </c>
      <c r="H2452" t="s">
        <v>96</v>
      </c>
      <c r="I2452" t="s">
        <v>66</v>
      </c>
      <c r="J2452" t="s">
        <v>1767</v>
      </c>
      <c r="K2452">
        <v>22</v>
      </c>
      <c r="L2452" t="s">
        <v>37</v>
      </c>
      <c r="M2452" t="s">
        <v>35</v>
      </c>
      <c r="N2452" t="s">
        <v>84</v>
      </c>
      <c r="O2452" t="s">
        <v>28</v>
      </c>
      <c r="P2452" t="s">
        <v>31</v>
      </c>
      <c r="Q2452">
        <v>0</v>
      </c>
      <c r="R2452" t="s">
        <v>12883</v>
      </c>
      <c r="S2452" t="s">
        <v>12892</v>
      </c>
    </row>
    <row r="2453" spans="1:19" x14ac:dyDescent="0.25">
      <c r="A2453" t="s">
        <v>8571</v>
      </c>
      <c r="B2453" s="1">
        <v>45947</v>
      </c>
      <c r="C2453" t="s">
        <v>12890</v>
      </c>
      <c r="D2453" s="5">
        <v>0.73895833333333338</v>
      </c>
      <c r="E2453">
        <v>15.19</v>
      </c>
      <c r="F2453" t="s">
        <v>44</v>
      </c>
      <c r="G2453" t="s">
        <v>258</v>
      </c>
      <c r="H2453" t="s">
        <v>64</v>
      </c>
      <c r="I2453" t="s">
        <v>50</v>
      </c>
      <c r="J2453" t="s">
        <v>8572</v>
      </c>
      <c r="K2453">
        <v>47</v>
      </c>
      <c r="L2453" t="s">
        <v>25</v>
      </c>
      <c r="M2453" t="s">
        <v>26</v>
      </c>
      <c r="N2453" t="s">
        <v>39</v>
      </c>
      <c r="O2453" t="s">
        <v>28</v>
      </c>
      <c r="P2453" t="s">
        <v>31</v>
      </c>
      <c r="Q2453">
        <v>0</v>
      </c>
      <c r="R2453" t="s">
        <v>12883</v>
      </c>
      <c r="S2453" t="s">
        <v>12886</v>
      </c>
    </row>
    <row r="2454" spans="1:19" x14ac:dyDescent="0.25">
      <c r="A2454" t="s">
        <v>11231</v>
      </c>
      <c r="B2454" s="1">
        <v>45832</v>
      </c>
      <c r="C2454" t="s">
        <v>12888</v>
      </c>
      <c r="D2454" s="5">
        <v>2.6168981481481481E-2</v>
      </c>
      <c r="E2454">
        <v>15.15</v>
      </c>
      <c r="F2454" t="s">
        <v>44</v>
      </c>
      <c r="G2454" t="s">
        <v>1398</v>
      </c>
      <c r="H2454" t="s">
        <v>124</v>
      </c>
      <c r="I2454" t="s">
        <v>97</v>
      </c>
      <c r="J2454" t="s">
        <v>11232</v>
      </c>
      <c r="K2454">
        <v>63</v>
      </c>
      <c r="L2454" t="s">
        <v>49</v>
      </c>
      <c r="M2454" t="s">
        <v>91</v>
      </c>
      <c r="N2454" t="s">
        <v>105</v>
      </c>
      <c r="O2454" t="s">
        <v>28</v>
      </c>
      <c r="P2454" t="s">
        <v>31</v>
      </c>
      <c r="Q2454">
        <v>0</v>
      </c>
      <c r="R2454" t="s">
        <v>12883</v>
      </c>
      <c r="S2454" t="s">
        <v>12884</v>
      </c>
    </row>
    <row r="2455" spans="1:19" x14ac:dyDescent="0.25">
      <c r="A2455" t="s">
        <v>11096</v>
      </c>
      <c r="B2455" s="1">
        <v>45940</v>
      </c>
      <c r="C2455" t="s">
        <v>12890</v>
      </c>
      <c r="D2455" s="5">
        <v>0.87111111111111106</v>
      </c>
      <c r="E2455">
        <v>15.06</v>
      </c>
      <c r="F2455" t="s">
        <v>44</v>
      </c>
      <c r="G2455" t="s">
        <v>2239</v>
      </c>
      <c r="H2455" t="s">
        <v>64</v>
      </c>
      <c r="I2455" t="s">
        <v>35</v>
      </c>
      <c r="J2455" t="s">
        <v>11097</v>
      </c>
      <c r="K2455">
        <v>40</v>
      </c>
      <c r="L2455" t="s">
        <v>25</v>
      </c>
      <c r="M2455" t="s">
        <v>97</v>
      </c>
      <c r="N2455" t="s">
        <v>39</v>
      </c>
      <c r="O2455" t="s">
        <v>28</v>
      </c>
      <c r="P2455" t="s">
        <v>31</v>
      </c>
      <c r="Q2455">
        <v>0</v>
      </c>
      <c r="R2455" t="s">
        <v>12883</v>
      </c>
      <c r="S2455" t="s">
        <v>12886</v>
      </c>
    </row>
    <row r="2456" spans="1:19" x14ac:dyDescent="0.25">
      <c r="A2456" t="s">
        <v>8173</v>
      </c>
      <c r="B2456" s="1">
        <v>45860</v>
      </c>
      <c r="C2456" t="s">
        <v>12885</v>
      </c>
      <c r="D2456" s="5">
        <v>0.4629050925925926</v>
      </c>
      <c r="E2456">
        <v>15.03</v>
      </c>
      <c r="F2456" t="s">
        <v>44</v>
      </c>
      <c r="G2456" t="s">
        <v>5322</v>
      </c>
      <c r="H2456" t="s">
        <v>22</v>
      </c>
      <c r="I2456" t="s">
        <v>26</v>
      </c>
      <c r="J2456" t="s">
        <v>8174</v>
      </c>
      <c r="K2456">
        <v>25</v>
      </c>
      <c r="L2456" t="s">
        <v>37</v>
      </c>
      <c r="M2456" t="s">
        <v>66</v>
      </c>
      <c r="N2456" t="s">
        <v>27</v>
      </c>
      <c r="O2456" t="s">
        <v>28</v>
      </c>
      <c r="P2456" t="s">
        <v>31</v>
      </c>
      <c r="Q2456">
        <v>0</v>
      </c>
      <c r="R2456" t="s">
        <v>12883</v>
      </c>
      <c r="S2456" t="s">
        <v>12889</v>
      </c>
    </row>
    <row r="2457" spans="1:19" x14ac:dyDescent="0.25">
      <c r="A2457" t="s">
        <v>363</v>
      </c>
      <c r="B2457" s="1">
        <v>45941</v>
      </c>
      <c r="C2457" t="s">
        <v>12890</v>
      </c>
      <c r="D2457" s="5">
        <v>0.96944444444444444</v>
      </c>
      <c r="E2457">
        <v>14.96</v>
      </c>
      <c r="F2457" t="s">
        <v>44</v>
      </c>
      <c r="G2457" t="s">
        <v>364</v>
      </c>
      <c r="H2457" t="s">
        <v>46</v>
      </c>
      <c r="I2457" t="s">
        <v>130</v>
      </c>
      <c r="J2457" t="s">
        <v>365</v>
      </c>
      <c r="K2457">
        <v>23</v>
      </c>
      <c r="L2457" t="s">
        <v>37</v>
      </c>
      <c r="M2457" t="s">
        <v>119</v>
      </c>
      <c r="N2457" t="s">
        <v>112</v>
      </c>
      <c r="O2457" t="s">
        <v>28</v>
      </c>
      <c r="P2457" t="s">
        <v>31</v>
      </c>
      <c r="Q2457">
        <v>0</v>
      </c>
      <c r="R2457" t="s">
        <v>12883</v>
      </c>
      <c r="S2457" t="s">
        <v>12892</v>
      </c>
    </row>
    <row r="2458" spans="1:19" x14ac:dyDescent="0.25">
      <c r="A2458" t="s">
        <v>2706</v>
      </c>
      <c r="B2458" s="1">
        <v>45825</v>
      </c>
      <c r="C2458" t="s">
        <v>12888</v>
      </c>
      <c r="D2458" s="5">
        <v>0.70762731481481478</v>
      </c>
      <c r="E2458">
        <v>14.85</v>
      </c>
      <c r="F2458" t="s">
        <v>44</v>
      </c>
      <c r="G2458" t="s">
        <v>2707</v>
      </c>
      <c r="H2458" t="s">
        <v>57</v>
      </c>
      <c r="I2458" t="s">
        <v>119</v>
      </c>
      <c r="J2458" t="s">
        <v>2708</v>
      </c>
      <c r="K2458">
        <v>71</v>
      </c>
      <c r="L2458" t="s">
        <v>25</v>
      </c>
      <c r="M2458" t="s">
        <v>97</v>
      </c>
      <c r="N2458" t="s">
        <v>84</v>
      </c>
      <c r="O2458" t="s">
        <v>28</v>
      </c>
      <c r="P2458" t="s">
        <v>31</v>
      </c>
      <c r="Q2458">
        <v>0</v>
      </c>
      <c r="R2458" t="s">
        <v>12883</v>
      </c>
      <c r="S2458" t="s">
        <v>12884</v>
      </c>
    </row>
    <row r="2459" spans="1:19" x14ac:dyDescent="0.25">
      <c r="A2459" t="s">
        <v>5384</v>
      </c>
      <c r="B2459" s="1">
        <v>45793</v>
      </c>
      <c r="C2459" t="s">
        <v>12887</v>
      </c>
      <c r="D2459" s="5">
        <v>0.28358796296296296</v>
      </c>
      <c r="E2459">
        <v>14.85</v>
      </c>
      <c r="F2459" t="s">
        <v>44</v>
      </c>
      <c r="G2459" t="s">
        <v>2707</v>
      </c>
      <c r="H2459" t="s">
        <v>89</v>
      </c>
      <c r="I2459" t="s">
        <v>146</v>
      </c>
      <c r="J2459" t="s">
        <v>5385</v>
      </c>
      <c r="K2459">
        <v>31</v>
      </c>
      <c r="L2459" t="s">
        <v>25</v>
      </c>
      <c r="M2459" t="s">
        <v>91</v>
      </c>
      <c r="N2459" t="s">
        <v>105</v>
      </c>
      <c r="O2459" t="s">
        <v>28</v>
      </c>
      <c r="P2459" t="s">
        <v>31</v>
      </c>
      <c r="Q2459">
        <v>0</v>
      </c>
      <c r="R2459" t="s">
        <v>12883</v>
      </c>
      <c r="S2459" t="s">
        <v>12889</v>
      </c>
    </row>
    <row r="2460" spans="1:19" x14ac:dyDescent="0.25">
      <c r="A2460" t="s">
        <v>11050</v>
      </c>
      <c r="B2460" s="1">
        <v>45905</v>
      </c>
      <c r="C2460" t="s">
        <v>12882</v>
      </c>
      <c r="D2460" s="5">
        <v>3.3981481481481481E-2</v>
      </c>
      <c r="E2460">
        <v>14.82</v>
      </c>
      <c r="F2460" t="s">
        <v>44</v>
      </c>
      <c r="G2460" t="s">
        <v>11051</v>
      </c>
      <c r="H2460" t="s">
        <v>22</v>
      </c>
      <c r="I2460" t="s">
        <v>47</v>
      </c>
      <c r="J2460" t="s">
        <v>11052</v>
      </c>
      <c r="K2460">
        <v>53</v>
      </c>
      <c r="L2460" t="s">
        <v>37</v>
      </c>
      <c r="M2460" t="s">
        <v>47</v>
      </c>
      <c r="N2460" t="s">
        <v>51</v>
      </c>
      <c r="O2460" t="s">
        <v>113</v>
      </c>
      <c r="P2460" t="s">
        <v>31</v>
      </c>
      <c r="Q2460">
        <v>0</v>
      </c>
      <c r="R2460" t="s">
        <v>12883</v>
      </c>
      <c r="S2460" t="s">
        <v>12886</v>
      </c>
    </row>
    <row r="2461" spans="1:19" x14ac:dyDescent="0.25">
      <c r="A2461" t="s">
        <v>12757</v>
      </c>
      <c r="B2461" s="1">
        <v>45933</v>
      </c>
      <c r="C2461" t="s">
        <v>12890</v>
      </c>
      <c r="D2461" s="5">
        <v>0.10858796296296297</v>
      </c>
      <c r="E2461">
        <v>14.82</v>
      </c>
      <c r="F2461" t="s">
        <v>44</v>
      </c>
      <c r="G2461" t="s">
        <v>8023</v>
      </c>
      <c r="H2461" t="s">
        <v>46</v>
      </c>
      <c r="I2461" t="s">
        <v>58</v>
      </c>
      <c r="J2461" t="s">
        <v>12758</v>
      </c>
      <c r="K2461">
        <v>75</v>
      </c>
      <c r="L2461" t="s">
        <v>25</v>
      </c>
      <c r="M2461" t="s">
        <v>130</v>
      </c>
      <c r="N2461" t="s">
        <v>39</v>
      </c>
      <c r="O2461" t="s">
        <v>28</v>
      </c>
      <c r="P2461" t="s">
        <v>31</v>
      </c>
      <c r="Q2461">
        <v>0</v>
      </c>
      <c r="R2461" t="s">
        <v>12883</v>
      </c>
      <c r="S2461" t="s">
        <v>12884</v>
      </c>
    </row>
    <row r="2462" spans="1:19" x14ac:dyDescent="0.25">
      <c r="A2462" t="s">
        <v>116</v>
      </c>
      <c r="B2462" s="1">
        <v>45906</v>
      </c>
      <c r="C2462" t="s">
        <v>12882</v>
      </c>
      <c r="D2462" s="5">
        <v>0.26979166666666665</v>
      </c>
      <c r="E2462">
        <v>14.75</v>
      </c>
      <c r="F2462" t="s">
        <v>44</v>
      </c>
      <c r="G2462" t="s">
        <v>117</v>
      </c>
      <c r="H2462" t="s">
        <v>89</v>
      </c>
      <c r="I2462" t="s">
        <v>110</v>
      </c>
      <c r="J2462" t="s">
        <v>118</v>
      </c>
      <c r="K2462">
        <v>26</v>
      </c>
      <c r="L2462" t="s">
        <v>49</v>
      </c>
      <c r="M2462" t="s">
        <v>119</v>
      </c>
      <c r="N2462" t="s">
        <v>84</v>
      </c>
      <c r="O2462" t="s">
        <v>28</v>
      </c>
      <c r="P2462" t="s">
        <v>31</v>
      </c>
      <c r="Q2462">
        <v>0</v>
      </c>
      <c r="R2462" t="s">
        <v>12883</v>
      </c>
      <c r="S2462" t="s">
        <v>12889</v>
      </c>
    </row>
    <row r="2463" spans="1:19" x14ac:dyDescent="0.25">
      <c r="A2463" t="s">
        <v>2018</v>
      </c>
      <c r="B2463" s="1">
        <v>45789</v>
      </c>
      <c r="C2463" t="s">
        <v>12887</v>
      </c>
      <c r="D2463" s="5">
        <v>9.0162037037037041E-2</v>
      </c>
      <c r="E2463">
        <v>14.7</v>
      </c>
      <c r="F2463" t="s">
        <v>44</v>
      </c>
      <c r="G2463" t="s">
        <v>1558</v>
      </c>
      <c r="H2463" t="s">
        <v>34</v>
      </c>
      <c r="I2463" t="s">
        <v>110</v>
      </c>
      <c r="J2463" t="s">
        <v>2019</v>
      </c>
      <c r="K2463">
        <v>29</v>
      </c>
      <c r="L2463" t="s">
        <v>49</v>
      </c>
      <c r="M2463" t="s">
        <v>91</v>
      </c>
      <c r="N2463" t="s">
        <v>105</v>
      </c>
      <c r="O2463" t="s">
        <v>28</v>
      </c>
      <c r="P2463" t="s">
        <v>31</v>
      </c>
      <c r="Q2463">
        <v>0</v>
      </c>
      <c r="R2463" t="s">
        <v>12883</v>
      </c>
      <c r="S2463" t="s">
        <v>12889</v>
      </c>
    </row>
    <row r="2464" spans="1:19" x14ac:dyDescent="0.25">
      <c r="A2464" t="s">
        <v>12348</v>
      </c>
      <c r="B2464" s="1">
        <v>45948</v>
      </c>
      <c r="C2464" t="s">
        <v>12890</v>
      </c>
      <c r="D2464" s="5">
        <v>0.50878472222222226</v>
      </c>
      <c r="E2464">
        <v>14.55</v>
      </c>
      <c r="F2464" t="s">
        <v>44</v>
      </c>
      <c r="G2464" t="s">
        <v>1921</v>
      </c>
      <c r="H2464" t="s">
        <v>71</v>
      </c>
      <c r="I2464" t="s">
        <v>38</v>
      </c>
      <c r="J2464" t="s">
        <v>12349</v>
      </c>
      <c r="K2464">
        <v>69</v>
      </c>
      <c r="L2464" t="s">
        <v>37</v>
      </c>
      <c r="M2464" t="s">
        <v>130</v>
      </c>
      <c r="N2464" t="s">
        <v>105</v>
      </c>
      <c r="O2464" t="s">
        <v>28</v>
      </c>
      <c r="P2464" t="s">
        <v>31</v>
      </c>
      <c r="Q2464">
        <v>0</v>
      </c>
      <c r="R2464" t="s">
        <v>12883</v>
      </c>
      <c r="S2464" t="s">
        <v>12884</v>
      </c>
    </row>
    <row r="2465" spans="1:19" x14ac:dyDescent="0.25">
      <c r="A2465" t="s">
        <v>7274</v>
      </c>
      <c r="B2465" s="1">
        <v>45804</v>
      </c>
      <c r="C2465" t="s">
        <v>12887</v>
      </c>
      <c r="D2465" s="5">
        <v>0.86540509259259257</v>
      </c>
      <c r="E2465">
        <v>14.18</v>
      </c>
      <c r="F2465" t="s">
        <v>44</v>
      </c>
      <c r="G2465" t="s">
        <v>7275</v>
      </c>
      <c r="H2465" t="s">
        <v>77</v>
      </c>
      <c r="I2465" t="s">
        <v>47</v>
      </c>
      <c r="J2465" t="s">
        <v>7276</v>
      </c>
      <c r="K2465">
        <v>69</v>
      </c>
      <c r="L2465" t="s">
        <v>37</v>
      </c>
      <c r="M2465" t="s">
        <v>130</v>
      </c>
      <c r="N2465" t="s">
        <v>105</v>
      </c>
      <c r="O2465" t="s">
        <v>28</v>
      </c>
      <c r="P2465" t="s">
        <v>31</v>
      </c>
      <c r="Q2465">
        <v>1</v>
      </c>
      <c r="R2465" t="s">
        <v>12891</v>
      </c>
      <c r="S2465" t="s">
        <v>12884</v>
      </c>
    </row>
    <row r="2466" spans="1:19" x14ac:dyDescent="0.25">
      <c r="A2466" t="s">
        <v>4979</v>
      </c>
      <c r="B2466" s="1">
        <v>45880</v>
      </c>
      <c r="C2466" t="s">
        <v>12893</v>
      </c>
      <c r="D2466" s="5">
        <v>0.99070601851851847</v>
      </c>
      <c r="E2466">
        <v>14.16</v>
      </c>
      <c r="F2466" t="s">
        <v>44</v>
      </c>
      <c r="G2466" t="s">
        <v>4980</v>
      </c>
      <c r="H2466" t="s">
        <v>71</v>
      </c>
      <c r="I2466" t="s">
        <v>146</v>
      </c>
      <c r="J2466" t="s">
        <v>4981</v>
      </c>
      <c r="K2466">
        <v>35</v>
      </c>
      <c r="L2466" t="s">
        <v>37</v>
      </c>
      <c r="M2466" t="s">
        <v>26</v>
      </c>
      <c r="N2466" t="s">
        <v>39</v>
      </c>
      <c r="O2466" t="s">
        <v>28</v>
      </c>
      <c r="P2466" t="s">
        <v>31</v>
      </c>
      <c r="Q2466">
        <v>0</v>
      </c>
      <c r="R2466" t="s">
        <v>12883</v>
      </c>
      <c r="S2466" t="s">
        <v>12889</v>
      </c>
    </row>
    <row r="2467" spans="1:19" x14ac:dyDescent="0.25">
      <c r="A2467" t="s">
        <v>6965</v>
      </c>
      <c r="B2467" s="1">
        <v>45824</v>
      </c>
      <c r="C2467" t="s">
        <v>12888</v>
      </c>
      <c r="D2467" s="5">
        <v>0.70281249999999995</v>
      </c>
      <c r="E2467">
        <v>14.14</v>
      </c>
      <c r="F2467" t="s">
        <v>44</v>
      </c>
      <c r="G2467" t="s">
        <v>6728</v>
      </c>
      <c r="H2467" t="s">
        <v>71</v>
      </c>
      <c r="I2467" t="s">
        <v>38</v>
      </c>
      <c r="J2467" t="s">
        <v>6966</v>
      </c>
      <c r="K2467">
        <v>20</v>
      </c>
      <c r="L2467" t="s">
        <v>37</v>
      </c>
      <c r="M2467" t="s">
        <v>38</v>
      </c>
      <c r="N2467" t="s">
        <v>39</v>
      </c>
      <c r="O2467" t="s">
        <v>113</v>
      </c>
      <c r="P2467" t="s">
        <v>31</v>
      </c>
      <c r="Q2467">
        <v>0</v>
      </c>
      <c r="R2467" t="s">
        <v>12883</v>
      </c>
      <c r="S2467" t="s">
        <v>12892</v>
      </c>
    </row>
    <row r="2468" spans="1:19" x14ac:dyDescent="0.25">
      <c r="A2468" t="s">
        <v>1611</v>
      </c>
      <c r="B2468" s="1">
        <v>45843</v>
      </c>
      <c r="C2468" t="s">
        <v>12885</v>
      </c>
      <c r="D2468" s="5">
        <v>1.2326388888888888E-2</v>
      </c>
      <c r="E2468">
        <v>13.99</v>
      </c>
      <c r="F2468" t="s">
        <v>44</v>
      </c>
      <c r="G2468" t="s">
        <v>1612</v>
      </c>
      <c r="H2468" t="s">
        <v>57</v>
      </c>
      <c r="I2468" t="s">
        <v>110</v>
      </c>
      <c r="J2468" t="s">
        <v>1613</v>
      </c>
      <c r="K2468">
        <v>60</v>
      </c>
      <c r="L2468" t="s">
        <v>25</v>
      </c>
      <c r="M2468" t="s">
        <v>58</v>
      </c>
      <c r="N2468" t="s">
        <v>105</v>
      </c>
      <c r="O2468" t="s">
        <v>28</v>
      </c>
      <c r="P2468" t="s">
        <v>31</v>
      </c>
      <c r="Q2468">
        <v>0</v>
      </c>
      <c r="R2468" t="s">
        <v>12883</v>
      </c>
      <c r="S2468" t="s">
        <v>12884</v>
      </c>
    </row>
    <row r="2469" spans="1:19" x14ac:dyDescent="0.25">
      <c r="A2469" t="s">
        <v>4425</v>
      </c>
      <c r="B2469" s="1">
        <v>45852</v>
      </c>
      <c r="C2469" t="s">
        <v>12885</v>
      </c>
      <c r="D2469" s="5">
        <v>0.61159722222222224</v>
      </c>
      <c r="E2469">
        <v>13.96</v>
      </c>
      <c r="F2469" t="s">
        <v>44</v>
      </c>
      <c r="G2469" t="s">
        <v>1470</v>
      </c>
      <c r="H2469" t="s">
        <v>64</v>
      </c>
      <c r="I2469" t="s">
        <v>58</v>
      </c>
      <c r="J2469" t="s">
        <v>4426</v>
      </c>
      <c r="K2469">
        <v>57</v>
      </c>
      <c r="L2469" t="s">
        <v>37</v>
      </c>
      <c r="M2469" t="s">
        <v>58</v>
      </c>
      <c r="N2469" t="s">
        <v>27</v>
      </c>
      <c r="O2469" t="s">
        <v>113</v>
      </c>
      <c r="P2469" t="s">
        <v>31</v>
      </c>
      <c r="Q2469">
        <v>0</v>
      </c>
      <c r="R2469" t="s">
        <v>12883</v>
      </c>
      <c r="S2469" t="s">
        <v>12886</v>
      </c>
    </row>
    <row r="2470" spans="1:19" x14ac:dyDescent="0.25">
      <c r="A2470" t="s">
        <v>11423</v>
      </c>
      <c r="B2470" s="1">
        <v>45891</v>
      </c>
      <c r="C2470" t="s">
        <v>12893</v>
      </c>
      <c r="D2470" s="5">
        <v>0.87253472222222217</v>
      </c>
      <c r="E2470">
        <v>13.95</v>
      </c>
      <c r="F2470" t="s">
        <v>44</v>
      </c>
      <c r="G2470" t="s">
        <v>277</v>
      </c>
      <c r="H2470" t="s">
        <v>71</v>
      </c>
      <c r="I2470" t="s">
        <v>35</v>
      </c>
      <c r="J2470" t="s">
        <v>11424</v>
      </c>
      <c r="K2470">
        <v>43</v>
      </c>
      <c r="L2470" t="s">
        <v>25</v>
      </c>
      <c r="M2470" t="s">
        <v>119</v>
      </c>
      <c r="N2470" t="s">
        <v>105</v>
      </c>
      <c r="O2470" t="s">
        <v>28</v>
      </c>
      <c r="P2470" t="s">
        <v>31</v>
      </c>
      <c r="Q2470">
        <v>0</v>
      </c>
      <c r="R2470" t="s">
        <v>12883</v>
      </c>
      <c r="S2470" t="s">
        <v>12886</v>
      </c>
    </row>
    <row r="2471" spans="1:19" x14ac:dyDescent="0.25">
      <c r="A2471" t="s">
        <v>6744</v>
      </c>
      <c r="B2471" s="1">
        <v>45800</v>
      </c>
      <c r="C2471" t="s">
        <v>12887</v>
      </c>
      <c r="D2471" s="5">
        <v>0.49201388888888886</v>
      </c>
      <c r="E2471">
        <v>13.79</v>
      </c>
      <c r="F2471" t="s">
        <v>44</v>
      </c>
      <c r="G2471" t="s">
        <v>5178</v>
      </c>
      <c r="H2471" t="s">
        <v>71</v>
      </c>
      <c r="I2471" t="s">
        <v>23</v>
      </c>
      <c r="J2471" t="s">
        <v>6745</v>
      </c>
      <c r="K2471">
        <v>14</v>
      </c>
      <c r="L2471" t="s">
        <v>25</v>
      </c>
      <c r="M2471" t="s">
        <v>38</v>
      </c>
      <c r="N2471" t="s">
        <v>105</v>
      </c>
      <c r="O2471" t="s">
        <v>28</v>
      </c>
      <c r="P2471" t="s">
        <v>31</v>
      </c>
      <c r="Q2471">
        <v>0</v>
      </c>
      <c r="R2471" t="s">
        <v>12883</v>
      </c>
      <c r="S2471" t="s">
        <v>12892</v>
      </c>
    </row>
    <row r="2472" spans="1:19" x14ac:dyDescent="0.25">
      <c r="A2472" t="s">
        <v>2845</v>
      </c>
      <c r="B2472" s="1">
        <v>45933</v>
      </c>
      <c r="C2472" t="s">
        <v>12890</v>
      </c>
      <c r="D2472" s="5">
        <v>0.66878472222222218</v>
      </c>
      <c r="E2472">
        <v>13.56</v>
      </c>
      <c r="F2472" t="s">
        <v>44</v>
      </c>
      <c r="G2472" t="s">
        <v>2846</v>
      </c>
      <c r="H2472" t="s">
        <v>64</v>
      </c>
      <c r="I2472" t="s">
        <v>47</v>
      </c>
      <c r="J2472" t="s">
        <v>2847</v>
      </c>
      <c r="K2472">
        <v>63</v>
      </c>
      <c r="L2472" t="s">
        <v>37</v>
      </c>
      <c r="M2472" t="s">
        <v>66</v>
      </c>
      <c r="N2472" t="s">
        <v>39</v>
      </c>
      <c r="O2472" t="s">
        <v>28</v>
      </c>
      <c r="P2472" t="s">
        <v>31</v>
      </c>
      <c r="Q2472">
        <v>0</v>
      </c>
      <c r="R2472" t="s">
        <v>12883</v>
      </c>
      <c r="S2472" t="s">
        <v>12884</v>
      </c>
    </row>
    <row r="2473" spans="1:19" x14ac:dyDescent="0.25">
      <c r="A2473" t="s">
        <v>12437</v>
      </c>
      <c r="B2473" s="1">
        <v>45888</v>
      </c>
      <c r="C2473" t="s">
        <v>12893</v>
      </c>
      <c r="D2473" s="5">
        <v>0.76682870370370371</v>
      </c>
      <c r="E2473">
        <v>13.27</v>
      </c>
      <c r="F2473" t="s">
        <v>44</v>
      </c>
      <c r="G2473" t="s">
        <v>11051</v>
      </c>
      <c r="H2473" t="s">
        <v>124</v>
      </c>
      <c r="I2473" t="s">
        <v>146</v>
      </c>
      <c r="J2473" t="s">
        <v>12438</v>
      </c>
      <c r="K2473">
        <v>46</v>
      </c>
      <c r="L2473" t="s">
        <v>37</v>
      </c>
      <c r="M2473" t="s">
        <v>23</v>
      </c>
      <c r="N2473" t="s">
        <v>27</v>
      </c>
      <c r="O2473" t="s">
        <v>28</v>
      </c>
      <c r="P2473" t="s">
        <v>31</v>
      </c>
      <c r="Q2473">
        <v>0</v>
      </c>
      <c r="R2473" t="s">
        <v>12883</v>
      </c>
      <c r="S2473" t="s">
        <v>12886</v>
      </c>
    </row>
    <row r="2474" spans="1:19" x14ac:dyDescent="0.25">
      <c r="A2474" t="s">
        <v>3738</v>
      </c>
      <c r="B2474" s="1">
        <v>45832</v>
      </c>
      <c r="C2474" t="s">
        <v>12888</v>
      </c>
      <c r="D2474" s="5">
        <v>0.37130787037037039</v>
      </c>
      <c r="E2474">
        <v>13.18</v>
      </c>
      <c r="F2474" t="s">
        <v>44</v>
      </c>
      <c r="G2474" t="s">
        <v>932</v>
      </c>
      <c r="H2474" t="s">
        <v>71</v>
      </c>
      <c r="I2474" t="s">
        <v>146</v>
      </c>
      <c r="J2474" t="s">
        <v>3739</v>
      </c>
      <c r="K2474">
        <v>40</v>
      </c>
      <c r="L2474" t="s">
        <v>25</v>
      </c>
      <c r="M2474" t="s">
        <v>248</v>
      </c>
      <c r="N2474" t="s">
        <v>27</v>
      </c>
      <c r="O2474" t="s">
        <v>28</v>
      </c>
      <c r="P2474" t="s">
        <v>31</v>
      </c>
      <c r="Q2474">
        <v>0</v>
      </c>
      <c r="R2474" t="s">
        <v>12883</v>
      </c>
      <c r="S2474" t="s">
        <v>12886</v>
      </c>
    </row>
    <row r="2475" spans="1:19" x14ac:dyDescent="0.25">
      <c r="A2475" t="s">
        <v>5110</v>
      </c>
      <c r="B2475" s="1">
        <v>45910</v>
      </c>
      <c r="C2475" t="s">
        <v>12882</v>
      </c>
      <c r="D2475" s="5">
        <v>0.75249999999999995</v>
      </c>
      <c r="E2475">
        <v>13.12</v>
      </c>
      <c r="F2475" t="s">
        <v>44</v>
      </c>
      <c r="G2475" t="s">
        <v>3318</v>
      </c>
      <c r="H2475" t="s">
        <v>34</v>
      </c>
      <c r="I2475" t="s">
        <v>66</v>
      </c>
      <c r="J2475" t="s">
        <v>5111</v>
      </c>
      <c r="K2475">
        <v>100</v>
      </c>
      <c r="L2475" t="s">
        <v>37</v>
      </c>
      <c r="M2475" t="s">
        <v>119</v>
      </c>
      <c r="N2475" t="s">
        <v>112</v>
      </c>
      <c r="O2475" t="s">
        <v>28</v>
      </c>
      <c r="P2475" t="s">
        <v>31</v>
      </c>
      <c r="Q2475">
        <v>0</v>
      </c>
      <c r="R2475" t="s">
        <v>12883</v>
      </c>
      <c r="S2475" t="s">
        <v>12884</v>
      </c>
    </row>
    <row r="2476" spans="1:19" x14ac:dyDescent="0.25">
      <c r="A2476" t="s">
        <v>8681</v>
      </c>
      <c r="B2476" s="1">
        <v>45894</v>
      </c>
      <c r="C2476" t="s">
        <v>12893</v>
      </c>
      <c r="D2476" s="5">
        <v>3.9664351851851853E-2</v>
      </c>
      <c r="E2476">
        <v>13.06</v>
      </c>
      <c r="F2476" t="s">
        <v>44</v>
      </c>
      <c r="G2476" t="s">
        <v>1485</v>
      </c>
      <c r="H2476" t="s">
        <v>89</v>
      </c>
      <c r="I2476" t="s">
        <v>38</v>
      </c>
      <c r="J2476" t="s">
        <v>8682</v>
      </c>
      <c r="K2476">
        <v>45</v>
      </c>
      <c r="L2476" t="s">
        <v>37</v>
      </c>
      <c r="M2476" t="s">
        <v>91</v>
      </c>
      <c r="N2476" t="s">
        <v>84</v>
      </c>
      <c r="O2476" t="s">
        <v>28</v>
      </c>
      <c r="P2476" t="s">
        <v>31</v>
      </c>
      <c r="Q2476">
        <v>0</v>
      </c>
      <c r="R2476" t="s">
        <v>12883</v>
      </c>
      <c r="S2476" t="s">
        <v>12886</v>
      </c>
    </row>
    <row r="2477" spans="1:19" x14ac:dyDescent="0.25">
      <c r="A2477" t="s">
        <v>191</v>
      </c>
      <c r="B2477" s="1">
        <v>45950</v>
      </c>
      <c r="C2477" t="s">
        <v>12890</v>
      </c>
      <c r="D2477" s="5">
        <v>0.28028935185185183</v>
      </c>
      <c r="E2477">
        <v>13.05</v>
      </c>
      <c r="F2477" t="s">
        <v>44</v>
      </c>
      <c r="G2477" t="s">
        <v>192</v>
      </c>
      <c r="H2477" t="s">
        <v>77</v>
      </c>
      <c r="I2477" t="s">
        <v>26</v>
      </c>
      <c r="J2477" t="s">
        <v>193</v>
      </c>
      <c r="K2477">
        <v>24</v>
      </c>
      <c r="L2477" t="s">
        <v>37</v>
      </c>
      <c r="M2477" t="s">
        <v>110</v>
      </c>
      <c r="N2477" t="s">
        <v>51</v>
      </c>
      <c r="O2477" t="s">
        <v>28</v>
      </c>
      <c r="P2477" t="s">
        <v>31</v>
      </c>
      <c r="Q2477">
        <v>0</v>
      </c>
      <c r="R2477" t="s">
        <v>12883</v>
      </c>
      <c r="S2477" t="s">
        <v>12892</v>
      </c>
    </row>
    <row r="2478" spans="1:19" x14ac:dyDescent="0.25">
      <c r="A2478" t="s">
        <v>6128</v>
      </c>
      <c r="B2478" s="1">
        <v>45876</v>
      </c>
      <c r="C2478" t="s">
        <v>12893</v>
      </c>
      <c r="D2478" s="5">
        <v>0.51415509259259262</v>
      </c>
      <c r="E2478">
        <v>13.03</v>
      </c>
      <c r="F2478" t="s">
        <v>44</v>
      </c>
      <c r="G2478" t="s">
        <v>2707</v>
      </c>
      <c r="H2478" t="s">
        <v>34</v>
      </c>
      <c r="I2478" t="s">
        <v>97</v>
      </c>
      <c r="J2478" t="s">
        <v>6129</v>
      </c>
      <c r="K2478">
        <v>27</v>
      </c>
      <c r="L2478" t="s">
        <v>49</v>
      </c>
      <c r="M2478" t="s">
        <v>97</v>
      </c>
      <c r="N2478" t="s">
        <v>112</v>
      </c>
      <c r="O2478" t="s">
        <v>113</v>
      </c>
      <c r="P2478" t="s">
        <v>31</v>
      </c>
      <c r="Q2478">
        <v>0</v>
      </c>
      <c r="R2478" t="s">
        <v>12883</v>
      </c>
      <c r="S2478" t="s">
        <v>12889</v>
      </c>
    </row>
    <row r="2479" spans="1:19" x14ac:dyDescent="0.25">
      <c r="A2479" t="s">
        <v>5425</v>
      </c>
      <c r="B2479" s="1">
        <v>45817</v>
      </c>
      <c r="C2479" t="s">
        <v>12888</v>
      </c>
      <c r="D2479" s="5">
        <v>0.81307870370370372</v>
      </c>
      <c r="E2479">
        <v>12.87</v>
      </c>
      <c r="F2479" t="s">
        <v>44</v>
      </c>
      <c r="G2479" t="s">
        <v>2721</v>
      </c>
      <c r="H2479" t="s">
        <v>46</v>
      </c>
      <c r="I2479" t="s">
        <v>66</v>
      </c>
      <c r="J2479" t="s">
        <v>5426</v>
      </c>
      <c r="K2479">
        <v>56</v>
      </c>
      <c r="L2479" t="s">
        <v>25</v>
      </c>
      <c r="M2479" t="s">
        <v>119</v>
      </c>
      <c r="N2479" t="s">
        <v>84</v>
      </c>
      <c r="O2479" t="s">
        <v>28</v>
      </c>
      <c r="P2479" t="s">
        <v>31</v>
      </c>
      <c r="Q2479">
        <v>0</v>
      </c>
      <c r="R2479" t="s">
        <v>12883</v>
      </c>
      <c r="S2479" t="s">
        <v>12886</v>
      </c>
    </row>
    <row r="2480" spans="1:19" x14ac:dyDescent="0.25">
      <c r="A2480" t="s">
        <v>2629</v>
      </c>
      <c r="B2480" s="1">
        <v>45949</v>
      </c>
      <c r="C2480" t="s">
        <v>12890</v>
      </c>
      <c r="D2480" s="5">
        <v>0.34378472222222223</v>
      </c>
      <c r="E2480">
        <v>12.78</v>
      </c>
      <c r="F2480" t="s">
        <v>44</v>
      </c>
      <c r="G2480" t="s">
        <v>2630</v>
      </c>
      <c r="H2480" t="s">
        <v>64</v>
      </c>
      <c r="I2480" t="s">
        <v>146</v>
      </c>
      <c r="J2480" t="s">
        <v>2631</v>
      </c>
      <c r="K2480">
        <v>20</v>
      </c>
      <c r="L2480" t="s">
        <v>49</v>
      </c>
      <c r="M2480" t="s">
        <v>38</v>
      </c>
      <c r="N2480" t="s">
        <v>39</v>
      </c>
      <c r="O2480" t="s">
        <v>28</v>
      </c>
      <c r="P2480" t="s">
        <v>31</v>
      </c>
      <c r="Q2480">
        <v>0</v>
      </c>
      <c r="R2480" t="s">
        <v>12883</v>
      </c>
      <c r="S2480" t="s">
        <v>12892</v>
      </c>
    </row>
    <row r="2481" spans="1:19" x14ac:dyDescent="0.25">
      <c r="A2481" t="s">
        <v>6107</v>
      </c>
      <c r="B2481" s="1">
        <v>45847</v>
      </c>
      <c r="C2481" t="s">
        <v>12885</v>
      </c>
      <c r="D2481" s="5">
        <v>0.28042824074074074</v>
      </c>
      <c r="E2481">
        <v>12.66</v>
      </c>
      <c r="F2481" t="s">
        <v>44</v>
      </c>
      <c r="G2481" t="s">
        <v>6108</v>
      </c>
      <c r="H2481" t="s">
        <v>22</v>
      </c>
      <c r="I2481" t="s">
        <v>47</v>
      </c>
      <c r="J2481" t="s">
        <v>6109</v>
      </c>
      <c r="K2481">
        <v>57</v>
      </c>
      <c r="L2481" t="s">
        <v>49</v>
      </c>
      <c r="M2481" t="s">
        <v>248</v>
      </c>
      <c r="N2481" t="s">
        <v>112</v>
      </c>
      <c r="O2481" t="s">
        <v>28</v>
      </c>
      <c r="P2481" t="s">
        <v>31</v>
      </c>
      <c r="Q2481">
        <v>0</v>
      </c>
      <c r="R2481" t="s">
        <v>12883</v>
      </c>
      <c r="S2481" t="s">
        <v>12886</v>
      </c>
    </row>
    <row r="2482" spans="1:19" x14ac:dyDescent="0.25">
      <c r="A2482" t="s">
        <v>4704</v>
      </c>
      <c r="B2482" s="1">
        <v>45828</v>
      </c>
      <c r="C2482" t="s">
        <v>12888</v>
      </c>
      <c r="D2482" s="5">
        <v>0.98322916666666671</v>
      </c>
      <c r="E2482">
        <v>12.62</v>
      </c>
      <c r="F2482" t="s">
        <v>44</v>
      </c>
      <c r="G2482" t="s">
        <v>4705</v>
      </c>
      <c r="H2482" t="s">
        <v>77</v>
      </c>
      <c r="I2482" t="s">
        <v>97</v>
      </c>
      <c r="J2482" t="s">
        <v>4706</v>
      </c>
      <c r="K2482">
        <v>26</v>
      </c>
      <c r="L2482" t="s">
        <v>49</v>
      </c>
      <c r="M2482" t="s">
        <v>130</v>
      </c>
      <c r="N2482" t="s">
        <v>39</v>
      </c>
      <c r="O2482" t="s">
        <v>28</v>
      </c>
      <c r="P2482" t="s">
        <v>31</v>
      </c>
      <c r="Q2482">
        <v>0</v>
      </c>
      <c r="R2482" t="s">
        <v>12883</v>
      </c>
      <c r="S2482" t="s">
        <v>12889</v>
      </c>
    </row>
    <row r="2483" spans="1:19" x14ac:dyDescent="0.25">
      <c r="A2483" t="s">
        <v>7803</v>
      </c>
      <c r="B2483" s="1">
        <v>45939</v>
      </c>
      <c r="C2483" t="s">
        <v>12890</v>
      </c>
      <c r="D2483" s="5">
        <v>9.4745370370370369E-2</v>
      </c>
      <c r="E2483">
        <v>12.62</v>
      </c>
      <c r="F2483" t="s">
        <v>44</v>
      </c>
      <c r="G2483" t="s">
        <v>2918</v>
      </c>
      <c r="H2483" t="s">
        <v>34</v>
      </c>
      <c r="I2483" t="s">
        <v>23</v>
      </c>
      <c r="J2483" t="s">
        <v>7804</v>
      </c>
      <c r="K2483">
        <v>32</v>
      </c>
      <c r="L2483" t="s">
        <v>25</v>
      </c>
      <c r="M2483" t="s">
        <v>130</v>
      </c>
      <c r="N2483" t="s">
        <v>112</v>
      </c>
      <c r="O2483" t="s">
        <v>28</v>
      </c>
      <c r="P2483" t="s">
        <v>31</v>
      </c>
      <c r="Q2483">
        <v>0</v>
      </c>
      <c r="R2483" t="s">
        <v>12883</v>
      </c>
      <c r="S2483" t="s">
        <v>12889</v>
      </c>
    </row>
    <row r="2484" spans="1:19" x14ac:dyDescent="0.25">
      <c r="A2484" t="s">
        <v>707</v>
      </c>
      <c r="B2484" s="1">
        <v>45922</v>
      </c>
      <c r="C2484" t="s">
        <v>12882</v>
      </c>
      <c r="D2484" s="5">
        <v>0.65171296296296299</v>
      </c>
      <c r="E2484">
        <v>12.45</v>
      </c>
      <c r="F2484" t="s">
        <v>44</v>
      </c>
      <c r="G2484" t="s">
        <v>708</v>
      </c>
      <c r="H2484" t="s">
        <v>57</v>
      </c>
      <c r="I2484" t="s">
        <v>50</v>
      </c>
      <c r="J2484" t="s">
        <v>709</v>
      </c>
      <c r="K2484">
        <v>21</v>
      </c>
      <c r="L2484" t="s">
        <v>49</v>
      </c>
      <c r="M2484" t="s">
        <v>50</v>
      </c>
      <c r="N2484" t="s">
        <v>39</v>
      </c>
      <c r="O2484" t="s">
        <v>113</v>
      </c>
      <c r="P2484" t="s">
        <v>31</v>
      </c>
      <c r="Q2484">
        <v>0</v>
      </c>
      <c r="R2484" t="s">
        <v>12883</v>
      </c>
      <c r="S2484" t="s">
        <v>12892</v>
      </c>
    </row>
    <row r="2485" spans="1:19" x14ac:dyDescent="0.25">
      <c r="A2485" t="s">
        <v>7311</v>
      </c>
      <c r="B2485" s="1">
        <v>45831</v>
      </c>
      <c r="C2485" t="s">
        <v>12888</v>
      </c>
      <c r="D2485" s="5">
        <v>0.92043981481481485</v>
      </c>
      <c r="E2485">
        <v>12.37</v>
      </c>
      <c r="F2485" t="s">
        <v>44</v>
      </c>
      <c r="G2485" t="s">
        <v>7312</v>
      </c>
      <c r="H2485" t="s">
        <v>89</v>
      </c>
      <c r="I2485" t="s">
        <v>26</v>
      </c>
      <c r="J2485" t="s">
        <v>7313</v>
      </c>
      <c r="K2485">
        <v>71</v>
      </c>
      <c r="L2485" t="s">
        <v>37</v>
      </c>
      <c r="M2485" t="s">
        <v>146</v>
      </c>
      <c r="N2485" t="s">
        <v>27</v>
      </c>
      <c r="O2485" t="s">
        <v>28</v>
      </c>
      <c r="P2485" t="s">
        <v>31</v>
      </c>
      <c r="Q2485">
        <v>0</v>
      </c>
      <c r="R2485" t="s">
        <v>12883</v>
      </c>
      <c r="S2485" t="s">
        <v>12884</v>
      </c>
    </row>
    <row r="2486" spans="1:19" x14ac:dyDescent="0.25">
      <c r="A2486" t="s">
        <v>6885</v>
      </c>
      <c r="B2486" s="1">
        <v>45941</v>
      </c>
      <c r="C2486" t="s">
        <v>12890</v>
      </c>
      <c r="D2486" s="5">
        <v>0.515625</v>
      </c>
      <c r="E2486">
        <v>12.32</v>
      </c>
      <c r="F2486" t="s">
        <v>44</v>
      </c>
      <c r="G2486" t="s">
        <v>1182</v>
      </c>
      <c r="H2486" t="s">
        <v>89</v>
      </c>
      <c r="I2486" t="s">
        <v>110</v>
      </c>
      <c r="J2486" t="s">
        <v>6886</v>
      </c>
      <c r="K2486">
        <v>66</v>
      </c>
      <c r="L2486" t="s">
        <v>49</v>
      </c>
      <c r="M2486" t="s">
        <v>130</v>
      </c>
      <c r="N2486" t="s">
        <v>105</v>
      </c>
      <c r="O2486" t="s">
        <v>28</v>
      </c>
      <c r="P2486" t="s">
        <v>31</v>
      </c>
      <c r="Q2486">
        <v>0</v>
      </c>
      <c r="R2486" t="s">
        <v>12883</v>
      </c>
      <c r="S2486" t="s">
        <v>12884</v>
      </c>
    </row>
    <row r="2487" spans="1:19" x14ac:dyDescent="0.25">
      <c r="A2487" t="s">
        <v>1513</v>
      </c>
      <c r="B2487" s="1">
        <v>45881</v>
      </c>
      <c r="C2487" t="s">
        <v>12893</v>
      </c>
      <c r="D2487" s="5">
        <v>3.2615740740740744E-2</v>
      </c>
      <c r="E2487">
        <v>12.15</v>
      </c>
      <c r="F2487" t="s">
        <v>44</v>
      </c>
      <c r="G2487" t="s">
        <v>1514</v>
      </c>
      <c r="H2487" t="s">
        <v>22</v>
      </c>
      <c r="I2487" t="s">
        <v>110</v>
      </c>
      <c r="J2487" t="s">
        <v>1515</v>
      </c>
      <c r="K2487">
        <v>51</v>
      </c>
      <c r="L2487" t="s">
        <v>25</v>
      </c>
      <c r="M2487" t="s">
        <v>58</v>
      </c>
      <c r="N2487" t="s">
        <v>51</v>
      </c>
      <c r="O2487" t="s">
        <v>28</v>
      </c>
      <c r="P2487" t="s">
        <v>31</v>
      </c>
      <c r="Q2487">
        <v>0</v>
      </c>
      <c r="R2487" t="s">
        <v>12883</v>
      </c>
      <c r="S2487" t="s">
        <v>12886</v>
      </c>
    </row>
    <row r="2488" spans="1:19" x14ac:dyDescent="0.25">
      <c r="A2488" t="s">
        <v>8666</v>
      </c>
      <c r="B2488" s="1">
        <v>45959</v>
      </c>
      <c r="C2488" t="s">
        <v>12890</v>
      </c>
      <c r="D2488" s="5">
        <v>0.93871527777777775</v>
      </c>
      <c r="E2488">
        <v>12.08</v>
      </c>
      <c r="F2488" t="s">
        <v>44</v>
      </c>
      <c r="G2488" t="s">
        <v>5671</v>
      </c>
      <c r="H2488" t="s">
        <v>46</v>
      </c>
      <c r="I2488" t="s">
        <v>58</v>
      </c>
      <c r="J2488" t="s">
        <v>8667</v>
      </c>
      <c r="K2488">
        <v>55</v>
      </c>
      <c r="L2488" t="s">
        <v>37</v>
      </c>
      <c r="M2488" t="s">
        <v>50</v>
      </c>
      <c r="N2488" t="s">
        <v>84</v>
      </c>
      <c r="O2488" t="s">
        <v>28</v>
      </c>
      <c r="P2488" t="s">
        <v>31</v>
      </c>
      <c r="Q2488">
        <v>0</v>
      </c>
      <c r="R2488" t="s">
        <v>12883</v>
      </c>
      <c r="S2488" t="s">
        <v>12886</v>
      </c>
    </row>
    <row r="2489" spans="1:19" x14ac:dyDescent="0.25">
      <c r="A2489" t="s">
        <v>9979</v>
      </c>
      <c r="B2489" s="1">
        <v>45922</v>
      </c>
      <c r="C2489" t="s">
        <v>12882</v>
      </c>
      <c r="D2489" s="5">
        <v>0.85238425925925931</v>
      </c>
      <c r="E2489">
        <v>12.01</v>
      </c>
      <c r="F2489" t="s">
        <v>44</v>
      </c>
      <c r="G2489" t="s">
        <v>9980</v>
      </c>
      <c r="H2489" t="s">
        <v>22</v>
      </c>
      <c r="I2489" t="s">
        <v>110</v>
      </c>
      <c r="J2489" t="s">
        <v>9981</v>
      </c>
      <c r="K2489">
        <v>51</v>
      </c>
      <c r="L2489" t="s">
        <v>37</v>
      </c>
      <c r="M2489" t="s">
        <v>248</v>
      </c>
      <c r="N2489" t="s">
        <v>105</v>
      </c>
      <c r="O2489" t="s">
        <v>28</v>
      </c>
      <c r="P2489" t="s">
        <v>31</v>
      </c>
      <c r="Q2489">
        <v>0</v>
      </c>
      <c r="R2489" t="s">
        <v>12883</v>
      </c>
      <c r="S2489" t="s">
        <v>12886</v>
      </c>
    </row>
    <row r="2490" spans="1:19" x14ac:dyDescent="0.25">
      <c r="A2490" t="s">
        <v>9390</v>
      </c>
      <c r="B2490" s="1">
        <v>45920</v>
      </c>
      <c r="C2490" t="s">
        <v>12882</v>
      </c>
      <c r="D2490" s="5">
        <v>0.74572916666666667</v>
      </c>
      <c r="E2490">
        <v>11.72</v>
      </c>
      <c r="F2490" t="s">
        <v>44</v>
      </c>
      <c r="G2490" t="s">
        <v>9391</v>
      </c>
      <c r="H2490" t="s">
        <v>46</v>
      </c>
      <c r="I2490" t="s">
        <v>58</v>
      </c>
      <c r="J2490" t="s">
        <v>9392</v>
      </c>
      <c r="K2490">
        <v>49</v>
      </c>
      <c r="L2490" t="s">
        <v>49</v>
      </c>
      <c r="M2490" t="s">
        <v>248</v>
      </c>
      <c r="N2490" t="s">
        <v>39</v>
      </c>
      <c r="O2490" t="s">
        <v>28</v>
      </c>
      <c r="P2490" t="s">
        <v>31</v>
      </c>
      <c r="Q2490">
        <v>0</v>
      </c>
      <c r="R2490" t="s">
        <v>12883</v>
      </c>
      <c r="S2490" t="s">
        <v>12886</v>
      </c>
    </row>
    <row r="2491" spans="1:19" x14ac:dyDescent="0.25">
      <c r="A2491" t="s">
        <v>9122</v>
      </c>
      <c r="B2491" s="1">
        <v>45909</v>
      </c>
      <c r="C2491" t="s">
        <v>12882</v>
      </c>
      <c r="D2491" s="5">
        <v>5.2013888888888887E-2</v>
      </c>
      <c r="E2491">
        <v>11.71</v>
      </c>
      <c r="F2491" t="s">
        <v>44</v>
      </c>
      <c r="G2491" t="s">
        <v>1012</v>
      </c>
      <c r="H2491" t="s">
        <v>124</v>
      </c>
      <c r="I2491" t="s">
        <v>119</v>
      </c>
      <c r="J2491" t="s">
        <v>9123</v>
      </c>
      <c r="K2491">
        <v>24</v>
      </c>
      <c r="L2491" t="s">
        <v>49</v>
      </c>
      <c r="M2491" t="s">
        <v>23</v>
      </c>
      <c r="N2491" t="s">
        <v>105</v>
      </c>
      <c r="O2491" t="s">
        <v>28</v>
      </c>
      <c r="P2491" t="s">
        <v>31</v>
      </c>
      <c r="Q2491">
        <v>0</v>
      </c>
      <c r="R2491" t="s">
        <v>12883</v>
      </c>
      <c r="S2491" t="s">
        <v>12892</v>
      </c>
    </row>
    <row r="2492" spans="1:19" x14ac:dyDescent="0.25">
      <c r="A2492" t="s">
        <v>4211</v>
      </c>
      <c r="B2492" s="1">
        <v>45806</v>
      </c>
      <c r="C2492" t="s">
        <v>12887</v>
      </c>
      <c r="D2492" s="5">
        <v>0.88519675925925922</v>
      </c>
      <c r="E2492">
        <v>11.4</v>
      </c>
      <c r="F2492" t="s">
        <v>44</v>
      </c>
      <c r="G2492" t="s">
        <v>733</v>
      </c>
      <c r="H2492" t="s">
        <v>96</v>
      </c>
      <c r="I2492" t="s">
        <v>91</v>
      </c>
      <c r="J2492" t="s">
        <v>4212</v>
      </c>
      <c r="K2492">
        <v>71</v>
      </c>
      <c r="L2492" t="s">
        <v>49</v>
      </c>
      <c r="M2492" t="s">
        <v>146</v>
      </c>
      <c r="N2492" t="s">
        <v>105</v>
      </c>
      <c r="O2492" t="s">
        <v>28</v>
      </c>
      <c r="P2492" t="s">
        <v>31</v>
      </c>
      <c r="Q2492">
        <v>0</v>
      </c>
      <c r="R2492" t="s">
        <v>12883</v>
      </c>
      <c r="S2492" t="s">
        <v>12884</v>
      </c>
    </row>
    <row r="2493" spans="1:19" x14ac:dyDescent="0.25">
      <c r="A2493" t="s">
        <v>6189</v>
      </c>
      <c r="B2493" s="1">
        <v>45912</v>
      </c>
      <c r="C2493" t="s">
        <v>12882</v>
      </c>
      <c r="D2493" s="5">
        <v>0.35821759259259262</v>
      </c>
      <c r="E2493">
        <v>11.4</v>
      </c>
      <c r="F2493" t="s">
        <v>44</v>
      </c>
      <c r="G2493" t="s">
        <v>1617</v>
      </c>
      <c r="H2493" t="s">
        <v>57</v>
      </c>
      <c r="I2493" t="s">
        <v>26</v>
      </c>
      <c r="J2493" t="s">
        <v>6190</v>
      </c>
      <c r="K2493">
        <v>45</v>
      </c>
      <c r="L2493" t="s">
        <v>49</v>
      </c>
      <c r="M2493" t="s">
        <v>97</v>
      </c>
      <c r="N2493" t="s">
        <v>27</v>
      </c>
      <c r="O2493" t="s">
        <v>28</v>
      </c>
      <c r="P2493" t="s">
        <v>31</v>
      </c>
      <c r="Q2493">
        <v>0</v>
      </c>
      <c r="R2493" t="s">
        <v>12883</v>
      </c>
      <c r="S2493" t="s">
        <v>12886</v>
      </c>
    </row>
    <row r="2494" spans="1:19" x14ac:dyDescent="0.25">
      <c r="A2494" t="s">
        <v>11399</v>
      </c>
      <c r="B2494" s="1">
        <v>45823</v>
      </c>
      <c r="C2494" t="s">
        <v>12888</v>
      </c>
      <c r="D2494" s="5">
        <v>0.5543865740740741</v>
      </c>
      <c r="E2494">
        <v>11.36</v>
      </c>
      <c r="F2494" t="s">
        <v>44</v>
      </c>
      <c r="G2494" t="s">
        <v>2144</v>
      </c>
      <c r="H2494" t="s">
        <v>89</v>
      </c>
      <c r="I2494" t="s">
        <v>130</v>
      </c>
      <c r="J2494" t="s">
        <v>11400</v>
      </c>
      <c r="K2494">
        <v>59</v>
      </c>
      <c r="L2494" t="s">
        <v>25</v>
      </c>
      <c r="M2494" t="s">
        <v>58</v>
      </c>
      <c r="N2494" t="s">
        <v>84</v>
      </c>
      <c r="O2494" t="s">
        <v>28</v>
      </c>
      <c r="P2494" t="s">
        <v>31</v>
      </c>
      <c r="Q2494">
        <v>0</v>
      </c>
      <c r="R2494" t="s">
        <v>12883</v>
      </c>
      <c r="S2494" t="s">
        <v>12886</v>
      </c>
    </row>
    <row r="2495" spans="1:19" x14ac:dyDescent="0.25">
      <c r="A2495" t="s">
        <v>10782</v>
      </c>
      <c r="B2495" s="1">
        <v>45804</v>
      </c>
      <c r="C2495" t="s">
        <v>12887</v>
      </c>
      <c r="D2495" s="5">
        <v>0.67644675925925923</v>
      </c>
      <c r="E2495">
        <v>11.3</v>
      </c>
      <c r="F2495" t="s">
        <v>44</v>
      </c>
      <c r="G2495" t="s">
        <v>10783</v>
      </c>
      <c r="H2495" t="s">
        <v>64</v>
      </c>
      <c r="I2495" t="s">
        <v>38</v>
      </c>
      <c r="J2495" t="s">
        <v>10784</v>
      </c>
      <c r="K2495">
        <v>25</v>
      </c>
      <c r="L2495" t="s">
        <v>25</v>
      </c>
      <c r="M2495" t="s">
        <v>97</v>
      </c>
      <c r="N2495" t="s">
        <v>112</v>
      </c>
      <c r="O2495" t="s">
        <v>28</v>
      </c>
      <c r="P2495" t="s">
        <v>31</v>
      </c>
      <c r="Q2495">
        <v>0</v>
      </c>
      <c r="R2495" t="s">
        <v>12883</v>
      </c>
      <c r="S2495" t="s">
        <v>12889</v>
      </c>
    </row>
    <row r="2496" spans="1:19" x14ac:dyDescent="0.25">
      <c r="A2496" t="s">
        <v>11753</v>
      </c>
      <c r="B2496" s="1">
        <v>45949</v>
      </c>
      <c r="C2496" t="s">
        <v>12890</v>
      </c>
      <c r="D2496" s="5">
        <v>0.40841435185185188</v>
      </c>
      <c r="E2496">
        <v>11.2</v>
      </c>
      <c r="F2496" t="s">
        <v>44</v>
      </c>
      <c r="G2496" t="s">
        <v>3171</v>
      </c>
      <c r="H2496" t="s">
        <v>34</v>
      </c>
      <c r="I2496" t="s">
        <v>91</v>
      </c>
      <c r="J2496" t="s">
        <v>11754</v>
      </c>
      <c r="K2496">
        <v>63</v>
      </c>
      <c r="L2496" t="s">
        <v>49</v>
      </c>
      <c r="M2496" t="s">
        <v>50</v>
      </c>
      <c r="N2496" t="s">
        <v>105</v>
      </c>
      <c r="O2496" t="s">
        <v>28</v>
      </c>
      <c r="P2496" t="s">
        <v>31</v>
      </c>
      <c r="Q2496">
        <v>0</v>
      </c>
      <c r="R2496" t="s">
        <v>12883</v>
      </c>
      <c r="S2496" t="s">
        <v>12884</v>
      </c>
    </row>
    <row r="2497" spans="1:19" x14ac:dyDescent="0.25">
      <c r="A2497" t="s">
        <v>378</v>
      </c>
      <c r="B2497" s="1">
        <v>45797</v>
      </c>
      <c r="C2497" t="s">
        <v>12887</v>
      </c>
      <c r="D2497" s="5">
        <v>6.9849537037037043E-2</v>
      </c>
      <c r="E2497">
        <v>11.13</v>
      </c>
      <c r="F2497" t="s">
        <v>44</v>
      </c>
      <c r="G2497" t="s">
        <v>379</v>
      </c>
      <c r="H2497" t="s">
        <v>46</v>
      </c>
      <c r="I2497" t="s">
        <v>50</v>
      </c>
      <c r="J2497" t="s">
        <v>380</v>
      </c>
      <c r="K2497">
        <v>36</v>
      </c>
      <c r="L2497" t="s">
        <v>25</v>
      </c>
      <c r="M2497" t="s">
        <v>23</v>
      </c>
      <c r="N2497" t="s">
        <v>39</v>
      </c>
      <c r="O2497" t="s">
        <v>28</v>
      </c>
      <c r="P2497" t="s">
        <v>31</v>
      </c>
      <c r="Q2497">
        <v>0</v>
      </c>
      <c r="R2497" t="s">
        <v>12883</v>
      </c>
      <c r="S2497" t="s">
        <v>12889</v>
      </c>
    </row>
    <row r="2498" spans="1:19" x14ac:dyDescent="0.25">
      <c r="A2498" t="s">
        <v>11590</v>
      </c>
      <c r="B2498" s="1">
        <v>45959</v>
      </c>
      <c r="C2498" t="s">
        <v>12890</v>
      </c>
      <c r="D2498" s="5">
        <v>0.40721064814814817</v>
      </c>
      <c r="E2498">
        <v>11.03</v>
      </c>
      <c r="F2498" t="s">
        <v>44</v>
      </c>
      <c r="G2498" t="s">
        <v>829</v>
      </c>
      <c r="H2498" t="s">
        <v>64</v>
      </c>
      <c r="I2498" t="s">
        <v>110</v>
      </c>
      <c r="J2498" t="s">
        <v>11591</v>
      </c>
      <c r="K2498">
        <v>34</v>
      </c>
      <c r="L2498" t="s">
        <v>49</v>
      </c>
      <c r="M2498" t="s">
        <v>58</v>
      </c>
      <c r="N2498" t="s">
        <v>105</v>
      </c>
      <c r="O2498" t="s">
        <v>28</v>
      </c>
      <c r="P2498" t="s">
        <v>31</v>
      </c>
      <c r="Q2498">
        <v>0</v>
      </c>
      <c r="R2498" t="s">
        <v>12883</v>
      </c>
      <c r="S2498" t="s">
        <v>12889</v>
      </c>
    </row>
    <row r="2499" spans="1:19" x14ac:dyDescent="0.25">
      <c r="A2499" t="s">
        <v>7784</v>
      </c>
      <c r="B2499" s="1">
        <v>45957</v>
      </c>
      <c r="C2499" t="s">
        <v>12890</v>
      </c>
      <c r="D2499" s="5">
        <v>0.35363425925925923</v>
      </c>
      <c r="E2499">
        <v>10.78</v>
      </c>
      <c r="F2499" t="s">
        <v>44</v>
      </c>
      <c r="G2499" t="s">
        <v>7785</v>
      </c>
      <c r="H2499" t="s">
        <v>124</v>
      </c>
      <c r="I2499" t="s">
        <v>248</v>
      </c>
      <c r="J2499" t="s">
        <v>7786</v>
      </c>
      <c r="K2499">
        <v>58</v>
      </c>
      <c r="L2499" t="s">
        <v>49</v>
      </c>
      <c r="M2499" t="s">
        <v>91</v>
      </c>
      <c r="N2499" t="s">
        <v>105</v>
      </c>
      <c r="O2499" t="s">
        <v>28</v>
      </c>
      <c r="P2499" t="s">
        <v>31</v>
      </c>
      <c r="Q2499">
        <v>0</v>
      </c>
      <c r="R2499" t="s">
        <v>12883</v>
      </c>
      <c r="S2499" t="s">
        <v>12886</v>
      </c>
    </row>
    <row r="2500" spans="1:19" x14ac:dyDescent="0.25">
      <c r="A2500" t="s">
        <v>7358</v>
      </c>
      <c r="B2500" s="1">
        <v>45885</v>
      </c>
      <c r="C2500" t="s">
        <v>12893</v>
      </c>
      <c r="D2500" s="5">
        <v>0.89399305555555553</v>
      </c>
      <c r="E2500">
        <v>10.46</v>
      </c>
      <c r="F2500" t="s">
        <v>44</v>
      </c>
      <c r="G2500" t="s">
        <v>7359</v>
      </c>
      <c r="H2500" t="s">
        <v>57</v>
      </c>
      <c r="I2500" t="s">
        <v>130</v>
      </c>
      <c r="J2500" t="s">
        <v>1187</v>
      </c>
      <c r="K2500">
        <v>70</v>
      </c>
      <c r="L2500" t="s">
        <v>25</v>
      </c>
      <c r="M2500" t="s">
        <v>50</v>
      </c>
      <c r="N2500" t="s">
        <v>105</v>
      </c>
      <c r="O2500" t="s">
        <v>28</v>
      </c>
      <c r="P2500" t="s">
        <v>31</v>
      </c>
      <c r="Q2500">
        <v>0</v>
      </c>
      <c r="R2500" t="s">
        <v>12883</v>
      </c>
      <c r="S2500" t="s">
        <v>12884</v>
      </c>
    </row>
    <row r="2501" spans="1:19" x14ac:dyDescent="0.25">
      <c r="A2501" t="s">
        <v>7266</v>
      </c>
      <c r="B2501" s="1">
        <v>45871</v>
      </c>
      <c r="C2501" t="s">
        <v>12893</v>
      </c>
      <c r="D2501" s="5">
        <v>0.21655092592592592</v>
      </c>
      <c r="E2501">
        <v>10.199999999999999</v>
      </c>
      <c r="F2501" t="s">
        <v>44</v>
      </c>
      <c r="G2501" t="s">
        <v>1277</v>
      </c>
      <c r="H2501" t="s">
        <v>124</v>
      </c>
      <c r="I2501" t="s">
        <v>38</v>
      </c>
      <c r="J2501" t="s">
        <v>7267</v>
      </c>
      <c r="K2501">
        <v>74</v>
      </c>
      <c r="L2501" t="s">
        <v>37</v>
      </c>
      <c r="M2501" t="s">
        <v>110</v>
      </c>
      <c r="N2501" t="s">
        <v>105</v>
      </c>
      <c r="O2501" t="s">
        <v>28</v>
      </c>
      <c r="P2501" t="s">
        <v>31</v>
      </c>
      <c r="Q2501">
        <v>0</v>
      </c>
      <c r="R2501" t="s">
        <v>12883</v>
      </c>
      <c r="S2501" t="s">
        <v>12884</v>
      </c>
    </row>
    <row r="2502" spans="1:19" x14ac:dyDescent="0.25">
      <c r="A2502" t="s">
        <v>10726</v>
      </c>
      <c r="B2502" s="1">
        <v>45845</v>
      </c>
      <c r="C2502" t="s">
        <v>12885</v>
      </c>
      <c r="D2502" s="5">
        <v>0.2618402777777778</v>
      </c>
      <c r="E2502">
        <v>10.02</v>
      </c>
      <c r="F2502" t="s">
        <v>44</v>
      </c>
      <c r="G2502" t="s">
        <v>7491</v>
      </c>
      <c r="H2502" t="s">
        <v>46</v>
      </c>
      <c r="I2502" t="s">
        <v>248</v>
      </c>
      <c r="J2502" t="s">
        <v>10727</v>
      </c>
      <c r="K2502">
        <v>59</v>
      </c>
      <c r="L2502" t="s">
        <v>37</v>
      </c>
      <c r="M2502" t="s">
        <v>38</v>
      </c>
      <c r="N2502" t="s">
        <v>51</v>
      </c>
      <c r="O2502" t="s">
        <v>28</v>
      </c>
      <c r="P2502" t="s">
        <v>31</v>
      </c>
      <c r="Q2502">
        <v>0</v>
      </c>
      <c r="R2502" t="s">
        <v>12883</v>
      </c>
      <c r="S2502" t="s">
        <v>12886</v>
      </c>
    </row>
    <row r="2503" spans="1:19" x14ac:dyDescent="0.25">
      <c r="A2503" t="s">
        <v>11710</v>
      </c>
      <c r="B2503" s="1">
        <v>45951</v>
      </c>
      <c r="C2503" t="s">
        <v>12890</v>
      </c>
      <c r="D2503" s="5">
        <v>0.57621527777777781</v>
      </c>
      <c r="E2503">
        <v>9.8000000000000007</v>
      </c>
      <c r="F2503" t="s">
        <v>44</v>
      </c>
      <c r="G2503" t="s">
        <v>11711</v>
      </c>
      <c r="H2503" t="s">
        <v>71</v>
      </c>
      <c r="I2503" t="s">
        <v>50</v>
      </c>
      <c r="J2503" t="s">
        <v>11712</v>
      </c>
      <c r="K2503">
        <v>74</v>
      </c>
      <c r="L2503" t="s">
        <v>25</v>
      </c>
      <c r="M2503" t="s">
        <v>119</v>
      </c>
      <c r="N2503" t="s">
        <v>39</v>
      </c>
      <c r="O2503" t="s">
        <v>28</v>
      </c>
      <c r="P2503" t="s">
        <v>31</v>
      </c>
      <c r="Q2503">
        <v>0</v>
      </c>
      <c r="R2503" t="s">
        <v>12883</v>
      </c>
      <c r="S2503" t="s">
        <v>12884</v>
      </c>
    </row>
    <row r="2504" spans="1:19" x14ac:dyDescent="0.25">
      <c r="A2504" t="s">
        <v>4163</v>
      </c>
      <c r="B2504" s="1">
        <v>45927</v>
      </c>
      <c r="C2504" t="s">
        <v>12882</v>
      </c>
      <c r="D2504" s="5">
        <v>0.38219907407407405</v>
      </c>
      <c r="E2504">
        <v>9.7100000000000009</v>
      </c>
      <c r="F2504" t="s">
        <v>44</v>
      </c>
      <c r="G2504" t="s">
        <v>2277</v>
      </c>
      <c r="H2504" t="s">
        <v>46</v>
      </c>
      <c r="I2504" t="s">
        <v>35</v>
      </c>
      <c r="J2504" t="s">
        <v>4164</v>
      </c>
      <c r="K2504">
        <v>11</v>
      </c>
      <c r="L2504" t="s">
        <v>49</v>
      </c>
      <c r="M2504" t="s">
        <v>38</v>
      </c>
      <c r="N2504" t="s">
        <v>27</v>
      </c>
      <c r="O2504" t="s">
        <v>28</v>
      </c>
      <c r="P2504" t="s">
        <v>31</v>
      </c>
      <c r="Q2504">
        <v>0</v>
      </c>
      <c r="R2504" t="s">
        <v>12883</v>
      </c>
      <c r="S2504" t="s">
        <v>12892</v>
      </c>
    </row>
    <row r="2505" spans="1:19" x14ac:dyDescent="0.25">
      <c r="A2505" t="s">
        <v>3278</v>
      </c>
      <c r="B2505" s="1">
        <v>45916</v>
      </c>
      <c r="C2505" t="s">
        <v>12882</v>
      </c>
      <c r="D2505" s="5">
        <v>0.80140046296296297</v>
      </c>
      <c r="E2505">
        <v>9.67</v>
      </c>
      <c r="F2505" t="s">
        <v>44</v>
      </c>
      <c r="G2505" t="s">
        <v>3279</v>
      </c>
      <c r="H2505" t="s">
        <v>57</v>
      </c>
      <c r="I2505" t="s">
        <v>248</v>
      </c>
      <c r="J2505" t="s">
        <v>3280</v>
      </c>
      <c r="K2505">
        <v>36</v>
      </c>
      <c r="L2505" t="s">
        <v>37</v>
      </c>
      <c r="M2505" t="s">
        <v>38</v>
      </c>
      <c r="N2505" t="s">
        <v>27</v>
      </c>
      <c r="O2505" t="s">
        <v>28</v>
      </c>
      <c r="P2505" t="s">
        <v>31</v>
      </c>
      <c r="Q2505">
        <v>0</v>
      </c>
      <c r="R2505" t="s">
        <v>12883</v>
      </c>
      <c r="S2505" t="s">
        <v>12889</v>
      </c>
    </row>
    <row r="2506" spans="1:19" x14ac:dyDescent="0.25">
      <c r="A2506" t="s">
        <v>6715</v>
      </c>
      <c r="B2506" s="1">
        <v>45904</v>
      </c>
      <c r="C2506" t="s">
        <v>12882</v>
      </c>
      <c r="D2506" s="5">
        <v>0.6010416666666667</v>
      </c>
      <c r="E2506">
        <v>9.6300000000000008</v>
      </c>
      <c r="F2506" t="s">
        <v>44</v>
      </c>
      <c r="G2506" t="s">
        <v>1200</v>
      </c>
      <c r="H2506" t="s">
        <v>96</v>
      </c>
      <c r="I2506" t="s">
        <v>66</v>
      </c>
      <c r="J2506" t="s">
        <v>6716</v>
      </c>
      <c r="K2506">
        <v>60</v>
      </c>
      <c r="L2506" t="s">
        <v>49</v>
      </c>
      <c r="M2506" t="s">
        <v>66</v>
      </c>
      <c r="N2506" t="s">
        <v>112</v>
      </c>
      <c r="O2506" t="s">
        <v>113</v>
      </c>
      <c r="P2506" t="s">
        <v>31</v>
      </c>
      <c r="Q2506">
        <v>0</v>
      </c>
      <c r="R2506" t="s">
        <v>12883</v>
      </c>
      <c r="S2506" t="s">
        <v>12884</v>
      </c>
    </row>
    <row r="2507" spans="1:19" x14ac:dyDescent="0.25">
      <c r="A2507" t="s">
        <v>9248</v>
      </c>
      <c r="B2507" s="1">
        <v>45952</v>
      </c>
      <c r="C2507" t="s">
        <v>12890</v>
      </c>
      <c r="D2507" s="5">
        <v>0.60008101851851847</v>
      </c>
      <c r="E2507">
        <v>9.5399999999999991</v>
      </c>
      <c r="F2507" t="s">
        <v>44</v>
      </c>
      <c r="G2507" t="s">
        <v>5718</v>
      </c>
      <c r="H2507" t="s">
        <v>77</v>
      </c>
      <c r="I2507" t="s">
        <v>130</v>
      </c>
      <c r="J2507" t="s">
        <v>9249</v>
      </c>
      <c r="K2507">
        <v>66</v>
      </c>
      <c r="L2507" t="s">
        <v>49</v>
      </c>
      <c r="M2507" t="s">
        <v>50</v>
      </c>
      <c r="N2507" t="s">
        <v>105</v>
      </c>
      <c r="O2507" t="s">
        <v>28</v>
      </c>
      <c r="P2507" t="s">
        <v>31</v>
      </c>
      <c r="Q2507">
        <v>0</v>
      </c>
      <c r="R2507" t="s">
        <v>12883</v>
      </c>
      <c r="S2507" t="s">
        <v>12884</v>
      </c>
    </row>
    <row r="2508" spans="1:19" x14ac:dyDescent="0.25">
      <c r="A2508" t="s">
        <v>6226</v>
      </c>
      <c r="B2508" s="1">
        <v>45933</v>
      </c>
      <c r="C2508" t="s">
        <v>12890</v>
      </c>
      <c r="D2508" s="5">
        <v>0.5671180555555555</v>
      </c>
      <c r="E2508">
        <v>9.48</v>
      </c>
      <c r="F2508" t="s">
        <v>44</v>
      </c>
      <c r="G2508" t="s">
        <v>3060</v>
      </c>
      <c r="H2508" t="s">
        <v>64</v>
      </c>
      <c r="I2508" t="s">
        <v>35</v>
      </c>
      <c r="J2508" t="s">
        <v>6227</v>
      </c>
      <c r="K2508">
        <v>66</v>
      </c>
      <c r="L2508" t="s">
        <v>49</v>
      </c>
      <c r="M2508" t="s">
        <v>50</v>
      </c>
      <c r="N2508" t="s">
        <v>84</v>
      </c>
      <c r="O2508" t="s">
        <v>28</v>
      </c>
      <c r="P2508" t="s">
        <v>31</v>
      </c>
      <c r="Q2508">
        <v>0</v>
      </c>
      <c r="R2508" t="s">
        <v>12883</v>
      </c>
      <c r="S2508" t="s">
        <v>12884</v>
      </c>
    </row>
    <row r="2509" spans="1:19" x14ac:dyDescent="0.25">
      <c r="A2509" t="s">
        <v>342</v>
      </c>
      <c r="B2509" s="1">
        <v>45863</v>
      </c>
      <c r="C2509" t="s">
        <v>12885</v>
      </c>
      <c r="D2509" s="5">
        <v>0.57791666666666663</v>
      </c>
      <c r="E2509">
        <v>9.3800000000000008</v>
      </c>
      <c r="F2509" t="s">
        <v>44</v>
      </c>
      <c r="G2509" t="s">
        <v>343</v>
      </c>
      <c r="H2509" t="s">
        <v>57</v>
      </c>
      <c r="I2509" t="s">
        <v>91</v>
      </c>
      <c r="J2509" t="s">
        <v>344</v>
      </c>
      <c r="K2509">
        <v>35</v>
      </c>
      <c r="L2509" t="s">
        <v>25</v>
      </c>
      <c r="M2509" t="s">
        <v>23</v>
      </c>
      <c r="N2509" t="s">
        <v>51</v>
      </c>
      <c r="O2509" t="s">
        <v>28</v>
      </c>
      <c r="P2509" t="s">
        <v>31</v>
      </c>
      <c r="Q2509">
        <v>0</v>
      </c>
      <c r="R2509" t="s">
        <v>12883</v>
      </c>
      <c r="S2509" t="s">
        <v>12889</v>
      </c>
    </row>
    <row r="2510" spans="1:19" x14ac:dyDescent="0.25">
      <c r="A2510" t="s">
        <v>7715</v>
      </c>
      <c r="B2510" s="1">
        <v>45929</v>
      </c>
      <c r="C2510" t="s">
        <v>12882</v>
      </c>
      <c r="D2510" s="5">
        <v>0.61776620370370372</v>
      </c>
      <c r="E2510">
        <v>9.33</v>
      </c>
      <c r="F2510" t="s">
        <v>44</v>
      </c>
      <c r="G2510" t="s">
        <v>7716</v>
      </c>
      <c r="H2510" t="s">
        <v>89</v>
      </c>
      <c r="I2510" t="s">
        <v>66</v>
      </c>
      <c r="J2510" t="s">
        <v>7717</v>
      </c>
      <c r="K2510">
        <v>43</v>
      </c>
      <c r="L2510" t="s">
        <v>37</v>
      </c>
      <c r="M2510" t="s">
        <v>38</v>
      </c>
      <c r="N2510" t="s">
        <v>112</v>
      </c>
      <c r="O2510" t="s">
        <v>28</v>
      </c>
      <c r="P2510" t="s">
        <v>31</v>
      </c>
      <c r="Q2510">
        <v>0</v>
      </c>
      <c r="R2510" t="s">
        <v>12883</v>
      </c>
      <c r="S2510" t="s">
        <v>12886</v>
      </c>
    </row>
    <row r="2511" spans="1:19" x14ac:dyDescent="0.25">
      <c r="A2511" t="s">
        <v>12196</v>
      </c>
      <c r="B2511" s="1">
        <v>45871</v>
      </c>
      <c r="C2511" t="s">
        <v>12893</v>
      </c>
      <c r="D2511" s="5">
        <v>0.92829861111111112</v>
      </c>
      <c r="E2511">
        <v>9.2899999999999991</v>
      </c>
      <c r="F2511" t="s">
        <v>44</v>
      </c>
      <c r="G2511" t="s">
        <v>3517</v>
      </c>
      <c r="H2511" t="s">
        <v>124</v>
      </c>
      <c r="I2511" t="s">
        <v>146</v>
      </c>
      <c r="J2511" t="s">
        <v>12197</v>
      </c>
      <c r="K2511">
        <v>72</v>
      </c>
      <c r="L2511" t="s">
        <v>49</v>
      </c>
      <c r="M2511" t="s">
        <v>23</v>
      </c>
      <c r="N2511" t="s">
        <v>27</v>
      </c>
      <c r="O2511" t="s">
        <v>28</v>
      </c>
      <c r="P2511" t="s">
        <v>31</v>
      </c>
      <c r="Q2511">
        <v>0</v>
      </c>
      <c r="R2511" t="s">
        <v>12883</v>
      </c>
      <c r="S2511" t="s">
        <v>12884</v>
      </c>
    </row>
    <row r="2512" spans="1:19" x14ac:dyDescent="0.25">
      <c r="A2512" t="s">
        <v>2711</v>
      </c>
      <c r="B2512" s="1">
        <v>45817</v>
      </c>
      <c r="C2512" t="s">
        <v>12888</v>
      </c>
      <c r="D2512" s="5">
        <v>0.62883101851851853</v>
      </c>
      <c r="E2512">
        <v>8.92</v>
      </c>
      <c r="F2512" t="s">
        <v>44</v>
      </c>
      <c r="G2512" t="s">
        <v>2712</v>
      </c>
      <c r="H2512" t="s">
        <v>57</v>
      </c>
      <c r="I2512" t="s">
        <v>35</v>
      </c>
      <c r="J2512" t="s">
        <v>2713</v>
      </c>
      <c r="K2512">
        <v>114</v>
      </c>
      <c r="L2512" t="s">
        <v>37</v>
      </c>
      <c r="M2512" t="s">
        <v>146</v>
      </c>
      <c r="N2512" t="s">
        <v>27</v>
      </c>
      <c r="O2512" t="s">
        <v>28</v>
      </c>
      <c r="P2512" t="s">
        <v>31</v>
      </c>
      <c r="Q2512">
        <v>0</v>
      </c>
      <c r="R2512" t="s">
        <v>12883</v>
      </c>
      <c r="S2512" t="s">
        <v>12884</v>
      </c>
    </row>
    <row r="2513" spans="1:19" x14ac:dyDescent="0.25">
      <c r="A2513" t="s">
        <v>9689</v>
      </c>
      <c r="B2513" s="1">
        <v>45927</v>
      </c>
      <c r="C2513" t="s">
        <v>12882</v>
      </c>
      <c r="D2513" s="5">
        <v>0.87513888888888891</v>
      </c>
      <c r="E2513">
        <v>8.84</v>
      </c>
      <c r="F2513" t="s">
        <v>44</v>
      </c>
      <c r="G2513" t="s">
        <v>2457</v>
      </c>
      <c r="H2513" t="s">
        <v>124</v>
      </c>
      <c r="I2513" t="s">
        <v>35</v>
      </c>
      <c r="J2513" t="s">
        <v>9690</v>
      </c>
      <c r="K2513">
        <v>42</v>
      </c>
      <c r="L2513" t="s">
        <v>37</v>
      </c>
      <c r="M2513" t="s">
        <v>248</v>
      </c>
      <c r="N2513" t="s">
        <v>51</v>
      </c>
      <c r="O2513" t="s">
        <v>28</v>
      </c>
      <c r="P2513" t="s">
        <v>31</v>
      </c>
      <c r="Q2513">
        <v>0</v>
      </c>
      <c r="R2513" t="s">
        <v>12883</v>
      </c>
      <c r="S2513" t="s">
        <v>12886</v>
      </c>
    </row>
    <row r="2514" spans="1:19" x14ac:dyDescent="0.25">
      <c r="A2514" t="s">
        <v>8505</v>
      </c>
      <c r="B2514" s="1">
        <v>45927</v>
      </c>
      <c r="C2514" t="s">
        <v>12882</v>
      </c>
      <c r="D2514" s="5">
        <v>0.88168981481481479</v>
      </c>
      <c r="E2514">
        <v>8.76</v>
      </c>
      <c r="F2514" t="s">
        <v>44</v>
      </c>
      <c r="G2514" t="s">
        <v>797</v>
      </c>
      <c r="H2514" t="s">
        <v>64</v>
      </c>
      <c r="I2514" t="s">
        <v>119</v>
      </c>
      <c r="J2514" t="s">
        <v>8506</v>
      </c>
      <c r="K2514">
        <v>41</v>
      </c>
      <c r="L2514" t="s">
        <v>37</v>
      </c>
      <c r="M2514" t="s">
        <v>50</v>
      </c>
      <c r="N2514" t="s">
        <v>39</v>
      </c>
      <c r="O2514" t="s">
        <v>28</v>
      </c>
      <c r="P2514" t="s">
        <v>31</v>
      </c>
      <c r="Q2514">
        <v>0</v>
      </c>
      <c r="R2514" t="s">
        <v>12883</v>
      </c>
      <c r="S2514" t="s">
        <v>12886</v>
      </c>
    </row>
    <row r="2515" spans="1:19" x14ac:dyDescent="0.25">
      <c r="A2515" t="s">
        <v>9650</v>
      </c>
      <c r="B2515" s="1">
        <v>45785</v>
      </c>
      <c r="C2515" t="s">
        <v>12887</v>
      </c>
      <c r="D2515" s="5">
        <v>0.88885416666666661</v>
      </c>
      <c r="E2515">
        <v>8.5500000000000007</v>
      </c>
      <c r="F2515" t="s">
        <v>44</v>
      </c>
      <c r="G2515" t="s">
        <v>2654</v>
      </c>
      <c r="H2515" t="s">
        <v>34</v>
      </c>
      <c r="I2515" t="s">
        <v>66</v>
      </c>
      <c r="J2515" t="s">
        <v>9651</v>
      </c>
      <c r="K2515">
        <v>69</v>
      </c>
      <c r="L2515" t="s">
        <v>25</v>
      </c>
      <c r="M2515" t="s">
        <v>26</v>
      </c>
      <c r="N2515" t="s">
        <v>27</v>
      </c>
      <c r="O2515" t="s">
        <v>28</v>
      </c>
      <c r="P2515" t="s">
        <v>31</v>
      </c>
      <c r="Q2515">
        <v>0</v>
      </c>
      <c r="R2515" t="s">
        <v>12883</v>
      </c>
      <c r="S2515" t="s">
        <v>12884</v>
      </c>
    </row>
    <row r="2516" spans="1:19" x14ac:dyDescent="0.25">
      <c r="A2516" t="s">
        <v>5777</v>
      </c>
      <c r="B2516" s="1">
        <v>45876</v>
      </c>
      <c r="C2516" t="s">
        <v>12893</v>
      </c>
      <c r="D2516" s="5">
        <v>0.98422453703703705</v>
      </c>
      <c r="E2516">
        <v>8.5299999999999994</v>
      </c>
      <c r="F2516" t="s">
        <v>44</v>
      </c>
      <c r="G2516" t="s">
        <v>1163</v>
      </c>
      <c r="H2516" t="s">
        <v>96</v>
      </c>
      <c r="I2516" t="s">
        <v>58</v>
      </c>
      <c r="J2516" t="s">
        <v>5778</v>
      </c>
      <c r="K2516">
        <v>63</v>
      </c>
      <c r="L2516" t="s">
        <v>25</v>
      </c>
      <c r="M2516" t="s">
        <v>23</v>
      </c>
      <c r="N2516" t="s">
        <v>39</v>
      </c>
      <c r="O2516" t="s">
        <v>28</v>
      </c>
      <c r="P2516" t="s">
        <v>31</v>
      </c>
      <c r="Q2516">
        <v>0</v>
      </c>
      <c r="R2516" t="s">
        <v>12883</v>
      </c>
      <c r="S2516" t="s">
        <v>12884</v>
      </c>
    </row>
    <row r="2517" spans="1:19" x14ac:dyDescent="0.25">
      <c r="A2517" t="s">
        <v>1682</v>
      </c>
      <c r="B2517" s="1">
        <v>45907</v>
      </c>
      <c r="C2517" t="s">
        <v>12882</v>
      </c>
      <c r="D2517" s="5">
        <v>0.5189583333333333</v>
      </c>
      <c r="E2517">
        <v>8.51</v>
      </c>
      <c r="F2517" t="s">
        <v>44</v>
      </c>
      <c r="G2517" t="s">
        <v>1683</v>
      </c>
      <c r="H2517" t="s">
        <v>124</v>
      </c>
      <c r="I2517" t="s">
        <v>26</v>
      </c>
      <c r="J2517" t="s">
        <v>1684</v>
      </c>
      <c r="K2517">
        <v>64</v>
      </c>
      <c r="L2517" t="s">
        <v>25</v>
      </c>
      <c r="M2517" t="s">
        <v>26</v>
      </c>
      <c r="N2517" t="s">
        <v>51</v>
      </c>
      <c r="O2517" t="s">
        <v>113</v>
      </c>
      <c r="P2517" t="s">
        <v>31</v>
      </c>
      <c r="Q2517">
        <v>0</v>
      </c>
      <c r="R2517" t="s">
        <v>12883</v>
      </c>
      <c r="S2517" t="s">
        <v>12884</v>
      </c>
    </row>
    <row r="2518" spans="1:19" x14ac:dyDescent="0.25">
      <c r="A2518" t="s">
        <v>10954</v>
      </c>
      <c r="B2518" s="1">
        <v>45852</v>
      </c>
      <c r="C2518" t="s">
        <v>12885</v>
      </c>
      <c r="D2518" s="5">
        <v>0.93003472222222228</v>
      </c>
      <c r="E2518">
        <v>8.42</v>
      </c>
      <c r="F2518" t="s">
        <v>44</v>
      </c>
      <c r="G2518" t="s">
        <v>21</v>
      </c>
      <c r="H2518" t="s">
        <v>22</v>
      </c>
      <c r="I2518" t="s">
        <v>97</v>
      </c>
      <c r="J2518" t="s">
        <v>10955</v>
      </c>
      <c r="K2518">
        <v>57</v>
      </c>
      <c r="L2518" t="s">
        <v>25</v>
      </c>
      <c r="M2518" t="s">
        <v>110</v>
      </c>
      <c r="N2518" t="s">
        <v>112</v>
      </c>
      <c r="O2518" t="s">
        <v>28</v>
      </c>
      <c r="P2518" t="s">
        <v>31</v>
      </c>
      <c r="Q2518">
        <v>0</v>
      </c>
      <c r="R2518" t="s">
        <v>12883</v>
      </c>
      <c r="S2518" t="s">
        <v>12886</v>
      </c>
    </row>
    <row r="2519" spans="1:19" x14ac:dyDescent="0.25">
      <c r="A2519" t="s">
        <v>5156</v>
      </c>
      <c r="B2519" s="1">
        <v>45888</v>
      </c>
      <c r="C2519" t="s">
        <v>12893</v>
      </c>
      <c r="D2519" s="5">
        <v>0.8963888888888889</v>
      </c>
      <c r="E2519">
        <v>8.35</v>
      </c>
      <c r="F2519" t="s">
        <v>44</v>
      </c>
      <c r="G2519" t="s">
        <v>5157</v>
      </c>
      <c r="H2519" t="s">
        <v>89</v>
      </c>
      <c r="I2519" t="s">
        <v>91</v>
      </c>
      <c r="J2519" t="s">
        <v>5158</v>
      </c>
      <c r="K2519">
        <v>38</v>
      </c>
      <c r="L2519" t="s">
        <v>49</v>
      </c>
      <c r="M2519" t="s">
        <v>119</v>
      </c>
      <c r="N2519" t="s">
        <v>105</v>
      </c>
      <c r="O2519" t="s">
        <v>28</v>
      </c>
      <c r="P2519" t="s">
        <v>31</v>
      </c>
      <c r="Q2519">
        <v>0</v>
      </c>
      <c r="R2519" t="s">
        <v>12883</v>
      </c>
      <c r="S2519" t="s">
        <v>12889</v>
      </c>
    </row>
    <row r="2520" spans="1:19" x14ac:dyDescent="0.25">
      <c r="A2520" t="s">
        <v>4828</v>
      </c>
      <c r="B2520" s="1">
        <v>45798</v>
      </c>
      <c r="C2520" t="s">
        <v>12887</v>
      </c>
      <c r="D2520" s="5">
        <v>0.5985300925925926</v>
      </c>
      <c r="E2520">
        <v>8.32</v>
      </c>
      <c r="F2520" t="s">
        <v>44</v>
      </c>
      <c r="G2520" t="s">
        <v>2575</v>
      </c>
      <c r="H2520" t="s">
        <v>34</v>
      </c>
      <c r="I2520" t="s">
        <v>66</v>
      </c>
      <c r="J2520" t="s">
        <v>4829</v>
      </c>
      <c r="K2520">
        <v>35</v>
      </c>
      <c r="L2520" t="s">
        <v>37</v>
      </c>
      <c r="M2520" t="s">
        <v>110</v>
      </c>
      <c r="N2520" t="s">
        <v>39</v>
      </c>
      <c r="O2520" t="s">
        <v>28</v>
      </c>
      <c r="P2520" t="s">
        <v>31</v>
      </c>
      <c r="Q2520">
        <v>0</v>
      </c>
      <c r="R2520" t="s">
        <v>12883</v>
      </c>
      <c r="S2520" t="s">
        <v>12889</v>
      </c>
    </row>
    <row r="2521" spans="1:19" x14ac:dyDescent="0.25">
      <c r="A2521" t="s">
        <v>10086</v>
      </c>
      <c r="B2521" s="1">
        <v>45804</v>
      </c>
      <c r="C2521" t="s">
        <v>12887</v>
      </c>
      <c r="D2521" s="5">
        <v>0.10796296296296297</v>
      </c>
      <c r="E2521">
        <v>8.26</v>
      </c>
      <c r="F2521" t="s">
        <v>44</v>
      </c>
      <c r="G2521" t="s">
        <v>9885</v>
      </c>
      <c r="H2521" t="s">
        <v>77</v>
      </c>
      <c r="I2521" t="s">
        <v>146</v>
      </c>
      <c r="J2521" t="s">
        <v>10087</v>
      </c>
      <c r="K2521">
        <v>30</v>
      </c>
      <c r="L2521" t="s">
        <v>37</v>
      </c>
      <c r="M2521" t="s">
        <v>58</v>
      </c>
      <c r="N2521" t="s">
        <v>51</v>
      </c>
      <c r="O2521" t="s">
        <v>28</v>
      </c>
      <c r="P2521" t="s">
        <v>31</v>
      </c>
      <c r="Q2521">
        <v>0</v>
      </c>
      <c r="R2521" t="s">
        <v>12883</v>
      </c>
      <c r="S2521" t="s">
        <v>12889</v>
      </c>
    </row>
    <row r="2522" spans="1:19" x14ac:dyDescent="0.25">
      <c r="A2522" t="s">
        <v>11574</v>
      </c>
      <c r="B2522" s="1">
        <v>45931</v>
      </c>
      <c r="C2522" t="s">
        <v>12890</v>
      </c>
      <c r="D2522" s="5">
        <v>1.2534722222222221E-2</v>
      </c>
      <c r="E2522">
        <v>7.76</v>
      </c>
      <c r="F2522" t="s">
        <v>44</v>
      </c>
      <c r="G2522" t="s">
        <v>5081</v>
      </c>
      <c r="H2522" t="s">
        <v>34</v>
      </c>
      <c r="I2522" t="s">
        <v>146</v>
      </c>
      <c r="J2522" t="s">
        <v>11575</v>
      </c>
      <c r="K2522">
        <v>35</v>
      </c>
      <c r="L2522" t="s">
        <v>49</v>
      </c>
      <c r="M2522" t="s">
        <v>146</v>
      </c>
      <c r="N2522" t="s">
        <v>112</v>
      </c>
      <c r="O2522" t="s">
        <v>113</v>
      </c>
      <c r="P2522" t="s">
        <v>31</v>
      </c>
      <c r="Q2522">
        <v>0</v>
      </c>
      <c r="R2522" t="s">
        <v>12883</v>
      </c>
      <c r="S2522" t="s">
        <v>12889</v>
      </c>
    </row>
    <row r="2523" spans="1:19" x14ac:dyDescent="0.25">
      <c r="A2523" t="s">
        <v>2390</v>
      </c>
      <c r="B2523" s="1">
        <v>45860</v>
      </c>
      <c r="C2523" t="s">
        <v>12885</v>
      </c>
      <c r="D2523" s="5">
        <v>0.35749999999999998</v>
      </c>
      <c r="E2523">
        <v>7.7</v>
      </c>
      <c r="F2523" t="s">
        <v>44</v>
      </c>
      <c r="G2523" t="s">
        <v>1068</v>
      </c>
      <c r="H2523" t="s">
        <v>124</v>
      </c>
      <c r="I2523" t="s">
        <v>26</v>
      </c>
      <c r="J2523" t="s">
        <v>2391</v>
      </c>
      <c r="K2523">
        <v>69</v>
      </c>
      <c r="L2523" t="s">
        <v>49</v>
      </c>
      <c r="M2523" t="s">
        <v>248</v>
      </c>
      <c r="N2523" t="s">
        <v>112</v>
      </c>
      <c r="O2523" t="s">
        <v>28</v>
      </c>
      <c r="P2523" t="s">
        <v>31</v>
      </c>
      <c r="Q2523">
        <v>0</v>
      </c>
      <c r="R2523" t="s">
        <v>12883</v>
      </c>
      <c r="S2523" t="s">
        <v>12884</v>
      </c>
    </row>
    <row r="2524" spans="1:19" x14ac:dyDescent="0.25">
      <c r="A2524" t="s">
        <v>776</v>
      </c>
      <c r="B2524" s="1">
        <v>45951</v>
      </c>
      <c r="C2524" t="s">
        <v>12890</v>
      </c>
      <c r="D2524" s="5">
        <v>1.2314814814814815E-2</v>
      </c>
      <c r="E2524">
        <v>7.59</v>
      </c>
      <c r="F2524" t="s">
        <v>44</v>
      </c>
      <c r="G2524" t="s">
        <v>777</v>
      </c>
      <c r="H2524" t="s">
        <v>57</v>
      </c>
      <c r="I2524" t="s">
        <v>47</v>
      </c>
      <c r="J2524" t="s">
        <v>778</v>
      </c>
      <c r="K2524">
        <v>63</v>
      </c>
      <c r="L2524" t="s">
        <v>25</v>
      </c>
      <c r="M2524" t="s">
        <v>97</v>
      </c>
      <c r="N2524" t="s">
        <v>112</v>
      </c>
      <c r="O2524" t="s">
        <v>28</v>
      </c>
      <c r="P2524" t="s">
        <v>31</v>
      </c>
      <c r="Q2524">
        <v>0</v>
      </c>
      <c r="R2524" t="s">
        <v>12883</v>
      </c>
      <c r="S2524" t="s">
        <v>12884</v>
      </c>
    </row>
    <row r="2525" spans="1:19" x14ac:dyDescent="0.25">
      <c r="A2525" t="s">
        <v>6444</v>
      </c>
      <c r="B2525" s="1">
        <v>45914</v>
      </c>
      <c r="C2525" t="s">
        <v>12882</v>
      </c>
      <c r="D2525" s="5">
        <v>0.57494212962962965</v>
      </c>
      <c r="E2525">
        <v>7.57</v>
      </c>
      <c r="F2525" t="s">
        <v>44</v>
      </c>
      <c r="G2525" t="s">
        <v>6445</v>
      </c>
      <c r="H2525" t="s">
        <v>96</v>
      </c>
      <c r="I2525" t="s">
        <v>97</v>
      </c>
      <c r="J2525" t="s">
        <v>6446</v>
      </c>
      <c r="K2525">
        <v>68</v>
      </c>
      <c r="L2525" t="s">
        <v>25</v>
      </c>
      <c r="M2525" t="s">
        <v>47</v>
      </c>
      <c r="N2525" t="s">
        <v>112</v>
      </c>
      <c r="O2525" t="s">
        <v>28</v>
      </c>
      <c r="P2525" t="s">
        <v>31</v>
      </c>
      <c r="Q2525">
        <v>0</v>
      </c>
      <c r="R2525" t="s">
        <v>12883</v>
      </c>
      <c r="S2525" t="s">
        <v>12884</v>
      </c>
    </row>
    <row r="2526" spans="1:19" x14ac:dyDescent="0.25">
      <c r="A2526" t="s">
        <v>3893</v>
      </c>
      <c r="B2526" s="1">
        <v>45911</v>
      </c>
      <c r="C2526" t="s">
        <v>12882</v>
      </c>
      <c r="D2526" s="5">
        <v>0.17967592592592593</v>
      </c>
      <c r="E2526">
        <v>7.51</v>
      </c>
      <c r="F2526" t="s">
        <v>44</v>
      </c>
      <c r="G2526" t="s">
        <v>3816</v>
      </c>
      <c r="H2526" t="s">
        <v>89</v>
      </c>
      <c r="I2526" t="s">
        <v>97</v>
      </c>
      <c r="J2526" t="s">
        <v>3894</v>
      </c>
      <c r="K2526">
        <v>38</v>
      </c>
      <c r="L2526" t="s">
        <v>49</v>
      </c>
      <c r="M2526" t="s">
        <v>110</v>
      </c>
      <c r="N2526" t="s">
        <v>84</v>
      </c>
      <c r="O2526" t="s">
        <v>28</v>
      </c>
      <c r="P2526" t="s">
        <v>31</v>
      </c>
      <c r="Q2526">
        <v>0</v>
      </c>
      <c r="R2526" t="s">
        <v>12883</v>
      </c>
      <c r="S2526" t="s">
        <v>12889</v>
      </c>
    </row>
    <row r="2527" spans="1:19" x14ac:dyDescent="0.25">
      <c r="A2527" t="s">
        <v>8473</v>
      </c>
      <c r="B2527" s="1">
        <v>45841</v>
      </c>
      <c r="C2527" t="s">
        <v>12885</v>
      </c>
      <c r="D2527" s="5">
        <v>0.81199074074074074</v>
      </c>
      <c r="E2527">
        <v>7.44</v>
      </c>
      <c r="F2527" t="s">
        <v>44</v>
      </c>
      <c r="G2527" t="s">
        <v>5036</v>
      </c>
      <c r="H2527" t="s">
        <v>57</v>
      </c>
      <c r="I2527" t="s">
        <v>97</v>
      </c>
      <c r="J2527" t="s">
        <v>8474</v>
      </c>
      <c r="K2527">
        <v>18</v>
      </c>
      <c r="L2527" t="s">
        <v>49</v>
      </c>
      <c r="M2527" t="s">
        <v>23</v>
      </c>
      <c r="N2527" t="s">
        <v>112</v>
      </c>
      <c r="O2527" t="s">
        <v>28</v>
      </c>
      <c r="P2527" t="s">
        <v>31</v>
      </c>
      <c r="Q2527">
        <v>0</v>
      </c>
      <c r="R2527" t="s">
        <v>12883</v>
      </c>
      <c r="S2527" t="s">
        <v>12892</v>
      </c>
    </row>
    <row r="2528" spans="1:19" x14ac:dyDescent="0.25">
      <c r="A2528" t="s">
        <v>6788</v>
      </c>
      <c r="B2528" s="1">
        <v>45908</v>
      </c>
      <c r="C2528" t="s">
        <v>12882</v>
      </c>
      <c r="D2528" s="5">
        <v>0.23434027777777777</v>
      </c>
      <c r="E2528">
        <v>7.42</v>
      </c>
      <c r="F2528" t="s">
        <v>44</v>
      </c>
      <c r="G2528" t="s">
        <v>2249</v>
      </c>
      <c r="H2528" t="s">
        <v>71</v>
      </c>
      <c r="I2528" t="s">
        <v>26</v>
      </c>
      <c r="J2528" t="s">
        <v>6789</v>
      </c>
      <c r="K2528">
        <v>40</v>
      </c>
      <c r="L2528" t="s">
        <v>49</v>
      </c>
      <c r="M2528" t="s">
        <v>97</v>
      </c>
      <c r="N2528" t="s">
        <v>84</v>
      </c>
      <c r="O2528" t="s">
        <v>28</v>
      </c>
      <c r="P2528" t="s">
        <v>31</v>
      </c>
      <c r="Q2528">
        <v>0</v>
      </c>
      <c r="R2528" t="s">
        <v>12883</v>
      </c>
      <c r="S2528" t="s">
        <v>12886</v>
      </c>
    </row>
    <row r="2529" spans="1:19" x14ac:dyDescent="0.25">
      <c r="A2529" t="s">
        <v>954</v>
      </c>
      <c r="B2529" s="1">
        <v>45920</v>
      </c>
      <c r="C2529" t="s">
        <v>12882</v>
      </c>
      <c r="D2529" s="5">
        <v>5.6828703703703701E-2</v>
      </c>
      <c r="E2529">
        <v>7.36</v>
      </c>
      <c r="F2529" t="s">
        <v>44</v>
      </c>
      <c r="G2529" t="s">
        <v>874</v>
      </c>
      <c r="H2529" t="s">
        <v>124</v>
      </c>
      <c r="I2529" t="s">
        <v>130</v>
      </c>
      <c r="J2529" t="s">
        <v>955</v>
      </c>
      <c r="K2529">
        <v>41</v>
      </c>
      <c r="L2529" t="s">
        <v>37</v>
      </c>
      <c r="M2529" t="s">
        <v>47</v>
      </c>
      <c r="N2529" t="s">
        <v>39</v>
      </c>
      <c r="O2529" t="s">
        <v>28</v>
      </c>
      <c r="P2529" t="s">
        <v>31</v>
      </c>
      <c r="Q2529">
        <v>0</v>
      </c>
      <c r="R2529" t="s">
        <v>12883</v>
      </c>
      <c r="S2529" t="s">
        <v>12886</v>
      </c>
    </row>
    <row r="2530" spans="1:19" x14ac:dyDescent="0.25">
      <c r="A2530" t="s">
        <v>12400</v>
      </c>
      <c r="B2530" s="1">
        <v>45886</v>
      </c>
      <c r="C2530" t="s">
        <v>12893</v>
      </c>
      <c r="D2530" s="5">
        <v>0.55471064814814819</v>
      </c>
      <c r="E2530">
        <v>7.31</v>
      </c>
      <c r="F2530" t="s">
        <v>44</v>
      </c>
      <c r="G2530" t="s">
        <v>3008</v>
      </c>
      <c r="H2530" t="s">
        <v>124</v>
      </c>
      <c r="I2530" t="s">
        <v>91</v>
      </c>
      <c r="J2530" t="s">
        <v>12401</v>
      </c>
      <c r="K2530">
        <v>47</v>
      </c>
      <c r="L2530" t="s">
        <v>25</v>
      </c>
      <c r="M2530" t="s">
        <v>38</v>
      </c>
      <c r="N2530" t="s">
        <v>27</v>
      </c>
      <c r="O2530" t="s">
        <v>28</v>
      </c>
      <c r="P2530" t="s">
        <v>31</v>
      </c>
      <c r="Q2530">
        <v>0</v>
      </c>
      <c r="R2530" t="s">
        <v>12883</v>
      </c>
      <c r="S2530" t="s">
        <v>12886</v>
      </c>
    </row>
    <row r="2531" spans="1:19" x14ac:dyDescent="0.25">
      <c r="A2531" t="s">
        <v>4745</v>
      </c>
      <c r="B2531" s="1">
        <v>45822</v>
      </c>
      <c r="C2531" t="s">
        <v>12888</v>
      </c>
      <c r="D2531" s="5">
        <v>0.33914351851851854</v>
      </c>
      <c r="E2531">
        <v>7.27</v>
      </c>
      <c r="F2531" t="s">
        <v>44</v>
      </c>
      <c r="G2531" t="s">
        <v>4746</v>
      </c>
      <c r="H2531" t="s">
        <v>22</v>
      </c>
      <c r="I2531" t="s">
        <v>35</v>
      </c>
      <c r="J2531" t="s">
        <v>4747</v>
      </c>
      <c r="K2531">
        <v>28</v>
      </c>
      <c r="L2531" t="s">
        <v>49</v>
      </c>
      <c r="M2531" t="s">
        <v>50</v>
      </c>
      <c r="N2531" t="s">
        <v>51</v>
      </c>
      <c r="O2531" t="s">
        <v>28</v>
      </c>
      <c r="P2531" t="s">
        <v>31</v>
      </c>
      <c r="Q2531">
        <v>0</v>
      </c>
      <c r="R2531" t="s">
        <v>12883</v>
      </c>
      <c r="S2531" t="s">
        <v>12889</v>
      </c>
    </row>
    <row r="2532" spans="1:19" x14ac:dyDescent="0.25">
      <c r="A2532" t="s">
        <v>8762</v>
      </c>
      <c r="B2532" s="1">
        <v>45804</v>
      </c>
      <c r="C2532" t="s">
        <v>12887</v>
      </c>
      <c r="D2532" s="5">
        <v>3.591435185185185E-2</v>
      </c>
      <c r="E2532">
        <v>7.23</v>
      </c>
      <c r="F2532" t="s">
        <v>44</v>
      </c>
      <c r="G2532" t="s">
        <v>959</v>
      </c>
      <c r="H2532" t="s">
        <v>96</v>
      </c>
      <c r="I2532" t="s">
        <v>146</v>
      </c>
      <c r="J2532" t="s">
        <v>8763</v>
      </c>
      <c r="K2532">
        <v>19</v>
      </c>
      <c r="L2532" t="s">
        <v>37</v>
      </c>
      <c r="M2532" t="s">
        <v>50</v>
      </c>
      <c r="N2532" t="s">
        <v>112</v>
      </c>
      <c r="O2532" t="s">
        <v>28</v>
      </c>
      <c r="P2532" t="s">
        <v>31</v>
      </c>
      <c r="Q2532">
        <v>0</v>
      </c>
      <c r="R2532" t="s">
        <v>12883</v>
      </c>
      <c r="S2532" t="s">
        <v>12892</v>
      </c>
    </row>
    <row r="2533" spans="1:19" x14ac:dyDescent="0.25">
      <c r="A2533" t="s">
        <v>442</v>
      </c>
      <c r="B2533" s="1">
        <v>45919</v>
      </c>
      <c r="C2533" t="s">
        <v>12882</v>
      </c>
      <c r="D2533" s="5">
        <v>0.88567129629629626</v>
      </c>
      <c r="E2533">
        <v>7.12</v>
      </c>
      <c r="F2533" t="s">
        <v>44</v>
      </c>
      <c r="G2533" t="s">
        <v>187</v>
      </c>
      <c r="H2533" t="s">
        <v>46</v>
      </c>
      <c r="I2533" t="s">
        <v>91</v>
      </c>
      <c r="J2533" t="s">
        <v>443</v>
      </c>
      <c r="K2533">
        <v>71</v>
      </c>
      <c r="L2533" t="s">
        <v>37</v>
      </c>
      <c r="M2533" t="s">
        <v>110</v>
      </c>
      <c r="N2533" t="s">
        <v>27</v>
      </c>
      <c r="O2533" t="s">
        <v>28</v>
      </c>
      <c r="P2533" t="s">
        <v>31</v>
      </c>
      <c r="Q2533">
        <v>0</v>
      </c>
      <c r="R2533" t="s">
        <v>12883</v>
      </c>
      <c r="S2533" t="s">
        <v>12884</v>
      </c>
    </row>
    <row r="2534" spans="1:19" x14ac:dyDescent="0.25">
      <c r="A2534" t="s">
        <v>2243</v>
      </c>
      <c r="B2534" s="1">
        <v>45793</v>
      </c>
      <c r="C2534" t="s">
        <v>12887</v>
      </c>
      <c r="D2534" s="5">
        <v>0.13927083333333334</v>
      </c>
      <c r="E2534">
        <v>7.02</v>
      </c>
      <c r="F2534" t="s">
        <v>44</v>
      </c>
      <c r="G2534" t="s">
        <v>2244</v>
      </c>
      <c r="H2534" t="s">
        <v>57</v>
      </c>
      <c r="I2534" t="s">
        <v>248</v>
      </c>
      <c r="J2534" t="s">
        <v>2245</v>
      </c>
      <c r="K2534">
        <v>70</v>
      </c>
      <c r="L2534" t="s">
        <v>37</v>
      </c>
      <c r="M2534" t="s">
        <v>146</v>
      </c>
      <c r="N2534" t="s">
        <v>51</v>
      </c>
      <c r="O2534" t="s">
        <v>28</v>
      </c>
      <c r="P2534" t="s">
        <v>31</v>
      </c>
      <c r="Q2534">
        <v>0</v>
      </c>
      <c r="R2534" t="s">
        <v>12883</v>
      </c>
      <c r="S2534" t="s">
        <v>12884</v>
      </c>
    </row>
    <row r="2535" spans="1:19" x14ac:dyDescent="0.25">
      <c r="A2535" t="s">
        <v>6872</v>
      </c>
      <c r="B2535" s="1">
        <v>45828</v>
      </c>
      <c r="C2535" t="s">
        <v>12888</v>
      </c>
      <c r="D2535" s="5">
        <v>0.19979166666666667</v>
      </c>
      <c r="E2535">
        <v>6.99</v>
      </c>
      <c r="F2535" t="s">
        <v>44</v>
      </c>
      <c r="G2535" t="s">
        <v>6873</v>
      </c>
      <c r="H2535" t="s">
        <v>89</v>
      </c>
      <c r="I2535" t="s">
        <v>47</v>
      </c>
      <c r="J2535" t="s">
        <v>6874</v>
      </c>
      <c r="K2535">
        <v>54</v>
      </c>
      <c r="L2535" t="s">
        <v>37</v>
      </c>
      <c r="M2535" t="s">
        <v>91</v>
      </c>
      <c r="N2535" t="s">
        <v>84</v>
      </c>
      <c r="O2535" t="s">
        <v>28</v>
      </c>
      <c r="P2535" t="s">
        <v>31</v>
      </c>
      <c r="Q2535">
        <v>0</v>
      </c>
      <c r="R2535" t="s">
        <v>12883</v>
      </c>
      <c r="S2535" t="s">
        <v>12886</v>
      </c>
    </row>
    <row r="2536" spans="1:19" x14ac:dyDescent="0.25">
      <c r="A2536" t="s">
        <v>11997</v>
      </c>
      <c r="B2536" s="1">
        <v>45804</v>
      </c>
      <c r="C2536" t="s">
        <v>12887</v>
      </c>
      <c r="D2536" s="5">
        <v>0.83502314814814815</v>
      </c>
      <c r="E2536">
        <v>6.96</v>
      </c>
      <c r="F2536" t="s">
        <v>44</v>
      </c>
      <c r="G2536" t="s">
        <v>277</v>
      </c>
      <c r="H2536" t="s">
        <v>46</v>
      </c>
      <c r="I2536" t="s">
        <v>146</v>
      </c>
      <c r="J2536" t="s">
        <v>11998</v>
      </c>
      <c r="K2536">
        <v>41</v>
      </c>
      <c r="L2536" t="s">
        <v>25</v>
      </c>
      <c r="M2536" t="s">
        <v>146</v>
      </c>
      <c r="N2536" t="s">
        <v>112</v>
      </c>
      <c r="O2536" t="s">
        <v>113</v>
      </c>
      <c r="P2536" t="s">
        <v>31</v>
      </c>
      <c r="Q2536">
        <v>0</v>
      </c>
      <c r="R2536" t="s">
        <v>12883</v>
      </c>
      <c r="S2536" t="s">
        <v>12886</v>
      </c>
    </row>
    <row r="2537" spans="1:19" x14ac:dyDescent="0.25">
      <c r="A2537" t="s">
        <v>8902</v>
      </c>
      <c r="B2537" s="1">
        <v>45888</v>
      </c>
      <c r="C2537" t="s">
        <v>12893</v>
      </c>
      <c r="D2537" s="5">
        <v>0.56584490740740745</v>
      </c>
      <c r="E2537">
        <v>6.94</v>
      </c>
      <c r="F2537" t="s">
        <v>44</v>
      </c>
      <c r="G2537" t="s">
        <v>5430</v>
      </c>
      <c r="H2537" t="s">
        <v>89</v>
      </c>
      <c r="I2537" t="s">
        <v>58</v>
      </c>
      <c r="J2537" t="s">
        <v>8903</v>
      </c>
      <c r="K2537">
        <v>74</v>
      </c>
      <c r="L2537" t="s">
        <v>37</v>
      </c>
      <c r="M2537" t="s">
        <v>50</v>
      </c>
      <c r="N2537" t="s">
        <v>105</v>
      </c>
      <c r="O2537" t="s">
        <v>28</v>
      </c>
      <c r="P2537" t="s">
        <v>31</v>
      </c>
      <c r="Q2537">
        <v>0</v>
      </c>
      <c r="R2537" t="s">
        <v>12883</v>
      </c>
      <c r="S2537" t="s">
        <v>12884</v>
      </c>
    </row>
    <row r="2538" spans="1:19" x14ac:dyDescent="0.25">
      <c r="A2538" t="s">
        <v>6550</v>
      </c>
      <c r="B2538" s="1">
        <v>45869</v>
      </c>
      <c r="C2538" t="s">
        <v>12885</v>
      </c>
      <c r="D2538" s="5">
        <v>0.91137731481481477</v>
      </c>
      <c r="E2538">
        <v>6.81</v>
      </c>
      <c r="F2538" t="s">
        <v>44</v>
      </c>
      <c r="G2538" t="s">
        <v>2846</v>
      </c>
      <c r="H2538" t="s">
        <v>64</v>
      </c>
      <c r="I2538" t="s">
        <v>146</v>
      </c>
      <c r="J2538" t="s">
        <v>6551</v>
      </c>
      <c r="K2538">
        <v>16</v>
      </c>
      <c r="L2538" t="s">
        <v>25</v>
      </c>
      <c r="M2538" t="s">
        <v>97</v>
      </c>
      <c r="N2538" t="s">
        <v>27</v>
      </c>
      <c r="O2538" t="s">
        <v>28</v>
      </c>
      <c r="P2538" t="s">
        <v>31</v>
      </c>
      <c r="Q2538">
        <v>0</v>
      </c>
      <c r="R2538" t="s">
        <v>12883</v>
      </c>
      <c r="S2538" t="s">
        <v>12892</v>
      </c>
    </row>
    <row r="2539" spans="1:19" x14ac:dyDescent="0.25">
      <c r="A2539" t="s">
        <v>3087</v>
      </c>
      <c r="B2539" s="1">
        <v>45943</v>
      </c>
      <c r="C2539" t="s">
        <v>12890</v>
      </c>
      <c r="D2539" s="5">
        <v>0.13187499999999999</v>
      </c>
      <c r="E2539">
        <v>6.65</v>
      </c>
      <c r="F2539" t="s">
        <v>44</v>
      </c>
      <c r="G2539" t="s">
        <v>3088</v>
      </c>
      <c r="H2539" t="s">
        <v>89</v>
      </c>
      <c r="I2539" t="s">
        <v>97</v>
      </c>
      <c r="J2539" t="s">
        <v>3089</v>
      </c>
      <c r="K2539">
        <v>64</v>
      </c>
      <c r="L2539" t="s">
        <v>37</v>
      </c>
      <c r="M2539" t="s">
        <v>47</v>
      </c>
      <c r="N2539" t="s">
        <v>51</v>
      </c>
      <c r="O2539" t="s">
        <v>28</v>
      </c>
      <c r="P2539" t="s">
        <v>31</v>
      </c>
      <c r="Q2539">
        <v>0</v>
      </c>
      <c r="R2539" t="s">
        <v>12883</v>
      </c>
      <c r="S2539" t="s">
        <v>12884</v>
      </c>
    </row>
    <row r="2540" spans="1:19" x14ac:dyDescent="0.25">
      <c r="A2540" t="s">
        <v>11304</v>
      </c>
      <c r="B2540" s="1">
        <v>45929</v>
      </c>
      <c r="C2540" t="s">
        <v>12882</v>
      </c>
      <c r="D2540" s="5">
        <v>0.1930787037037037</v>
      </c>
      <c r="E2540">
        <v>6.59</v>
      </c>
      <c r="F2540" t="s">
        <v>44</v>
      </c>
      <c r="G2540" t="s">
        <v>7799</v>
      </c>
      <c r="H2540" t="s">
        <v>34</v>
      </c>
      <c r="I2540" t="s">
        <v>66</v>
      </c>
      <c r="J2540" t="s">
        <v>11305</v>
      </c>
      <c r="K2540">
        <v>64</v>
      </c>
      <c r="L2540" t="s">
        <v>49</v>
      </c>
      <c r="M2540" t="s">
        <v>110</v>
      </c>
      <c r="N2540" t="s">
        <v>105</v>
      </c>
      <c r="O2540" t="s">
        <v>28</v>
      </c>
      <c r="P2540" t="s">
        <v>31</v>
      </c>
      <c r="Q2540">
        <v>0</v>
      </c>
      <c r="R2540" t="s">
        <v>12883</v>
      </c>
      <c r="S2540" t="s">
        <v>12884</v>
      </c>
    </row>
    <row r="2541" spans="1:19" x14ac:dyDescent="0.25">
      <c r="A2541" t="s">
        <v>9867</v>
      </c>
      <c r="B2541" s="1">
        <v>45935</v>
      </c>
      <c r="C2541" t="s">
        <v>12890</v>
      </c>
      <c r="D2541" s="5">
        <v>0.98900462962962965</v>
      </c>
      <c r="E2541">
        <v>6.55</v>
      </c>
      <c r="F2541" t="s">
        <v>44</v>
      </c>
      <c r="G2541" t="s">
        <v>1739</v>
      </c>
      <c r="H2541" t="s">
        <v>77</v>
      </c>
      <c r="I2541" t="s">
        <v>91</v>
      </c>
      <c r="J2541" t="s">
        <v>9868</v>
      </c>
      <c r="K2541">
        <v>69</v>
      </c>
      <c r="L2541" t="s">
        <v>49</v>
      </c>
      <c r="M2541" t="s">
        <v>146</v>
      </c>
      <c r="N2541" t="s">
        <v>112</v>
      </c>
      <c r="O2541" t="s">
        <v>28</v>
      </c>
      <c r="P2541" t="s">
        <v>31</v>
      </c>
      <c r="Q2541">
        <v>0</v>
      </c>
      <c r="R2541" t="s">
        <v>12883</v>
      </c>
      <c r="S2541" t="s">
        <v>12884</v>
      </c>
    </row>
    <row r="2542" spans="1:19" x14ac:dyDescent="0.25">
      <c r="A2542" t="s">
        <v>5004</v>
      </c>
      <c r="B2542" s="1">
        <v>45789</v>
      </c>
      <c r="C2542" t="s">
        <v>12887</v>
      </c>
      <c r="D2542" s="5">
        <v>0.45991898148148147</v>
      </c>
      <c r="E2542">
        <v>6.44</v>
      </c>
      <c r="F2542" t="s">
        <v>44</v>
      </c>
      <c r="G2542" t="s">
        <v>5005</v>
      </c>
      <c r="H2542" t="s">
        <v>46</v>
      </c>
      <c r="I2542" t="s">
        <v>38</v>
      </c>
      <c r="J2542" t="s">
        <v>5006</v>
      </c>
      <c r="K2542">
        <v>40</v>
      </c>
      <c r="L2542" t="s">
        <v>37</v>
      </c>
      <c r="M2542" t="s">
        <v>110</v>
      </c>
      <c r="N2542" t="s">
        <v>51</v>
      </c>
      <c r="O2542" t="s">
        <v>28</v>
      </c>
      <c r="P2542" t="s">
        <v>31</v>
      </c>
      <c r="Q2542">
        <v>0</v>
      </c>
      <c r="R2542" t="s">
        <v>12883</v>
      </c>
      <c r="S2542" t="s">
        <v>12886</v>
      </c>
    </row>
    <row r="2543" spans="1:19" x14ac:dyDescent="0.25">
      <c r="A2543" t="s">
        <v>878</v>
      </c>
      <c r="B2543" s="1">
        <v>45824</v>
      </c>
      <c r="C2543" t="s">
        <v>12888</v>
      </c>
      <c r="D2543" s="5">
        <v>0.72401620370370368</v>
      </c>
      <c r="E2543">
        <v>6.22</v>
      </c>
      <c r="F2543" t="s">
        <v>44</v>
      </c>
      <c r="G2543" t="s">
        <v>308</v>
      </c>
      <c r="H2543" t="s">
        <v>124</v>
      </c>
      <c r="I2543" t="s">
        <v>58</v>
      </c>
      <c r="J2543" t="s">
        <v>879</v>
      </c>
      <c r="K2543">
        <v>57</v>
      </c>
      <c r="L2543" t="s">
        <v>37</v>
      </c>
      <c r="M2543" t="s">
        <v>23</v>
      </c>
      <c r="N2543" t="s">
        <v>39</v>
      </c>
      <c r="O2543" t="s">
        <v>28</v>
      </c>
      <c r="P2543" t="s">
        <v>31</v>
      </c>
      <c r="Q2543">
        <v>0</v>
      </c>
      <c r="R2543" t="s">
        <v>12883</v>
      </c>
      <c r="S2543" t="s">
        <v>12886</v>
      </c>
    </row>
    <row r="2544" spans="1:19" x14ac:dyDescent="0.25">
      <c r="A2544" t="s">
        <v>4860</v>
      </c>
      <c r="B2544" s="1">
        <v>45928</v>
      </c>
      <c r="C2544" t="s">
        <v>12882</v>
      </c>
      <c r="D2544" s="5">
        <v>0.53189814814814818</v>
      </c>
      <c r="E2544">
        <v>6.14</v>
      </c>
      <c r="F2544" t="s">
        <v>44</v>
      </c>
      <c r="G2544" t="s">
        <v>374</v>
      </c>
      <c r="H2544" t="s">
        <v>96</v>
      </c>
      <c r="I2544" t="s">
        <v>26</v>
      </c>
      <c r="J2544" t="s">
        <v>4861</v>
      </c>
      <c r="K2544">
        <v>45</v>
      </c>
      <c r="L2544" t="s">
        <v>25</v>
      </c>
      <c r="M2544" t="s">
        <v>146</v>
      </c>
      <c r="N2544" t="s">
        <v>112</v>
      </c>
      <c r="O2544" t="s">
        <v>28</v>
      </c>
      <c r="P2544" t="s">
        <v>31</v>
      </c>
      <c r="Q2544">
        <v>0</v>
      </c>
      <c r="R2544" t="s">
        <v>12883</v>
      </c>
      <c r="S2544" t="s">
        <v>12886</v>
      </c>
    </row>
    <row r="2545" spans="1:19" x14ac:dyDescent="0.25">
      <c r="A2545" t="s">
        <v>2185</v>
      </c>
      <c r="B2545" s="1">
        <v>45948</v>
      </c>
      <c r="C2545" t="s">
        <v>12890</v>
      </c>
      <c r="D2545" s="5">
        <v>0.35006944444444443</v>
      </c>
      <c r="E2545">
        <v>6.12</v>
      </c>
      <c r="F2545" t="s">
        <v>44</v>
      </c>
      <c r="G2545" t="s">
        <v>171</v>
      </c>
      <c r="H2545" t="s">
        <v>89</v>
      </c>
      <c r="I2545" t="s">
        <v>97</v>
      </c>
      <c r="J2545" t="s">
        <v>2186</v>
      </c>
      <c r="K2545">
        <v>45</v>
      </c>
      <c r="L2545" t="s">
        <v>49</v>
      </c>
      <c r="M2545" t="s">
        <v>119</v>
      </c>
      <c r="N2545" t="s">
        <v>39</v>
      </c>
      <c r="O2545" t="s">
        <v>28</v>
      </c>
      <c r="P2545" t="s">
        <v>31</v>
      </c>
      <c r="Q2545">
        <v>0</v>
      </c>
      <c r="R2545" t="s">
        <v>12883</v>
      </c>
      <c r="S2545" t="s">
        <v>12886</v>
      </c>
    </row>
    <row r="2546" spans="1:19" x14ac:dyDescent="0.25">
      <c r="A2546" t="s">
        <v>5832</v>
      </c>
      <c r="B2546" s="1">
        <v>45881</v>
      </c>
      <c r="C2546" t="s">
        <v>12893</v>
      </c>
      <c r="D2546" s="5">
        <v>0.78513888888888894</v>
      </c>
      <c r="E2546">
        <v>6.12</v>
      </c>
      <c r="F2546" t="s">
        <v>44</v>
      </c>
      <c r="G2546" t="s">
        <v>5833</v>
      </c>
      <c r="H2546" t="s">
        <v>22</v>
      </c>
      <c r="I2546" t="s">
        <v>91</v>
      </c>
      <c r="J2546" t="s">
        <v>2300</v>
      </c>
      <c r="K2546">
        <v>42</v>
      </c>
      <c r="L2546" t="s">
        <v>25</v>
      </c>
      <c r="M2546" t="s">
        <v>248</v>
      </c>
      <c r="N2546" t="s">
        <v>84</v>
      </c>
      <c r="O2546" t="s">
        <v>28</v>
      </c>
      <c r="P2546" t="s">
        <v>31</v>
      </c>
      <c r="Q2546">
        <v>1</v>
      </c>
      <c r="R2546" t="s">
        <v>12891</v>
      </c>
      <c r="S2546" t="s">
        <v>12886</v>
      </c>
    </row>
    <row r="2547" spans="1:19" x14ac:dyDescent="0.25">
      <c r="A2547" t="s">
        <v>1300</v>
      </c>
      <c r="B2547" s="1">
        <v>45889</v>
      </c>
      <c r="C2547" t="s">
        <v>12893</v>
      </c>
      <c r="D2547" s="5">
        <v>0.44666666666666666</v>
      </c>
      <c r="E2547">
        <v>6.09</v>
      </c>
      <c r="F2547" t="s">
        <v>44</v>
      </c>
      <c r="G2547" t="s">
        <v>1301</v>
      </c>
      <c r="H2547" t="s">
        <v>64</v>
      </c>
      <c r="I2547" t="s">
        <v>26</v>
      </c>
      <c r="J2547" t="s">
        <v>1302</v>
      </c>
      <c r="K2547">
        <v>45</v>
      </c>
      <c r="L2547" t="s">
        <v>25</v>
      </c>
      <c r="M2547" t="s">
        <v>110</v>
      </c>
      <c r="N2547" t="s">
        <v>27</v>
      </c>
      <c r="O2547" t="s">
        <v>28</v>
      </c>
      <c r="P2547" t="s">
        <v>31</v>
      </c>
      <c r="Q2547">
        <v>0</v>
      </c>
      <c r="R2547" t="s">
        <v>12883</v>
      </c>
      <c r="S2547" t="s">
        <v>12886</v>
      </c>
    </row>
    <row r="2548" spans="1:19" x14ac:dyDescent="0.25">
      <c r="A2548" t="s">
        <v>11647</v>
      </c>
      <c r="B2548" s="1">
        <v>45915</v>
      </c>
      <c r="C2548" t="s">
        <v>12882</v>
      </c>
      <c r="D2548" s="5">
        <v>0.9701157407407407</v>
      </c>
      <c r="E2548">
        <v>6.07</v>
      </c>
      <c r="F2548" t="s">
        <v>44</v>
      </c>
      <c r="G2548" t="s">
        <v>3802</v>
      </c>
      <c r="H2548" t="s">
        <v>64</v>
      </c>
      <c r="I2548" t="s">
        <v>26</v>
      </c>
      <c r="J2548" t="s">
        <v>11648</v>
      </c>
      <c r="K2548">
        <v>45</v>
      </c>
      <c r="L2548" t="s">
        <v>37</v>
      </c>
      <c r="M2548" t="s">
        <v>146</v>
      </c>
      <c r="N2548" t="s">
        <v>112</v>
      </c>
      <c r="O2548" t="s">
        <v>28</v>
      </c>
      <c r="P2548" t="s">
        <v>31</v>
      </c>
      <c r="Q2548">
        <v>0</v>
      </c>
      <c r="R2548" t="s">
        <v>12883</v>
      </c>
      <c r="S2548" t="s">
        <v>12886</v>
      </c>
    </row>
    <row r="2549" spans="1:19" x14ac:dyDescent="0.25">
      <c r="A2549" t="s">
        <v>9566</v>
      </c>
      <c r="B2549" s="1">
        <v>45851</v>
      </c>
      <c r="C2549" t="s">
        <v>12885</v>
      </c>
      <c r="D2549" s="5">
        <v>0.25415509259259261</v>
      </c>
      <c r="E2549">
        <v>5.83</v>
      </c>
      <c r="F2549" t="s">
        <v>44</v>
      </c>
      <c r="G2549" t="s">
        <v>4852</v>
      </c>
      <c r="H2549" t="s">
        <v>34</v>
      </c>
      <c r="I2549" t="s">
        <v>91</v>
      </c>
      <c r="J2549" t="s">
        <v>9567</v>
      </c>
      <c r="K2549">
        <v>33</v>
      </c>
      <c r="L2549" t="s">
        <v>49</v>
      </c>
      <c r="M2549" t="s">
        <v>91</v>
      </c>
      <c r="N2549" t="s">
        <v>105</v>
      </c>
      <c r="O2549" t="s">
        <v>113</v>
      </c>
      <c r="P2549" t="s">
        <v>31</v>
      </c>
      <c r="Q2549">
        <v>0</v>
      </c>
      <c r="R2549" t="s">
        <v>12883</v>
      </c>
      <c r="S2549" t="s">
        <v>12889</v>
      </c>
    </row>
    <row r="2550" spans="1:19" x14ac:dyDescent="0.25">
      <c r="A2550" t="s">
        <v>11989</v>
      </c>
      <c r="B2550" s="1">
        <v>45798</v>
      </c>
      <c r="C2550" t="s">
        <v>12887</v>
      </c>
      <c r="D2550" s="5">
        <v>0.63918981481481485</v>
      </c>
      <c r="E2550">
        <v>5.78</v>
      </c>
      <c r="F2550" t="s">
        <v>44</v>
      </c>
      <c r="G2550" t="s">
        <v>4627</v>
      </c>
      <c r="H2550" t="s">
        <v>22</v>
      </c>
      <c r="I2550" t="s">
        <v>47</v>
      </c>
      <c r="J2550" t="s">
        <v>11990</v>
      </c>
      <c r="K2550">
        <v>70</v>
      </c>
      <c r="L2550" t="s">
        <v>49</v>
      </c>
      <c r="M2550" t="s">
        <v>110</v>
      </c>
      <c r="N2550" t="s">
        <v>84</v>
      </c>
      <c r="O2550" t="s">
        <v>28</v>
      </c>
      <c r="P2550" t="s">
        <v>31</v>
      </c>
      <c r="Q2550">
        <v>0</v>
      </c>
      <c r="R2550" t="s">
        <v>12883</v>
      </c>
      <c r="S2550" t="s">
        <v>12884</v>
      </c>
    </row>
    <row r="2551" spans="1:19" x14ac:dyDescent="0.25">
      <c r="A2551" t="s">
        <v>10669</v>
      </c>
      <c r="B2551" s="1">
        <v>45912</v>
      </c>
      <c r="C2551" t="s">
        <v>12882</v>
      </c>
      <c r="D2551" s="5">
        <v>0.39012731481481483</v>
      </c>
      <c r="E2551">
        <v>5.71</v>
      </c>
      <c r="F2551" t="s">
        <v>44</v>
      </c>
      <c r="G2551" t="s">
        <v>713</v>
      </c>
      <c r="H2551" t="s">
        <v>124</v>
      </c>
      <c r="I2551" t="s">
        <v>66</v>
      </c>
      <c r="J2551" t="s">
        <v>10670</v>
      </c>
      <c r="K2551">
        <v>28</v>
      </c>
      <c r="L2551" t="s">
        <v>49</v>
      </c>
      <c r="M2551" t="s">
        <v>26</v>
      </c>
      <c r="N2551" t="s">
        <v>84</v>
      </c>
      <c r="O2551" t="s">
        <v>28</v>
      </c>
      <c r="P2551" t="s">
        <v>31</v>
      </c>
      <c r="Q2551">
        <v>0</v>
      </c>
      <c r="R2551" t="s">
        <v>12883</v>
      </c>
      <c r="S2551" t="s">
        <v>12889</v>
      </c>
    </row>
    <row r="2552" spans="1:19" x14ac:dyDescent="0.25">
      <c r="A2552" t="s">
        <v>5798</v>
      </c>
      <c r="B2552" s="1">
        <v>45816</v>
      </c>
      <c r="C2552" t="s">
        <v>12888</v>
      </c>
      <c r="D2552" s="5">
        <v>0.90210648148148154</v>
      </c>
      <c r="E2552">
        <v>5.46</v>
      </c>
      <c r="F2552" t="s">
        <v>44</v>
      </c>
      <c r="G2552" t="s">
        <v>913</v>
      </c>
      <c r="H2552" t="s">
        <v>57</v>
      </c>
      <c r="I2552" t="s">
        <v>248</v>
      </c>
      <c r="J2552" t="s">
        <v>5799</v>
      </c>
      <c r="K2552">
        <v>31</v>
      </c>
      <c r="L2552" t="s">
        <v>25</v>
      </c>
      <c r="M2552" t="s">
        <v>91</v>
      </c>
      <c r="N2552" t="s">
        <v>27</v>
      </c>
      <c r="O2552" t="s">
        <v>28</v>
      </c>
      <c r="P2552" t="s">
        <v>31</v>
      </c>
      <c r="Q2552">
        <v>0</v>
      </c>
      <c r="R2552" t="s">
        <v>12883</v>
      </c>
      <c r="S2552" t="s">
        <v>12889</v>
      </c>
    </row>
    <row r="2553" spans="1:19" x14ac:dyDescent="0.25">
      <c r="A2553" t="s">
        <v>6558</v>
      </c>
      <c r="B2553" s="1">
        <v>45942</v>
      </c>
      <c r="C2553" t="s">
        <v>12890</v>
      </c>
      <c r="D2553" s="5">
        <v>0.26078703703703704</v>
      </c>
      <c r="E2553">
        <v>5.35</v>
      </c>
      <c r="F2553" t="s">
        <v>44</v>
      </c>
      <c r="G2553" t="s">
        <v>6005</v>
      </c>
      <c r="H2553" t="s">
        <v>71</v>
      </c>
      <c r="I2553" t="s">
        <v>26</v>
      </c>
      <c r="J2553" t="s">
        <v>6559</v>
      </c>
      <c r="K2553">
        <v>51</v>
      </c>
      <c r="L2553" t="s">
        <v>49</v>
      </c>
      <c r="M2553" t="s">
        <v>248</v>
      </c>
      <c r="N2553" t="s">
        <v>51</v>
      </c>
      <c r="O2553" t="s">
        <v>28</v>
      </c>
      <c r="P2553" t="s">
        <v>31</v>
      </c>
      <c r="Q2553">
        <v>0</v>
      </c>
      <c r="R2553" t="s">
        <v>12883</v>
      </c>
      <c r="S2553" t="s">
        <v>12886</v>
      </c>
    </row>
    <row r="2554" spans="1:19" x14ac:dyDescent="0.25">
      <c r="A2554" t="s">
        <v>5870</v>
      </c>
      <c r="B2554" s="1">
        <v>45902</v>
      </c>
      <c r="C2554" t="s">
        <v>12882</v>
      </c>
      <c r="D2554" s="5">
        <v>0.3228935185185185</v>
      </c>
      <c r="E2554">
        <v>5.19</v>
      </c>
      <c r="F2554" t="s">
        <v>44</v>
      </c>
      <c r="G2554" t="s">
        <v>2999</v>
      </c>
      <c r="H2554" t="s">
        <v>34</v>
      </c>
      <c r="I2554" t="s">
        <v>97</v>
      </c>
      <c r="J2554" t="s">
        <v>5871</v>
      </c>
      <c r="K2554">
        <v>53</v>
      </c>
      <c r="L2554" t="s">
        <v>25</v>
      </c>
      <c r="M2554" t="s">
        <v>38</v>
      </c>
      <c r="N2554" t="s">
        <v>27</v>
      </c>
      <c r="O2554" t="s">
        <v>28</v>
      </c>
      <c r="P2554" t="s">
        <v>31</v>
      </c>
      <c r="Q2554">
        <v>0</v>
      </c>
      <c r="R2554" t="s">
        <v>12883</v>
      </c>
      <c r="S2554" t="s">
        <v>12886</v>
      </c>
    </row>
    <row r="2555" spans="1:19" x14ac:dyDescent="0.25">
      <c r="A2555" t="s">
        <v>1674</v>
      </c>
      <c r="B2555" s="1">
        <v>45870</v>
      </c>
      <c r="C2555" t="s">
        <v>12893</v>
      </c>
      <c r="D2555" s="5">
        <v>0.87258101851851855</v>
      </c>
      <c r="E2555">
        <v>5.14</v>
      </c>
      <c r="F2555" t="s">
        <v>44</v>
      </c>
      <c r="G2555" t="s">
        <v>1341</v>
      </c>
      <c r="H2555" t="s">
        <v>57</v>
      </c>
      <c r="I2555" t="s">
        <v>91</v>
      </c>
      <c r="J2555" t="s">
        <v>1675</v>
      </c>
      <c r="K2555">
        <v>30</v>
      </c>
      <c r="L2555" t="s">
        <v>25</v>
      </c>
      <c r="M2555" t="s">
        <v>248</v>
      </c>
      <c r="N2555" t="s">
        <v>112</v>
      </c>
      <c r="O2555" t="s">
        <v>28</v>
      </c>
      <c r="P2555" t="s">
        <v>31</v>
      </c>
      <c r="Q2555">
        <v>0</v>
      </c>
      <c r="R2555" t="s">
        <v>12883</v>
      </c>
      <c r="S2555" t="s">
        <v>12889</v>
      </c>
    </row>
    <row r="2556" spans="1:19" x14ac:dyDescent="0.25">
      <c r="A2556" t="s">
        <v>7246</v>
      </c>
      <c r="B2556" s="1">
        <v>45852</v>
      </c>
      <c r="C2556" t="s">
        <v>12885</v>
      </c>
      <c r="D2556" s="5">
        <v>0.13109953703703703</v>
      </c>
      <c r="E2556">
        <v>5.0599999999999996</v>
      </c>
      <c r="F2556" t="s">
        <v>44</v>
      </c>
      <c r="G2556" t="s">
        <v>4523</v>
      </c>
      <c r="H2556" t="s">
        <v>46</v>
      </c>
      <c r="I2556" t="s">
        <v>38</v>
      </c>
      <c r="J2556" t="s">
        <v>7247</v>
      </c>
      <c r="K2556">
        <v>51</v>
      </c>
      <c r="L2556" t="s">
        <v>37</v>
      </c>
      <c r="M2556" t="s">
        <v>119</v>
      </c>
      <c r="N2556" t="s">
        <v>27</v>
      </c>
      <c r="O2556" t="s">
        <v>28</v>
      </c>
      <c r="P2556" t="s">
        <v>31</v>
      </c>
      <c r="Q2556">
        <v>0</v>
      </c>
      <c r="R2556" t="s">
        <v>12883</v>
      </c>
      <c r="S2556" t="s">
        <v>12886</v>
      </c>
    </row>
    <row r="2557" spans="1:19" x14ac:dyDescent="0.25">
      <c r="A2557" t="s">
        <v>12161</v>
      </c>
      <c r="B2557" s="1">
        <v>45839</v>
      </c>
      <c r="C2557" t="s">
        <v>12885</v>
      </c>
      <c r="D2557" s="5">
        <v>0.98866898148148152</v>
      </c>
      <c r="E2557">
        <v>4.93</v>
      </c>
      <c r="F2557" t="s">
        <v>44</v>
      </c>
      <c r="G2557" t="s">
        <v>7586</v>
      </c>
      <c r="H2557" t="s">
        <v>71</v>
      </c>
      <c r="I2557" t="s">
        <v>58</v>
      </c>
      <c r="J2557" t="s">
        <v>12162</v>
      </c>
      <c r="K2557">
        <v>20</v>
      </c>
      <c r="L2557" t="s">
        <v>25</v>
      </c>
      <c r="M2557" t="s">
        <v>248</v>
      </c>
      <c r="N2557" t="s">
        <v>105</v>
      </c>
      <c r="O2557" t="s">
        <v>28</v>
      </c>
      <c r="P2557" t="s">
        <v>31</v>
      </c>
      <c r="Q2557">
        <v>0</v>
      </c>
      <c r="R2557" t="s">
        <v>12883</v>
      </c>
      <c r="S2557" t="s">
        <v>12892</v>
      </c>
    </row>
    <row r="2558" spans="1:19" x14ac:dyDescent="0.25">
      <c r="A2558" t="s">
        <v>1132</v>
      </c>
      <c r="B2558" s="1">
        <v>45838</v>
      </c>
      <c r="C2558" t="s">
        <v>12888</v>
      </c>
      <c r="D2558" s="5">
        <v>5.4710648148148147E-2</v>
      </c>
      <c r="E2558">
        <v>4.75</v>
      </c>
      <c r="F2558" t="s">
        <v>44</v>
      </c>
      <c r="G2558" t="s">
        <v>1133</v>
      </c>
      <c r="H2558" t="s">
        <v>46</v>
      </c>
      <c r="I2558" t="s">
        <v>146</v>
      </c>
      <c r="J2558" t="s">
        <v>1134</v>
      </c>
      <c r="K2558">
        <v>67</v>
      </c>
      <c r="L2558" t="s">
        <v>49</v>
      </c>
      <c r="M2558" t="s">
        <v>23</v>
      </c>
      <c r="N2558" t="s">
        <v>84</v>
      </c>
      <c r="O2558" t="s">
        <v>28</v>
      </c>
      <c r="P2558" t="s">
        <v>31</v>
      </c>
      <c r="Q2558">
        <v>0</v>
      </c>
      <c r="R2558" t="s">
        <v>12883</v>
      </c>
      <c r="S2558" t="s">
        <v>12884</v>
      </c>
    </row>
    <row r="2559" spans="1:19" x14ac:dyDescent="0.25">
      <c r="A2559" t="s">
        <v>9183</v>
      </c>
      <c r="B2559" s="1">
        <v>45925</v>
      </c>
      <c r="C2559" t="s">
        <v>12882</v>
      </c>
      <c r="D2559" s="5">
        <v>0.6825</v>
      </c>
      <c r="E2559">
        <v>4.62</v>
      </c>
      <c r="F2559" t="s">
        <v>44</v>
      </c>
      <c r="G2559" t="s">
        <v>1247</v>
      </c>
      <c r="H2559" t="s">
        <v>64</v>
      </c>
      <c r="I2559" t="s">
        <v>91</v>
      </c>
      <c r="J2559" t="s">
        <v>6077</v>
      </c>
      <c r="K2559">
        <v>47</v>
      </c>
      <c r="L2559" t="s">
        <v>49</v>
      </c>
      <c r="M2559" t="s">
        <v>58</v>
      </c>
      <c r="N2559" t="s">
        <v>39</v>
      </c>
      <c r="O2559" t="s">
        <v>28</v>
      </c>
      <c r="P2559" t="s">
        <v>31</v>
      </c>
      <c r="Q2559">
        <v>0</v>
      </c>
      <c r="R2559" t="s">
        <v>12883</v>
      </c>
      <c r="S2559" t="s">
        <v>12886</v>
      </c>
    </row>
    <row r="2560" spans="1:19" x14ac:dyDescent="0.25">
      <c r="A2560" t="s">
        <v>12126</v>
      </c>
      <c r="B2560" s="1">
        <v>45823</v>
      </c>
      <c r="C2560" t="s">
        <v>12888</v>
      </c>
      <c r="D2560" s="5">
        <v>0.55005787037037035</v>
      </c>
      <c r="E2560">
        <v>4.58</v>
      </c>
      <c r="F2560" t="s">
        <v>44</v>
      </c>
      <c r="G2560" t="s">
        <v>4532</v>
      </c>
      <c r="H2560" t="s">
        <v>64</v>
      </c>
      <c r="I2560" t="s">
        <v>110</v>
      </c>
      <c r="J2560" t="s">
        <v>12127</v>
      </c>
      <c r="K2560">
        <v>70</v>
      </c>
      <c r="L2560" t="s">
        <v>25</v>
      </c>
      <c r="M2560" t="s">
        <v>50</v>
      </c>
      <c r="N2560" t="s">
        <v>84</v>
      </c>
      <c r="O2560" t="s">
        <v>28</v>
      </c>
      <c r="P2560" t="s">
        <v>31</v>
      </c>
      <c r="Q2560">
        <v>0</v>
      </c>
      <c r="R2560" t="s">
        <v>12883</v>
      </c>
      <c r="S2560" t="s">
        <v>12884</v>
      </c>
    </row>
    <row r="2561" spans="1:19" x14ac:dyDescent="0.25">
      <c r="A2561" t="s">
        <v>4452</v>
      </c>
      <c r="B2561" s="1">
        <v>45898</v>
      </c>
      <c r="C2561" t="s">
        <v>12893</v>
      </c>
      <c r="D2561" s="5">
        <v>0.77964120370370371</v>
      </c>
      <c r="E2561">
        <v>4.55</v>
      </c>
      <c r="F2561" t="s">
        <v>44</v>
      </c>
      <c r="G2561" t="s">
        <v>2980</v>
      </c>
      <c r="H2561" t="s">
        <v>96</v>
      </c>
      <c r="I2561" t="s">
        <v>58</v>
      </c>
      <c r="J2561" t="s">
        <v>4453</v>
      </c>
      <c r="K2561">
        <v>46</v>
      </c>
      <c r="L2561" t="s">
        <v>37</v>
      </c>
      <c r="M2561" t="s">
        <v>35</v>
      </c>
      <c r="N2561" t="s">
        <v>27</v>
      </c>
      <c r="O2561" t="s">
        <v>28</v>
      </c>
      <c r="P2561" t="s">
        <v>31</v>
      </c>
      <c r="Q2561">
        <v>0</v>
      </c>
      <c r="R2561" t="s">
        <v>12883</v>
      </c>
      <c r="S2561" t="s">
        <v>12886</v>
      </c>
    </row>
    <row r="2562" spans="1:19" x14ac:dyDescent="0.25">
      <c r="A2562" t="s">
        <v>8770</v>
      </c>
      <c r="B2562" s="1">
        <v>45909</v>
      </c>
      <c r="C2562" t="s">
        <v>12882</v>
      </c>
      <c r="D2562" s="5">
        <v>0.64584490740740741</v>
      </c>
      <c r="E2562">
        <v>4.53</v>
      </c>
      <c r="F2562" t="s">
        <v>44</v>
      </c>
      <c r="G2562" t="s">
        <v>5443</v>
      </c>
      <c r="H2562" t="s">
        <v>77</v>
      </c>
      <c r="I2562" t="s">
        <v>50</v>
      </c>
      <c r="J2562" t="s">
        <v>8771</v>
      </c>
      <c r="K2562">
        <v>42</v>
      </c>
      <c r="L2562" t="s">
        <v>49</v>
      </c>
      <c r="M2562" t="s">
        <v>58</v>
      </c>
      <c r="N2562" t="s">
        <v>51</v>
      </c>
      <c r="O2562" t="s">
        <v>28</v>
      </c>
      <c r="P2562" t="s">
        <v>31</v>
      </c>
      <c r="Q2562">
        <v>0</v>
      </c>
      <c r="R2562" t="s">
        <v>12883</v>
      </c>
      <c r="S2562" t="s">
        <v>12886</v>
      </c>
    </row>
    <row r="2563" spans="1:19" x14ac:dyDescent="0.25">
      <c r="A2563" t="s">
        <v>5447</v>
      </c>
      <c r="B2563" s="1">
        <v>45826</v>
      </c>
      <c r="C2563" t="s">
        <v>12888</v>
      </c>
      <c r="D2563" s="5">
        <v>0.35511574074074076</v>
      </c>
      <c r="E2563">
        <v>4.41</v>
      </c>
      <c r="F2563" t="s">
        <v>44</v>
      </c>
      <c r="G2563" t="s">
        <v>389</v>
      </c>
      <c r="H2563" t="s">
        <v>96</v>
      </c>
      <c r="I2563" t="s">
        <v>26</v>
      </c>
      <c r="J2563" t="s">
        <v>5448</v>
      </c>
      <c r="K2563">
        <v>65</v>
      </c>
      <c r="L2563" t="s">
        <v>37</v>
      </c>
      <c r="M2563" t="s">
        <v>66</v>
      </c>
      <c r="N2563" t="s">
        <v>84</v>
      </c>
      <c r="O2563" t="s">
        <v>28</v>
      </c>
      <c r="P2563" t="s">
        <v>31</v>
      </c>
      <c r="Q2563">
        <v>0</v>
      </c>
      <c r="R2563" t="s">
        <v>12883</v>
      </c>
      <c r="S2563" t="s">
        <v>12884</v>
      </c>
    </row>
    <row r="2564" spans="1:19" x14ac:dyDescent="0.25">
      <c r="A2564" t="s">
        <v>7225</v>
      </c>
      <c r="B2564" s="1">
        <v>45882</v>
      </c>
      <c r="C2564" t="s">
        <v>12893</v>
      </c>
      <c r="D2564" s="5">
        <v>0.29337962962962966</v>
      </c>
      <c r="E2564">
        <v>4.4000000000000004</v>
      </c>
      <c r="F2564" t="s">
        <v>44</v>
      </c>
      <c r="G2564" t="s">
        <v>3743</v>
      </c>
      <c r="H2564" t="s">
        <v>57</v>
      </c>
      <c r="I2564" t="s">
        <v>130</v>
      </c>
      <c r="J2564" t="s">
        <v>7226</v>
      </c>
      <c r="K2564">
        <v>60</v>
      </c>
      <c r="L2564" t="s">
        <v>25</v>
      </c>
      <c r="M2564" t="s">
        <v>50</v>
      </c>
      <c r="N2564" t="s">
        <v>112</v>
      </c>
      <c r="O2564" t="s">
        <v>28</v>
      </c>
      <c r="P2564" t="s">
        <v>31</v>
      </c>
      <c r="Q2564">
        <v>0</v>
      </c>
      <c r="R2564" t="s">
        <v>12883</v>
      </c>
      <c r="S2564" t="s">
        <v>12884</v>
      </c>
    </row>
    <row r="2565" spans="1:19" x14ac:dyDescent="0.25">
      <c r="A2565" t="s">
        <v>1817</v>
      </c>
      <c r="B2565" s="1">
        <v>45853</v>
      </c>
      <c r="C2565" t="s">
        <v>12885</v>
      </c>
      <c r="D2565" s="5">
        <v>0.21141203703703704</v>
      </c>
      <c r="E2565">
        <v>4.3099999999999996</v>
      </c>
      <c r="F2565" t="s">
        <v>44</v>
      </c>
      <c r="G2565" t="s">
        <v>1818</v>
      </c>
      <c r="H2565" t="s">
        <v>46</v>
      </c>
      <c r="I2565" t="s">
        <v>35</v>
      </c>
      <c r="J2565" t="s">
        <v>1819</v>
      </c>
      <c r="K2565">
        <v>37</v>
      </c>
      <c r="L2565" t="s">
        <v>25</v>
      </c>
      <c r="M2565" t="s">
        <v>97</v>
      </c>
      <c r="N2565" t="s">
        <v>27</v>
      </c>
      <c r="O2565" t="s">
        <v>28</v>
      </c>
      <c r="P2565" t="s">
        <v>31</v>
      </c>
      <c r="Q2565">
        <v>0</v>
      </c>
      <c r="R2565" t="s">
        <v>12883</v>
      </c>
      <c r="S2565" t="s">
        <v>12889</v>
      </c>
    </row>
    <row r="2566" spans="1:19" x14ac:dyDescent="0.25">
      <c r="A2566" t="s">
        <v>9859</v>
      </c>
      <c r="B2566" s="1">
        <v>45811</v>
      </c>
      <c r="C2566" t="s">
        <v>12888</v>
      </c>
      <c r="D2566" s="5">
        <v>0.59569444444444442</v>
      </c>
      <c r="E2566">
        <v>3.97</v>
      </c>
      <c r="F2566" t="s">
        <v>44</v>
      </c>
      <c r="G2566" t="s">
        <v>7908</v>
      </c>
      <c r="H2566" t="s">
        <v>124</v>
      </c>
      <c r="I2566" t="s">
        <v>23</v>
      </c>
      <c r="J2566" t="s">
        <v>9860</v>
      </c>
      <c r="K2566">
        <v>26</v>
      </c>
      <c r="L2566" t="s">
        <v>37</v>
      </c>
      <c r="M2566" t="s">
        <v>146</v>
      </c>
      <c r="N2566" t="s">
        <v>27</v>
      </c>
      <c r="O2566" t="s">
        <v>28</v>
      </c>
      <c r="P2566" t="s">
        <v>31</v>
      </c>
      <c r="Q2566">
        <v>0</v>
      </c>
      <c r="R2566" t="s">
        <v>12883</v>
      </c>
      <c r="S2566" t="s">
        <v>12889</v>
      </c>
    </row>
    <row r="2567" spans="1:19" x14ac:dyDescent="0.25">
      <c r="A2567" t="s">
        <v>6881</v>
      </c>
      <c r="B2567" s="1">
        <v>45896</v>
      </c>
      <c r="C2567" t="s">
        <v>12893</v>
      </c>
      <c r="D2567" s="5">
        <v>0.65656250000000005</v>
      </c>
      <c r="E2567">
        <v>3.62</v>
      </c>
      <c r="F2567" t="s">
        <v>44</v>
      </c>
      <c r="G2567" t="s">
        <v>810</v>
      </c>
      <c r="H2567" t="s">
        <v>124</v>
      </c>
      <c r="I2567" t="s">
        <v>26</v>
      </c>
      <c r="J2567" t="s">
        <v>6882</v>
      </c>
      <c r="K2567">
        <v>34</v>
      </c>
      <c r="L2567" t="s">
        <v>49</v>
      </c>
      <c r="M2567" t="s">
        <v>130</v>
      </c>
      <c r="N2567" t="s">
        <v>51</v>
      </c>
      <c r="O2567" t="s">
        <v>28</v>
      </c>
      <c r="P2567" t="s">
        <v>31</v>
      </c>
      <c r="Q2567">
        <v>0</v>
      </c>
      <c r="R2567" t="s">
        <v>12883</v>
      </c>
      <c r="S2567" t="s">
        <v>12889</v>
      </c>
    </row>
    <row r="2568" spans="1:19" x14ac:dyDescent="0.25">
      <c r="A2568" t="s">
        <v>2799</v>
      </c>
      <c r="B2568" s="1">
        <v>45823</v>
      </c>
      <c r="C2568" t="s">
        <v>12888</v>
      </c>
      <c r="D2568" s="5">
        <v>0.34979166666666667</v>
      </c>
      <c r="E2568">
        <v>3.61</v>
      </c>
      <c r="F2568" t="s">
        <v>44</v>
      </c>
      <c r="G2568" t="s">
        <v>2800</v>
      </c>
      <c r="H2568" t="s">
        <v>71</v>
      </c>
      <c r="I2568" t="s">
        <v>248</v>
      </c>
      <c r="J2568" t="s">
        <v>2801</v>
      </c>
      <c r="K2568">
        <v>64</v>
      </c>
      <c r="L2568" t="s">
        <v>49</v>
      </c>
      <c r="M2568" t="s">
        <v>91</v>
      </c>
      <c r="N2568" t="s">
        <v>51</v>
      </c>
      <c r="O2568" t="s">
        <v>28</v>
      </c>
      <c r="P2568" t="s">
        <v>31</v>
      </c>
      <c r="Q2568">
        <v>0</v>
      </c>
      <c r="R2568" t="s">
        <v>12883</v>
      </c>
      <c r="S2568" t="s">
        <v>12884</v>
      </c>
    </row>
    <row r="2569" spans="1:19" x14ac:dyDescent="0.25">
      <c r="A2569" t="s">
        <v>6532</v>
      </c>
      <c r="B2569" s="1">
        <v>45787</v>
      </c>
      <c r="C2569" t="s">
        <v>12887</v>
      </c>
      <c r="D2569" s="5">
        <v>0.65523148148148147</v>
      </c>
      <c r="E2569">
        <v>3.54</v>
      </c>
      <c r="F2569" t="s">
        <v>44</v>
      </c>
      <c r="G2569" t="s">
        <v>338</v>
      </c>
      <c r="H2569" t="s">
        <v>89</v>
      </c>
      <c r="I2569" t="s">
        <v>38</v>
      </c>
      <c r="J2569" t="s">
        <v>6533</v>
      </c>
      <c r="K2569">
        <v>64</v>
      </c>
      <c r="L2569" t="s">
        <v>37</v>
      </c>
      <c r="M2569" t="s">
        <v>130</v>
      </c>
      <c r="N2569" t="s">
        <v>112</v>
      </c>
      <c r="O2569" t="s">
        <v>28</v>
      </c>
      <c r="P2569" t="s">
        <v>31</v>
      </c>
      <c r="Q2569">
        <v>0</v>
      </c>
      <c r="R2569" t="s">
        <v>12883</v>
      </c>
      <c r="S2569" t="s">
        <v>12884</v>
      </c>
    </row>
    <row r="2570" spans="1:19" x14ac:dyDescent="0.25">
      <c r="A2570" t="s">
        <v>11227</v>
      </c>
      <c r="B2570" s="1">
        <v>45889</v>
      </c>
      <c r="C2570" t="s">
        <v>12893</v>
      </c>
      <c r="D2570" s="5">
        <v>0.59745370370370365</v>
      </c>
      <c r="E2570">
        <v>3.45</v>
      </c>
      <c r="F2570" t="s">
        <v>44</v>
      </c>
      <c r="G2570" t="s">
        <v>6235</v>
      </c>
      <c r="H2570" t="s">
        <v>124</v>
      </c>
      <c r="I2570" t="s">
        <v>23</v>
      </c>
      <c r="J2570" t="s">
        <v>11228</v>
      </c>
      <c r="K2570">
        <v>38</v>
      </c>
      <c r="L2570" t="s">
        <v>37</v>
      </c>
      <c r="M2570" t="s">
        <v>58</v>
      </c>
      <c r="N2570" t="s">
        <v>51</v>
      </c>
      <c r="O2570" t="s">
        <v>28</v>
      </c>
      <c r="P2570" t="s">
        <v>31</v>
      </c>
      <c r="Q2570">
        <v>0</v>
      </c>
      <c r="R2570" t="s">
        <v>12883</v>
      </c>
      <c r="S2570" t="s">
        <v>12889</v>
      </c>
    </row>
    <row r="2571" spans="1:19" x14ac:dyDescent="0.25">
      <c r="A2571" t="s">
        <v>12037</v>
      </c>
      <c r="B2571" s="1">
        <v>45955</v>
      </c>
      <c r="C2571" t="s">
        <v>12890</v>
      </c>
      <c r="D2571" s="5">
        <v>0.19585648148148149</v>
      </c>
      <c r="E2571">
        <v>3.41</v>
      </c>
      <c r="F2571" t="s">
        <v>44</v>
      </c>
      <c r="G2571" t="s">
        <v>6983</v>
      </c>
      <c r="H2571" t="s">
        <v>64</v>
      </c>
      <c r="I2571" t="s">
        <v>50</v>
      </c>
      <c r="J2571" t="s">
        <v>12038</v>
      </c>
      <c r="K2571">
        <v>44</v>
      </c>
      <c r="L2571" t="s">
        <v>49</v>
      </c>
      <c r="M2571" t="s">
        <v>66</v>
      </c>
      <c r="N2571" t="s">
        <v>112</v>
      </c>
      <c r="O2571" t="s">
        <v>28</v>
      </c>
      <c r="P2571" t="s">
        <v>31</v>
      </c>
      <c r="Q2571">
        <v>1</v>
      </c>
      <c r="R2571" t="s">
        <v>12891</v>
      </c>
      <c r="S2571" t="s">
        <v>12886</v>
      </c>
    </row>
    <row r="2572" spans="1:19" x14ac:dyDescent="0.25">
      <c r="A2572" t="s">
        <v>5942</v>
      </c>
      <c r="B2572" s="1">
        <v>45811</v>
      </c>
      <c r="C2572" t="s">
        <v>12888</v>
      </c>
      <c r="D2572" s="5">
        <v>0.89907407407407403</v>
      </c>
      <c r="E2572">
        <v>3.33</v>
      </c>
      <c r="F2572" t="s">
        <v>44</v>
      </c>
      <c r="G2572" t="s">
        <v>5402</v>
      </c>
      <c r="H2572" t="s">
        <v>89</v>
      </c>
      <c r="I2572" t="s">
        <v>50</v>
      </c>
      <c r="J2572" t="s">
        <v>5943</v>
      </c>
      <c r="K2572">
        <v>46</v>
      </c>
      <c r="L2572" t="s">
        <v>25</v>
      </c>
      <c r="M2572" t="s">
        <v>119</v>
      </c>
      <c r="N2572" t="s">
        <v>112</v>
      </c>
      <c r="O2572" t="s">
        <v>28</v>
      </c>
      <c r="P2572" t="s">
        <v>31</v>
      </c>
      <c r="Q2572">
        <v>0</v>
      </c>
      <c r="R2572" t="s">
        <v>12883</v>
      </c>
      <c r="S2572" t="s">
        <v>12886</v>
      </c>
    </row>
    <row r="2573" spans="1:19" x14ac:dyDescent="0.25">
      <c r="A2573" t="s">
        <v>11252</v>
      </c>
      <c r="B2573" s="1">
        <v>45956</v>
      </c>
      <c r="C2573" t="s">
        <v>12890</v>
      </c>
      <c r="D2573" s="5">
        <v>0.32238425925925923</v>
      </c>
      <c r="E2573">
        <v>3.32</v>
      </c>
      <c r="F2573" t="s">
        <v>44</v>
      </c>
      <c r="G2573" t="s">
        <v>11253</v>
      </c>
      <c r="H2573" t="s">
        <v>64</v>
      </c>
      <c r="I2573" t="s">
        <v>23</v>
      </c>
      <c r="J2573" t="s">
        <v>11254</v>
      </c>
      <c r="K2573">
        <v>62</v>
      </c>
      <c r="L2573" t="s">
        <v>49</v>
      </c>
      <c r="M2573" t="s">
        <v>35</v>
      </c>
      <c r="N2573" t="s">
        <v>39</v>
      </c>
      <c r="O2573" t="s">
        <v>28</v>
      </c>
      <c r="P2573" t="s">
        <v>31</v>
      </c>
      <c r="Q2573">
        <v>0</v>
      </c>
      <c r="R2573" t="s">
        <v>12883</v>
      </c>
      <c r="S2573" t="s">
        <v>12884</v>
      </c>
    </row>
    <row r="2574" spans="1:19" x14ac:dyDescent="0.25">
      <c r="A2574" t="s">
        <v>5594</v>
      </c>
      <c r="B2574" s="1">
        <v>45781</v>
      </c>
      <c r="C2574" t="s">
        <v>12887</v>
      </c>
      <c r="D2574" s="5">
        <v>0.67425925925925922</v>
      </c>
      <c r="E2574">
        <v>3.28</v>
      </c>
      <c r="F2574" t="s">
        <v>44</v>
      </c>
      <c r="G2574" t="s">
        <v>4025</v>
      </c>
      <c r="H2574" t="s">
        <v>124</v>
      </c>
      <c r="I2574" t="s">
        <v>23</v>
      </c>
      <c r="J2574" t="s">
        <v>5595</v>
      </c>
      <c r="K2574">
        <v>74</v>
      </c>
      <c r="L2574" t="s">
        <v>37</v>
      </c>
      <c r="M2574" t="s">
        <v>146</v>
      </c>
      <c r="N2574" t="s">
        <v>112</v>
      </c>
      <c r="O2574" t="s">
        <v>28</v>
      </c>
      <c r="P2574" t="s">
        <v>31</v>
      </c>
      <c r="Q2574">
        <v>0</v>
      </c>
      <c r="R2574" t="s">
        <v>12883</v>
      </c>
      <c r="S2574" t="s">
        <v>12884</v>
      </c>
    </row>
    <row r="2575" spans="1:19" x14ac:dyDescent="0.25">
      <c r="A2575" t="s">
        <v>5066</v>
      </c>
      <c r="B2575" s="1">
        <v>45857</v>
      </c>
      <c r="C2575" t="s">
        <v>12885</v>
      </c>
      <c r="D2575" s="5">
        <v>0.3833449074074074</v>
      </c>
      <c r="E2575">
        <v>3.27</v>
      </c>
      <c r="F2575" t="s">
        <v>44</v>
      </c>
      <c r="G2575" t="s">
        <v>5067</v>
      </c>
      <c r="H2575" t="s">
        <v>46</v>
      </c>
      <c r="I2575" t="s">
        <v>91</v>
      </c>
      <c r="J2575" t="s">
        <v>5068</v>
      </c>
      <c r="K2575">
        <v>18</v>
      </c>
      <c r="L2575" t="s">
        <v>49</v>
      </c>
      <c r="M2575" t="s">
        <v>38</v>
      </c>
      <c r="N2575" t="s">
        <v>27</v>
      </c>
      <c r="O2575" t="s">
        <v>28</v>
      </c>
      <c r="P2575" t="s">
        <v>31</v>
      </c>
      <c r="Q2575">
        <v>0</v>
      </c>
      <c r="R2575" t="s">
        <v>12883</v>
      </c>
      <c r="S2575" t="s">
        <v>12892</v>
      </c>
    </row>
    <row r="2576" spans="1:19" x14ac:dyDescent="0.25">
      <c r="A2576" t="s">
        <v>1562</v>
      </c>
      <c r="B2576" s="1">
        <v>45869</v>
      </c>
      <c r="C2576" t="s">
        <v>12885</v>
      </c>
      <c r="D2576" s="5">
        <v>0.22849537037037038</v>
      </c>
      <c r="E2576">
        <v>3.21</v>
      </c>
      <c r="F2576" t="s">
        <v>44</v>
      </c>
      <c r="G2576" t="s">
        <v>1563</v>
      </c>
      <c r="H2576" t="s">
        <v>96</v>
      </c>
      <c r="I2576" t="s">
        <v>38</v>
      </c>
      <c r="J2576" t="s">
        <v>1564</v>
      </c>
      <c r="K2576">
        <v>66</v>
      </c>
      <c r="L2576" t="s">
        <v>25</v>
      </c>
      <c r="M2576" t="s">
        <v>91</v>
      </c>
      <c r="N2576" t="s">
        <v>39</v>
      </c>
      <c r="O2576" t="s">
        <v>28</v>
      </c>
      <c r="P2576" t="s">
        <v>31</v>
      </c>
      <c r="Q2576">
        <v>0</v>
      </c>
      <c r="R2576" t="s">
        <v>12883</v>
      </c>
      <c r="S2576" t="s">
        <v>12884</v>
      </c>
    </row>
    <row r="2577" spans="1:19" x14ac:dyDescent="0.25">
      <c r="A2577" t="s">
        <v>11285</v>
      </c>
      <c r="B2577" s="1">
        <v>45854</v>
      </c>
      <c r="C2577" t="s">
        <v>12885</v>
      </c>
      <c r="D2577" s="5">
        <v>0.55710648148148145</v>
      </c>
      <c r="E2577">
        <v>3.21</v>
      </c>
      <c r="F2577" t="s">
        <v>44</v>
      </c>
      <c r="G2577" t="s">
        <v>1724</v>
      </c>
      <c r="H2577" t="s">
        <v>96</v>
      </c>
      <c r="I2577" t="s">
        <v>23</v>
      </c>
      <c r="J2577" t="s">
        <v>11286</v>
      </c>
      <c r="K2577">
        <v>63</v>
      </c>
      <c r="L2577" t="s">
        <v>25</v>
      </c>
      <c r="M2577" t="s">
        <v>97</v>
      </c>
      <c r="N2577" t="s">
        <v>84</v>
      </c>
      <c r="O2577" t="s">
        <v>28</v>
      </c>
      <c r="P2577" t="s">
        <v>31</v>
      </c>
      <c r="Q2577">
        <v>0</v>
      </c>
      <c r="R2577" t="s">
        <v>12883</v>
      </c>
      <c r="S2577" t="s">
        <v>12884</v>
      </c>
    </row>
    <row r="2578" spans="1:19" x14ac:dyDescent="0.25">
      <c r="A2578" t="s">
        <v>12801</v>
      </c>
      <c r="B2578" s="1">
        <v>45854</v>
      </c>
      <c r="C2578" t="s">
        <v>12885</v>
      </c>
      <c r="D2578" s="5">
        <v>0.39144675925925926</v>
      </c>
      <c r="E2578">
        <v>3.04</v>
      </c>
      <c r="F2578" t="s">
        <v>44</v>
      </c>
      <c r="G2578" t="s">
        <v>156</v>
      </c>
      <c r="H2578" t="s">
        <v>124</v>
      </c>
      <c r="I2578" t="s">
        <v>91</v>
      </c>
      <c r="J2578" t="s">
        <v>12802</v>
      </c>
      <c r="K2578">
        <v>57</v>
      </c>
      <c r="L2578" t="s">
        <v>37</v>
      </c>
      <c r="M2578" t="s">
        <v>248</v>
      </c>
      <c r="N2578" t="s">
        <v>27</v>
      </c>
      <c r="O2578" t="s">
        <v>28</v>
      </c>
      <c r="P2578" t="s">
        <v>31</v>
      </c>
      <c r="Q2578">
        <v>0</v>
      </c>
      <c r="R2578" t="s">
        <v>12883</v>
      </c>
      <c r="S2578" t="s">
        <v>12886</v>
      </c>
    </row>
    <row r="2579" spans="1:19" x14ac:dyDescent="0.25">
      <c r="A2579" t="s">
        <v>10297</v>
      </c>
      <c r="B2579" s="1">
        <v>45935</v>
      </c>
      <c r="C2579" t="s">
        <v>12890</v>
      </c>
      <c r="D2579" s="5">
        <v>0.16125</v>
      </c>
      <c r="E2579">
        <v>3</v>
      </c>
      <c r="F2579" t="s">
        <v>44</v>
      </c>
      <c r="G2579" t="s">
        <v>1637</v>
      </c>
      <c r="H2579" t="s">
        <v>77</v>
      </c>
      <c r="I2579" t="s">
        <v>110</v>
      </c>
      <c r="J2579" t="s">
        <v>10298</v>
      </c>
      <c r="K2579">
        <v>67</v>
      </c>
      <c r="L2579" t="s">
        <v>25</v>
      </c>
      <c r="M2579" t="s">
        <v>248</v>
      </c>
      <c r="N2579" t="s">
        <v>51</v>
      </c>
      <c r="O2579" t="s">
        <v>28</v>
      </c>
      <c r="P2579" t="s">
        <v>31</v>
      </c>
      <c r="Q2579">
        <v>0</v>
      </c>
      <c r="R2579" t="s">
        <v>12883</v>
      </c>
      <c r="S2579" t="s">
        <v>12884</v>
      </c>
    </row>
    <row r="2580" spans="1:19" x14ac:dyDescent="0.25">
      <c r="A2580" t="s">
        <v>10831</v>
      </c>
      <c r="B2580" s="1">
        <v>45834</v>
      </c>
      <c r="C2580" t="s">
        <v>12888</v>
      </c>
      <c r="D2580" s="5">
        <v>0.25532407407407409</v>
      </c>
      <c r="E2580">
        <v>2.97</v>
      </c>
      <c r="F2580" t="s">
        <v>44</v>
      </c>
      <c r="G2580" t="s">
        <v>2299</v>
      </c>
      <c r="H2580" t="s">
        <v>64</v>
      </c>
      <c r="I2580" t="s">
        <v>97</v>
      </c>
      <c r="J2580" t="s">
        <v>10832</v>
      </c>
      <c r="K2580">
        <v>36</v>
      </c>
      <c r="L2580" t="s">
        <v>37</v>
      </c>
      <c r="M2580" t="s">
        <v>58</v>
      </c>
      <c r="N2580" t="s">
        <v>51</v>
      </c>
      <c r="O2580" t="s">
        <v>28</v>
      </c>
      <c r="P2580" t="s">
        <v>31</v>
      </c>
      <c r="Q2580">
        <v>0</v>
      </c>
      <c r="R2580" t="s">
        <v>12883</v>
      </c>
      <c r="S2580" t="s">
        <v>12889</v>
      </c>
    </row>
    <row r="2581" spans="1:19" x14ac:dyDescent="0.25">
      <c r="A2581" t="s">
        <v>615</v>
      </c>
      <c r="B2581" s="1">
        <v>45810</v>
      </c>
      <c r="C2581" t="s">
        <v>12888</v>
      </c>
      <c r="D2581" s="5">
        <v>0.72048611111111116</v>
      </c>
      <c r="E2581">
        <v>2.91</v>
      </c>
      <c r="F2581" t="s">
        <v>44</v>
      </c>
      <c r="G2581" t="s">
        <v>616</v>
      </c>
      <c r="H2581" t="s">
        <v>71</v>
      </c>
      <c r="I2581" t="s">
        <v>146</v>
      </c>
      <c r="J2581" t="s">
        <v>617</v>
      </c>
      <c r="K2581">
        <v>47</v>
      </c>
      <c r="L2581" t="s">
        <v>25</v>
      </c>
      <c r="M2581" t="s">
        <v>248</v>
      </c>
      <c r="N2581" t="s">
        <v>39</v>
      </c>
      <c r="O2581" t="s">
        <v>28</v>
      </c>
      <c r="P2581" t="s">
        <v>31</v>
      </c>
      <c r="Q2581">
        <v>0</v>
      </c>
      <c r="R2581" t="s">
        <v>12883</v>
      </c>
      <c r="S2581" t="s">
        <v>12886</v>
      </c>
    </row>
    <row r="2582" spans="1:19" x14ac:dyDescent="0.25">
      <c r="A2582" t="s">
        <v>7916</v>
      </c>
      <c r="B2582" s="1">
        <v>45784</v>
      </c>
      <c r="C2582" t="s">
        <v>12887</v>
      </c>
      <c r="D2582" s="5">
        <v>0.29321759259259261</v>
      </c>
      <c r="E2582">
        <v>2.91</v>
      </c>
      <c r="F2582" t="s">
        <v>44</v>
      </c>
      <c r="G2582" t="s">
        <v>7917</v>
      </c>
      <c r="H2582" t="s">
        <v>46</v>
      </c>
      <c r="I2582" t="s">
        <v>110</v>
      </c>
      <c r="J2582" t="s">
        <v>7918</v>
      </c>
      <c r="K2582">
        <v>63</v>
      </c>
      <c r="L2582" t="s">
        <v>49</v>
      </c>
      <c r="M2582" t="s">
        <v>23</v>
      </c>
      <c r="N2582" t="s">
        <v>84</v>
      </c>
      <c r="O2582" t="s">
        <v>28</v>
      </c>
      <c r="P2582" t="s">
        <v>31</v>
      </c>
      <c r="Q2582">
        <v>0</v>
      </c>
      <c r="R2582" t="s">
        <v>12883</v>
      </c>
      <c r="S2582" t="s">
        <v>12884</v>
      </c>
    </row>
    <row r="2583" spans="1:19" x14ac:dyDescent="0.25">
      <c r="A2583" t="s">
        <v>6763</v>
      </c>
      <c r="B2583" s="1">
        <v>45791</v>
      </c>
      <c r="C2583" t="s">
        <v>12887</v>
      </c>
      <c r="D2583" s="5">
        <v>0.57427083333333329</v>
      </c>
      <c r="E2583">
        <v>2.66</v>
      </c>
      <c r="F2583" t="s">
        <v>44</v>
      </c>
      <c r="G2583" t="s">
        <v>2990</v>
      </c>
      <c r="H2583" t="s">
        <v>96</v>
      </c>
      <c r="I2583" t="s">
        <v>35</v>
      </c>
      <c r="J2583" t="s">
        <v>6764</v>
      </c>
      <c r="K2583">
        <v>45</v>
      </c>
      <c r="L2583" t="s">
        <v>37</v>
      </c>
      <c r="M2583" t="s">
        <v>50</v>
      </c>
      <c r="N2583" t="s">
        <v>84</v>
      </c>
      <c r="O2583" t="s">
        <v>28</v>
      </c>
      <c r="P2583" t="s">
        <v>31</v>
      </c>
      <c r="Q2583">
        <v>0</v>
      </c>
      <c r="R2583" t="s">
        <v>12883</v>
      </c>
      <c r="S2583" t="s">
        <v>12886</v>
      </c>
    </row>
    <row r="2584" spans="1:19" x14ac:dyDescent="0.25">
      <c r="A2584" t="s">
        <v>9992</v>
      </c>
      <c r="B2584" s="1">
        <v>45829</v>
      </c>
      <c r="C2584" t="s">
        <v>12888</v>
      </c>
      <c r="D2584" s="5">
        <v>0.54035879629629635</v>
      </c>
      <c r="E2584">
        <v>2.6</v>
      </c>
      <c r="F2584" t="s">
        <v>44</v>
      </c>
      <c r="G2584" t="s">
        <v>7144</v>
      </c>
      <c r="H2584" t="s">
        <v>64</v>
      </c>
      <c r="I2584" t="s">
        <v>130</v>
      </c>
      <c r="J2584" t="s">
        <v>9993</v>
      </c>
      <c r="K2584">
        <v>75</v>
      </c>
      <c r="L2584" t="s">
        <v>49</v>
      </c>
      <c r="M2584" t="s">
        <v>97</v>
      </c>
      <c r="N2584" t="s">
        <v>112</v>
      </c>
      <c r="O2584" t="s">
        <v>28</v>
      </c>
      <c r="P2584" t="s">
        <v>31</v>
      </c>
      <c r="Q2584">
        <v>0</v>
      </c>
      <c r="R2584" t="s">
        <v>12883</v>
      </c>
      <c r="S2584" t="s">
        <v>12884</v>
      </c>
    </row>
    <row r="2585" spans="1:19" x14ac:dyDescent="0.25">
      <c r="A2585" t="s">
        <v>1325</v>
      </c>
      <c r="B2585" s="1">
        <v>45902</v>
      </c>
      <c r="C2585" t="s">
        <v>12882</v>
      </c>
      <c r="D2585" s="5">
        <v>0.52475694444444443</v>
      </c>
      <c r="E2585">
        <v>2.38</v>
      </c>
      <c r="F2585" t="s">
        <v>44</v>
      </c>
      <c r="G2585" t="s">
        <v>1326</v>
      </c>
      <c r="H2585" t="s">
        <v>34</v>
      </c>
      <c r="I2585" t="s">
        <v>66</v>
      </c>
      <c r="J2585" t="s">
        <v>1327</v>
      </c>
      <c r="K2585">
        <v>25</v>
      </c>
      <c r="L2585" t="s">
        <v>37</v>
      </c>
      <c r="M2585" t="s">
        <v>130</v>
      </c>
      <c r="N2585" t="s">
        <v>39</v>
      </c>
      <c r="O2585" t="s">
        <v>28</v>
      </c>
      <c r="P2585" t="s">
        <v>31</v>
      </c>
      <c r="Q2585">
        <v>0</v>
      </c>
      <c r="R2585" t="s">
        <v>12883</v>
      </c>
      <c r="S2585" t="s">
        <v>12889</v>
      </c>
    </row>
    <row r="2586" spans="1:19" x14ac:dyDescent="0.25">
      <c r="A2586" t="s">
        <v>10854</v>
      </c>
      <c r="B2586" s="1">
        <v>45908</v>
      </c>
      <c r="C2586" t="s">
        <v>12882</v>
      </c>
      <c r="D2586" s="5">
        <v>0.86714120370370373</v>
      </c>
      <c r="E2586">
        <v>2.37</v>
      </c>
      <c r="F2586" t="s">
        <v>44</v>
      </c>
      <c r="G2586" t="s">
        <v>4775</v>
      </c>
      <c r="H2586" t="s">
        <v>64</v>
      </c>
      <c r="I2586" t="s">
        <v>110</v>
      </c>
      <c r="J2586" t="s">
        <v>1347</v>
      </c>
      <c r="K2586">
        <v>29</v>
      </c>
      <c r="L2586" t="s">
        <v>49</v>
      </c>
      <c r="M2586" t="s">
        <v>91</v>
      </c>
      <c r="N2586" t="s">
        <v>51</v>
      </c>
      <c r="O2586" t="s">
        <v>28</v>
      </c>
      <c r="P2586" t="s">
        <v>31</v>
      </c>
      <c r="Q2586">
        <v>0</v>
      </c>
      <c r="R2586" t="s">
        <v>12883</v>
      </c>
      <c r="S2586" t="s">
        <v>12889</v>
      </c>
    </row>
    <row r="2587" spans="1:19" x14ac:dyDescent="0.25">
      <c r="A2587" t="s">
        <v>4203</v>
      </c>
      <c r="B2587" s="1">
        <v>45940</v>
      </c>
      <c r="C2587" t="s">
        <v>12890</v>
      </c>
      <c r="D2587" s="5">
        <v>0.2101851851851852</v>
      </c>
      <c r="E2587">
        <v>2.25</v>
      </c>
      <c r="F2587" t="s">
        <v>44</v>
      </c>
      <c r="G2587" t="s">
        <v>2860</v>
      </c>
      <c r="H2587" t="s">
        <v>71</v>
      </c>
      <c r="I2587" t="s">
        <v>130</v>
      </c>
      <c r="J2587" t="s">
        <v>4204</v>
      </c>
      <c r="K2587">
        <v>58</v>
      </c>
      <c r="L2587" t="s">
        <v>37</v>
      </c>
      <c r="M2587" t="s">
        <v>248</v>
      </c>
      <c r="N2587" t="s">
        <v>84</v>
      </c>
      <c r="O2587" t="s">
        <v>28</v>
      </c>
      <c r="P2587" t="s">
        <v>31</v>
      </c>
      <c r="Q2587">
        <v>0</v>
      </c>
      <c r="R2587" t="s">
        <v>12883</v>
      </c>
      <c r="S2587" t="s">
        <v>12886</v>
      </c>
    </row>
    <row r="2588" spans="1:19" x14ac:dyDescent="0.25">
      <c r="A2588" t="s">
        <v>4769</v>
      </c>
      <c r="B2588" s="1">
        <v>45868</v>
      </c>
      <c r="C2588" t="s">
        <v>12885</v>
      </c>
      <c r="D2588" s="5">
        <v>0.21262731481481481</v>
      </c>
      <c r="E2588">
        <v>2.17</v>
      </c>
      <c r="F2588" t="s">
        <v>44</v>
      </c>
      <c r="G2588" t="s">
        <v>4770</v>
      </c>
      <c r="H2588" t="s">
        <v>22</v>
      </c>
      <c r="I2588" t="s">
        <v>146</v>
      </c>
      <c r="J2588" t="s">
        <v>4771</v>
      </c>
      <c r="K2588">
        <v>34</v>
      </c>
      <c r="L2588" t="s">
        <v>49</v>
      </c>
      <c r="M2588" t="s">
        <v>119</v>
      </c>
      <c r="N2588" t="s">
        <v>39</v>
      </c>
      <c r="O2588" t="s">
        <v>28</v>
      </c>
      <c r="P2588" t="s">
        <v>31</v>
      </c>
      <c r="Q2588">
        <v>0</v>
      </c>
      <c r="R2588" t="s">
        <v>12883</v>
      </c>
      <c r="S2588" t="s">
        <v>12889</v>
      </c>
    </row>
    <row r="2589" spans="1:19" x14ac:dyDescent="0.25">
      <c r="A2589" t="s">
        <v>1435</v>
      </c>
      <c r="B2589" s="1">
        <v>45809</v>
      </c>
      <c r="C2589" t="s">
        <v>12888</v>
      </c>
      <c r="D2589" s="5">
        <v>0.18153935185185185</v>
      </c>
      <c r="E2589">
        <v>2.12</v>
      </c>
      <c r="F2589" t="s">
        <v>44</v>
      </c>
      <c r="G2589" t="s">
        <v>1436</v>
      </c>
      <c r="H2589" t="s">
        <v>96</v>
      </c>
      <c r="I2589" t="s">
        <v>91</v>
      </c>
      <c r="J2589" t="s">
        <v>1437</v>
      </c>
      <c r="K2589">
        <v>59</v>
      </c>
      <c r="L2589" t="s">
        <v>49</v>
      </c>
      <c r="M2589" t="s">
        <v>38</v>
      </c>
      <c r="N2589" t="s">
        <v>39</v>
      </c>
      <c r="O2589" t="s">
        <v>28</v>
      </c>
      <c r="P2589" t="s">
        <v>31</v>
      </c>
      <c r="Q2589">
        <v>0</v>
      </c>
      <c r="R2589" t="s">
        <v>12883</v>
      </c>
      <c r="S2589" t="s">
        <v>12886</v>
      </c>
    </row>
    <row r="2590" spans="1:19" x14ac:dyDescent="0.25">
      <c r="A2590" t="s">
        <v>3703</v>
      </c>
      <c r="B2590" s="1">
        <v>45942</v>
      </c>
      <c r="C2590" t="s">
        <v>12890</v>
      </c>
      <c r="D2590" s="5">
        <v>0.69354166666666661</v>
      </c>
      <c r="E2590">
        <v>2.11</v>
      </c>
      <c r="F2590" t="s">
        <v>44</v>
      </c>
      <c r="G2590" t="s">
        <v>1050</v>
      </c>
      <c r="H2590" t="s">
        <v>34</v>
      </c>
      <c r="I2590" t="s">
        <v>119</v>
      </c>
      <c r="J2590" t="s">
        <v>3704</v>
      </c>
      <c r="K2590">
        <v>35</v>
      </c>
      <c r="L2590" t="s">
        <v>37</v>
      </c>
      <c r="M2590" t="s">
        <v>130</v>
      </c>
      <c r="N2590" t="s">
        <v>112</v>
      </c>
      <c r="O2590" t="s">
        <v>28</v>
      </c>
      <c r="P2590" t="s">
        <v>31</v>
      </c>
      <c r="Q2590">
        <v>0</v>
      </c>
      <c r="R2590" t="s">
        <v>12883</v>
      </c>
      <c r="S2590" t="s">
        <v>12889</v>
      </c>
    </row>
    <row r="2591" spans="1:19" x14ac:dyDescent="0.25">
      <c r="A2591" t="s">
        <v>5467</v>
      </c>
      <c r="B2591" s="1">
        <v>45945</v>
      </c>
      <c r="C2591" t="s">
        <v>12890</v>
      </c>
      <c r="D2591" s="5">
        <v>0.32972222222222225</v>
      </c>
      <c r="E2591">
        <v>2.11</v>
      </c>
      <c r="F2591" t="s">
        <v>44</v>
      </c>
      <c r="G2591" t="s">
        <v>2282</v>
      </c>
      <c r="H2591" t="s">
        <v>96</v>
      </c>
      <c r="I2591" t="s">
        <v>91</v>
      </c>
      <c r="J2591" t="s">
        <v>5468</v>
      </c>
      <c r="K2591">
        <v>55</v>
      </c>
      <c r="L2591" t="s">
        <v>25</v>
      </c>
      <c r="M2591" t="s">
        <v>97</v>
      </c>
      <c r="N2591" t="s">
        <v>105</v>
      </c>
      <c r="O2591" t="s">
        <v>28</v>
      </c>
      <c r="P2591" t="s">
        <v>31</v>
      </c>
      <c r="Q2591">
        <v>0</v>
      </c>
      <c r="R2591" t="s">
        <v>12883</v>
      </c>
      <c r="S2591" t="s">
        <v>12886</v>
      </c>
    </row>
    <row r="2592" spans="1:19" x14ac:dyDescent="0.25">
      <c r="A2592" t="s">
        <v>1972</v>
      </c>
      <c r="B2592" s="1">
        <v>45898</v>
      </c>
      <c r="C2592" t="s">
        <v>12893</v>
      </c>
      <c r="D2592" s="5">
        <v>0.99556712962962968</v>
      </c>
      <c r="E2592">
        <v>2.1</v>
      </c>
      <c r="F2592" t="s">
        <v>44</v>
      </c>
      <c r="G2592" t="s">
        <v>1973</v>
      </c>
      <c r="H2592" t="s">
        <v>77</v>
      </c>
      <c r="I2592" t="s">
        <v>97</v>
      </c>
      <c r="J2592" t="s">
        <v>1974</v>
      </c>
      <c r="K2592">
        <v>30</v>
      </c>
      <c r="L2592" t="s">
        <v>25</v>
      </c>
      <c r="M2592" t="s">
        <v>38</v>
      </c>
      <c r="N2592" t="s">
        <v>105</v>
      </c>
      <c r="O2592" t="s">
        <v>28</v>
      </c>
      <c r="P2592" t="s">
        <v>31</v>
      </c>
      <c r="Q2592">
        <v>0</v>
      </c>
      <c r="R2592" t="s">
        <v>12883</v>
      </c>
      <c r="S2592" t="s">
        <v>12889</v>
      </c>
    </row>
    <row r="2593" spans="1:19" x14ac:dyDescent="0.25">
      <c r="A2593" t="s">
        <v>3301</v>
      </c>
      <c r="B2593" s="1">
        <v>45951</v>
      </c>
      <c r="C2593" t="s">
        <v>12890</v>
      </c>
      <c r="D2593" s="5">
        <v>0.68341435185185184</v>
      </c>
      <c r="E2593">
        <v>2.1</v>
      </c>
      <c r="F2593" t="s">
        <v>44</v>
      </c>
      <c r="G2593" t="s">
        <v>2927</v>
      </c>
      <c r="H2593" t="s">
        <v>57</v>
      </c>
      <c r="I2593" t="s">
        <v>119</v>
      </c>
      <c r="J2593" t="s">
        <v>3302</v>
      </c>
      <c r="K2593">
        <v>20</v>
      </c>
      <c r="L2593" t="s">
        <v>49</v>
      </c>
      <c r="M2593" t="s">
        <v>50</v>
      </c>
      <c r="N2593" t="s">
        <v>39</v>
      </c>
      <c r="O2593" t="s">
        <v>28</v>
      </c>
      <c r="P2593" t="s">
        <v>31</v>
      </c>
      <c r="Q2593">
        <v>0</v>
      </c>
      <c r="R2593" t="s">
        <v>12883</v>
      </c>
      <c r="S2593" t="s">
        <v>12892</v>
      </c>
    </row>
    <row r="2594" spans="1:19" x14ac:dyDescent="0.25">
      <c r="A2594" t="s">
        <v>6812</v>
      </c>
      <c r="B2594" s="1">
        <v>45845</v>
      </c>
      <c r="C2594" t="s">
        <v>12885</v>
      </c>
      <c r="D2594" s="5">
        <v>0.63628472222222221</v>
      </c>
      <c r="E2594">
        <v>1.99</v>
      </c>
      <c r="F2594" t="s">
        <v>44</v>
      </c>
      <c r="G2594" t="s">
        <v>6108</v>
      </c>
      <c r="H2594" t="s">
        <v>46</v>
      </c>
      <c r="I2594" t="s">
        <v>50</v>
      </c>
      <c r="J2594" t="s">
        <v>6813</v>
      </c>
      <c r="K2594">
        <v>55</v>
      </c>
      <c r="L2594" t="s">
        <v>49</v>
      </c>
      <c r="M2594" t="s">
        <v>47</v>
      </c>
      <c r="N2594" t="s">
        <v>39</v>
      </c>
      <c r="O2594" t="s">
        <v>28</v>
      </c>
      <c r="P2594" t="s">
        <v>31</v>
      </c>
      <c r="Q2594">
        <v>0</v>
      </c>
      <c r="R2594" t="s">
        <v>12883</v>
      </c>
      <c r="S2594" t="s">
        <v>12886</v>
      </c>
    </row>
    <row r="2595" spans="1:19" x14ac:dyDescent="0.25">
      <c r="A2595" t="s">
        <v>9578</v>
      </c>
      <c r="B2595" s="1">
        <v>45877</v>
      </c>
      <c r="C2595" t="s">
        <v>12893</v>
      </c>
      <c r="D2595" s="5">
        <v>0.43408564814814815</v>
      </c>
      <c r="E2595">
        <v>1.97</v>
      </c>
      <c r="F2595" t="s">
        <v>44</v>
      </c>
      <c r="G2595" t="s">
        <v>5603</v>
      </c>
      <c r="H2595" t="s">
        <v>124</v>
      </c>
      <c r="I2595" t="s">
        <v>248</v>
      </c>
      <c r="J2595" t="s">
        <v>9579</v>
      </c>
      <c r="K2595">
        <v>29</v>
      </c>
      <c r="L2595" t="s">
        <v>25</v>
      </c>
      <c r="M2595" t="s">
        <v>50</v>
      </c>
      <c r="N2595" t="s">
        <v>39</v>
      </c>
      <c r="O2595" t="s">
        <v>28</v>
      </c>
      <c r="P2595" t="s">
        <v>31</v>
      </c>
      <c r="Q2595">
        <v>0</v>
      </c>
      <c r="R2595" t="s">
        <v>12883</v>
      </c>
      <c r="S2595" t="s">
        <v>12889</v>
      </c>
    </row>
    <row r="2596" spans="1:19" x14ac:dyDescent="0.25">
      <c r="A2596" t="s">
        <v>12312</v>
      </c>
      <c r="B2596" s="1">
        <v>45833</v>
      </c>
      <c r="C2596" t="s">
        <v>12888</v>
      </c>
      <c r="D2596" s="5">
        <v>0.84271990740740743</v>
      </c>
      <c r="E2596">
        <v>1.77</v>
      </c>
      <c r="F2596" t="s">
        <v>44</v>
      </c>
      <c r="G2596" t="s">
        <v>4838</v>
      </c>
      <c r="H2596" t="s">
        <v>22</v>
      </c>
      <c r="I2596" t="s">
        <v>47</v>
      </c>
      <c r="J2596" t="s">
        <v>12313</v>
      </c>
      <c r="K2596">
        <v>101</v>
      </c>
      <c r="L2596" t="s">
        <v>37</v>
      </c>
      <c r="M2596" t="s">
        <v>119</v>
      </c>
      <c r="N2596" t="s">
        <v>84</v>
      </c>
      <c r="O2596" t="s">
        <v>28</v>
      </c>
      <c r="P2596" t="s">
        <v>31</v>
      </c>
      <c r="Q2596">
        <v>0</v>
      </c>
      <c r="R2596" t="s">
        <v>12883</v>
      </c>
      <c r="S2596" t="s">
        <v>12884</v>
      </c>
    </row>
    <row r="2597" spans="1:19" x14ac:dyDescent="0.25">
      <c r="A2597" t="s">
        <v>1992</v>
      </c>
      <c r="B2597" s="1">
        <v>45950</v>
      </c>
      <c r="C2597" t="s">
        <v>12890</v>
      </c>
      <c r="D2597" s="5">
        <v>0.3376851851851852</v>
      </c>
      <c r="E2597">
        <v>1.62</v>
      </c>
      <c r="F2597" t="s">
        <v>44</v>
      </c>
      <c r="G2597" t="s">
        <v>1993</v>
      </c>
      <c r="H2597" t="s">
        <v>124</v>
      </c>
      <c r="I2597" t="s">
        <v>130</v>
      </c>
      <c r="J2597" t="s">
        <v>1994</v>
      </c>
      <c r="K2597">
        <v>59</v>
      </c>
      <c r="L2597" t="s">
        <v>49</v>
      </c>
      <c r="M2597" t="s">
        <v>91</v>
      </c>
      <c r="N2597" t="s">
        <v>112</v>
      </c>
      <c r="O2597" t="s">
        <v>28</v>
      </c>
      <c r="P2597" t="s">
        <v>31</v>
      </c>
      <c r="Q2597">
        <v>0</v>
      </c>
      <c r="R2597" t="s">
        <v>12883</v>
      </c>
      <c r="S2597" t="s">
        <v>12886</v>
      </c>
    </row>
    <row r="2598" spans="1:19" x14ac:dyDescent="0.25">
      <c r="A2598" t="s">
        <v>10124</v>
      </c>
      <c r="B2598" s="1">
        <v>45796</v>
      </c>
      <c r="C2598" t="s">
        <v>12887</v>
      </c>
      <c r="D2598" s="5">
        <v>0.14961805555555555</v>
      </c>
      <c r="E2598">
        <v>1.61</v>
      </c>
      <c r="F2598" t="s">
        <v>44</v>
      </c>
      <c r="G2598" t="s">
        <v>3115</v>
      </c>
      <c r="H2598" t="s">
        <v>96</v>
      </c>
      <c r="I2598" t="s">
        <v>58</v>
      </c>
      <c r="J2598" t="s">
        <v>10125</v>
      </c>
      <c r="K2598">
        <v>67</v>
      </c>
      <c r="L2598" t="s">
        <v>37</v>
      </c>
      <c r="M2598" t="s">
        <v>146</v>
      </c>
      <c r="N2598" t="s">
        <v>84</v>
      </c>
      <c r="O2598" t="s">
        <v>28</v>
      </c>
      <c r="P2598" t="s">
        <v>31</v>
      </c>
      <c r="Q2598">
        <v>0</v>
      </c>
      <c r="R2598" t="s">
        <v>12883</v>
      </c>
      <c r="S2598" t="s">
        <v>12884</v>
      </c>
    </row>
    <row r="2599" spans="1:19" x14ac:dyDescent="0.25">
      <c r="A2599" t="s">
        <v>9092</v>
      </c>
      <c r="B2599" s="1">
        <v>45829</v>
      </c>
      <c r="C2599" t="s">
        <v>12888</v>
      </c>
      <c r="D2599" s="5">
        <v>0.34913194444444445</v>
      </c>
      <c r="E2599">
        <v>1.6</v>
      </c>
      <c r="F2599" t="s">
        <v>44</v>
      </c>
      <c r="G2599" t="s">
        <v>9093</v>
      </c>
      <c r="H2599" t="s">
        <v>64</v>
      </c>
      <c r="I2599" t="s">
        <v>91</v>
      </c>
      <c r="J2599" t="s">
        <v>9094</v>
      </c>
      <c r="K2599">
        <v>66</v>
      </c>
      <c r="L2599" t="s">
        <v>49</v>
      </c>
      <c r="M2599" t="s">
        <v>130</v>
      </c>
      <c r="N2599" t="s">
        <v>51</v>
      </c>
      <c r="O2599" t="s">
        <v>28</v>
      </c>
      <c r="P2599" t="s">
        <v>31</v>
      </c>
      <c r="Q2599">
        <v>0</v>
      </c>
      <c r="R2599" t="s">
        <v>12883</v>
      </c>
      <c r="S2599" t="s">
        <v>12884</v>
      </c>
    </row>
    <row r="2600" spans="1:19" x14ac:dyDescent="0.25">
      <c r="A2600" t="s">
        <v>3165</v>
      </c>
      <c r="B2600" s="1">
        <v>45841</v>
      </c>
      <c r="C2600" t="s">
        <v>12885</v>
      </c>
      <c r="D2600" s="5">
        <v>0.92488425925925921</v>
      </c>
      <c r="E2600">
        <v>1.55</v>
      </c>
      <c r="F2600" t="s">
        <v>44</v>
      </c>
      <c r="G2600" t="s">
        <v>3166</v>
      </c>
      <c r="H2600" t="s">
        <v>57</v>
      </c>
      <c r="I2600" t="s">
        <v>119</v>
      </c>
      <c r="J2600" t="s">
        <v>3167</v>
      </c>
      <c r="K2600">
        <v>41</v>
      </c>
      <c r="L2600" t="s">
        <v>49</v>
      </c>
      <c r="M2600" t="s">
        <v>35</v>
      </c>
      <c r="N2600" t="s">
        <v>105</v>
      </c>
      <c r="O2600" t="s">
        <v>28</v>
      </c>
      <c r="P2600" t="s">
        <v>31</v>
      </c>
      <c r="Q2600">
        <v>1</v>
      </c>
      <c r="R2600" t="s">
        <v>12891</v>
      </c>
      <c r="S2600" t="s">
        <v>12886</v>
      </c>
    </row>
    <row r="2601" spans="1:19" x14ac:dyDescent="0.25">
      <c r="A2601" t="s">
        <v>3156</v>
      </c>
      <c r="B2601" s="1">
        <v>45924</v>
      </c>
      <c r="C2601" t="s">
        <v>12882</v>
      </c>
      <c r="D2601" s="5">
        <v>0.93291666666666662</v>
      </c>
      <c r="E2601">
        <v>1.51</v>
      </c>
      <c r="F2601" t="s">
        <v>44</v>
      </c>
      <c r="G2601" t="s">
        <v>3157</v>
      </c>
      <c r="H2601" t="s">
        <v>89</v>
      </c>
      <c r="I2601" t="s">
        <v>58</v>
      </c>
      <c r="J2601" t="s">
        <v>3158</v>
      </c>
      <c r="K2601">
        <v>31</v>
      </c>
      <c r="L2601" t="s">
        <v>25</v>
      </c>
      <c r="M2601" t="s">
        <v>66</v>
      </c>
      <c r="N2601" t="s">
        <v>84</v>
      </c>
      <c r="O2601" t="s">
        <v>28</v>
      </c>
      <c r="P2601" t="s">
        <v>31</v>
      </c>
      <c r="Q2601">
        <v>0</v>
      </c>
      <c r="R2601" t="s">
        <v>12883</v>
      </c>
      <c r="S2601" t="s">
        <v>12889</v>
      </c>
    </row>
    <row r="2602" spans="1:19" x14ac:dyDescent="0.25">
      <c r="A2602" t="s">
        <v>1176</v>
      </c>
      <c r="B2602" s="1">
        <v>45843</v>
      </c>
      <c r="C2602" t="s">
        <v>12885</v>
      </c>
      <c r="D2602" s="5">
        <v>0.11799768518518519</v>
      </c>
      <c r="E2602">
        <v>1.48</v>
      </c>
      <c r="F2602" t="s">
        <v>44</v>
      </c>
      <c r="G2602" t="s">
        <v>1177</v>
      </c>
      <c r="H2602" t="s">
        <v>64</v>
      </c>
      <c r="I2602" t="s">
        <v>47</v>
      </c>
      <c r="J2602" t="s">
        <v>1178</v>
      </c>
      <c r="K2602">
        <v>40</v>
      </c>
      <c r="L2602" t="s">
        <v>37</v>
      </c>
      <c r="M2602" t="s">
        <v>35</v>
      </c>
      <c r="N2602" t="s">
        <v>39</v>
      </c>
      <c r="O2602" t="s">
        <v>28</v>
      </c>
      <c r="P2602" t="s">
        <v>31</v>
      </c>
      <c r="Q2602">
        <v>0</v>
      </c>
      <c r="R2602" t="s">
        <v>12883</v>
      </c>
      <c r="S2602" t="s">
        <v>12886</v>
      </c>
    </row>
    <row r="2603" spans="1:19" x14ac:dyDescent="0.25">
      <c r="A2603" t="s">
        <v>490</v>
      </c>
      <c r="B2603" s="1">
        <v>45900</v>
      </c>
      <c r="C2603" t="s">
        <v>12893</v>
      </c>
      <c r="D2603" s="5">
        <v>0.80131944444444447</v>
      </c>
      <c r="E2603">
        <v>1.33</v>
      </c>
      <c r="F2603" t="s">
        <v>44</v>
      </c>
      <c r="G2603" t="s">
        <v>161</v>
      </c>
      <c r="H2603" t="s">
        <v>77</v>
      </c>
      <c r="I2603" t="s">
        <v>91</v>
      </c>
      <c r="J2603" t="s">
        <v>491</v>
      </c>
      <c r="K2603">
        <v>75</v>
      </c>
      <c r="L2603" t="s">
        <v>25</v>
      </c>
      <c r="M2603" t="s">
        <v>23</v>
      </c>
      <c r="N2603" t="s">
        <v>51</v>
      </c>
      <c r="O2603" t="s">
        <v>28</v>
      </c>
      <c r="P2603" t="s">
        <v>31</v>
      </c>
      <c r="Q2603">
        <v>0</v>
      </c>
      <c r="R2603" t="s">
        <v>12883</v>
      </c>
      <c r="S2603" t="s">
        <v>12884</v>
      </c>
    </row>
    <row r="2604" spans="1:19" x14ac:dyDescent="0.25">
      <c r="A2604" t="s">
        <v>7763</v>
      </c>
      <c r="B2604" s="1">
        <v>45885</v>
      </c>
      <c r="C2604" t="s">
        <v>12893</v>
      </c>
      <c r="D2604" s="5">
        <v>0.27414351851851854</v>
      </c>
      <c r="E2604">
        <v>1.19</v>
      </c>
      <c r="F2604" t="s">
        <v>44</v>
      </c>
      <c r="G2604" t="s">
        <v>7764</v>
      </c>
      <c r="H2604" t="s">
        <v>57</v>
      </c>
      <c r="I2604" t="s">
        <v>26</v>
      </c>
      <c r="J2604" t="s">
        <v>7765</v>
      </c>
      <c r="K2604">
        <v>50</v>
      </c>
      <c r="L2604" t="s">
        <v>49</v>
      </c>
      <c r="M2604" t="s">
        <v>248</v>
      </c>
      <c r="N2604" t="s">
        <v>112</v>
      </c>
      <c r="O2604" t="s">
        <v>28</v>
      </c>
      <c r="P2604" t="s">
        <v>31</v>
      </c>
      <c r="Q2604">
        <v>0</v>
      </c>
      <c r="R2604" t="s">
        <v>12883</v>
      </c>
      <c r="S2604" t="s">
        <v>12886</v>
      </c>
    </row>
    <row r="2605" spans="1:19" x14ac:dyDescent="0.25">
      <c r="A2605" t="s">
        <v>6936</v>
      </c>
      <c r="B2605" s="1">
        <v>45851</v>
      </c>
      <c r="C2605" t="s">
        <v>12885</v>
      </c>
      <c r="D2605" s="5">
        <v>0.37274305555555554</v>
      </c>
      <c r="E2605">
        <v>1.19</v>
      </c>
      <c r="F2605" t="s">
        <v>44</v>
      </c>
      <c r="G2605" t="s">
        <v>3045</v>
      </c>
      <c r="H2605" t="s">
        <v>89</v>
      </c>
      <c r="I2605" t="s">
        <v>35</v>
      </c>
      <c r="J2605" t="s">
        <v>6937</v>
      </c>
      <c r="K2605">
        <v>35</v>
      </c>
      <c r="L2605" t="s">
        <v>49</v>
      </c>
      <c r="M2605" t="s">
        <v>66</v>
      </c>
      <c r="N2605" t="s">
        <v>51</v>
      </c>
      <c r="O2605" t="s">
        <v>28</v>
      </c>
      <c r="P2605" t="s">
        <v>31</v>
      </c>
      <c r="Q2605">
        <v>1</v>
      </c>
      <c r="R2605" t="s">
        <v>12891</v>
      </c>
      <c r="S2605" t="s">
        <v>12889</v>
      </c>
    </row>
    <row r="2606" spans="1:19" x14ac:dyDescent="0.25">
      <c r="A2606" t="s">
        <v>2228</v>
      </c>
      <c r="B2606" s="1">
        <v>45873</v>
      </c>
      <c r="C2606" t="s">
        <v>12893</v>
      </c>
      <c r="D2606" s="5">
        <v>0.53841435185185182</v>
      </c>
      <c r="E2606">
        <v>1.0900000000000001</v>
      </c>
      <c r="F2606" t="s">
        <v>44</v>
      </c>
      <c r="G2606" t="s">
        <v>2229</v>
      </c>
      <c r="H2606" t="s">
        <v>124</v>
      </c>
      <c r="I2606" t="s">
        <v>23</v>
      </c>
      <c r="J2606" t="s">
        <v>2230</v>
      </c>
      <c r="K2606">
        <v>56</v>
      </c>
      <c r="L2606" t="s">
        <v>49</v>
      </c>
      <c r="M2606" t="s">
        <v>50</v>
      </c>
      <c r="N2606" t="s">
        <v>112</v>
      </c>
      <c r="O2606" t="s">
        <v>28</v>
      </c>
      <c r="P2606" t="s">
        <v>31</v>
      </c>
      <c r="Q2606">
        <v>0</v>
      </c>
      <c r="R2606" t="s">
        <v>12883</v>
      </c>
      <c r="S2606" t="s">
        <v>12886</v>
      </c>
    </row>
    <row r="2607" spans="1:19" x14ac:dyDescent="0.25">
      <c r="A2607" t="s">
        <v>2994</v>
      </c>
      <c r="B2607" s="1">
        <v>45794</v>
      </c>
      <c r="C2607" t="s">
        <v>12887</v>
      </c>
      <c r="D2607" s="5">
        <v>0.39577546296296295</v>
      </c>
      <c r="E2607">
        <v>0</v>
      </c>
      <c r="F2607" t="s">
        <v>44</v>
      </c>
      <c r="G2607" t="s">
        <v>819</v>
      </c>
      <c r="H2607" t="s">
        <v>89</v>
      </c>
      <c r="I2607" t="s">
        <v>119</v>
      </c>
      <c r="J2607" t="s">
        <v>2995</v>
      </c>
      <c r="K2607">
        <v>45</v>
      </c>
      <c r="L2607" t="s">
        <v>49</v>
      </c>
      <c r="M2607" t="s">
        <v>23</v>
      </c>
      <c r="N2607" t="s">
        <v>84</v>
      </c>
      <c r="O2607" t="s">
        <v>28</v>
      </c>
      <c r="P2607" t="s">
        <v>31</v>
      </c>
      <c r="Q2607">
        <v>0</v>
      </c>
      <c r="R2607" t="s">
        <v>12883</v>
      </c>
      <c r="S2607" t="s">
        <v>12886</v>
      </c>
    </row>
    <row r="2608" spans="1:19" x14ac:dyDescent="0.25">
      <c r="A2608" t="s">
        <v>5376</v>
      </c>
      <c r="B2608" s="1">
        <v>45811</v>
      </c>
      <c r="C2608" t="s">
        <v>12888</v>
      </c>
      <c r="D2608" s="5">
        <v>0.99792824074074071</v>
      </c>
      <c r="E2608">
        <v>0</v>
      </c>
      <c r="F2608" t="s">
        <v>44</v>
      </c>
      <c r="G2608" t="s">
        <v>1832</v>
      </c>
      <c r="H2608" t="s">
        <v>57</v>
      </c>
      <c r="I2608" t="s">
        <v>110</v>
      </c>
      <c r="J2608" t="s">
        <v>5377</v>
      </c>
      <c r="K2608">
        <v>43</v>
      </c>
      <c r="L2608" t="s">
        <v>49</v>
      </c>
      <c r="M2608" t="s">
        <v>50</v>
      </c>
      <c r="N2608" t="s">
        <v>105</v>
      </c>
      <c r="O2608" t="s">
        <v>28</v>
      </c>
      <c r="P2608" t="s">
        <v>31</v>
      </c>
      <c r="Q2608">
        <v>0</v>
      </c>
      <c r="R2608" t="s">
        <v>12883</v>
      </c>
      <c r="S2608" t="s">
        <v>12886</v>
      </c>
    </row>
    <row r="2609" spans="1:19" x14ac:dyDescent="0.25">
      <c r="A2609" t="s">
        <v>7139</v>
      </c>
      <c r="B2609" s="1">
        <v>45867</v>
      </c>
      <c r="C2609" t="s">
        <v>12885</v>
      </c>
      <c r="D2609" s="5">
        <v>0.90574074074074074</v>
      </c>
      <c r="E2609">
        <v>0</v>
      </c>
      <c r="F2609" t="s">
        <v>44</v>
      </c>
      <c r="G2609" t="s">
        <v>151</v>
      </c>
      <c r="H2609" t="s">
        <v>77</v>
      </c>
      <c r="I2609" t="s">
        <v>58</v>
      </c>
      <c r="J2609" t="s">
        <v>7140</v>
      </c>
      <c r="K2609">
        <v>44</v>
      </c>
      <c r="L2609" t="s">
        <v>37</v>
      </c>
      <c r="M2609" t="s">
        <v>119</v>
      </c>
      <c r="N2609" t="s">
        <v>27</v>
      </c>
      <c r="O2609" t="s">
        <v>28</v>
      </c>
      <c r="P2609" t="s">
        <v>31</v>
      </c>
      <c r="Q2609">
        <v>0</v>
      </c>
      <c r="R2609" t="s">
        <v>12883</v>
      </c>
      <c r="S2609" t="s">
        <v>12886</v>
      </c>
    </row>
    <row r="2610" spans="1:19" x14ac:dyDescent="0.25">
      <c r="A2610" t="s">
        <v>11943</v>
      </c>
      <c r="B2610" s="1">
        <v>45926</v>
      </c>
      <c r="C2610" t="s">
        <v>12882</v>
      </c>
      <c r="D2610" s="5">
        <v>0.85726851851851849</v>
      </c>
      <c r="E2610">
        <v>0</v>
      </c>
      <c r="F2610" t="s">
        <v>44</v>
      </c>
      <c r="G2610" t="s">
        <v>1115</v>
      </c>
      <c r="H2610" t="s">
        <v>34</v>
      </c>
      <c r="I2610" t="s">
        <v>58</v>
      </c>
      <c r="J2610" t="s">
        <v>11944</v>
      </c>
      <c r="K2610">
        <v>53</v>
      </c>
      <c r="L2610" t="s">
        <v>25</v>
      </c>
      <c r="M2610" t="s">
        <v>146</v>
      </c>
      <c r="N2610" t="s">
        <v>51</v>
      </c>
      <c r="O2610" t="s">
        <v>28</v>
      </c>
      <c r="P2610" t="s">
        <v>31</v>
      </c>
      <c r="Q2610">
        <v>0</v>
      </c>
      <c r="R2610" t="s">
        <v>12883</v>
      </c>
      <c r="S2610" t="s">
        <v>12886</v>
      </c>
    </row>
    <row r="2611" spans="1:19" x14ac:dyDescent="0.25">
      <c r="A2611" t="s">
        <v>12693</v>
      </c>
      <c r="B2611" s="1">
        <v>45859</v>
      </c>
      <c r="C2611" t="s">
        <v>12885</v>
      </c>
      <c r="D2611" s="5">
        <v>0.82269675925925922</v>
      </c>
      <c r="E2611">
        <v>0</v>
      </c>
      <c r="F2611" t="s">
        <v>44</v>
      </c>
      <c r="G2611" t="s">
        <v>12694</v>
      </c>
      <c r="H2611" t="s">
        <v>64</v>
      </c>
      <c r="I2611" t="s">
        <v>38</v>
      </c>
      <c r="J2611" t="s">
        <v>12695</v>
      </c>
      <c r="K2611">
        <v>52</v>
      </c>
      <c r="L2611" t="s">
        <v>25</v>
      </c>
      <c r="M2611" t="s">
        <v>50</v>
      </c>
      <c r="N2611" t="s">
        <v>39</v>
      </c>
      <c r="O2611" t="s">
        <v>28</v>
      </c>
      <c r="P2611" t="s">
        <v>31</v>
      </c>
      <c r="Q2611">
        <v>0</v>
      </c>
      <c r="R2611" t="s">
        <v>12883</v>
      </c>
      <c r="S2611" t="s">
        <v>12886</v>
      </c>
    </row>
  </sheetData>
  <sheetProtection algorithmName="SHA-512" hashValue="WofnInLDMksrz/PJfcO+0WuKbJVSqP7J4kcb/jpjg/vQt/xhQG3fddZJCnCoTJsdygpdtgDn3BDNtGOJrdC85A==" saltValue="c/taq+fKQJyAXO+WiBLUDw==" spinCount="100000" sheet="1" objects="1" scenarios="1" selectLockedCells="1" pivotTables="0"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CD57-F78F-4551-8826-DE29776BE202}">
  <dimension ref="B2:D18"/>
  <sheetViews>
    <sheetView workbookViewId="0">
      <selection activeCell="C33" sqref="C33"/>
    </sheetView>
  </sheetViews>
  <sheetFormatPr defaultRowHeight="15" x14ac:dyDescent="0.25"/>
  <cols>
    <col min="2" max="2" width="28.28515625" customWidth="1"/>
    <col min="3" max="3" width="21.140625" customWidth="1"/>
    <col min="4" max="4" width="68" customWidth="1"/>
  </cols>
  <sheetData>
    <row r="2" spans="2:4" ht="21" x14ac:dyDescent="0.35">
      <c r="B2" s="8" t="s">
        <v>12905</v>
      </c>
      <c r="C2" s="9" t="s">
        <v>12904</v>
      </c>
      <c r="D2" s="10" t="s">
        <v>12903</v>
      </c>
    </row>
    <row r="3" spans="2:4" x14ac:dyDescent="0.25">
      <c r="B3" s="11" t="s">
        <v>12897</v>
      </c>
      <c r="C3" s="12">
        <f>COUNTA(Sheet1[TransactionID])</f>
        <v>2610</v>
      </c>
      <c r="D3" s="13" t="str">
        <f t="shared" ref="D3:D8" ca="1" si="0">_xlfn.FORMULATEXT(C3)</f>
        <v>=COUNTA(Sheet1[TransactionID])</v>
      </c>
    </row>
    <row r="4" spans="2:4" x14ac:dyDescent="0.25">
      <c r="B4" s="11" t="s">
        <v>12898</v>
      </c>
      <c r="C4" s="14">
        <f>SUM(Sheet1[Amount])</f>
        <v>601541.05000000121</v>
      </c>
      <c r="D4" s="13" t="str">
        <f t="shared" ca="1" si="0"/>
        <v>=SUM(Sheet1[Amount])</v>
      </c>
    </row>
    <row r="5" spans="2:4" x14ac:dyDescent="0.25">
      <c r="B5" s="11" t="s">
        <v>12899</v>
      </c>
      <c r="C5" s="15">
        <f>COUNTIF(Sheet1[FraudLabel],1)</f>
        <v>130</v>
      </c>
      <c r="D5" s="13" t="str">
        <f t="shared" ca="1" si="0"/>
        <v>=COUNTIF(Sheet1[FraudLabel],1)</v>
      </c>
    </row>
    <row r="6" spans="2:4" x14ac:dyDescent="0.25">
      <c r="B6" s="11" t="s">
        <v>12900</v>
      </c>
      <c r="C6" s="16">
        <f>COUNTIF(Sheet1[FraudLabel],1)/COUNTA(Sheet1[TransactionID])</f>
        <v>4.9808429118773943E-2</v>
      </c>
      <c r="D6" s="13" t="str">
        <f t="shared" ca="1" si="0"/>
        <v>=COUNTIF(Sheet1[FraudLabel],1)/COUNTA(Sheet1[TransactionID])</v>
      </c>
    </row>
    <row r="7" spans="2:4" x14ac:dyDescent="0.25">
      <c r="B7" s="11" t="s">
        <v>12901</v>
      </c>
      <c r="C7" s="14">
        <f>SUMIF(Sheet1[FraudLabel],1,Sheet1[Amount])</f>
        <v>37586.67</v>
      </c>
      <c r="D7" s="13" t="str">
        <f t="shared" ca="1" si="0"/>
        <v>=SUMIF(Sheet1[FraudLabel],1,Sheet1[Amount])</v>
      </c>
    </row>
    <row r="8" spans="2:4" x14ac:dyDescent="0.25">
      <c r="B8" s="17" t="s">
        <v>12902</v>
      </c>
      <c r="C8" s="18">
        <f>SUMIF(Sheet1[FraudLabel],1,Sheet1[Amount])/SUM(Sheet1[Amount])</f>
        <v>6.248396514252838E-2</v>
      </c>
      <c r="D8" s="19" t="str">
        <f t="shared" ca="1" si="0"/>
        <v>=SUMIF(Sheet1[FraudLabel],1,Sheet1[Amount])/SUM(Sheet1[Amount])</v>
      </c>
    </row>
    <row r="13" spans="2:4" x14ac:dyDescent="0.25">
      <c r="B13" s="22">
        <f>C3</f>
        <v>2610</v>
      </c>
    </row>
    <row r="14" spans="2:4" x14ac:dyDescent="0.25">
      <c r="B14" s="23">
        <f t="shared" ref="B14:B18" si="1">C4</f>
        <v>601541.05000000121</v>
      </c>
    </row>
    <row r="15" spans="2:4" x14ac:dyDescent="0.25">
      <c r="B15" s="22">
        <f t="shared" si="1"/>
        <v>130</v>
      </c>
    </row>
    <row r="16" spans="2:4" x14ac:dyDescent="0.25">
      <c r="B16" s="24">
        <f>C6</f>
        <v>4.9808429118773943E-2</v>
      </c>
    </row>
    <row r="17" spans="2:2" x14ac:dyDescent="0.25">
      <c r="B17" s="20">
        <f>C7</f>
        <v>37586.67</v>
      </c>
    </row>
    <row r="18" spans="2:2" x14ac:dyDescent="0.25">
      <c r="B18" s="24">
        <f t="shared" si="1"/>
        <v>6.248396514252838E-2</v>
      </c>
    </row>
  </sheetData>
  <sheetProtection algorithmName="SHA-512" hashValue="xHTftlAQZs8VuYzUDa02Nu/wHsd8GiSjgYNzjzvXi95MkiejuW7GAD6Q6hhxHjjuHHR4V6IFquM96QnEyJOXdA==" saltValue="FuMG9PVz7XwKTRI+mg8Crg==" spinCount="100000" sheet="1" objects="1" scenarios="1" selectLockedCells="1" pivotTables="0" selectUn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5DCD-9045-4B63-B348-FBD77E130910}">
  <dimension ref="A1:C14"/>
  <sheetViews>
    <sheetView zoomScale="80" zoomScaleNormal="80" workbookViewId="0">
      <selection activeCell="B1" sqref="B1"/>
    </sheetView>
  </sheetViews>
  <sheetFormatPr defaultRowHeight="15" x14ac:dyDescent="0.25"/>
  <cols>
    <col min="1" max="1" width="15.28515625" bestFit="1" customWidth="1"/>
    <col min="2" max="2" width="20.85546875" bestFit="1" customWidth="1"/>
    <col min="3" max="3" width="25.28515625" bestFit="1" customWidth="1"/>
    <col min="4" max="4" width="26.28515625" bestFit="1" customWidth="1"/>
  </cols>
  <sheetData>
    <row r="1" spans="1:3" x14ac:dyDescent="0.25">
      <c r="A1" s="6" t="s">
        <v>12880</v>
      </c>
      <c r="B1" t="s">
        <v>12891</v>
      </c>
    </row>
    <row r="3" spans="1:3" x14ac:dyDescent="0.25">
      <c r="A3" s="6" t="s">
        <v>12894</v>
      </c>
      <c r="B3" t="s">
        <v>12912</v>
      </c>
      <c r="C3" t="s">
        <v>12911</v>
      </c>
    </row>
    <row r="4" spans="1:3" x14ac:dyDescent="0.25">
      <c r="A4" s="7" t="s">
        <v>96</v>
      </c>
      <c r="B4" s="20">
        <v>7096.7400000000007</v>
      </c>
      <c r="C4" s="20">
        <v>545.90307692307692</v>
      </c>
    </row>
    <row r="5" spans="1:3" x14ac:dyDescent="0.25">
      <c r="A5" s="7" t="s">
        <v>34</v>
      </c>
      <c r="B5" s="20">
        <v>1800.31</v>
      </c>
      <c r="C5" s="20">
        <v>138.48538461538462</v>
      </c>
    </row>
    <row r="6" spans="1:3" x14ac:dyDescent="0.25">
      <c r="A6" s="7" t="s">
        <v>46</v>
      </c>
      <c r="B6" s="20">
        <v>7980.6999999999989</v>
      </c>
      <c r="C6" s="20">
        <v>613.89999999999986</v>
      </c>
    </row>
    <row r="7" spans="1:3" x14ac:dyDescent="0.25">
      <c r="A7" s="7" t="s">
        <v>71</v>
      </c>
      <c r="B7" s="20">
        <v>1092.44</v>
      </c>
      <c r="C7" s="20">
        <v>99.312727272727273</v>
      </c>
    </row>
    <row r="8" spans="1:3" x14ac:dyDescent="0.25">
      <c r="A8" s="7" t="s">
        <v>89</v>
      </c>
      <c r="B8" s="20">
        <v>7028.44</v>
      </c>
      <c r="C8" s="20">
        <v>540.64923076923071</v>
      </c>
    </row>
    <row r="9" spans="1:3" x14ac:dyDescent="0.25">
      <c r="A9" s="7" t="s">
        <v>124</v>
      </c>
      <c r="B9" s="20">
        <v>1123.73</v>
      </c>
      <c r="C9" s="20">
        <v>102.15727272727273</v>
      </c>
    </row>
    <row r="10" spans="1:3" x14ac:dyDescent="0.25">
      <c r="A10" s="7" t="s">
        <v>77</v>
      </c>
      <c r="B10" s="20">
        <v>4610.33</v>
      </c>
      <c r="C10" s="20">
        <v>256.12944444444446</v>
      </c>
    </row>
    <row r="11" spans="1:3" x14ac:dyDescent="0.25">
      <c r="A11" s="7" t="s">
        <v>64</v>
      </c>
      <c r="B11" s="20">
        <v>2102.9899999999998</v>
      </c>
      <c r="C11" s="20">
        <v>123.70529411764704</v>
      </c>
    </row>
    <row r="12" spans="1:3" x14ac:dyDescent="0.25">
      <c r="A12" s="7" t="s">
        <v>57</v>
      </c>
      <c r="B12" s="20">
        <v>3563.29</v>
      </c>
      <c r="C12" s="20">
        <v>323.93545454545455</v>
      </c>
    </row>
    <row r="13" spans="1:3" x14ac:dyDescent="0.25">
      <c r="A13" s="7" t="s">
        <v>22</v>
      </c>
      <c r="B13" s="20">
        <v>1187.7</v>
      </c>
      <c r="C13" s="20">
        <v>118.77000000000001</v>
      </c>
    </row>
    <row r="14" spans="1:3" x14ac:dyDescent="0.25">
      <c r="A14" s="7" t="s">
        <v>12895</v>
      </c>
      <c r="B14" s="20">
        <v>37586.669999999991</v>
      </c>
      <c r="C14" s="20">
        <v>289.12823076923064</v>
      </c>
    </row>
  </sheetData>
  <sheetProtection algorithmName="SHA-512" hashValue="/vfq1BQUInCUHg+OIuHhl7oBYUx2ZQzmZJujTsAZ+qToIIPah6/rjTlBp/5iPTIuLWLX+9jP0iPlCS+AUkP9Ng==" saltValue="h56StXDkX2mzrrr6DBE0Xw==" spinCount="100000" sheet="1" objects="1" scenarios="1" selectLockedCells="1" pivotTables="0" selectUnlockedCells="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B7CC-969C-4B0A-A4B1-AD3ECE875A54}">
  <dimension ref="A1:B10"/>
  <sheetViews>
    <sheetView workbookViewId="0">
      <selection activeCell="P15" sqref="P15"/>
    </sheetView>
  </sheetViews>
  <sheetFormatPr defaultRowHeight="15" x14ac:dyDescent="0.25"/>
  <cols>
    <col min="1" max="1" width="13.5703125" bestFit="1" customWidth="1"/>
    <col min="2" max="2" width="17.5703125" bestFit="1" customWidth="1"/>
    <col min="3" max="3" width="20.140625" bestFit="1" customWidth="1"/>
  </cols>
  <sheetData>
    <row r="1" spans="1:2" x14ac:dyDescent="0.25">
      <c r="A1" s="6" t="s">
        <v>12880</v>
      </c>
      <c r="B1" t="s">
        <v>12891</v>
      </c>
    </row>
    <row r="3" spans="1:2" x14ac:dyDescent="0.25">
      <c r="A3" s="6" t="s">
        <v>12894</v>
      </c>
      <c r="B3" t="s">
        <v>12896</v>
      </c>
    </row>
    <row r="4" spans="1:2" x14ac:dyDescent="0.25">
      <c r="A4" s="7" t="s">
        <v>105</v>
      </c>
      <c r="B4">
        <v>17</v>
      </c>
    </row>
    <row r="5" spans="1:2" x14ac:dyDescent="0.25">
      <c r="A5" s="7" t="s">
        <v>39</v>
      </c>
      <c r="B5">
        <v>18</v>
      </c>
    </row>
    <row r="6" spans="1:2" x14ac:dyDescent="0.25">
      <c r="A6" s="7" t="s">
        <v>84</v>
      </c>
      <c r="B6">
        <v>20</v>
      </c>
    </row>
    <row r="7" spans="1:2" x14ac:dyDescent="0.25">
      <c r="A7" s="7" t="s">
        <v>51</v>
      </c>
      <c r="B7">
        <v>22</v>
      </c>
    </row>
    <row r="8" spans="1:2" x14ac:dyDescent="0.25">
      <c r="A8" s="7" t="s">
        <v>112</v>
      </c>
      <c r="B8">
        <v>25</v>
      </c>
    </row>
    <row r="9" spans="1:2" x14ac:dyDescent="0.25">
      <c r="A9" s="7" t="s">
        <v>27</v>
      </c>
      <c r="B9">
        <v>28</v>
      </c>
    </row>
    <row r="10" spans="1:2" x14ac:dyDescent="0.25">
      <c r="A10" s="7" t="s">
        <v>12895</v>
      </c>
      <c r="B10">
        <v>130</v>
      </c>
    </row>
  </sheetData>
  <sheetProtection algorithmName="SHA-512" hashValue="PrhGNPQY0Gwxoki9OxRQ7dakZooeqAP6eSlL0nSTAEv9Wx4JfG6LF3RhDhrQcok+neu51W3LpMnaEWKtOcypdA==" saltValue="fAXGNQte0ZDqMnD8RFz8iw==" spinCount="100000" sheet="1" objects="1" scenarios="1" selectLockedCells="1" pivotTables="0" selectUnlockedCell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60DD3-F3A3-4F7A-91C0-3EE883276ED8}">
  <dimension ref="A1:B8"/>
  <sheetViews>
    <sheetView zoomScale="80" zoomScaleNormal="80" workbookViewId="0">
      <selection activeCell="C33" sqref="C33"/>
    </sheetView>
  </sheetViews>
  <sheetFormatPr defaultRowHeight="15" x14ac:dyDescent="0.25"/>
  <cols>
    <col min="1" max="1" width="14.140625" bestFit="1" customWidth="1"/>
    <col min="2" max="2" width="17.85546875" bestFit="1" customWidth="1"/>
  </cols>
  <sheetData>
    <row r="1" spans="1:2" x14ac:dyDescent="0.25">
      <c r="A1" t="s">
        <v>12906</v>
      </c>
    </row>
    <row r="3" spans="1:2" x14ac:dyDescent="0.25">
      <c r="A3" s="6" t="s">
        <v>12894</v>
      </c>
      <c r="B3" t="s">
        <v>12896</v>
      </c>
    </row>
    <row r="4" spans="1:2" x14ac:dyDescent="0.25">
      <c r="A4" s="7" t="s">
        <v>12889</v>
      </c>
      <c r="B4">
        <v>26</v>
      </c>
    </row>
    <row r="5" spans="1:2" x14ac:dyDescent="0.25">
      <c r="A5" s="7" t="s">
        <v>12886</v>
      </c>
      <c r="B5">
        <v>49</v>
      </c>
    </row>
    <row r="6" spans="1:2" x14ac:dyDescent="0.25">
      <c r="A6" s="7" t="s">
        <v>12884</v>
      </c>
      <c r="B6">
        <v>39</v>
      </c>
    </row>
    <row r="7" spans="1:2" x14ac:dyDescent="0.25">
      <c r="A7" s="7" t="s">
        <v>12892</v>
      </c>
      <c r="B7">
        <v>16</v>
      </c>
    </row>
    <row r="8" spans="1:2" x14ac:dyDescent="0.25">
      <c r="A8" s="7" t="s">
        <v>12895</v>
      </c>
      <c r="B8">
        <v>130</v>
      </c>
    </row>
  </sheetData>
  <sheetProtection algorithmName="SHA-512" hashValue="5EFc0vC4UyD4NBFiysTkKfTbjJpXyJiFW5JpyDY/6hp8FsGREwGUeb+wfMLMVrDNbWMgbKZwsKVxIr4zykZiUg==" saltValue="Ep28LmFRfMYeHKjz0uAxfw==" spinCount="100000" sheet="1" objects="1" scenarios="1" selectLockedCells="1" pivotTables="0" selectUnlockedCells="1"/>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FB59-8B68-4E73-B857-A9FEC8E741B7}">
  <dimension ref="A1:D12"/>
  <sheetViews>
    <sheetView zoomScale="90" zoomScaleNormal="90" workbookViewId="0">
      <selection activeCell="C33" sqref="C33"/>
    </sheetView>
  </sheetViews>
  <sheetFormatPr defaultRowHeight="15" x14ac:dyDescent="0.25"/>
  <cols>
    <col min="1" max="1" width="13.28515625" bestFit="1" customWidth="1"/>
    <col min="2" max="2" width="14.85546875" bestFit="1" customWidth="1"/>
    <col min="3" max="3" width="17.5703125" bestFit="1" customWidth="1"/>
  </cols>
  <sheetData>
    <row r="1" spans="1:4" x14ac:dyDescent="0.25">
      <c r="A1" t="s">
        <v>12909</v>
      </c>
      <c r="D1" t="s">
        <v>12910</v>
      </c>
    </row>
    <row r="3" spans="1:4" x14ac:dyDescent="0.25">
      <c r="A3" s="6" t="s">
        <v>12880</v>
      </c>
      <c r="B3" t="s">
        <v>12891</v>
      </c>
    </row>
    <row r="5" spans="1:4" x14ac:dyDescent="0.25">
      <c r="A5" s="6" t="s">
        <v>12894</v>
      </c>
      <c r="B5" s="21" t="s">
        <v>12907</v>
      </c>
      <c r="C5" t="s">
        <v>12896</v>
      </c>
    </row>
    <row r="6" spans="1:4" x14ac:dyDescent="0.25">
      <c r="A6" s="7" t="s">
        <v>12887</v>
      </c>
      <c r="B6" s="20">
        <v>2732.2399999999993</v>
      </c>
      <c r="C6">
        <v>23</v>
      </c>
    </row>
    <row r="7" spans="1:4" x14ac:dyDescent="0.25">
      <c r="A7" s="7" t="s">
        <v>12888</v>
      </c>
      <c r="B7" s="20">
        <v>8022.25</v>
      </c>
      <c r="C7">
        <v>25</v>
      </c>
    </row>
    <row r="8" spans="1:4" x14ac:dyDescent="0.25">
      <c r="A8" s="7" t="s">
        <v>12885</v>
      </c>
      <c r="B8" s="20">
        <v>5865.7900000000009</v>
      </c>
      <c r="C8">
        <v>19</v>
      </c>
    </row>
    <row r="9" spans="1:4" x14ac:dyDescent="0.25">
      <c r="A9" s="7" t="s">
        <v>12893</v>
      </c>
      <c r="B9" s="20">
        <v>3206.6400000000003</v>
      </c>
      <c r="C9">
        <v>21</v>
      </c>
    </row>
    <row r="10" spans="1:4" x14ac:dyDescent="0.25">
      <c r="A10" s="7" t="s">
        <v>12882</v>
      </c>
      <c r="B10" s="20">
        <v>8929.9200000000019</v>
      </c>
      <c r="C10">
        <v>18</v>
      </c>
    </row>
    <row r="11" spans="1:4" x14ac:dyDescent="0.25">
      <c r="A11" s="7" t="s">
        <v>12890</v>
      </c>
      <c r="B11" s="20">
        <v>8829.8299999999981</v>
      </c>
      <c r="C11">
        <v>24</v>
      </c>
    </row>
    <row r="12" spans="1:4" x14ac:dyDescent="0.25">
      <c r="A12" s="7" t="s">
        <v>12895</v>
      </c>
      <c r="B12" s="20">
        <v>37586.67</v>
      </c>
      <c r="C12">
        <v>130</v>
      </c>
    </row>
  </sheetData>
  <sheetProtection algorithmName="SHA-512" hashValue="6ChxP4rvXoaGZem+kkixS83ZmdvFqtCUXvqIIG924m3i/coD3XDAyGMCXnpG2Cpi+hpq/yZj/6h3VG1Xf9kqWg==" saltValue="zZFUgPzWDvD35LisKLMEhw==" spinCount="100000" sheet="1" objects="1" scenarios="1" selectLockedCells="1" pivotTables="0" selectUnlockedCells="1"/>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C771-5A6A-4786-ADFE-DDC07BC46DCF}">
  <dimension ref="A1:B21"/>
  <sheetViews>
    <sheetView zoomScale="80" zoomScaleNormal="80" workbookViewId="0">
      <selection activeCell="C33" sqref="C33"/>
    </sheetView>
  </sheetViews>
  <sheetFormatPr defaultRowHeight="15" x14ac:dyDescent="0.25"/>
  <cols>
    <col min="1" max="1" width="17" bestFit="1" customWidth="1"/>
    <col min="2" max="2" width="15.140625" bestFit="1" customWidth="1"/>
    <col min="3" max="3" width="17.5703125" bestFit="1" customWidth="1"/>
  </cols>
  <sheetData>
    <row r="1" spans="1:2" x14ac:dyDescent="0.25">
      <c r="A1" t="s">
        <v>12908</v>
      </c>
    </row>
    <row r="3" spans="1:2" x14ac:dyDescent="0.25">
      <c r="A3" s="6" t="s">
        <v>12880</v>
      </c>
      <c r="B3" t="s">
        <v>12891</v>
      </c>
    </row>
    <row r="5" spans="1:2" x14ac:dyDescent="0.25">
      <c r="A5" s="6" t="s">
        <v>12894</v>
      </c>
      <c r="B5" s="20" t="s">
        <v>12907</v>
      </c>
    </row>
    <row r="6" spans="1:2" x14ac:dyDescent="0.25">
      <c r="A6" s="7" t="s">
        <v>146</v>
      </c>
      <c r="B6" s="20">
        <v>6683.8600000000015</v>
      </c>
    </row>
    <row r="7" spans="1:2" x14ac:dyDescent="0.25">
      <c r="A7" s="7" t="s">
        <v>110</v>
      </c>
      <c r="B7" s="20">
        <v>6014.1899999999987</v>
      </c>
    </row>
    <row r="8" spans="1:2" x14ac:dyDescent="0.25">
      <c r="A8" s="7" t="s">
        <v>26</v>
      </c>
      <c r="B8" s="20">
        <v>5737.7899999999991</v>
      </c>
    </row>
    <row r="9" spans="1:2" x14ac:dyDescent="0.25">
      <c r="A9" s="7" t="s">
        <v>38</v>
      </c>
      <c r="B9" s="20">
        <v>3449.5099999999998</v>
      </c>
    </row>
    <row r="10" spans="1:2" x14ac:dyDescent="0.25">
      <c r="A10" s="7" t="s">
        <v>119</v>
      </c>
      <c r="B10" s="20">
        <v>2536.89</v>
      </c>
    </row>
    <row r="11" spans="1:2" x14ac:dyDescent="0.25">
      <c r="A11" s="7" t="s">
        <v>248</v>
      </c>
      <c r="B11" s="20">
        <v>2249.21</v>
      </c>
    </row>
    <row r="12" spans="1:2" x14ac:dyDescent="0.25">
      <c r="A12" s="7" t="s">
        <v>91</v>
      </c>
      <c r="B12" s="20">
        <v>2115.84</v>
      </c>
    </row>
    <row r="13" spans="1:2" x14ac:dyDescent="0.25">
      <c r="A13" s="7" t="s">
        <v>58</v>
      </c>
      <c r="B13" s="20">
        <v>1992.73</v>
      </c>
    </row>
    <row r="14" spans="1:2" x14ac:dyDescent="0.25">
      <c r="A14" s="7" t="s">
        <v>97</v>
      </c>
      <c r="B14" s="20">
        <v>1643.3400000000001</v>
      </c>
    </row>
    <row r="15" spans="1:2" x14ac:dyDescent="0.25">
      <c r="A15" s="7" t="s">
        <v>35</v>
      </c>
      <c r="B15" s="20">
        <v>1518.84</v>
      </c>
    </row>
    <row r="16" spans="1:2" x14ac:dyDescent="0.25">
      <c r="A16" s="7" t="s">
        <v>50</v>
      </c>
      <c r="B16" s="20">
        <v>924.43000000000006</v>
      </c>
    </row>
    <row r="17" spans="1:2" x14ac:dyDescent="0.25">
      <c r="A17" s="7" t="s">
        <v>66</v>
      </c>
      <c r="B17" s="20">
        <v>825.93999999999994</v>
      </c>
    </row>
    <row r="18" spans="1:2" x14ac:dyDescent="0.25">
      <c r="A18" s="7" t="s">
        <v>130</v>
      </c>
      <c r="B18" s="20">
        <v>759.78</v>
      </c>
    </row>
    <row r="19" spans="1:2" x14ac:dyDescent="0.25">
      <c r="A19" s="7" t="s">
        <v>47</v>
      </c>
      <c r="B19" s="20">
        <v>710.08</v>
      </c>
    </row>
    <row r="20" spans="1:2" x14ac:dyDescent="0.25">
      <c r="A20" s="7" t="s">
        <v>23</v>
      </c>
      <c r="B20" s="20">
        <v>424.24</v>
      </c>
    </row>
    <row r="21" spans="1:2" x14ac:dyDescent="0.25">
      <c r="A21" s="7" t="s">
        <v>12895</v>
      </c>
      <c r="B21" s="20">
        <v>37586.67</v>
      </c>
    </row>
  </sheetData>
  <sheetProtection algorithmName="SHA-512" hashValue="8gYhQDBawKlM6oSUdoe6ZziJhzp3a4JqRxvl16PVzLunV+5pEaO4/DMEEA1eqyw3xc2u9oLa8wPO4xojfeFTfQ==" saltValue="FouaTgnVTvulWoWZ1GSj0Q==" spinCount="100000" sheet="1" objects="1" scenarios="1" selectLockedCells="1" pivotTables="0" selectUnlockedCells="1"/>
  <pageMargins left="0.7" right="0.7" top="0.75" bottom="0.75" header="0.3" footer="0.3"/>
  <pageSetup orientation="portrait" horizontalDpi="300" verticalDpi="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A3B8-6D83-4758-B6F5-1C5C1D425C44}">
  <dimension ref="A1"/>
  <sheetViews>
    <sheetView showGridLines="0" showRowColHeaders="0" tabSelected="1" zoomScale="90" zoomScaleNormal="90" workbookViewId="0">
      <selection activeCell="X69" sqref="X69"/>
    </sheetView>
  </sheetViews>
  <sheetFormatPr defaultRowHeight="15" x14ac:dyDescent="0.25"/>
  <sheetData/>
  <sheetProtection algorithmName="SHA-512" hashValue="JRF8pkoZGor8VPUy01/6uZt5SjPQCkecNMRG3mo/7FzRmYcqLqEtDOa1aqaFzRa5SxUzbOhXfnRfdtRF/S98tQ==" saltValue="H5p2oSN+UZvJD63BoHs+YQ==" spinCount="100000"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277837-46EE-4B1E-A338-9D608E6089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Cleaned DATA</vt:lpstr>
      <vt:lpstr>KPIs</vt:lpstr>
      <vt:lpstr>TFC</vt:lpstr>
      <vt:lpstr>FPM</vt:lpstr>
      <vt:lpstr>FAG</vt:lpstr>
      <vt:lpstr>MFAC</vt:lpstr>
      <vt:lpstr>FAC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s</dc:creator>
  <cp:lastModifiedBy>karthik s</cp:lastModifiedBy>
  <dcterms:created xsi:type="dcterms:W3CDTF">2025-10-31T15:03:40Z</dcterms:created>
  <dcterms:modified xsi:type="dcterms:W3CDTF">2025-11-14T15:40:27Z</dcterms:modified>
</cp:coreProperties>
</file>